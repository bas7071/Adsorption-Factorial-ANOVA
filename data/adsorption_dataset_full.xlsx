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papers - chem eng\paper [1]- Adsorption\"/>
    </mc:Choice>
  </mc:AlternateContent>
  <xr:revisionPtr revIDLastSave="0" documentId="13_ncr:1_{9E5AD7B8-1DB5-488E-8C85-03058AC6C709}" xr6:coauthVersionLast="47" xr6:coauthVersionMax="47" xr10:uidLastSave="{00000000-0000-0000-0000-000000000000}"/>
  <bookViews>
    <workbookView xWindow="-108" yWindow="-108" windowWidth="23256" windowHeight="12456" tabRatio="442" firstSheet="1" activeTab="2" xr2:uid="{00000000-000D-0000-FFFF-FFFF00000000}"/>
  </bookViews>
  <sheets>
    <sheet name="full data" sheetId="1" r:id="rId1"/>
    <sheet name="adsorbent type" sheetId="6" r:id="rId2"/>
    <sheet name="Sheet7" sheetId="7" r:id="rId3"/>
    <sheet name="pivot" sheetId="5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7" l="1"/>
  <c r="I6" i="7"/>
  <c r="I7" i="7"/>
  <c r="H5" i="7"/>
  <c r="H6" i="7"/>
  <c r="H7" i="7"/>
  <c r="I4" i="7"/>
  <c r="H4" i="7"/>
  <c r="P2305" i="6"/>
  <c r="Q2305" i="6" s="1"/>
  <c r="P2304" i="6"/>
  <c r="Q2304" i="6" s="1"/>
  <c r="P2303" i="6"/>
  <c r="Q2303" i="6" s="1"/>
  <c r="P2302" i="6"/>
  <c r="Q2302" i="6" s="1"/>
  <c r="P2301" i="6"/>
  <c r="Q2301" i="6" s="1"/>
  <c r="P2300" i="6"/>
  <c r="Q2300" i="6" s="1"/>
  <c r="P2299" i="6"/>
  <c r="Q2299" i="6" s="1"/>
  <c r="P2298" i="6"/>
  <c r="Q2298" i="6" s="1"/>
  <c r="P2297" i="6"/>
  <c r="Q2297" i="6" s="1"/>
  <c r="P2296" i="6"/>
  <c r="Q2296" i="6" s="1"/>
  <c r="P2295" i="6"/>
  <c r="Q2295" i="6" s="1"/>
  <c r="P2294" i="6"/>
  <c r="Q2294" i="6" s="1"/>
  <c r="P2293" i="6"/>
  <c r="Q2293" i="6" s="1"/>
  <c r="P2292" i="6"/>
  <c r="Q2292" i="6" s="1"/>
  <c r="P2291" i="6"/>
  <c r="Q2291" i="6" s="1"/>
  <c r="P2290" i="6"/>
  <c r="Q2290" i="6" s="1"/>
  <c r="P2289" i="6"/>
  <c r="Q2289" i="6" s="1"/>
  <c r="P2288" i="6"/>
  <c r="Q2288" i="6" s="1"/>
  <c r="P2287" i="6"/>
  <c r="Q2287" i="6" s="1"/>
  <c r="P2286" i="6"/>
  <c r="Q2286" i="6" s="1"/>
  <c r="P2285" i="6"/>
  <c r="Q2285" i="6" s="1"/>
  <c r="P2284" i="6"/>
  <c r="Q2284" i="6" s="1"/>
  <c r="P2283" i="6"/>
  <c r="Q2283" i="6" s="1"/>
  <c r="P2282" i="6"/>
  <c r="Q2282" i="6" s="1"/>
  <c r="P2281" i="6"/>
  <c r="Q2281" i="6" s="1"/>
  <c r="P2280" i="6"/>
  <c r="Q2280" i="6" s="1"/>
  <c r="P2279" i="6"/>
  <c r="Q2279" i="6" s="1"/>
  <c r="P2278" i="6"/>
  <c r="Q2278" i="6" s="1"/>
  <c r="P2277" i="6"/>
  <c r="Q2277" i="6" s="1"/>
  <c r="P2276" i="6"/>
  <c r="Q2276" i="6" s="1"/>
  <c r="P2275" i="6"/>
  <c r="Q2275" i="6" s="1"/>
  <c r="P2274" i="6"/>
  <c r="Q2274" i="6" s="1"/>
  <c r="P2273" i="6"/>
  <c r="Q2273" i="6" s="1"/>
  <c r="P2272" i="6"/>
  <c r="Q2272" i="6" s="1"/>
  <c r="P2271" i="6"/>
  <c r="Q2271" i="6" s="1"/>
  <c r="P2270" i="6"/>
  <c r="Q2270" i="6" s="1"/>
  <c r="P2269" i="6"/>
  <c r="Q2269" i="6" s="1"/>
  <c r="P2268" i="6"/>
  <c r="Q2268" i="6" s="1"/>
  <c r="P2267" i="6"/>
  <c r="Q2267" i="6" s="1"/>
  <c r="P2266" i="6"/>
  <c r="Q2266" i="6" s="1"/>
  <c r="P2265" i="6"/>
  <c r="Q2265" i="6" s="1"/>
  <c r="P2264" i="6"/>
  <c r="Q2264" i="6" s="1"/>
  <c r="P2263" i="6"/>
  <c r="Q2263" i="6" s="1"/>
  <c r="P2262" i="6"/>
  <c r="Q2262" i="6" s="1"/>
  <c r="P2261" i="6"/>
  <c r="Q2261" i="6" s="1"/>
  <c r="P2260" i="6"/>
  <c r="Q2260" i="6" s="1"/>
  <c r="P2259" i="6"/>
  <c r="Q2259" i="6" s="1"/>
  <c r="P2258" i="6"/>
  <c r="Q2258" i="6" s="1"/>
  <c r="P2257" i="6"/>
  <c r="Q2257" i="6" s="1"/>
  <c r="P2256" i="6"/>
  <c r="Q2256" i="6" s="1"/>
  <c r="P2255" i="6"/>
  <c r="Q2255" i="6" s="1"/>
  <c r="P2254" i="6"/>
  <c r="Q2254" i="6" s="1"/>
  <c r="P2253" i="6"/>
  <c r="Q2253" i="6" s="1"/>
  <c r="P2252" i="6"/>
  <c r="Q2252" i="6" s="1"/>
  <c r="P2251" i="6"/>
  <c r="Q2251" i="6" s="1"/>
  <c r="P2250" i="6"/>
  <c r="Q2250" i="6" s="1"/>
  <c r="P2249" i="6"/>
  <c r="Q2249" i="6" s="1"/>
  <c r="P2248" i="6"/>
  <c r="Q2248" i="6" s="1"/>
  <c r="P2247" i="6"/>
  <c r="Q2247" i="6" s="1"/>
  <c r="P2246" i="6"/>
  <c r="Q2246" i="6" s="1"/>
  <c r="P2245" i="6"/>
  <c r="Q2245" i="6" s="1"/>
  <c r="P2244" i="6"/>
  <c r="Q2244" i="6" s="1"/>
  <c r="P2243" i="6"/>
  <c r="Q2243" i="6" s="1"/>
  <c r="P2242" i="6"/>
  <c r="Q2242" i="6" s="1"/>
  <c r="P2241" i="6"/>
  <c r="Q2241" i="6" s="1"/>
  <c r="P2240" i="6"/>
  <c r="Q2240" i="6" s="1"/>
  <c r="P2239" i="6"/>
  <c r="Q2239" i="6" s="1"/>
  <c r="P2238" i="6"/>
  <c r="Q2238" i="6" s="1"/>
  <c r="P2237" i="6"/>
  <c r="Q2237" i="6" s="1"/>
  <c r="P2236" i="6"/>
  <c r="Q2236" i="6" s="1"/>
  <c r="P2235" i="6"/>
  <c r="Q2235" i="6" s="1"/>
  <c r="P2234" i="6"/>
  <c r="Q2234" i="6" s="1"/>
  <c r="P2233" i="6"/>
  <c r="Q2233" i="6" s="1"/>
  <c r="P2232" i="6"/>
  <c r="Q2232" i="6" s="1"/>
  <c r="P2231" i="6"/>
  <c r="Q2231" i="6" s="1"/>
  <c r="P2230" i="6"/>
  <c r="Q2230" i="6" s="1"/>
  <c r="P2229" i="6"/>
  <c r="Q2229" i="6" s="1"/>
  <c r="P2228" i="6"/>
  <c r="Q2228" i="6" s="1"/>
  <c r="P2227" i="6"/>
  <c r="Q2227" i="6" s="1"/>
  <c r="P2226" i="6"/>
  <c r="Q2226" i="6" s="1"/>
  <c r="P2225" i="6"/>
  <c r="Q2225" i="6" s="1"/>
  <c r="P2224" i="6"/>
  <c r="Q2224" i="6" s="1"/>
  <c r="P2223" i="6"/>
  <c r="Q2223" i="6" s="1"/>
  <c r="P2222" i="6"/>
  <c r="Q2222" i="6" s="1"/>
  <c r="P2221" i="6"/>
  <c r="Q2221" i="6" s="1"/>
  <c r="P2220" i="6"/>
  <c r="Q2220" i="6" s="1"/>
  <c r="P2219" i="6"/>
  <c r="Q2219" i="6" s="1"/>
  <c r="P2218" i="6"/>
  <c r="Q2218" i="6" s="1"/>
  <c r="P2217" i="6"/>
  <c r="Q2217" i="6" s="1"/>
  <c r="P2216" i="6"/>
  <c r="Q2216" i="6" s="1"/>
  <c r="P2215" i="6"/>
  <c r="Q2215" i="6" s="1"/>
  <c r="P2214" i="6"/>
  <c r="Q2214" i="6" s="1"/>
  <c r="P2213" i="6"/>
  <c r="Q2213" i="6" s="1"/>
  <c r="P2212" i="6"/>
  <c r="Q2212" i="6" s="1"/>
  <c r="P2211" i="6"/>
  <c r="Q2211" i="6" s="1"/>
  <c r="P2210" i="6"/>
  <c r="Q2210" i="6" s="1"/>
  <c r="P2209" i="6"/>
  <c r="Q2209" i="6" s="1"/>
  <c r="P2208" i="6"/>
  <c r="Q2208" i="6" s="1"/>
  <c r="P2207" i="6"/>
  <c r="Q2207" i="6" s="1"/>
  <c r="P2206" i="6"/>
  <c r="Q2206" i="6" s="1"/>
  <c r="P2205" i="6"/>
  <c r="Q2205" i="6" s="1"/>
  <c r="P2204" i="6"/>
  <c r="Q2204" i="6" s="1"/>
  <c r="P2203" i="6"/>
  <c r="Q2203" i="6" s="1"/>
  <c r="P2202" i="6"/>
  <c r="Q2202" i="6" s="1"/>
  <c r="P2201" i="6"/>
  <c r="Q2201" i="6" s="1"/>
  <c r="P2200" i="6"/>
  <c r="Q2200" i="6" s="1"/>
  <c r="P2199" i="6"/>
  <c r="Q2199" i="6" s="1"/>
  <c r="P2198" i="6"/>
  <c r="Q2198" i="6" s="1"/>
  <c r="P2197" i="6"/>
  <c r="Q2197" i="6" s="1"/>
  <c r="P2196" i="6"/>
  <c r="Q2196" i="6" s="1"/>
  <c r="P2195" i="6"/>
  <c r="Q2195" i="6" s="1"/>
  <c r="P2194" i="6"/>
  <c r="Q2194" i="6" s="1"/>
  <c r="P2193" i="6"/>
  <c r="Q2193" i="6" s="1"/>
  <c r="P2192" i="6"/>
  <c r="Q2192" i="6" s="1"/>
  <c r="P2191" i="6"/>
  <c r="Q2191" i="6" s="1"/>
  <c r="P2190" i="6"/>
  <c r="Q2190" i="6" s="1"/>
  <c r="P2189" i="6"/>
  <c r="Q2189" i="6" s="1"/>
  <c r="P2188" i="6"/>
  <c r="Q2188" i="6" s="1"/>
  <c r="P2187" i="6"/>
  <c r="Q2187" i="6" s="1"/>
  <c r="P2186" i="6"/>
  <c r="Q2186" i="6" s="1"/>
  <c r="P2185" i="6"/>
  <c r="Q2185" i="6" s="1"/>
  <c r="P2184" i="6"/>
  <c r="Q2184" i="6" s="1"/>
  <c r="P2183" i="6"/>
  <c r="Q2183" i="6" s="1"/>
  <c r="P2182" i="6"/>
  <c r="Q2182" i="6" s="1"/>
  <c r="P2181" i="6"/>
  <c r="Q2181" i="6" s="1"/>
  <c r="P2180" i="6"/>
  <c r="Q2180" i="6" s="1"/>
  <c r="P2179" i="6"/>
  <c r="Q2179" i="6" s="1"/>
  <c r="P2178" i="6"/>
  <c r="Q2178" i="6" s="1"/>
  <c r="P2177" i="6"/>
  <c r="Q2177" i="6" s="1"/>
  <c r="P2176" i="6"/>
  <c r="Q2176" i="6" s="1"/>
  <c r="P2175" i="6"/>
  <c r="Q2175" i="6" s="1"/>
  <c r="P2174" i="6"/>
  <c r="Q2174" i="6" s="1"/>
  <c r="P2173" i="6"/>
  <c r="Q2173" i="6" s="1"/>
  <c r="P2172" i="6"/>
  <c r="Q2172" i="6" s="1"/>
  <c r="P2171" i="6"/>
  <c r="Q2171" i="6" s="1"/>
  <c r="P2170" i="6"/>
  <c r="Q2170" i="6" s="1"/>
  <c r="P2169" i="6"/>
  <c r="Q2169" i="6" s="1"/>
  <c r="P2168" i="6"/>
  <c r="Q2168" i="6" s="1"/>
  <c r="P2167" i="6"/>
  <c r="Q2167" i="6" s="1"/>
  <c r="P2166" i="6"/>
  <c r="Q2166" i="6" s="1"/>
  <c r="P2165" i="6"/>
  <c r="Q2165" i="6" s="1"/>
  <c r="P2164" i="6"/>
  <c r="Q2164" i="6" s="1"/>
  <c r="P2163" i="6"/>
  <c r="Q2163" i="6" s="1"/>
  <c r="P2162" i="6"/>
  <c r="Q2162" i="6" s="1"/>
  <c r="P2161" i="6"/>
  <c r="Q2161" i="6" s="1"/>
  <c r="P2160" i="6"/>
  <c r="Q2160" i="6" s="1"/>
  <c r="P2159" i="6"/>
  <c r="Q2159" i="6" s="1"/>
  <c r="P2158" i="6"/>
  <c r="Q2158" i="6" s="1"/>
  <c r="P2157" i="6"/>
  <c r="Q2157" i="6" s="1"/>
  <c r="P2156" i="6"/>
  <c r="Q2156" i="6" s="1"/>
  <c r="P2155" i="6"/>
  <c r="Q2155" i="6" s="1"/>
  <c r="P2154" i="6"/>
  <c r="Q2154" i="6" s="1"/>
  <c r="P2153" i="6"/>
  <c r="Q2153" i="6" s="1"/>
  <c r="P2152" i="6"/>
  <c r="Q2152" i="6" s="1"/>
  <c r="P2151" i="6"/>
  <c r="Q2151" i="6" s="1"/>
  <c r="P2150" i="6"/>
  <c r="Q2150" i="6" s="1"/>
  <c r="P2149" i="6"/>
  <c r="Q2149" i="6" s="1"/>
  <c r="P2148" i="6"/>
  <c r="Q2148" i="6" s="1"/>
  <c r="P2147" i="6"/>
  <c r="Q2147" i="6" s="1"/>
  <c r="P2146" i="6"/>
  <c r="Q2146" i="6" s="1"/>
  <c r="P2145" i="6"/>
  <c r="Q2145" i="6" s="1"/>
  <c r="P2144" i="6"/>
  <c r="Q2144" i="6" s="1"/>
  <c r="P2143" i="6"/>
  <c r="Q2143" i="6" s="1"/>
  <c r="P2142" i="6"/>
  <c r="Q2142" i="6" s="1"/>
  <c r="P2141" i="6"/>
  <c r="Q2141" i="6" s="1"/>
  <c r="P2140" i="6"/>
  <c r="Q2140" i="6" s="1"/>
  <c r="P2139" i="6"/>
  <c r="Q2139" i="6" s="1"/>
  <c r="P2138" i="6"/>
  <c r="Q2138" i="6" s="1"/>
  <c r="P2137" i="6"/>
  <c r="Q2137" i="6" s="1"/>
  <c r="P2136" i="6"/>
  <c r="Q2136" i="6" s="1"/>
  <c r="P2135" i="6"/>
  <c r="Q2135" i="6" s="1"/>
  <c r="P2134" i="6"/>
  <c r="Q2134" i="6" s="1"/>
  <c r="P2133" i="6"/>
  <c r="Q2133" i="6" s="1"/>
  <c r="P2132" i="6"/>
  <c r="Q2132" i="6" s="1"/>
  <c r="P2131" i="6"/>
  <c r="Q2131" i="6" s="1"/>
  <c r="P2130" i="6"/>
  <c r="Q2130" i="6" s="1"/>
  <c r="P2129" i="6"/>
  <c r="Q2129" i="6" s="1"/>
  <c r="P2128" i="6"/>
  <c r="Q2128" i="6" s="1"/>
  <c r="P2127" i="6"/>
  <c r="Q2127" i="6" s="1"/>
  <c r="P2126" i="6"/>
  <c r="Q2126" i="6" s="1"/>
  <c r="P2125" i="6"/>
  <c r="Q2125" i="6" s="1"/>
  <c r="P2124" i="6"/>
  <c r="Q2124" i="6" s="1"/>
  <c r="P2123" i="6"/>
  <c r="Q2123" i="6" s="1"/>
  <c r="P2122" i="6"/>
  <c r="Q2122" i="6" s="1"/>
  <c r="P2121" i="6"/>
  <c r="Q2121" i="6" s="1"/>
  <c r="P2120" i="6"/>
  <c r="Q2120" i="6" s="1"/>
  <c r="P2119" i="6"/>
  <c r="Q2119" i="6" s="1"/>
  <c r="P2118" i="6"/>
  <c r="Q2118" i="6" s="1"/>
  <c r="P2117" i="6"/>
  <c r="Q2117" i="6" s="1"/>
  <c r="P2116" i="6"/>
  <c r="Q2116" i="6" s="1"/>
  <c r="P2115" i="6"/>
  <c r="Q2115" i="6" s="1"/>
  <c r="P2114" i="6"/>
  <c r="Q2114" i="6" s="1"/>
  <c r="P2113" i="6"/>
  <c r="Q2113" i="6" s="1"/>
  <c r="P2112" i="6"/>
  <c r="Q2112" i="6" s="1"/>
  <c r="P2111" i="6"/>
  <c r="Q2111" i="6" s="1"/>
  <c r="P2110" i="6"/>
  <c r="Q2110" i="6" s="1"/>
  <c r="P2109" i="6"/>
  <c r="Q2109" i="6" s="1"/>
  <c r="P2108" i="6"/>
  <c r="Q2108" i="6" s="1"/>
  <c r="P2107" i="6"/>
  <c r="Q2107" i="6" s="1"/>
  <c r="P2106" i="6"/>
  <c r="Q2106" i="6" s="1"/>
  <c r="P2105" i="6"/>
  <c r="Q2105" i="6" s="1"/>
  <c r="P2104" i="6"/>
  <c r="Q2104" i="6" s="1"/>
  <c r="P2103" i="6"/>
  <c r="Q2103" i="6" s="1"/>
  <c r="P2102" i="6"/>
  <c r="Q2102" i="6" s="1"/>
  <c r="P2101" i="6"/>
  <c r="Q2101" i="6" s="1"/>
  <c r="P2100" i="6"/>
  <c r="Q2100" i="6" s="1"/>
  <c r="P2099" i="6"/>
  <c r="Q2099" i="6" s="1"/>
  <c r="P2098" i="6"/>
  <c r="Q2098" i="6" s="1"/>
  <c r="P2097" i="6"/>
  <c r="Q2097" i="6" s="1"/>
  <c r="P2096" i="6"/>
  <c r="Q2096" i="6" s="1"/>
  <c r="P2095" i="6"/>
  <c r="Q2095" i="6" s="1"/>
  <c r="P2094" i="6"/>
  <c r="Q2094" i="6" s="1"/>
  <c r="P2093" i="6"/>
  <c r="Q2093" i="6" s="1"/>
  <c r="P2092" i="6"/>
  <c r="Q2092" i="6" s="1"/>
  <c r="P2091" i="6"/>
  <c r="Q2091" i="6" s="1"/>
  <c r="P2090" i="6"/>
  <c r="Q2090" i="6" s="1"/>
  <c r="P2089" i="6"/>
  <c r="Q2089" i="6" s="1"/>
  <c r="P2088" i="6"/>
  <c r="Q2088" i="6" s="1"/>
  <c r="P2087" i="6"/>
  <c r="Q2087" i="6" s="1"/>
  <c r="P2086" i="6"/>
  <c r="Q2086" i="6" s="1"/>
  <c r="P2085" i="6"/>
  <c r="Q2085" i="6" s="1"/>
  <c r="P2084" i="6"/>
  <c r="Q2084" i="6" s="1"/>
  <c r="P2083" i="6"/>
  <c r="Q2083" i="6" s="1"/>
  <c r="P2082" i="6"/>
  <c r="Q2082" i="6" s="1"/>
  <c r="P2081" i="6"/>
  <c r="Q2081" i="6" s="1"/>
  <c r="P2080" i="6"/>
  <c r="Q2080" i="6" s="1"/>
  <c r="P2079" i="6"/>
  <c r="Q2079" i="6" s="1"/>
  <c r="P2078" i="6"/>
  <c r="Q2078" i="6" s="1"/>
  <c r="P2077" i="6"/>
  <c r="Q2077" i="6" s="1"/>
  <c r="P2076" i="6"/>
  <c r="Q2076" i="6" s="1"/>
  <c r="P2075" i="6"/>
  <c r="Q2075" i="6" s="1"/>
  <c r="P2074" i="6"/>
  <c r="Q2074" i="6" s="1"/>
  <c r="P2073" i="6"/>
  <c r="Q2073" i="6" s="1"/>
  <c r="P2072" i="6"/>
  <c r="Q2072" i="6" s="1"/>
  <c r="P2071" i="6"/>
  <c r="Q2071" i="6" s="1"/>
  <c r="P2070" i="6"/>
  <c r="Q2070" i="6" s="1"/>
  <c r="P2069" i="6"/>
  <c r="Q2069" i="6" s="1"/>
  <c r="P2068" i="6"/>
  <c r="Q2068" i="6" s="1"/>
  <c r="P2067" i="6"/>
  <c r="Q2067" i="6" s="1"/>
  <c r="P2066" i="6"/>
  <c r="Q2066" i="6" s="1"/>
  <c r="P2065" i="6"/>
  <c r="Q2065" i="6" s="1"/>
  <c r="P2064" i="6"/>
  <c r="Q2064" i="6" s="1"/>
  <c r="P2063" i="6"/>
  <c r="Q2063" i="6" s="1"/>
  <c r="P2062" i="6"/>
  <c r="Q2062" i="6" s="1"/>
  <c r="P2061" i="6"/>
  <c r="Q2061" i="6" s="1"/>
  <c r="P2060" i="6"/>
  <c r="Q2060" i="6" s="1"/>
  <c r="P2059" i="6"/>
  <c r="Q2059" i="6" s="1"/>
  <c r="P2058" i="6"/>
  <c r="Q2058" i="6" s="1"/>
  <c r="P2057" i="6"/>
  <c r="Q2057" i="6" s="1"/>
  <c r="P2056" i="6"/>
  <c r="Q2056" i="6" s="1"/>
  <c r="P2055" i="6"/>
  <c r="Q2055" i="6" s="1"/>
  <c r="P2054" i="6"/>
  <c r="Q2054" i="6" s="1"/>
  <c r="P2053" i="6"/>
  <c r="Q2053" i="6" s="1"/>
  <c r="P2052" i="6"/>
  <c r="Q2052" i="6" s="1"/>
  <c r="P2051" i="6"/>
  <c r="Q2051" i="6" s="1"/>
  <c r="P2050" i="6"/>
  <c r="Q2050" i="6" s="1"/>
  <c r="P2049" i="6"/>
  <c r="Q2049" i="6" s="1"/>
  <c r="P2048" i="6"/>
  <c r="Q2048" i="6" s="1"/>
  <c r="P2047" i="6"/>
  <c r="Q2047" i="6" s="1"/>
  <c r="P2046" i="6"/>
  <c r="Q2046" i="6" s="1"/>
  <c r="P2045" i="6"/>
  <c r="Q2045" i="6" s="1"/>
  <c r="P2044" i="6"/>
  <c r="Q2044" i="6" s="1"/>
  <c r="P2043" i="6"/>
  <c r="Q2043" i="6" s="1"/>
  <c r="P2042" i="6"/>
  <c r="Q2042" i="6" s="1"/>
  <c r="P2041" i="6"/>
  <c r="Q2041" i="6" s="1"/>
  <c r="P2040" i="6"/>
  <c r="Q2040" i="6" s="1"/>
  <c r="P2039" i="6"/>
  <c r="Q2039" i="6" s="1"/>
  <c r="P2038" i="6"/>
  <c r="Q2038" i="6" s="1"/>
  <c r="P2037" i="6"/>
  <c r="Q2037" i="6" s="1"/>
  <c r="P2036" i="6"/>
  <c r="Q2036" i="6" s="1"/>
  <c r="P2035" i="6"/>
  <c r="Q2035" i="6" s="1"/>
  <c r="P2034" i="6"/>
  <c r="Q2034" i="6" s="1"/>
  <c r="P2033" i="6"/>
  <c r="Q2033" i="6" s="1"/>
  <c r="P2032" i="6"/>
  <c r="Q2032" i="6" s="1"/>
  <c r="P2031" i="6"/>
  <c r="Q2031" i="6" s="1"/>
  <c r="P2030" i="6"/>
  <c r="Q2030" i="6" s="1"/>
  <c r="P2029" i="6"/>
  <c r="Q2029" i="6" s="1"/>
  <c r="P2028" i="6"/>
  <c r="Q2028" i="6" s="1"/>
  <c r="P2027" i="6"/>
  <c r="Q2027" i="6" s="1"/>
  <c r="P2026" i="6"/>
  <c r="Q2026" i="6" s="1"/>
  <c r="P2025" i="6"/>
  <c r="Q2025" i="6" s="1"/>
  <c r="P2024" i="6"/>
  <c r="Q2024" i="6" s="1"/>
  <c r="P2023" i="6"/>
  <c r="Q2023" i="6" s="1"/>
  <c r="P2022" i="6"/>
  <c r="Q2022" i="6" s="1"/>
  <c r="P2021" i="6"/>
  <c r="Q2021" i="6" s="1"/>
  <c r="P2020" i="6"/>
  <c r="Q2020" i="6" s="1"/>
  <c r="P2019" i="6"/>
  <c r="Q2019" i="6" s="1"/>
  <c r="P2018" i="6"/>
  <c r="Q2018" i="6" s="1"/>
  <c r="P2017" i="6"/>
  <c r="Q2017" i="6" s="1"/>
  <c r="P2016" i="6"/>
  <c r="Q2016" i="6" s="1"/>
  <c r="P2015" i="6"/>
  <c r="Q2015" i="6" s="1"/>
  <c r="P2014" i="6"/>
  <c r="Q2014" i="6" s="1"/>
  <c r="P2013" i="6"/>
  <c r="Q2013" i="6" s="1"/>
  <c r="P2012" i="6"/>
  <c r="Q2012" i="6" s="1"/>
  <c r="P2011" i="6"/>
  <c r="Q2011" i="6" s="1"/>
  <c r="P2010" i="6"/>
  <c r="Q2010" i="6" s="1"/>
  <c r="P2009" i="6"/>
  <c r="Q2009" i="6" s="1"/>
  <c r="P2008" i="6"/>
  <c r="Q2008" i="6" s="1"/>
  <c r="P2007" i="6"/>
  <c r="Q2007" i="6" s="1"/>
  <c r="P2006" i="6"/>
  <c r="Q2006" i="6" s="1"/>
  <c r="P2005" i="6"/>
  <c r="Q2005" i="6" s="1"/>
  <c r="P2004" i="6"/>
  <c r="Q2004" i="6" s="1"/>
  <c r="P2003" i="6"/>
  <c r="Q2003" i="6" s="1"/>
  <c r="P2002" i="6"/>
  <c r="Q2002" i="6" s="1"/>
  <c r="P2001" i="6"/>
  <c r="Q2001" i="6" s="1"/>
  <c r="P2000" i="6"/>
  <c r="Q2000" i="6" s="1"/>
  <c r="P1999" i="6"/>
  <c r="Q1999" i="6" s="1"/>
  <c r="P1998" i="6"/>
  <c r="Q1998" i="6" s="1"/>
  <c r="P1997" i="6"/>
  <c r="Q1997" i="6" s="1"/>
  <c r="P1996" i="6"/>
  <c r="Q1996" i="6" s="1"/>
  <c r="P1995" i="6"/>
  <c r="Q1995" i="6" s="1"/>
  <c r="P1994" i="6"/>
  <c r="Q1994" i="6" s="1"/>
  <c r="P1993" i="6"/>
  <c r="Q1993" i="6" s="1"/>
  <c r="P1992" i="6"/>
  <c r="Q1992" i="6" s="1"/>
  <c r="P1991" i="6"/>
  <c r="Q1991" i="6" s="1"/>
  <c r="P1990" i="6"/>
  <c r="Q1990" i="6" s="1"/>
  <c r="P1989" i="6"/>
  <c r="Q1989" i="6" s="1"/>
  <c r="P1988" i="6"/>
  <c r="Q1988" i="6" s="1"/>
  <c r="P1987" i="6"/>
  <c r="Q1987" i="6" s="1"/>
  <c r="P1986" i="6"/>
  <c r="Q1986" i="6" s="1"/>
  <c r="P1985" i="6"/>
  <c r="Q1985" i="6" s="1"/>
  <c r="P1984" i="6"/>
  <c r="Q1984" i="6" s="1"/>
  <c r="P1983" i="6"/>
  <c r="Q1983" i="6" s="1"/>
  <c r="P1982" i="6"/>
  <c r="Q1982" i="6" s="1"/>
  <c r="P1981" i="6"/>
  <c r="Q1981" i="6" s="1"/>
  <c r="P1980" i="6"/>
  <c r="Q1980" i="6" s="1"/>
  <c r="P1979" i="6"/>
  <c r="Q1979" i="6" s="1"/>
  <c r="P1978" i="6"/>
  <c r="Q1978" i="6" s="1"/>
  <c r="P1977" i="6"/>
  <c r="Q1977" i="6" s="1"/>
  <c r="P1976" i="6"/>
  <c r="Q1976" i="6" s="1"/>
  <c r="P1975" i="6"/>
  <c r="Q1975" i="6" s="1"/>
  <c r="P1974" i="6"/>
  <c r="Q1974" i="6" s="1"/>
  <c r="P1973" i="6"/>
  <c r="Q1973" i="6" s="1"/>
  <c r="P1972" i="6"/>
  <c r="Q1972" i="6" s="1"/>
  <c r="P1971" i="6"/>
  <c r="Q1971" i="6" s="1"/>
  <c r="P1970" i="6"/>
  <c r="Q1970" i="6" s="1"/>
  <c r="P1969" i="6"/>
  <c r="Q1969" i="6" s="1"/>
  <c r="P1968" i="6"/>
  <c r="Q1968" i="6" s="1"/>
  <c r="P1967" i="6"/>
  <c r="Q1967" i="6" s="1"/>
  <c r="P1966" i="6"/>
  <c r="Q1966" i="6" s="1"/>
  <c r="P1965" i="6"/>
  <c r="Q1965" i="6" s="1"/>
  <c r="P1964" i="6"/>
  <c r="Q1964" i="6" s="1"/>
  <c r="P1963" i="6"/>
  <c r="Q1963" i="6" s="1"/>
  <c r="P1962" i="6"/>
  <c r="Q1962" i="6" s="1"/>
  <c r="P1961" i="6"/>
  <c r="Q1961" i="6" s="1"/>
  <c r="P1960" i="6"/>
  <c r="Q1960" i="6" s="1"/>
  <c r="P1959" i="6"/>
  <c r="Q1959" i="6" s="1"/>
  <c r="P1958" i="6"/>
  <c r="Q1958" i="6" s="1"/>
  <c r="P1957" i="6"/>
  <c r="Q1957" i="6" s="1"/>
  <c r="P1956" i="6"/>
  <c r="Q1956" i="6" s="1"/>
  <c r="P1955" i="6"/>
  <c r="Q1955" i="6" s="1"/>
  <c r="P1954" i="6"/>
  <c r="Q1954" i="6" s="1"/>
  <c r="P1953" i="6"/>
  <c r="Q1953" i="6" s="1"/>
  <c r="P1952" i="6"/>
  <c r="Q1952" i="6" s="1"/>
  <c r="P1951" i="6"/>
  <c r="Q1951" i="6" s="1"/>
  <c r="P1950" i="6"/>
  <c r="Q1950" i="6" s="1"/>
  <c r="P1949" i="6"/>
  <c r="Q1949" i="6" s="1"/>
  <c r="P1948" i="6"/>
  <c r="Q1948" i="6" s="1"/>
  <c r="P1947" i="6"/>
  <c r="Q1947" i="6" s="1"/>
  <c r="P1946" i="6"/>
  <c r="Q1946" i="6" s="1"/>
  <c r="P1945" i="6"/>
  <c r="Q1945" i="6" s="1"/>
  <c r="P1944" i="6"/>
  <c r="Q1944" i="6" s="1"/>
  <c r="P1943" i="6"/>
  <c r="Q1943" i="6" s="1"/>
  <c r="P1942" i="6"/>
  <c r="Q1942" i="6" s="1"/>
  <c r="P1941" i="6"/>
  <c r="Q1941" i="6" s="1"/>
  <c r="P1940" i="6"/>
  <c r="Q1940" i="6" s="1"/>
  <c r="P1939" i="6"/>
  <c r="Q1939" i="6" s="1"/>
  <c r="P1938" i="6"/>
  <c r="Q1938" i="6" s="1"/>
  <c r="P1937" i="6"/>
  <c r="Q1937" i="6" s="1"/>
  <c r="P1936" i="6"/>
  <c r="Q1936" i="6" s="1"/>
  <c r="P1935" i="6"/>
  <c r="Q1935" i="6" s="1"/>
  <c r="P1934" i="6"/>
  <c r="Q1934" i="6" s="1"/>
  <c r="P1933" i="6"/>
  <c r="Q1933" i="6" s="1"/>
  <c r="P1932" i="6"/>
  <c r="Q1932" i="6" s="1"/>
  <c r="P1931" i="6"/>
  <c r="Q1931" i="6" s="1"/>
  <c r="P1930" i="6"/>
  <c r="Q1930" i="6" s="1"/>
  <c r="P1929" i="6"/>
  <c r="Q1929" i="6" s="1"/>
  <c r="P1928" i="6"/>
  <c r="Q1928" i="6" s="1"/>
  <c r="P1927" i="6"/>
  <c r="Q1927" i="6" s="1"/>
  <c r="P1926" i="6"/>
  <c r="Q1926" i="6" s="1"/>
  <c r="P1925" i="6"/>
  <c r="Q1925" i="6" s="1"/>
  <c r="P1924" i="6"/>
  <c r="Q1924" i="6" s="1"/>
  <c r="P1923" i="6"/>
  <c r="Q1923" i="6" s="1"/>
  <c r="P1922" i="6"/>
  <c r="Q1922" i="6" s="1"/>
  <c r="P1921" i="6"/>
  <c r="Q1921" i="6" s="1"/>
  <c r="P1920" i="6"/>
  <c r="Q1920" i="6" s="1"/>
  <c r="P1919" i="6"/>
  <c r="Q1919" i="6" s="1"/>
  <c r="P1918" i="6"/>
  <c r="Q1918" i="6" s="1"/>
  <c r="P1917" i="6"/>
  <c r="Q1917" i="6" s="1"/>
  <c r="P1916" i="6"/>
  <c r="Q1916" i="6" s="1"/>
  <c r="P1915" i="6"/>
  <c r="Q1915" i="6" s="1"/>
  <c r="P1914" i="6"/>
  <c r="Q1914" i="6" s="1"/>
  <c r="P1913" i="6"/>
  <c r="Q1913" i="6" s="1"/>
  <c r="P1912" i="6"/>
  <c r="Q1912" i="6" s="1"/>
  <c r="P1911" i="6"/>
  <c r="Q1911" i="6" s="1"/>
  <c r="P1910" i="6"/>
  <c r="Q1910" i="6" s="1"/>
  <c r="P1909" i="6"/>
  <c r="Q1909" i="6" s="1"/>
  <c r="P1908" i="6"/>
  <c r="Q1908" i="6" s="1"/>
  <c r="P1907" i="6"/>
  <c r="Q1907" i="6" s="1"/>
  <c r="P1906" i="6"/>
  <c r="Q1906" i="6" s="1"/>
  <c r="P1905" i="6"/>
  <c r="Q1905" i="6" s="1"/>
  <c r="P1904" i="6"/>
  <c r="Q1904" i="6" s="1"/>
  <c r="P1903" i="6"/>
  <c r="Q1903" i="6" s="1"/>
  <c r="P1902" i="6"/>
  <c r="Q1902" i="6" s="1"/>
  <c r="P1901" i="6"/>
  <c r="Q1901" i="6" s="1"/>
  <c r="P1900" i="6"/>
  <c r="Q1900" i="6" s="1"/>
  <c r="P1899" i="6"/>
  <c r="Q1899" i="6" s="1"/>
  <c r="P1898" i="6"/>
  <c r="Q1898" i="6" s="1"/>
  <c r="P1897" i="6"/>
  <c r="Q1897" i="6" s="1"/>
  <c r="P1896" i="6"/>
  <c r="Q1896" i="6" s="1"/>
  <c r="P1895" i="6"/>
  <c r="Q1895" i="6" s="1"/>
  <c r="P1894" i="6"/>
  <c r="Q1894" i="6" s="1"/>
  <c r="P1893" i="6"/>
  <c r="Q1893" i="6" s="1"/>
  <c r="P1892" i="6"/>
  <c r="Q1892" i="6" s="1"/>
  <c r="P1891" i="6"/>
  <c r="Q1891" i="6" s="1"/>
  <c r="P1890" i="6"/>
  <c r="Q1890" i="6" s="1"/>
  <c r="P1889" i="6"/>
  <c r="Q1889" i="6" s="1"/>
  <c r="P1888" i="6"/>
  <c r="Q1888" i="6" s="1"/>
  <c r="P1887" i="6"/>
  <c r="Q1887" i="6" s="1"/>
  <c r="P1886" i="6"/>
  <c r="Q1886" i="6" s="1"/>
  <c r="P1885" i="6"/>
  <c r="Q1885" i="6" s="1"/>
  <c r="P1884" i="6"/>
  <c r="Q1884" i="6" s="1"/>
  <c r="P1883" i="6"/>
  <c r="Q1883" i="6" s="1"/>
  <c r="P1882" i="6"/>
  <c r="Q1882" i="6" s="1"/>
  <c r="P1881" i="6"/>
  <c r="Q1881" i="6" s="1"/>
  <c r="P1880" i="6"/>
  <c r="Q1880" i="6" s="1"/>
  <c r="P1879" i="6"/>
  <c r="Q1879" i="6" s="1"/>
  <c r="P1878" i="6"/>
  <c r="Q1878" i="6" s="1"/>
  <c r="P1877" i="6"/>
  <c r="Q1877" i="6" s="1"/>
  <c r="P1876" i="6"/>
  <c r="Q1876" i="6" s="1"/>
  <c r="P1875" i="6"/>
  <c r="Q1875" i="6" s="1"/>
  <c r="P1874" i="6"/>
  <c r="Q1874" i="6" s="1"/>
  <c r="P1873" i="6"/>
  <c r="Q1873" i="6" s="1"/>
  <c r="P1872" i="6"/>
  <c r="Q1872" i="6" s="1"/>
  <c r="P1871" i="6"/>
  <c r="Q1871" i="6" s="1"/>
  <c r="P1870" i="6"/>
  <c r="Q1870" i="6" s="1"/>
  <c r="P1869" i="6"/>
  <c r="Q1869" i="6" s="1"/>
  <c r="P1868" i="6"/>
  <c r="Q1868" i="6" s="1"/>
  <c r="P1867" i="6"/>
  <c r="Q1867" i="6" s="1"/>
  <c r="P1866" i="6"/>
  <c r="Q1866" i="6" s="1"/>
  <c r="P1865" i="6"/>
  <c r="Q1865" i="6" s="1"/>
  <c r="P1864" i="6"/>
  <c r="Q1864" i="6" s="1"/>
  <c r="P1863" i="6"/>
  <c r="Q1863" i="6" s="1"/>
  <c r="P1862" i="6"/>
  <c r="Q1862" i="6" s="1"/>
  <c r="P1861" i="6"/>
  <c r="Q1861" i="6" s="1"/>
  <c r="P1860" i="6"/>
  <c r="Q1860" i="6" s="1"/>
  <c r="P1859" i="6"/>
  <c r="Q1859" i="6" s="1"/>
  <c r="P1858" i="6"/>
  <c r="Q1858" i="6" s="1"/>
  <c r="P1857" i="6"/>
  <c r="Q1857" i="6" s="1"/>
  <c r="P1856" i="6"/>
  <c r="Q1856" i="6" s="1"/>
  <c r="P1855" i="6"/>
  <c r="Q1855" i="6" s="1"/>
  <c r="P1854" i="6"/>
  <c r="Q1854" i="6" s="1"/>
  <c r="P1853" i="6"/>
  <c r="Q1853" i="6" s="1"/>
  <c r="P1852" i="6"/>
  <c r="Q1852" i="6" s="1"/>
  <c r="P1851" i="6"/>
  <c r="Q1851" i="6" s="1"/>
  <c r="P1850" i="6"/>
  <c r="Q1850" i="6" s="1"/>
  <c r="P1849" i="6"/>
  <c r="Q1849" i="6" s="1"/>
  <c r="P1848" i="6"/>
  <c r="Q1848" i="6" s="1"/>
  <c r="P1847" i="6"/>
  <c r="Q1847" i="6" s="1"/>
  <c r="P1846" i="6"/>
  <c r="Q1846" i="6" s="1"/>
  <c r="P1845" i="6"/>
  <c r="Q1845" i="6" s="1"/>
  <c r="P1844" i="6"/>
  <c r="Q1844" i="6" s="1"/>
  <c r="P1843" i="6"/>
  <c r="Q1843" i="6" s="1"/>
  <c r="P1842" i="6"/>
  <c r="Q1842" i="6" s="1"/>
  <c r="P1841" i="6"/>
  <c r="Q1841" i="6" s="1"/>
  <c r="P1840" i="6"/>
  <c r="Q1840" i="6" s="1"/>
  <c r="P1839" i="6"/>
  <c r="Q1839" i="6" s="1"/>
  <c r="P1838" i="6"/>
  <c r="Q1838" i="6" s="1"/>
  <c r="P1837" i="6"/>
  <c r="Q1837" i="6" s="1"/>
  <c r="P1836" i="6"/>
  <c r="Q1836" i="6" s="1"/>
  <c r="P1835" i="6"/>
  <c r="Q1835" i="6" s="1"/>
  <c r="P1834" i="6"/>
  <c r="Q1834" i="6" s="1"/>
  <c r="P1833" i="6"/>
  <c r="Q1833" i="6" s="1"/>
  <c r="P1832" i="6"/>
  <c r="Q1832" i="6" s="1"/>
  <c r="P1831" i="6"/>
  <c r="Q1831" i="6" s="1"/>
  <c r="P1830" i="6"/>
  <c r="Q1830" i="6" s="1"/>
  <c r="P1829" i="6"/>
  <c r="Q1829" i="6" s="1"/>
  <c r="P1828" i="6"/>
  <c r="Q1828" i="6" s="1"/>
  <c r="P1827" i="6"/>
  <c r="Q1827" i="6" s="1"/>
  <c r="P1826" i="6"/>
  <c r="Q1826" i="6" s="1"/>
  <c r="P1825" i="6"/>
  <c r="Q1825" i="6" s="1"/>
  <c r="P1824" i="6"/>
  <c r="Q1824" i="6" s="1"/>
  <c r="P1823" i="6"/>
  <c r="Q1823" i="6" s="1"/>
  <c r="P1822" i="6"/>
  <c r="Q1822" i="6" s="1"/>
  <c r="P1821" i="6"/>
  <c r="Q1821" i="6" s="1"/>
  <c r="P1820" i="6"/>
  <c r="Q1820" i="6" s="1"/>
  <c r="P1819" i="6"/>
  <c r="Q1819" i="6" s="1"/>
  <c r="P1818" i="6"/>
  <c r="Q1818" i="6" s="1"/>
  <c r="P1817" i="6"/>
  <c r="Q1817" i="6" s="1"/>
  <c r="P1816" i="6"/>
  <c r="Q1816" i="6" s="1"/>
  <c r="P1815" i="6"/>
  <c r="Q1815" i="6" s="1"/>
  <c r="P1814" i="6"/>
  <c r="Q1814" i="6" s="1"/>
  <c r="P1813" i="6"/>
  <c r="Q1813" i="6" s="1"/>
  <c r="P1812" i="6"/>
  <c r="Q1812" i="6" s="1"/>
  <c r="P1811" i="6"/>
  <c r="Q1811" i="6" s="1"/>
  <c r="P1810" i="6"/>
  <c r="Q1810" i="6" s="1"/>
  <c r="P1809" i="6"/>
  <c r="Q1809" i="6" s="1"/>
  <c r="P1808" i="6"/>
  <c r="Q1808" i="6" s="1"/>
  <c r="P1807" i="6"/>
  <c r="Q1807" i="6" s="1"/>
  <c r="P1806" i="6"/>
  <c r="Q1806" i="6" s="1"/>
  <c r="P1805" i="6"/>
  <c r="Q1805" i="6" s="1"/>
  <c r="P1804" i="6"/>
  <c r="Q1804" i="6" s="1"/>
  <c r="P1803" i="6"/>
  <c r="Q1803" i="6" s="1"/>
  <c r="P1802" i="6"/>
  <c r="Q1802" i="6" s="1"/>
  <c r="P1801" i="6"/>
  <c r="Q1801" i="6" s="1"/>
  <c r="P1800" i="6"/>
  <c r="Q1800" i="6" s="1"/>
  <c r="P1799" i="6"/>
  <c r="Q1799" i="6" s="1"/>
  <c r="P1798" i="6"/>
  <c r="Q1798" i="6" s="1"/>
  <c r="P1797" i="6"/>
  <c r="Q1797" i="6" s="1"/>
  <c r="P1796" i="6"/>
  <c r="Q1796" i="6" s="1"/>
  <c r="P1795" i="6"/>
  <c r="Q1795" i="6" s="1"/>
  <c r="P1794" i="6"/>
  <c r="Q1794" i="6" s="1"/>
  <c r="P1793" i="6"/>
  <c r="Q1793" i="6" s="1"/>
  <c r="P1792" i="6"/>
  <c r="Q1792" i="6" s="1"/>
  <c r="P1791" i="6"/>
  <c r="Q1791" i="6" s="1"/>
  <c r="P1790" i="6"/>
  <c r="Q1790" i="6" s="1"/>
  <c r="P1789" i="6"/>
  <c r="Q1789" i="6" s="1"/>
  <c r="P1788" i="6"/>
  <c r="Q1788" i="6" s="1"/>
  <c r="P1787" i="6"/>
  <c r="Q1787" i="6" s="1"/>
  <c r="P1786" i="6"/>
  <c r="Q1786" i="6" s="1"/>
  <c r="P1785" i="6"/>
  <c r="Q1785" i="6" s="1"/>
  <c r="P1784" i="6"/>
  <c r="Q1784" i="6" s="1"/>
  <c r="P1783" i="6"/>
  <c r="Q1783" i="6" s="1"/>
  <c r="P1782" i="6"/>
  <c r="Q1782" i="6" s="1"/>
  <c r="P1781" i="6"/>
  <c r="Q1781" i="6" s="1"/>
  <c r="P1780" i="6"/>
  <c r="Q1780" i="6" s="1"/>
  <c r="P1779" i="6"/>
  <c r="Q1779" i="6" s="1"/>
  <c r="P1778" i="6"/>
  <c r="Q1778" i="6" s="1"/>
  <c r="P1777" i="6"/>
  <c r="Q1777" i="6" s="1"/>
  <c r="P1776" i="6"/>
  <c r="Q1776" i="6" s="1"/>
  <c r="P1775" i="6"/>
  <c r="Q1775" i="6" s="1"/>
  <c r="P1774" i="6"/>
  <c r="Q1774" i="6" s="1"/>
  <c r="P1773" i="6"/>
  <c r="Q1773" i="6" s="1"/>
  <c r="P1772" i="6"/>
  <c r="Q1772" i="6" s="1"/>
  <c r="P1771" i="6"/>
  <c r="Q1771" i="6" s="1"/>
  <c r="P1770" i="6"/>
  <c r="Q1770" i="6" s="1"/>
  <c r="P1769" i="6"/>
  <c r="Q1769" i="6" s="1"/>
  <c r="P1768" i="6"/>
  <c r="Q1768" i="6" s="1"/>
  <c r="P1767" i="6"/>
  <c r="Q1767" i="6" s="1"/>
  <c r="P1766" i="6"/>
  <c r="Q1766" i="6" s="1"/>
  <c r="P1765" i="6"/>
  <c r="Q1765" i="6" s="1"/>
  <c r="P1764" i="6"/>
  <c r="Q1764" i="6" s="1"/>
  <c r="P1763" i="6"/>
  <c r="Q1763" i="6" s="1"/>
  <c r="P1762" i="6"/>
  <c r="Q1762" i="6" s="1"/>
  <c r="P1761" i="6"/>
  <c r="Q1761" i="6" s="1"/>
  <c r="P1760" i="6"/>
  <c r="Q1760" i="6" s="1"/>
  <c r="P1759" i="6"/>
  <c r="Q1759" i="6" s="1"/>
  <c r="P1758" i="6"/>
  <c r="Q1758" i="6" s="1"/>
  <c r="P1757" i="6"/>
  <c r="Q1757" i="6" s="1"/>
  <c r="P1756" i="6"/>
  <c r="Q1756" i="6" s="1"/>
  <c r="P1755" i="6"/>
  <c r="Q1755" i="6" s="1"/>
  <c r="P1754" i="6"/>
  <c r="Q1754" i="6" s="1"/>
  <c r="P1753" i="6"/>
  <c r="Q1753" i="6" s="1"/>
  <c r="P1752" i="6"/>
  <c r="Q1752" i="6" s="1"/>
  <c r="P1751" i="6"/>
  <c r="Q1751" i="6" s="1"/>
  <c r="P1750" i="6"/>
  <c r="Q1750" i="6" s="1"/>
  <c r="P1749" i="6"/>
  <c r="Q1749" i="6" s="1"/>
  <c r="P1748" i="6"/>
  <c r="Q1748" i="6" s="1"/>
  <c r="P1747" i="6"/>
  <c r="Q1747" i="6" s="1"/>
  <c r="P1746" i="6"/>
  <c r="Q1746" i="6" s="1"/>
  <c r="P1745" i="6"/>
  <c r="Q1745" i="6" s="1"/>
  <c r="P1744" i="6"/>
  <c r="Q1744" i="6" s="1"/>
  <c r="P1743" i="6"/>
  <c r="Q1743" i="6" s="1"/>
  <c r="P1742" i="6"/>
  <c r="Q1742" i="6" s="1"/>
  <c r="P1741" i="6"/>
  <c r="Q1741" i="6" s="1"/>
  <c r="P1740" i="6"/>
  <c r="Q1740" i="6" s="1"/>
  <c r="P1739" i="6"/>
  <c r="Q1739" i="6" s="1"/>
  <c r="P1738" i="6"/>
  <c r="Q1738" i="6" s="1"/>
  <c r="P1737" i="6"/>
  <c r="Q1737" i="6" s="1"/>
  <c r="P1736" i="6"/>
  <c r="Q1736" i="6" s="1"/>
  <c r="P1735" i="6"/>
  <c r="Q1735" i="6" s="1"/>
  <c r="P1734" i="6"/>
  <c r="Q1734" i="6" s="1"/>
  <c r="P1733" i="6"/>
  <c r="Q1733" i="6" s="1"/>
  <c r="P1732" i="6"/>
  <c r="Q1732" i="6" s="1"/>
  <c r="P1731" i="6"/>
  <c r="Q1731" i="6" s="1"/>
  <c r="P1730" i="6"/>
  <c r="Q1730" i="6" s="1"/>
  <c r="P1729" i="6"/>
  <c r="Q1729" i="6" s="1"/>
  <c r="P1728" i="6"/>
  <c r="Q1728" i="6" s="1"/>
  <c r="P1727" i="6"/>
  <c r="Q1727" i="6" s="1"/>
  <c r="P1726" i="6"/>
  <c r="Q1726" i="6" s="1"/>
  <c r="P1725" i="6"/>
  <c r="Q1725" i="6" s="1"/>
  <c r="P1724" i="6"/>
  <c r="Q1724" i="6" s="1"/>
  <c r="P1723" i="6"/>
  <c r="Q1723" i="6" s="1"/>
  <c r="P1722" i="6"/>
  <c r="Q1722" i="6" s="1"/>
  <c r="P1721" i="6"/>
  <c r="Q1721" i="6" s="1"/>
  <c r="P1720" i="6"/>
  <c r="Q1720" i="6" s="1"/>
  <c r="P1719" i="6"/>
  <c r="Q1719" i="6" s="1"/>
  <c r="P1718" i="6"/>
  <c r="Q1718" i="6" s="1"/>
  <c r="P1717" i="6"/>
  <c r="Q1717" i="6" s="1"/>
  <c r="P1716" i="6"/>
  <c r="Q1716" i="6" s="1"/>
  <c r="P1715" i="6"/>
  <c r="Q1715" i="6" s="1"/>
  <c r="P1714" i="6"/>
  <c r="Q1714" i="6" s="1"/>
  <c r="P1713" i="6"/>
  <c r="Q1713" i="6" s="1"/>
  <c r="P1712" i="6"/>
  <c r="Q1712" i="6" s="1"/>
  <c r="P1711" i="6"/>
  <c r="Q1711" i="6" s="1"/>
  <c r="P1710" i="6"/>
  <c r="Q1710" i="6" s="1"/>
  <c r="P1709" i="6"/>
  <c r="Q1709" i="6" s="1"/>
  <c r="P1708" i="6"/>
  <c r="Q1708" i="6" s="1"/>
  <c r="P1707" i="6"/>
  <c r="Q1707" i="6" s="1"/>
  <c r="P1706" i="6"/>
  <c r="Q1706" i="6" s="1"/>
  <c r="P1705" i="6"/>
  <c r="Q1705" i="6" s="1"/>
  <c r="P1704" i="6"/>
  <c r="Q1704" i="6" s="1"/>
  <c r="P1703" i="6"/>
  <c r="Q1703" i="6" s="1"/>
  <c r="P1702" i="6"/>
  <c r="Q1702" i="6" s="1"/>
  <c r="P1701" i="6"/>
  <c r="Q1701" i="6" s="1"/>
  <c r="P1700" i="6"/>
  <c r="Q1700" i="6" s="1"/>
  <c r="P1699" i="6"/>
  <c r="Q1699" i="6" s="1"/>
  <c r="P1698" i="6"/>
  <c r="Q1698" i="6" s="1"/>
  <c r="P1697" i="6"/>
  <c r="Q1697" i="6" s="1"/>
  <c r="P1696" i="6"/>
  <c r="Q1696" i="6" s="1"/>
  <c r="P1695" i="6"/>
  <c r="Q1695" i="6" s="1"/>
  <c r="P1694" i="6"/>
  <c r="Q1694" i="6" s="1"/>
  <c r="P1693" i="6"/>
  <c r="Q1693" i="6" s="1"/>
  <c r="P1692" i="6"/>
  <c r="Q1692" i="6" s="1"/>
  <c r="P1691" i="6"/>
  <c r="Q1691" i="6" s="1"/>
  <c r="P1690" i="6"/>
  <c r="Q1690" i="6" s="1"/>
  <c r="P1689" i="6"/>
  <c r="Q1689" i="6" s="1"/>
  <c r="P1688" i="6"/>
  <c r="Q1688" i="6" s="1"/>
  <c r="P1687" i="6"/>
  <c r="Q1687" i="6" s="1"/>
  <c r="P1686" i="6"/>
  <c r="Q1686" i="6" s="1"/>
  <c r="P1685" i="6"/>
  <c r="Q1685" i="6" s="1"/>
  <c r="P1684" i="6"/>
  <c r="Q1684" i="6" s="1"/>
  <c r="P1683" i="6"/>
  <c r="Q1683" i="6" s="1"/>
  <c r="P1682" i="6"/>
  <c r="Q1682" i="6" s="1"/>
  <c r="P1681" i="6"/>
  <c r="Q1681" i="6" s="1"/>
  <c r="P1680" i="6"/>
  <c r="Q1680" i="6" s="1"/>
  <c r="P1679" i="6"/>
  <c r="Q1679" i="6" s="1"/>
  <c r="P1678" i="6"/>
  <c r="Q1678" i="6" s="1"/>
  <c r="P1677" i="6"/>
  <c r="Q1677" i="6" s="1"/>
  <c r="P1676" i="6"/>
  <c r="Q1676" i="6" s="1"/>
  <c r="P1675" i="6"/>
  <c r="Q1675" i="6" s="1"/>
  <c r="P1674" i="6"/>
  <c r="Q1674" i="6" s="1"/>
  <c r="P1673" i="6"/>
  <c r="Q1673" i="6" s="1"/>
  <c r="P1672" i="6"/>
  <c r="Q1672" i="6" s="1"/>
  <c r="P1671" i="6"/>
  <c r="Q1671" i="6" s="1"/>
  <c r="P1670" i="6"/>
  <c r="Q1670" i="6" s="1"/>
  <c r="P1669" i="6"/>
  <c r="Q1669" i="6" s="1"/>
  <c r="P1668" i="6"/>
  <c r="Q1668" i="6" s="1"/>
  <c r="P1667" i="6"/>
  <c r="Q1667" i="6" s="1"/>
  <c r="P1666" i="6"/>
  <c r="Q1666" i="6" s="1"/>
  <c r="P1665" i="6"/>
  <c r="Q1665" i="6" s="1"/>
  <c r="P1664" i="6"/>
  <c r="Q1664" i="6" s="1"/>
  <c r="P1663" i="6"/>
  <c r="Q1663" i="6" s="1"/>
  <c r="P1662" i="6"/>
  <c r="Q1662" i="6" s="1"/>
  <c r="P1661" i="6"/>
  <c r="Q1661" i="6" s="1"/>
  <c r="P1660" i="6"/>
  <c r="Q1660" i="6" s="1"/>
  <c r="P1659" i="6"/>
  <c r="Q1659" i="6" s="1"/>
  <c r="P1658" i="6"/>
  <c r="Q1658" i="6" s="1"/>
  <c r="P1657" i="6"/>
  <c r="Q1657" i="6" s="1"/>
  <c r="P1656" i="6"/>
  <c r="Q1656" i="6" s="1"/>
  <c r="P1655" i="6"/>
  <c r="Q1655" i="6" s="1"/>
  <c r="P1654" i="6"/>
  <c r="Q1654" i="6" s="1"/>
  <c r="P1653" i="6"/>
  <c r="Q1653" i="6" s="1"/>
  <c r="P1652" i="6"/>
  <c r="Q1652" i="6" s="1"/>
  <c r="P1651" i="6"/>
  <c r="Q1651" i="6" s="1"/>
  <c r="P1650" i="6"/>
  <c r="Q1650" i="6" s="1"/>
  <c r="P1649" i="6"/>
  <c r="Q1649" i="6" s="1"/>
  <c r="P1648" i="6"/>
  <c r="Q1648" i="6" s="1"/>
  <c r="P1647" i="6"/>
  <c r="Q1647" i="6" s="1"/>
  <c r="P1646" i="6"/>
  <c r="Q1646" i="6" s="1"/>
  <c r="P1645" i="6"/>
  <c r="Q1645" i="6" s="1"/>
  <c r="P1644" i="6"/>
  <c r="Q1644" i="6" s="1"/>
  <c r="P1643" i="6"/>
  <c r="Q1643" i="6" s="1"/>
  <c r="P1642" i="6"/>
  <c r="Q1642" i="6" s="1"/>
  <c r="P1641" i="6"/>
  <c r="Q1641" i="6" s="1"/>
  <c r="P1640" i="6"/>
  <c r="Q1640" i="6" s="1"/>
  <c r="P1639" i="6"/>
  <c r="Q1639" i="6" s="1"/>
  <c r="P1638" i="6"/>
  <c r="Q1638" i="6" s="1"/>
  <c r="P1637" i="6"/>
  <c r="Q1637" i="6" s="1"/>
  <c r="P1636" i="6"/>
  <c r="Q1636" i="6" s="1"/>
  <c r="P1635" i="6"/>
  <c r="Q1635" i="6" s="1"/>
  <c r="P1634" i="6"/>
  <c r="Q1634" i="6" s="1"/>
  <c r="P1633" i="6"/>
  <c r="Q1633" i="6" s="1"/>
  <c r="P1632" i="6"/>
  <c r="Q1632" i="6" s="1"/>
  <c r="P1631" i="6"/>
  <c r="Q1631" i="6" s="1"/>
  <c r="P1630" i="6"/>
  <c r="Q1630" i="6" s="1"/>
  <c r="P1629" i="6"/>
  <c r="Q1629" i="6" s="1"/>
  <c r="P1628" i="6"/>
  <c r="Q1628" i="6" s="1"/>
  <c r="P1627" i="6"/>
  <c r="Q1627" i="6" s="1"/>
  <c r="P1626" i="6"/>
  <c r="Q1626" i="6" s="1"/>
  <c r="P1625" i="6"/>
  <c r="Q1625" i="6" s="1"/>
  <c r="P1624" i="6"/>
  <c r="Q1624" i="6" s="1"/>
  <c r="P1623" i="6"/>
  <c r="Q1623" i="6" s="1"/>
  <c r="P1622" i="6"/>
  <c r="Q1622" i="6" s="1"/>
  <c r="P1621" i="6"/>
  <c r="Q1621" i="6" s="1"/>
  <c r="P1620" i="6"/>
  <c r="Q1620" i="6" s="1"/>
  <c r="P1619" i="6"/>
  <c r="Q1619" i="6" s="1"/>
  <c r="P1618" i="6"/>
  <c r="Q1618" i="6" s="1"/>
  <c r="P1617" i="6"/>
  <c r="Q1617" i="6" s="1"/>
  <c r="P1616" i="6"/>
  <c r="Q1616" i="6" s="1"/>
  <c r="P1615" i="6"/>
  <c r="Q1615" i="6" s="1"/>
  <c r="P1614" i="6"/>
  <c r="Q1614" i="6" s="1"/>
  <c r="P1613" i="6"/>
  <c r="Q1613" i="6" s="1"/>
  <c r="P1612" i="6"/>
  <c r="Q1612" i="6" s="1"/>
  <c r="P1611" i="6"/>
  <c r="Q1611" i="6" s="1"/>
  <c r="P1610" i="6"/>
  <c r="Q1610" i="6" s="1"/>
  <c r="P1609" i="6"/>
  <c r="Q1609" i="6" s="1"/>
  <c r="P1608" i="6"/>
  <c r="Q1608" i="6" s="1"/>
  <c r="P1607" i="6"/>
  <c r="Q1607" i="6" s="1"/>
  <c r="P1606" i="6"/>
  <c r="Q1606" i="6" s="1"/>
  <c r="P1605" i="6"/>
  <c r="Q1605" i="6" s="1"/>
  <c r="P1604" i="6"/>
  <c r="Q1604" i="6" s="1"/>
  <c r="P1603" i="6"/>
  <c r="Q1603" i="6" s="1"/>
  <c r="P1602" i="6"/>
  <c r="Q1602" i="6" s="1"/>
  <c r="P1601" i="6"/>
  <c r="Q1601" i="6" s="1"/>
  <c r="P1600" i="6"/>
  <c r="Q1600" i="6" s="1"/>
  <c r="P1599" i="6"/>
  <c r="Q1599" i="6" s="1"/>
  <c r="P1598" i="6"/>
  <c r="Q1598" i="6" s="1"/>
  <c r="P1597" i="6"/>
  <c r="Q1597" i="6" s="1"/>
  <c r="P1596" i="6"/>
  <c r="Q1596" i="6" s="1"/>
  <c r="P1595" i="6"/>
  <c r="Q1595" i="6" s="1"/>
  <c r="P1594" i="6"/>
  <c r="Q1594" i="6" s="1"/>
  <c r="P1593" i="6"/>
  <c r="Q1593" i="6" s="1"/>
  <c r="P1592" i="6"/>
  <c r="Q1592" i="6" s="1"/>
  <c r="P1591" i="6"/>
  <c r="Q1591" i="6" s="1"/>
  <c r="P1590" i="6"/>
  <c r="Q1590" i="6" s="1"/>
  <c r="P1589" i="6"/>
  <c r="Q1589" i="6" s="1"/>
  <c r="P1588" i="6"/>
  <c r="Q1588" i="6" s="1"/>
  <c r="P1587" i="6"/>
  <c r="Q1587" i="6" s="1"/>
  <c r="P1586" i="6"/>
  <c r="Q1586" i="6" s="1"/>
  <c r="P1585" i="6"/>
  <c r="Q1585" i="6" s="1"/>
  <c r="P1584" i="6"/>
  <c r="Q1584" i="6" s="1"/>
  <c r="P1583" i="6"/>
  <c r="Q1583" i="6" s="1"/>
  <c r="P1582" i="6"/>
  <c r="Q1582" i="6" s="1"/>
  <c r="P1581" i="6"/>
  <c r="Q1581" i="6" s="1"/>
  <c r="P1580" i="6"/>
  <c r="Q1580" i="6" s="1"/>
  <c r="P1579" i="6"/>
  <c r="Q1579" i="6" s="1"/>
  <c r="P1578" i="6"/>
  <c r="Q1578" i="6" s="1"/>
  <c r="P1577" i="6"/>
  <c r="Q1577" i="6" s="1"/>
  <c r="P1576" i="6"/>
  <c r="Q1576" i="6" s="1"/>
  <c r="P1575" i="6"/>
  <c r="Q1575" i="6" s="1"/>
  <c r="P1574" i="6"/>
  <c r="Q1574" i="6" s="1"/>
  <c r="P1573" i="6"/>
  <c r="Q1573" i="6" s="1"/>
  <c r="P1572" i="6"/>
  <c r="Q1572" i="6" s="1"/>
  <c r="P1571" i="6"/>
  <c r="Q1571" i="6" s="1"/>
  <c r="P1570" i="6"/>
  <c r="Q1570" i="6" s="1"/>
  <c r="P1569" i="6"/>
  <c r="Q1569" i="6" s="1"/>
  <c r="P1568" i="6"/>
  <c r="Q1568" i="6" s="1"/>
  <c r="P1567" i="6"/>
  <c r="Q1567" i="6" s="1"/>
  <c r="P1566" i="6"/>
  <c r="Q1566" i="6" s="1"/>
  <c r="P1565" i="6"/>
  <c r="Q1565" i="6" s="1"/>
  <c r="P1564" i="6"/>
  <c r="Q1564" i="6" s="1"/>
  <c r="P1563" i="6"/>
  <c r="Q1563" i="6" s="1"/>
  <c r="P1562" i="6"/>
  <c r="Q1562" i="6" s="1"/>
  <c r="P1561" i="6"/>
  <c r="Q1561" i="6" s="1"/>
  <c r="P1560" i="6"/>
  <c r="Q1560" i="6" s="1"/>
  <c r="P1559" i="6"/>
  <c r="Q1559" i="6" s="1"/>
  <c r="P1558" i="6"/>
  <c r="Q1558" i="6" s="1"/>
  <c r="P1557" i="6"/>
  <c r="Q1557" i="6" s="1"/>
  <c r="P1556" i="6"/>
  <c r="Q1556" i="6" s="1"/>
  <c r="P1555" i="6"/>
  <c r="Q1555" i="6" s="1"/>
  <c r="P1554" i="6"/>
  <c r="Q1554" i="6" s="1"/>
  <c r="P1553" i="6"/>
  <c r="Q1553" i="6" s="1"/>
  <c r="P1552" i="6"/>
  <c r="Q1552" i="6" s="1"/>
  <c r="P1551" i="6"/>
  <c r="Q1551" i="6" s="1"/>
  <c r="P1550" i="6"/>
  <c r="Q1550" i="6" s="1"/>
  <c r="P1549" i="6"/>
  <c r="Q1549" i="6" s="1"/>
  <c r="P1548" i="6"/>
  <c r="Q1548" i="6" s="1"/>
  <c r="P1547" i="6"/>
  <c r="Q1547" i="6" s="1"/>
  <c r="P1546" i="6"/>
  <c r="Q1546" i="6" s="1"/>
  <c r="P1545" i="6"/>
  <c r="Q1545" i="6" s="1"/>
  <c r="P1544" i="6"/>
  <c r="Q1544" i="6" s="1"/>
  <c r="P1543" i="6"/>
  <c r="Q1543" i="6" s="1"/>
  <c r="P1542" i="6"/>
  <c r="Q1542" i="6" s="1"/>
  <c r="P1541" i="6"/>
  <c r="Q1541" i="6" s="1"/>
  <c r="P1540" i="6"/>
  <c r="Q1540" i="6" s="1"/>
  <c r="P1539" i="6"/>
  <c r="Q1539" i="6" s="1"/>
  <c r="P1538" i="6"/>
  <c r="Q1538" i="6" s="1"/>
  <c r="P1537" i="6"/>
  <c r="Q1537" i="6" s="1"/>
  <c r="P1536" i="6"/>
  <c r="Q1536" i="6" s="1"/>
  <c r="P1535" i="6"/>
  <c r="Q1535" i="6" s="1"/>
  <c r="P1534" i="6"/>
  <c r="Q1534" i="6" s="1"/>
  <c r="P1533" i="6"/>
  <c r="Q1533" i="6" s="1"/>
  <c r="P1532" i="6"/>
  <c r="Q1532" i="6" s="1"/>
  <c r="P1531" i="6"/>
  <c r="Q1531" i="6" s="1"/>
  <c r="P1530" i="6"/>
  <c r="Q1530" i="6" s="1"/>
  <c r="P1529" i="6"/>
  <c r="Q1529" i="6" s="1"/>
  <c r="P1528" i="6"/>
  <c r="Q1528" i="6" s="1"/>
  <c r="P1527" i="6"/>
  <c r="Q1527" i="6" s="1"/>
  <c r="P1526" i="6"/>
  <c r="Q1526" i="6" s="1"/>
  <c r="P1525" i="6"/>
  <c r="Q1525" i="6" s="1"/>
  <c r="P1524" i="6"/>
  <c r="Q1524" i="6" s="1"/>
  <c r="P1523" i="6"/>
  <c r="Q1523" i="6" s="1"/>
  <c r="P1522" i="6"/>
  <c r="Q1522" i="6" s="1"/>
  <c r="P1521" i="6"/>
  <c r="Q1521" i="6" s="1"/>
  <c r="P1520" i="6"/>
  <c r="Q1520" i="6" s="1"/>
  <c r="P1519" i="6"/>
  <c r="Q1519" i="6" s="1"/>
  <c r="P1518" i="6"/>
  <c r="Q1518" i="6" s="1"/>
  <c r="P1517" i="6"/>
  <c r="Q1517" i="6" s="1"/>
  <c r="P1516" i="6"/>
  <c r="Q1516" i="6" s="1"/>
  <c r="P1515" i="6"/>
  <c r="Q1515" i="6" s="1"/>
  <c r="P1514" i="6"/>
  <c r="Q1514" i="6" s="1"/>
  <c r="P1513" i="6"/>
  <c r="Q1513" i="6" s="1"/>
  <c r="P1512" i="6"/>
  <c r="Q1512" i="6" s="1"/>
  <c r="P1511" i="6"/>
  <c r="Q1511" i="6" s="1"/>
  <c r="P1510" i="6"/>
  <c r="Q1510" i="6" s="1"/>
  <c r="P1509" i="6"/>
  <c r="Q1509" i="6" s="1"/>
  <c r="P1508" i="6"/>
  <c r="Q1508" i="6" s="1"/>
  <c r="P1507" i="6"/>
  <c r="Q1507" i="6" s="1"/>
  <c r="P1506" i="6"/>
  <c r="Q1506" i="6" s="1"/>
  <c r="P1505" i="6"/>
  <c r="Q1505" i="6" s="1"/>
  <c r="P1504" i="6"/>
  <c r="Q1504" i="6" s="1"/>
  <c r="P1503" i="6"/>
  <c r="Q1503" i="6" s="1"/>
  <c r="P1502" i="6"/>
  <c r="Q1502" i="6" s="1"/>
  <c r="P1501" i="6"/>
  <c r="Q1501" i="6" s="1"/>
  <c r="P1500" i="6"/>
  <c r="Q1500" i="6" s="1"/>
  <c r="P1499" i="6"/>
  <c r="Q1499" i="6" s="1"/>
  <c r="P1498" i="6"/>
  <c r="Q1498" i="6" s="1"/>
  <c r="P1497" i="6"/>
  <c r="Q1497" i="6" s="1"/>
  <c r="P1496" i="6"/>
  <c r="Q1496" i="6" s="1"/>
  <c r="P1495" i="6"/>
  <c r="Q1495" i="6" s="1"/>
  <c r="P1494" i="6"/>
  <c r="Q1494" i="6" s="1"/>
  <c r="P1493" i="6"/>
  <c r="Q1493" i="6" s="1"/>
  <c r="P1492" i="6"/>
  <c r="Q1492" i="6" s="1"/>
  <c r="P1491" i="6"/>
  <c r="Q1491" i="6" s="1"/>
  <c r="P1490" i="6"/>
  <c r="Q1490" i="6" s="1"/>
  <c r="P1489" i="6"/>
  <c r="Q1489" i="6" s="1"/>
  <c r="P1488" i="6"/>
  <c r="Q1488" i="6" s="1"/>
  <c r="P1487" i="6"/>
  <c r="Q1487" i="6" s="1"/>
  <c r="P1486" i="6"/>
  <c r="Q1486" i="6" s="1"/>
  <c r="P1485" i="6"/>
  <c r="Q1485" i="6" s="1"/>
  <c r="P1484" i="6"/>
  <c r="Q1484" i="6" s="1"/>
  <c r="P1483" i="6"/>
  <c r="Q1483" i="6" s="1"/>
  <c r="P1482" i="6"/>
  <c r="Q1482" i="6" s="1"/>
  <c r="P1481" i="6"/>
  <c r="Q1481" i="6" s="1"/>
  <c r="P1480" i="6"/>
  <c r="Q1480" i="6" s="1"/>
  <c r="P1479" i="6"/>
  <c r="Q1479" i="6" s="1"/>
  <c r="P1478" i="6"/>
  <c r="Q1478" i="6" s="1"/>
  <c r="P1477" i="6"/>
  <c r="Q1477" i="6" s="1"/>
  <c r="P1476" i="6"/>
  <c r="Q1476" i="6" s="1"/>
  <c r="P1475" i="6"/>
  <c r="Q1475" i="6" s="1"/>
  <c r="P1474" i="6"/>
  <c r="Q1474" i="6" s="1"/>
  <c r="P1473" i="6"/>
  <c r="Q1473" i="6" s="1"/>
  <c r="P1472" i="6"/>
  <c r="Q1472" i="6" s="1"/>
  <c r="P1471" i="6"/>
  <c r="Q1471" i="6" s="1"/>
  <c r="P1470" i="6"/>
  <c r="Q1470" i="6" s="1"/>
  <c r="P1469" i="6"/>
  <c r="Q1469" i="6" s="1"/>
  <c r="P1468" i="6"/>
  <c r="Q1468" i="6" s="1"/>
  <c r="P1467" i="6"/>
  <c r="Q1467" i="6" s="1"/>
  <c r="P1466" i="6"/>
  <c r="Q1466" i="6" s="1"/>
  <c r="P1465" i="6"/>
  <c r="Q1465" i="6" s="1"/>
  <c r="P1464" i="6"/>
  <c r="Q1464" i="6" s="1"/>
  <c r="P1463" i="6"/>
  <c r="Q1463" i="6" s="1"/>
  <c r="P1462" i="6"/>
  <c r="Q1462" i="6" s="1"/>
  <c r="P1461" i="6"/>
  <c r="Q1461" i="6" s="1"/>
  <c r="P1460" i="6"/>
  <c r="Q1460" i="6" s="1"/>
  <c r="P1459" i="6"/>
  <c r="Q1459" i="6" s="1"/>
  <c r="P1458" i="6"/>
  <c r="Q1458" i="6" s="1"/>
  <c r="P1457" i="6"/>
  <c r="Q1457" i="6" s="1"/>
  <c r="P1456" i="6"/>
  <c r="Q1456" i="6" s="1"/>
  <c r="P1455" i="6"/>
  <c r="Q1455" i="6" s="1"/>
  <c r="P1454" i="6"/>
  <c r="Q1454" i="6" s="1"/>
  <c r="P1453" i="6"/>
  <c r="Q1453" i="6" s="1"/>
  <c r="P1452" i="6"/>
  <c r="Q1452" i="6" s="1"/>
  <c r="P1451" i="6"/>
  <c r="Q1451" i="6" s="1"/>
  <c r="P1450" i="6"/>
  <c r="Q1450" i="6" s="1"/>
  <c r="P1449" i="6"/>
  <c r="Q1449" i="6" s="1"/>
  <c r="P1448" i="6"/>
  <c r="Q1448" i="6" s="1"/>
  <c r="P1447" i="6"/>
  <c r="Q1447" i="6" s="1"/>
  <c r="P1446" i="6"/>
  <c r="Q1446" i="6" s="1"/>
  <c r="P1445" i="6"/>
  <c r="Q1445" i="6" s="1"/>
  <c r="P1444" i="6"/>
  <c r="Q1444" i="6" s="1"/>
  <c r="P1443" i="6"/>
  <c r="Q1443" i="6" s="1"/>
  <c r="P1442" i="6"/>
  <c r="Q1442" i="6" s="1"/>
  <c r="P1441" i="6"/>
  <c r="Q1441" i="6" s="1"/>
  <c r="P1440" i="6"/>
  <c r="Q1440" i="6" s="1"/>
  <c r="P1439" i="6"/>
  <c r="Q1439" i="6" s="1"/>
  <c r="P1438" i="6"/>
  <c r="Q1438" i="6" s="1"/>
  <c r="P1437" i="6"/>
  <c r="Q1437" i="6" s="1"/>
  <c r="P1436" i="6"/>
  <c r="Q1436" i="6" s="1"/>
  <c r="P1435" i="6"/>
  <c r="Q1435" i="6" s="1"/>
  <c r="P1434" i="6"/>
  <c r="Q1434" i="6" s="1"/>
  <c r="P1433" i="6"/>
  <c r="Q1433" i="6" s="1"/>
  <c r="P1432" i="6"/>
  <c r="Q1432" i="6" s="1"/>
  <c r="P1431" i="6"/>
  <c r="Q1431" i="6" s="1"/>
  <c r="P1430" i="6"/>
  <c r="Q1430" i="6" s="1"/>
  <c r="P1429" i="6"/>
  <c r="Q1429" i="6" s="1"/>
  <c r="P1428" i="6"/>
  <c r="Q1428" i="6" s="1"/>
  <c r="P1427" i="6"/>
  <c r="Q1427" i="6" s="1"/>
  <c r="P1426" i="6"/>
  <c r="Q1426" i="6" s="1"/>
  <c r="P1425" i="6"/>
  <c r="Q1425" i="6" s="1"/>
  <c r="P1424" i="6"/>
  <c r="Q1424" i="6" s="1"/>
  <c r="P1423" i="6"/>
  <c r="Q1423" i="6" s="1"/>
  <c r="P1422" i="6"/>
  <c r="Q1422" i="6" s="1"/>
  <c r="P1421" i="6"/>
  <c r="Q1421" i="6" s="1"/>
  <c r="P1420" i="6"/>
  <c r="Q1420" i="6" s="1"/>
  <c r="P1419" i="6"/>
  <c r="Q1419" i="6" s="1"/>
  <c r="P1418" i="6"/>
  <c r="Q1418" i="6" s="1"/>
  <c r="P1417" i="6"/>
  <c r="Q1417" i="6" s="1"/>
  <c r="P1416" i="6"/>
  <c r="Q1416" i="6" s="1"/>
  <c r="P1415" i="6"/>
  <c r="Q1415" i="6" s="1"/>
  <c r="P1414" i="6"/>
  <c r="Q1414" i="6" s="1"/>
  <c r="P1413" i="6"/>
  <c r="Q1413" i="6" s="1"/>
  <c r="P1412" i="6"/>
  <c r="Q1412" i="6" s="1"/>
  <c r="P1411" i="6"/>
  <c r="Q1411" i="6" s="1"/>
  <c r="P1410" i="6"/>
  <c r="Q1410" i="6" s="1"/>
  <c r="P1409" i="6"/>
  <c r="Q1409" i="6" s="1"/>
  <c r="P1408" i="6"/>
  <c r="Q1408" i="6" s="1"/>
  <c r="P1407" i="6"/>
  <c r="Q1407" i="6" s="1"/>
  <c r="P1406" i="6"/>
  <c r="Q1406" i="6" s="1"/>
  <c r="P1405" i="6"/>
  <c r="Q1405" i="6" s="1"/>
  <c r="P1404" i="6"/>
  <c r="Q1404" i="6" s="1"/>
  <c r="P1403" i="6"/>
  <c r="Q1403" i="6" s="1"/>
  <c r="P1402" i="6"/>
  <c r="Q1402" i="6" s="1"/>
  <c r="P1401" i="6"/>
  <c r="Q1401" i="6" s="1"/>
  <c r="P1400" i="6"/>
  <c r="Q1400" i="6" s="1"/>
  <c r="P1399" i="6"/>
  <c r="Q1399" i="6" s="1"/>
  <c r="P1398" i="6"/>
  <c r="Q1398" i="6" s="1"/>
  <c r="P1397" i="6"/>
  <c r="Q1397" i="6" s="1"/>
  <c r="P1396" i="6"/>
  <c r="Q1396" i="6" s="1"/>
  <c r="P1395" i="6"/>
  <c r="Q1395" i="6" s="1"/>
  <c r="P1394" i="6"/>
  <c r="Q1394" i="6" s="1"/>
  <c r="P1393" i="6"/>
  <c r="Q1393" i="6" s="1"/>
  <c r="P1392" i="6"/>
  <c r="Q1392" i="6" s="1"/>
  <c r="P1391" i="6"/>
  <c r="Q1391" i="6" s="1"/>
  <c r="P1390" i="6"/>
  <c r="Q1390" i="6" s="1"/>
  <c r="P1389" i="6"/>
  <c r="Q1389" i="6" s="1"/>
  <c r="P1388" i="6"/>
  <c r="Q1388" i="6" s="1"/>
  <c r="P1387" i="6"/>
  <c r="Q1387" i="6" s="1"/>
  <c r="P1386" i="6"/>
  <c r="Q1386" i="6" s="1"/>
  <c r="P1385" i="6"/>
  <c r="Q1385" i="6" s="1"/>
  <c r="P1384" i="6"/>
  <c r="Q1384" i="6" s="1"/>
  <c r="P1383" i="6"/>
  <c r="Q1383" i="6" s="1"/>
  <c r="P1382" i="6"/>
  <c r="Q1382" i="6" s="1"/>
  <c r="P1381" i="6"/>
  <c r="Q1381" i="6" s="1"/>
  <c r="P1380" i="6"/>
  <c r="Q1380" i="6" s="1"/>
  <c r="P1379" i="6"/>
  <c r="Q1379" i="6" s="1"/>
  <c r="P1378" i="6"/>
  <c r="Q1378" i="6" s="1"/>
  <c r="P1377" i="6"/>
  <c r="Q1377" i="6" s="1"/>
  <c r="P1376" i="6"/>
  <c r="Q1376" i="6" s="1"/>
  <c r="P1375" i="6"/>
  <c r="Q1375" i="6" s="1"/>
  <c r="P1374" i="6"/>
  <c r="Q1374" i="6" s="1"/>
  <c r="P1373" i="6"/>
  <c r="Q1373" i="6" s="1"/>
  <c r="P1372" i="6"/>
  <c r="Q1372" i="6" s="1"/>
  <c r="P1371" i="6"/>
  <c r="Q1371" i="6" s="1"/>
  <c r="P1370" i="6"/>
  <c r="Q1370" i="6" s="1"/>
  <c r="P1369" i="6"/>
  <c r="Q1369" i="6" s="1"/>
  <c r="P1368" i="6"/>
  <c r="Q1368" i="6" s="1"/>
  <c r="P1367" i="6"/>
  <c r="Q1367" i="6" s="1"/>
  <c r="P1366" i="6"/>
  <c r="Q1366" i="6" s="1"/>
  <c r="P1365" i="6"/>
  <c r="Q1365" i="6" s="1"/>
  <c r="P1364" i="6"/>
  <c r="Q1364" i="6" s="1"/>
  <c r="P1363" i="6"/>
  <c r="Q1363" i="6" s="1"/>
  <c r="P1362" i="6"/>
  <c r="Q1362" i="6" s="1"/>
  <c r="P1361" i="6"/>
  <c r="Q1361" i="6" s="1"/>
  <c r="P1360" i="6"/>
  <c r="Q1360" i="6" s="1"/>
  <c r="P1359" i="6"/>
  <c r="Q1359" i="6" s="1"/>
  <c r="P1358" i="6"/>
  <c r="Q1358" i="6" s="1"/>
  <c r="P1357" i="6"/>
  <c r="Q1357" i="6" s="1"/>
  <c r="P1356" i="6"/>
  <c r="Q1356" i="6" s="1"/>
  <c r="P1355" i="6"/>
  <c r="Q1355" i="6" s="1"/>
  <c r="P1354" i="6"/>
  <c r="Q1354" i="6" s="1"/>
  <c r="P1353" i="6"/>
  <c r="Q1353" i="6" s="1"/>
  <c r="P1352" i="6"/>
  <c r="Q1352" i="6" s="1"/>
  <c r="P1351" i="6"/>
  <c r="Q1351" i="6" s="1"/>
  <c r="P1350" i="6"/>
  <c r="Q1350" i="6" s="1"/>
  <c r="P1349" i="6"/>
  <c r="Q1349" i="6" s="1"/>
  <c r="P1348" i="6"/>
  <c r="Q1348" i="6" s="1"/>
  <c r="P1347" i="6"/>
  <c r="Q1347" i="6" s="1"/>
  <c r="P1346" i="6"/>
  <c r="Q1346" i="6" s="1"/>
  <c r="P1345" i="6"/>
  <c r="Q1345" i="6" s="1"/>
  <c r="P1344" i="6"/>
  <c r="Q1344" i="6" s="1"/>
  <c r="P1343" i="6"/>
  <c r="Q1343" i="6" s="1"/>
  <c r="P1342" i="6"/>
  <c r="Q1342" i="6" s="1"/>
  <c r="P1341" i="6"/>
  <c r="Q1341" i="6" s="1"/>
  <c r="P1340" i="6"/>
  <c r="Q1340" i="6" s="1"/>
  <c r="P1339" i="6"/>
  <c r="Q1339" i="6" s="1"/>
  <c r="P1338" i="6"/>
  <c r="Q1338" i="6" s="1"/>
  <c r="P1337" i="6"/>
  <c r="Q1337" i="6" s="1"/>
  <c r="P1336" i="6"/>
  <c r="Q1336" i="6" s="1"/>
  <c r="P1335" i="6"/>
  <c r="Q1335" i="6" s="1"/>
  <c r="P1334" i="6"/>
  <c r="Q1334" i="6" s="1"/>
  <c r="P1333" i="6"/>
  <c r="Q1333" i="6" s="1"/>
  <c r="P1332" i="6"/>
  <c r="Q1332" i="6" s="1"/>
  <c r="P1331" i="6"/>
  <c r="Q1331" i="6" s="1"/>
  <c r="P1330" i="6"/>
  <c r="Q1330" i="6" s="1"/>
  <c r="P1329" i="6"/>
  <c r="Q1329" i="6" s="1"/>
  <c r="P1328" i="6"/>
  <c r="Q1328" i="6" s="1"/>
  <c r="P1327" i="6"/>
  <c r="Q1327" i="6" s="1"/>
  <c r="P1326" i="6"/>
  <c r="Q1326" i="6" s="1"/>
  <c r="P1325" i="6"/>
  <c r="Q1325" i="6" s="1"/>
  <c r="P1324" i="6"/>
  <c r="Q1324" i="6" s="1"/>
  <c r="P1323" i="6"/>
  <c r="Q1323" i="6" s="1"/>
  <c r="P1322" i="6"/>
  <c r="Q1322" i="6" s="1"/>
  <c r="P1321" i="6"/>
  <c r="Q1321" i="6" s="1"/>
  <c r="P1320" i="6"/>
  <c r="Q1320" i="6" s="1"/>
  <c r="P1319" i="6"/>
  <c r="Q1319" i="6" s="1"/>
  <c r="P1318" i="6"/>
  <c r="Q1318" i="6" s="1"/>
  <c r="P1317" i="6"/>
  <c r="Q1317" i="6" s="1"/>
  <c r="P1316" i="6"/>
  <c r="Q1316" i="6" s="1"/>
  <c r="P1315" i="6"/>
  <c r="Q1315" i="6" s="1"/>
  <c r="P1314" i="6"/>
  <c r="Q1314" i="6" s="1"/>
  <c r="P1313" i="6"/>
  <c r="Q1313" i="6" s="1"/>
  <c r="P1312" i="6"/>
  <c r="Q1312" i="6" s="1"/>
  <c r="P1311" i="6"/>
  <c r="Q1311" i="6" s="1"/>
  <c r="P1310" i="6"/>
  <c r="Q1310" i="6" s="1"/>
  <c r="P1309" i="6"/>
  <c r="Q1309" i="6" s="1"/>
  <c r="P1308" i="6"/>
  <c r="Q1308" i="6" s="1"/>
  <c r="P1307" i="6"/>
  <c r="Q1307" i="6" s="1"/>
  <c r="P1306" i="6"/>
  <c r="Q1306" i="6" s="1"/>
  <c r="P1305" i="6"/>
  <c r="Q1305" i="6" s="1"/>
  <c r="P1304" i="6"/>
  <c r="Q1304" i="6" s="1"/>
  <c r="P1303" i="6"/>
  <c r="Q1303" i="6" s="1"/>
  <c r="P1302" i="6"/>
  <c r="Q1302" i="6" s="1"/>
  <c r="P1301" i="6"/>
  <c r="Q1301" i="6" s="1"/>
  <c r="P1300" i="6"/>
  <c r="Q1300" i="6" s="1"/>
  <c r="P1299" i="6"/>
  <c r="Q1299" i="6" s="1"/>
  <c r="P1298" i="6"/>
  <c r="Q1298" i="6" s="1"/>
  <c r="P1297" i="6"/>
  <c r="Q1297" i="6" s="1"/>
  <c r="P1296" i="6"/>
  <c r="Q1296" i="6" s="1"/>
  <c r="P1295" i="6"/>
  <c r="Q1295" i="6" s="1"/>
  <c r="P1294" i="6"/>
  <c r="Q1294" i="6" s="1"/>
  <c r="P1293" i="6"/>
  <c r="Q1293" i="6" s="1"/>
  <c r="P1292" i="6"/>
  <c r="Q1292" i="6" s="1"/>
  <c r="P1291" i="6"/>
  <c r="Q1291" i="6" s="1"/>
  <c r="P1290" i="6"/>
  <c r="Q1290" i="6" s="1"/>
  <c r="P1289" i="6"/>
  <c r="Q1289" i="6" s="1"/>
  <c r="P1288" i="6"/>
  <c r="Q1288" i="6" s="1"/>
  <c r="P1287" i="6"/>
  <c r="Q1287" i="6" s="1"/>
  <c r="P1286" i="6"/>
  <c r="Q1286" i="6" s="1"/>
  <c r="P1285" i="6"/>
  <c r="Q1285" i="6" s="1"/>
  <c r="P1284" i="6"/>
  <c r="Q1284" i="6" s="1"/>
  <c r="P1283" i="6"/>
  <c r="Q1283" i="6" s="1"/>
  <c r="P1282" i="6"/>
  <c r="Q1282" i="6" s="1"/>
  <c r="P1281" i="6"/>
  <c r="Q1281" i="6" s="1"/>
  <c r="P1280" i="6"/>
  <c r="Q1280" i="6" s="1"/>
  <c r="P1279" i="6"/>
  <c r="Q1279" i="6" s="1"/>
  <c r="P1278" i="6"/>
  <c r="Q1278" i="6" s="1"/>
  <c r="P1277" i="6"/>
  <c r="Q1277" i="6" s="1"/>
  <c r="P1276" i="6"/>
  <c r="Q1276" i="6" s="1"/>
  <c r="P1275" i="6"/>
  <c r="Q1275" i="6" s="1"/>
  <c r="P1274" i="6"/>
  <c r="Q1274" i="6" s="1"/>
  <c r="P1273" i="6"/>
  <c r="Q1273" i="6" s="1"/>
  <c r="P1272" i="6"/>
  <c r="Q1272" i="6" s="1"/>
  <c r="P1271" i="6"/>
  <c r="Q1271" i="6" s="1"/>
  <c r="P1270" i="6"/>
  <c r="Q1270" i="6" s="1"/>
  <c r="P1269" i="6"/>
  <c r="Q1269" i="6" s="1"/>
  <c r="P1268" i="6"/>
  <c r="Q1268" i="6" s="1"/>
  <c r="P1267" i="6"/>
  <c r="Q1267" i="6" s="1"/>
  <c r="P1266" i="6"/>
  <c r="Q1266" i="6" s="1"/>
  <c r="P1265" i="6"/>
  <c r="Q1265" i="6" s="1"/>
  <c r="P1264" i="6"/>
  <c r="Q1264" i="6" s="1"/>
  <c r="P1263" i="6"/>
  <c r="Q1263" i="6" s="1"/>
  <c r="P1262" i="6"/>
  <c r="Q1262" i="6" s="1"/>
  <c r="P1261" i="6"/>
  <c r="Q1261" i="6" s="1"/>
  <c r="P1260" i="6"/>
  <c r="Q1260" i="6" s="1"/>
  <c r="P1259" i="6"/>
  <c r="Q1259" i="6" s="1"/>
  <c r="P1258" i="6"/>
  <c r="Q1258" i="6" s="1"/>
  <c r="P1257" i="6"/>
  <c r="Q1257" i="6" s="1"/>
  <c r="P1256" i="6"/>
  <c r="Q1256" i="6" s="1"/>
  <c r="P1255" i="6"/>
  <c r="Q1255" i="6" s="1"/>
  <c r="P1254" i="6"/>
  <c r="Q1254" i="6" s="1"/>
  <c r="P1253" i="6"/>
  <c r="Q1253" i="6" s="1"/>
  <c r="P1252" i="6"/>
  <c r="Q1252" i="6" s="1"/>
  <c r="P1251" i="6"/>
  <c r="Q1251" i="6" s="1"/>
  <c r="P1250" i="6"/>
  <c r="Q1250" i="6" s="1"/>
  <c r="P1249" i="6"/>
  <c r="Q1249" i="6" s="1"/>
  <c r="P1248" i="6"/>
  <c r="Q1248" i="6" s="1"/>
  <c r="P1247" i="6"/>
  <c r="Q1247" i="6" s="1"/>
  <c r="P1246" i="6"/>
  <c r="Q1246" i="6" s="1"/>
  <c r="P1245" i="6"/>
  <c r="Q1245" i="6" s="1"/>
  <c r="P1244" i="6"/>
  <c r="Q1244" i="6" s="1"/>
  <c r="P1243" i="6"/>
  <c r="Q1243" i="6" s="1"/>
  <c r="P1242" i="6"/>
  <c r="Q1242" i="6" s="1"/>
  <c r="P1241" i="6"/>
  <c r="Q1241" i="6" s="1"/>
  <c r="P1240" i="6"/>
  <c r="Q1240" i="6" s="1"/>
  <c r="P1239" i="6"/>
  <c r="Q1239" i="6" s="1"/>
  <c r="P1238" i="6"/>
  <c r="Q1238" i="6" s="1"/>
  <c r="P1237" i="6"/>
  <c r="Q1237" i="6" s="1"/>
  <c r="P1236" i="6"/>
  <c r="Q1236" i="6" s="1"/>
  <c r="P1235" i="6"/>
  <c r="Q1235" i="6" s="1"/>
  <c r="P1234" i="6"/>
  <c r="Q1234" i="6" s="1"/>
  <c r="P1233" i="6"/>
  <c r="Q1233" i="6" s="1"/>
  <c r="P1232" i="6"/>
  <c r="Q1232" i="6" s="1"/>
  <c r="P1231" i="6"/>
  <c r="Q1231" i="6" s="1"/>
  <c r="P1230" i="6"/>
  <c r="Q1230" i="6" s="1"/>
  <c r="P1229" i="6"/>
  <c r="Q1229" i="6" s="1"/>
  <c r="P1228" i="6"/>
  <c r="Q1228" i="6" s="1"/>
  <c r="P1227" i="6"/>
  <c r="Q1227" i="6" s="1"/>
  <c r="P1226" i="6"/>
  <c r="Q1226" i="6" s="1"/>
  <c r="P1225" i="6"/>
  <c r="Q1225" i="6" s="1"/>
  <c r="P1224" i="6"/>
  <c r="Q1224" i="6" s="1"/>
  <c r="P1223" i="6"/>
  <c r="Q1223" i="6" s="1"/>
  <c r="P1222" i="6"/>
  <c r="Q1222" i="6" s="1"/>
  <c r="P1221" i="6"/>
  <c r="Q1221" i="6" s="1"/>
  <c r="P1220" i="6"/>
  <c r="Q1220" i="6" s="1"/>
  <c r="P1219" i="6"/>
  <c r="Q1219" i="6" s="1"/>
  <c r="P1218" i="6"/>
  <c r="Q1218" i="6" s="1"/>
  <c r="P1217" i="6"/>
  <c r="Q1217" i="6" s="1"/>
  <c r="P1216" i="6"/>
  <c r="Q1216" i="6" s="1"/>
  <c r="P1215" i="6"/>
  <c r="Q1215" i="6" s="1"/>
  <c r="P1214" i="6"/>
  <c r="Q1214" i="6" s="1"/>
  <c r="P1213" i="6"/>
  <c r="Q1213" i="6" s="1"/>
  <c r="P1212" i="6"/>
  <c r="Q1212" i="6" s="1"/>
  <c r="P1211" i="6"/>
  <c r="Q1211" i="6" s="1"/>
  <c r="P1210" i="6"/>
  <c r="Q1210" i="6" s="1"/>
  <c r="P1209" i="6"/>
  <c r="Q1209" i="6" s="1"/>
  <c r="P1208" i="6"/>
  <c r="Q1208" i="6" s="1"/>
  <c r="P1207" i="6"/>
  <c r="Q1207" i="6" s="1"/>
  <c r="P1206" i="6"/>
  <c r="Q1206" i="6" s="1"/>
  <c r="P1205" i="6"/>
  <c r="Q1205" i="6" s="1"/>
  <c r="P1204" i="6"/>
  <c r="Q1204" i="6" s="1"/>
  <c r="P1203" i="6"/>
  <c r="Q1203" i="6" s="1"/>
  <c r="P1202" i="6"/>
  <c r="Q1202" i="6" s="1"/>
  <c r="P1201" i="6"/>
  <c r="Q1201" i="6" s="1"/>
  <c r="P1200" i="6"/>
  <c r="Q1200" i="6" s="1"/>
  <c r="P1199" i="6"/>
  <c r="Q1199" i="6" s="1"/>
  <c r="P1198" i="6"/>
  <c r="Q1198" i="6" s="1"/>
  <c r="P1197" i="6"/>
  <c r="Q1197" i="6" s="1"/>
  <c r="P1196" i="6"/>
  <c r="Q1196" i="6" s="1"/>
  <c r="P1195" i="6"/>
  <c r="Q1195" i="6" s="1"/>
  <c r="P1194" i="6"/>
  <c r="Q1194" i="6" s="1"/>
  <c r="P1193" i="6"/>
  <c r="Q1193" i="6" s="1"/>
  <c r="P1192" i="6"/>
  <c r="Q1192" i="6" s="1"/>
  <c r="P1191" i="6"/>
  <c r="Q1191" i="6" s="1"/>
  <c r="P1190" i="6"/>
  <c r="Q1190" i="6" s="1"/>
  <c r="P1189" i="6"/>
  <c r="Q1189" i="6" s="1"/>
  <c r="P1188" i="6"/>
  <c r="Q1188" i="6" s="1"/>
  <c r="P1187" i="6"/>
  <c r="Q1187" i="6" s="1"/>
  <c r="P1186" i="6"/>
  <c r="Q1186" i="6" s="1"/>
  <c r="P1185" i="6"/>
  <c r="Q1185" i="6" s="1"/>
  <c r="P1184" i="6"/>
  <c r="Q1184" i="6" s="1"/>
  <c r="P1183" i="6"/>
  <c r="Q1183" i="6" s="1"/>
  <c r="P1182" i="6"/>
  <c r="Q1182" i="6" s="1"/>
  <c r="P1181" i="6"/>
  <c r="Q1181" i="6" s="1"/>
  <c r="P1180" i="6"/>
  <c r="Q1180" i="6" s="1"/>
  <c r="P1179" i="6"/>
  <c r="Q1179" i="6" s="1"/>
  <c r="P1178" i="6"/>
  <c r="Q1178" i="6" s="1"/>
  <c r="P1177" i="6"/>
  <c r="Q1177" i="6" s="1"/>
  <c r="P1176" i="6"/>
  <c r="Q1176" i="6" s="1"/>
  <c r="P1175" i="6"/>
  <c r="Q1175" i="6" s="1"/>
  <c r="P1174" i="6"/>
  <c r="Q1174" i="6" s="1"/>
  <c r="P1173" i="6"/>
  <c r="Q1173" i="6" s="1"/>
  <c r="P1172" i="6"/>
  <c r="Q1172" i="6" s="1"/>
  <c r="P1171" i="6"/>
  <c r="Q1171" i="6" s="1"/>
  <c r="P1170" i="6"/>
  <c r="Q1170" i="6" s="1"/>
  <c r="P1169" i="6"/>
  <c r="Q1169" i="6" s="1"/>
  <c r="P1168" i="6"/>
  <c r="Q1168" i="6" s="1"/>
  <c r="P1167" i="6"/>
  <c r="Q1167" i="6" s="1"/>
  <c r="P1166" i="6"/>
  <c r="Q1166" i="6" s="1"/>
  <c r="P1165" i="6"/>
  <c r="Q1165" i="6" s="1"/>
  <c r="P1164" i="6"/>
  <c r="Q1164" i="6" s="1"/>
  <c r="P1163" i="6"/>
  <c r="Q1163" i="6" s="1"/>
  <c r="P1162" i="6"/>
  <c r="Q1162" i="6" s="1"/>
  <c r="P1161" i="6"/>
  <c r="Q1161" i="6" s="1"/>
  <c r="P1160" i="6"/>
  <c r="Q1160" i="6" s="1"/>
  <c r="P1159" i="6"/>
  <c r="Q1159" i="6" s="1"/>
  <c r="P1158" i="6"/>
  <c r="Q1158" i="6" s="1"/>
  <c r="P1157" i="6"/>
  <c r="Q1157" i="6" s="1"/>
  <c r="P1156" i="6"/>
  <c r="Q1156" i="6" s="1"/>
  <c r="P1155" i="6"/>
  <c r="Q1155" i="6" s="1"/>
  <c r="P1154" i="6"/>
  <c r="Q1154" i="6" s="1"/>
  <c r="P1153" i="6"/>
  <c r="Q1153" i="6" s="1"/>
  <c r="P1152" i="6"/>
  <c r="Q1152" i="6" s="1"/>
  <c r="P1151" i="6"/>
  <c r="Q1151" i="6" s="1"/>
  <c r="P1150" i="6"/>
  <c r="Q1150" i="6" s="1"/>
  <c r="P1149" i="6"/>
  <c r="Q1149" i="6" s="1"/>
  <c r="P1148" i="6"/>
  <c r="Q1148" i="6" s="1"/>
  <c r="P1147" i="6"/>
  <c r="Q1147" i="6" s="1"/>
  <c r="P1146" i="6"/>
  <c r="Q1146" i="6" s="1"/>
  <c r="P1145" i="6"/>
  <c r="Q1145" i="6" s="1"/>
  <c r="P1144" i="6"/>
  <c r="Q1144" i="6" s="1"/>
  <c r="P1143" i="6"/>
  <c r="Q1143" i="6" s="1"/>
  <c r="P1142" i="6"/>
  <c r="Q1142" i="6" s="1"/>
  <c r="P1141" i="6"/>
  <c r="Q1141" i="6" s="1"/>
  <c r="P1140" i="6"/>
  <c r="Q1140" i="6" s="1"/>
  <c r="P1139" i="6"/>
  <c r="Q1139" i="6" s="1"/>
  <c r="P1138" i="6"/>
  <c r="Q1138" i="6" s="1"/>
  <c r="P1137" i="6"/>
  <c r="Q1137" i="6" s="1"/>
  <c r="P1136" i="6"/>
  <c r="Q1136" i="6" s="1"/>
  <c r="P1135" i="6"/>
  <c r="Q1135" i="6" s="1"/>
  <c r="P1134" i="6"/>
  <c r="Q1134" i="6" s="1"/>
  <c r="P1133" i="6"/>
  <c r="Q1133" i="6" s="1"/>
  <c r="P1132" i="6"/>
  <c r="Q1132" i="6" s="1"/>
  <c r="P1131" i="6"/>
  <c r="Q1131" i="6" s="1"/>
  <c r="P1130" i="6"/>
  <c r="Q1130" i="6" s="1"/>
  <c r="P1129" i="6"/>
  <c r="Q1129" i="6" s="1"/>
  <c r="P1128" i="6"/>
  <c r="Q1128" i="6" s="1"/>
  <c r="P1127" i="6"/>
  <c r="Q1127" i="6" s="1"/>
  <c r="P1126" i="6"/>
  <c r="Q1126" i="6" s="1"/>
  <c r="P1125" i="6"/>
  <c r="Q1125" i="6" s="1"/>
  <c r="P1124" i="6"/>
  <c r="Q1124" i="6" s="1"/>
  <c r="P1123" i="6"/>
  <c r="Q1123" i="6" s="1"/>
  <c r="P1122" i="6"/>
  <c r="Q1122" i="6" s="1"/>
  <c r="P1121" i="6"/>
  <c r="Q1121" i="6" s="1"/>
  <c r="P1120" i="6"/>
  <c r="Q1120" i="6" s="1"/>
  <c r="P1119" i="6"/>
  <c r="Q1119" i="6" s="1"/>
  <c r="P1118" i="6"/>
  <c r="Q1118" i="6" s="1"/>
  <c r="P1117" i="6"/>
  <c r="Q1117" i="6" s="1"/>
  <c r="P1116" i="6"/>
  <c r="Q1116" i="6" s="1"/>
  <c r="P1115" i="6"/>
  <c r="Q1115" i="6" s="1"/>
  <c r="P1114" i="6"/>
  <c r="Q1114" i="6" s="1"/>
  <c r="P1113" i="6"/>
  <c r="Q1113" i="6" s="1"/>
  <c r="P1112" i="6"/>
  <c r="Q1112" i="6" s="1"/>
  <c r="P1111" i="6"/>
  <c r="Q1111" i="6" s="1"/>
  <c r="P1110" i="6"/>
  <c r="Q1110" i="6" s="1"/>
  <c r="P1109" i="6"/>
  <c r="Q1109" i="6" s="1"/>
  <c r="P1108" i="6"/>
  <c r="Q1108" i="6" s="1"/>
  <c r="P1107" i="6"/>
  <c r="Q1107" i="6" s="1"/>
  <c r="P1106" i="6"/>
  <c r="Q1106" i="6" s="1"/>
  <c r="P1105" i="6"/>
  <c r="Q1105" i="6" s="1"/>
  <c r="P1104" i="6"/>
  <c r="Q1104" i="6" s="1"/>
  <c r="P1103" i="6"/>
  <c r="Q1103" i="6" s="1"/>
  <c r="P1102" i="6"/>
  <c r="Q1102" i="6" s="1"/>
  <c r="P1101" i="6"/>
  <c r="Q1101" i="6" s="1"/>
  <c r="P1100" i="6"/>
  <c r="Q1100" i="6" s="1"/>
  <c r="P1099" i="6"/>
  <c r="Q1099" i="6" s="1"/>
  <c r="P1098" i="6"/>
  <c r="Q1098" i="6" s="1"/>
  <c r="P1097" i="6"/>
  <c r="Q1097" i="6" s="1"/>
  <c r="P1096" i="6"/>
  <c r="Q1096" i="6" s="1"/>
  <c r="P1095" i="6"/>
  <c r="Q1095" i="6" s="1"/>
  <c r="P1094" i="6"/>
  <c r="Q1094" i="6" s="1"/>
  <c r="P1093" i="6"/>
  <c r="Q1093" i="6" s="1"/>
  <c r="P1092" i="6"/>
  <c r="Q1092" i="6" s="1"/>
  <c r="P1091" i="6"/>
  <c r="Q1091" i="6" s="1"/>
  <c r="P1090" i="6"/>
  <c r="Q1090" i="6" s="1"/>
  <c r="P1089" i="6"/>
  <c r="Q1089" i="6" s="1"/>
  <c r="P1088" i="6"/>
  <c r="Q1088" i="6" s="1"/>
  <c r="P1087" i="6"/>
  <c r="Q1087" i="6" s="1"/>
  <c r="P1086" i="6"/>
  <c r="Q1086" i="6" s="1"/>
  <c r="P1085" i="6"/>
  <c r="Q1085" i="6" s="1"/>
  <c r="P1084" i="6"/>
  <c r="Q1084" i="6" s="1"/>
  <c r="P1083" i="6"/>
  <c r="Q1083" i="6" s="1"/>
  <c r="P1082" i="6"/>
  <c r="Q1082" i="6" s="1"/>
  <c r="P1081" i="6"/>
  <c r="Q1081" i="6" s="1"/>
  <c r="P1080" i="6"/>
  <c r="Q1080" i="6" s="1"/>
  <c r="P1079" i="6"/>
  <c r="Q1079" i="6" s="1"/>
  <c r="P1078" i="6"/>
  <c r="Q1078" i="6" s="1"/>
  <c r="P1077" i="6"/>
  <c r="Q1077" i="6" s="1"/>
  <c r="P1076" i="6"/>
  <c r="Q1076" i="6" s="1"/>
  <c r="P1075" i="6"/>
  <c r="Q1075" i="6" s="1"/>
  <c r="P1074" i="6"/>
  <c r="Q1074" i="6" s="1"/>
  <c r="P1073" i="6"/>
  <c r="Q1073" i="6" s="1"/>
  <c r="P1072" i="6"/>
  <c r="Q1072" i="6" s="1"/>
  <c r="P1071" i="6"/>
  <c r="Q1071" i="6" s="1"/>
  <c r="P1070" i="6"/>
  <c r="Q1070" i="6" s="1"/>
  <c r="P1069" i="6"/>
  <c r="Q1069" i="6" s="1"/>
  <c r="P1068" i="6"/>
  <c r="Q1068" i="6" s="1"/>
  <c r="P1067" i="6"/>
  <c r="Q1067" i="6" s="1"/>
  <c r="P1066" i="6"/>
  <c r="Q1066" i="6" s="1"/>
  <c r="P1065" i="6"/>
  <c r="Q1065" i="6" s="1"/>
  <c r="P1064" i="6"/>
  <c r="Q1064" i="6" s="1"/>
  <c r="P1063" i="6"/>
  <c r="Q1063" i="6" s="1"/>
  <c r="P1062" i="6"/>
  <c r="Q1062" i="6" s="1"/>
  <c r="P1061" i="6"/>
  <c r="Q1061" i="6" s="1"/>
  <c r="P1060" i="6"/>
  <c r="Q1060" i="6" s="1"/>
  <c r="P1059" i="6"/>
  <c r="Q1059" i="6" s="1"/>
  <c r="P1058" i="6"/>
  <c r="Q1058" i="6" s="1"/>
  <c r="P1057" i="6"/>
  <c r="Q1057" i="6" s="1"/>
  <c r="P1056" i="6"/>
  <c r="Q1056" i="6" s="1"/>
  <c r="P1055" i="6"/>
  <c r="Q1055" i="6" s="1"/>
  <c r="P1054" i="6"/>
  <c r="Q1054" i="6" s="1"/>
  <c r="P1053" i="6"/>
  <c r="Q1053" i="6" s="1"/>
  <c r="P1052" i="6"/>
  <c r="Q1052" i="6" s="1"/>
  <c r="P1051" i="6"/>
  <c r="Q1051" i="6" s="1"/>
  <c r="P1050" i="6"/>
  <c r="Q1050" i="6" s="1"/>
  <c r="P1049" i="6"/>
  <c r="Q1049" i="6" s="1"/>
  <c r="P1048" i="6"/>
  <c r="Q1048" i="6" s="1"/>
  <c r="P1047" i="6"/>
  <c r="Q1047" i="6" s="1"/>
  <c r="P1046" i="6"/>
  <c r="Q1046" i="6" s="1"/>
  <c r="P1045" i="6"/>
  <c r="Q1045" i="6" s="1"/>
  <c r="P1044" i="6"/>
  <c r="Q1044" i="6" s="1"/>
  <c r="P1043" i="6"/>
  <c r="Q1043" i="6" s="1"/>
  <c r="P1042" i="6"/>
  <c r="Q1042" i="6" s="1"/>
  <c r="P1041" i="6"/>
  <c r="Q1041" i="6" s="1"/>
  <c r="P1040" i="6"/>
  <c r="Q1040" i="6" s="1"/>
  <c r="P1039" i="6"/>
  <c r="Q1039" i="6" s="1"/>
  <c r="P1038" i="6"/>
  <c r="Q1038" i="6" s="1"/>
  <c r="P1037" i="6"/>
  <c r="Q1037" i="6" s="1"/>
  <c r="P1036" i="6"/>
  <c r="Q1036" i="6" s="1"/>
  <c r="P1035" i="6"/>
  <c r="Q1035" i="6" s="1"/>
  <c r="P1034" i="6"/>
  <c r="Q1034" i="6" s="1"/>
  <c r="P1033" i="6"/>
  <c r="Q1033" i="6" s="1"/>
  <c r="P1032" i="6"/>
  <c r="Q1032" i="6" s="1"/>
  <c r="P1031" i="6"/>
  <c r="Q1031" i="6" s="1"/>
  <c r="P1030" i="6"/>
  <c r="Q1030" i="6" s="1"/>
  <c r="P1029" i="6"/>
  <c r="Q1029" i="6" s="1"/>
  <c r="P1028" i="6"/>
  <c r="Q1028" i="6" s="1"/>
  <c r="P1027" i="6"/>
  <c r="Q1027" i="6" s="1"/>
  <c r="P1026" i="6"/>
  <c r="Q1026" i="6" s="1"/>
  <c r="P1025" i="6"/>
  <c r="Q1025" i="6" s="1"/>
  <c r="P1024" i="6"/>
  <c r="Q1024" i="6" s="1"/>
  <c r="P1023" i="6"/>
  <c r="Q1023" i="6" s="1"/>
  <c r="P1022" i="6"/>
  <c r="Q1022" i="6" s="1"/>
  <c r="P1021" i="6"/>
  <c r="Q1021" i="6" s="1"/>
  <c r="P1020" i="6"/>
  <c r="Q1020" i="6" s="1"/>
  <c r="P1019" i="6"/>
  <c r="Q1019" i="6" s="1"/>
  <c r="P1018" i="6"/>
  <c r="Q1018" i="6" s="1"/>
  <c r="P1017" i="6"/>
  <c r="Q1017" i="6" s="1"/>
  <c r="P1016" i="6"/>
  <c r="Q1016" i="6" s="1"/>
  <c r="P1015" i="6"/>
  <c r="Q1015" i="6" s="1"/>
  <c r="P1014" i="6"/>
  <c r="Q1014" i="6" s="1"/>
  <c r="P1013" i="6"/>
  <c r="Q1013" i="6" s="1"/>
  <c r="P1012" i="6"/>
  <c r="Q1012" i="6" s="1"/>
  <c r="P1011" i="6"/>
  <c r="Q1011" i="6" s="1"/>
  <c r="P1010" i="6"/>
  <c r="Q1010" i="6" s="1"/>
  <c r="P1009" i="6"/>
  <c r="Q1009" i="6" s="1"/>
  <c r="P1008" i="6"/>
  <c r="Q1008" i="6" s="1"/>
  <c r="P1007" i="6"/>
  <c r="Q1007" i="6" s="1"/>
  <c r="P1006" i="6"/>
  <c r="Q1006" i="6" s="1"/>
  <c r="P1005" i="6"/>
  <c r="Q1005" i="6" s="1"/>
  <c r="P1004" i="6"/>
  <c r="Q1004" i="6" s="1"/>
  <c r="P1003" i="6"/>
  <c r="Q1003" i="6" s="1"/>
  <c r="P1002" i="6"/>
  <c r="Q1002" i="6" s="1"/>
  <c r="P1001" i="6"/>
  <c r="Q1001" i="6" s="1"/>
  <c r="P1000" i="6"/>
  <c r="Q1000" i="6" s="1"/>
  <c r="P999" i="6"/>
  <c r="Q999" i="6" s="1"/>
  <c r="P998" i="6"/>
  <c r="Q998" i="6" s="1"/>
  <c r="P997" i="6"/>
  <c r="Q997" i="6" s="1"/>
  <c r="P996" i="6"/>
  <c r="Q996" i="6" s="1"/>
  <c r="P995" i="6"/>
  <c r="Q995" i="6" s="1"/>
  <c r="P994" i="6"/>
  <c r="Q994" i="6" s="1"/>
  <c r="P993" i="6"/>
  <c r="Q993" i="6" s="1"/>
  <c r="P992" i="6"/>
  <c r="Q992" i="6" s="1"/>
  <c r="P991" i="6"/>
  <c r="Q991" i="6" s="1"/>
  <c r="P990" i="6"/>
  <c r="Q990" i="6" s="1"/>
  <c r="P989" i="6"/>
  <c r="Q989" i="6" s="1"/>
  <c r="P988" i="6"/>
  <c r="Q988" i="6" s="1"/>
  <c r="P987" i="6"/>
  <c r="Q987" i="6" s="1"/>
  <c r="P986" i="6"/>
  <c r="Q986" i="6" s="1"/>
  <c r="P985" i="6"/>
  <c r="Q985" i="6" s="1"/>
  <c r="P984" i="6"/>
  <c r="Q984" i="6" s="1"/>
  <c r="P983" i="6"/>
  <c r="Q983" i="6" s="1"/>
  <c r="P982" i="6"/>
  <c r="Q982" i="6" s="1"/>
  <c r="P981" i="6"/>
  <c r="Q981" i="6" s="1"/>
  <c r="P980" i="6"/>
  <c r="Q980" i="6" s="1"/>
  <c r="P979" i="6"/>
  <c r="Q979" i="6" s="1"/>
  <c r="P978" i="6"/>
  <c r="Q978" i="6" s="1"/>
  <c r="P977" i="6"/>
  <c r="Q977" i="6" s="1"/>
  <c r="P976" i="6"/>
  <c r="Q976" i="6" s="1"/>
  <c r="P975" i="6"/>
  <c r="Q975" i="6" s="1"/>
  <c r="P974" i="6"/>
  <c r="Q974" i="6" s="1"/>
  <c r="P973" i="6"/>
  <c r="Q973" i="6" s="1"/>
  <c r="P972" i="6"/>
  <c r="Q972" i="6" s="1"/>
  <c r="P971" i="6"/>
  <c r="Q971" i="6" s="1"/>
  <c r="P970" i="6"/>
  <c r="Q970" i="6" s="1"/>
  <c r="P969" i="6"/>
  <c r="Q969" i="6" s="1"/>
  <c r="P968" i="6"/>
  <c r="Q968" i="6" s="1"/>
  <c r="P967" i="6"/>
  <c r="Q967" i="6" s="1"/>
  <c r="P966" i="6"/>
  <c r="Q966" i="6" s="1"/>
  <c r="P965" i="6"/>
  <c r="Q965" i="6" s="1"/>
  <c r="P964" i="6"/>
  <c r="Q964" i="6" s="1"/>
  <c r="P963" i="6"/>
  <c r="Q963" i="6" s="1"/>
  <c r="P962" i="6"/>
  <c r="Q962" i="6" s="1"/>
  <c r="P961" i="6"/>
  <c r="Q961" i="6" s="1"/>
  <c r="P960" i="6"/>
  <c r="Q960" i="6" s="1"/>
  <c r="P959" i="6"/>
  <c r="Q959" i="6" s="1"/>
  <c r="P958" i="6"/>
  <c r="Q958" i="6" s="1"/>
  <c r="P957" i="6"/>
  <c r="Q957" i="6" s="1"/>
  <c r="P956" i="6"/>
  <c r="Q956" i="6" s="1"/>
  <c r="P955" i="6"/>
  <c r="Q955" i="6" s="1"/>
  <c r="P954" i="6"/>
  <c r="Q954" i="6" s="1"/>
  <c r="P953" i="6"/>
  <c r="Q953" i="6" s="1"/>
  <c r="P952" i="6"/>
  <c r="Q952" i="6" s="1"/>
  <c r="P951" i="6"/>
  <c r="Q951" i="6" s="1"/>
  <c r="P950" i="6"/>
  <c r="Q950" i="6" s="1"/>
  <c r="P949" i="6"/>
  <c r="Q949" i="6" s="1"/>
  <c r="P948" i="6"/>
  <c r="Q948" i="6" s="1"/>
  <c r="P947" i="6"/>
  <c r="Q947" i="6" s="1"/>
  <c r="P946" i="6"/>
  <c r="Q946" i="6" s="1"/>
  <c r="P945" i="6"/>
  <c r="Q945" i="6" s="1"/>
  <c r="P944" i="6"/>
  <c r="Q944" i="6" s="1"/>
  <c r="P943" i="6"/>
  <c r="Q943" i="6" s="1"/>
  <c r="P942" i="6"/>
  <c r="Q942" i="6" s="1"/>
  <c r="P941" i="6"/>
  <c r="Q941" i="6" s="1"/>
  <c r="P940" i="6"/>
  <c r="Q940" i="6" s="1"/>
  <c r="P939" i="6"/>
  <c r="Q939" i="6" s="1"/>
  <c r="P938" i="6"/>
  <c r="Q938" i="6" s="1"/>
  <c r="P937" i="6"/>
  <c r="Q937" i="6" s="1"/>
  <c r="P936" i="6"/>
  <c r="Q936" i="6" s="1"/>
  <c r="P935" i="6"/>
  <c r="Q935" i="6" s="1"/>
  <c r="P934" i="6"/>
  <c r="Q934" i="6" s="1"/>
  <c r="P933" i="6"/>
  <c r="Q933" i="6" s="1"/>
  <c r="P932" i="6"/>
  <c r="Q932" i="6" s="1"/>
  <c r="P931" i="6"/>
  <c r="Q931" i="6" s="1"/>
  <c r="P930" i="6"/>
  <c r="Q930" i="6" s="1"/>
  <c r="P929" i="6"/>
  <c r="Q929" i="6" s="1"/>
  <c r="P928" i="6"/>
  <c r="Q928" i="6" s="1"/>
  <c r="P927" i="6"/>
  <c r="Q927" i="6" s="1"/>
  <c r="P926" i="6"/>
  <c r="Q926" i="6" s="1"/>
  <c r="P925" i="6"/>
  <c r="Q925" i="6" s="1"/>
  <c r="P924" i="6"/>
  <c r="Q924" i="6" s="1"/>
  <c r="P923" i="6"/>
  <c r="Q923" i="6" s="1"/>
  <c r="P922" i="6"/>
  <c r="Q922" i="6" s="1"/>
  <c r="P921" i="6"/>
  <c r="Q921" i="6" s="1"/>
  <c r="P920" i="6"/>
  <c r="Q920" i="6" s="1"/>
  <c r="P919" i="6"/>
  <c r="Q919" i="6" s="1"/>
  <c r="P918" i="6"/>
  <c r="Q918" i="6" s="1"/>
  <c r="P917" i="6"/>
  <c r="Q917" i="6" s="1"/>
  <c r="P916" i="6"/>
  <c r="Q916" i="6" s="1"/>
  <c r="P915" i="6"/>
  <c r="Q915" i="6" s="1"/>
  <c r="P914" i="6"/>
  <c r="Q914" i="6" s="1"/>
  <c r="P913" i="6"/>
  <c r="Q913" i="6" s="1"/>
  <c r="P912" i="6"/>
  <c r="Q912" i="6" s="1"/>
  <c r="P911" i="6"/>
  <c r="Q911" i="6" s="1"/>
  <c r="P910" i="6"/>
  <c r="Q910" i="6" s="1"/>
  <c r="P909" i="6"/>
  <c r="Q909" i="6" s="1"/>
  <c r="P908" i="6"/>
  <c r="Q908" i="6" s="1"/>
  <c r="P907" i="6"/>
  <c r="Q907" i="6" s="1"/>
  <c r="P906" i="6"/>
  <c r="Q906" i="6" s="1"/>
  <c r="P905" i="6"/>
  <c r="Q905" i="6" s="1"/>
  <c r="P904" i="6"/>
  <c r="Q904" i="6" s="1"/>
  <c r="P903" i="6"/>
  <c r="Q903" i="6" s="1"/>
  <c r="P902" i="6"/>
  <c r="Q902" i="6" s="1"/>
  <c r="P901" i="6"/>
  <c r="Q901" i="6" s="1"/>
  <c r="P900" i="6"/>
  <c r="Q900" i="6" s="1"/>
  <c r="P899" i="6"/>
  <c r="Q899" i="6" s="1"/>
  <c r="P898" i="6"/>
  <c r="Q898" i="6" s="1"/>
  <c r="P897" i="6"/>
  <c r="Q897" i="6" s="1"/>
  <c r="P896" i="6"/>
  <c r="Q896" i="6" s="1"/>
  <c r="P895" i="6"/>
  <c r="Q895" i="6" s="1"/>
  <c r="P894" i="6"/>
  <c r="Q894" i="6" s="1"/>
  <c r="P893" i="6"/>
  <c r="Q893" i="6" s="1"/>
  <c r="P892" i="6"/>
  <c r="Q892" i="6" s="1"/>
  <c r="P891" i="6"/>
  <c r="Q891" i="6" s="1"/>
  <c r="P890" i="6"/>
  <c r="Q890" i="6" s="1"/>
  <c r="P889" i="6"/>
  <c r="Q889" i="6" s="1"/>
  <c r="P888" i="6"/>
  <c r="Q888" i="6" s="1"/>
  <c r="P887" i="6"/>
  <c r="Q887" i="6" s="1"/>
  <c r="P886" i="6"/>
  <c r="Q886" i="6" s="1"/>
  <c r="P885" i="6"/>
  <c r="Q885" i="6" s="1"/>
  <c r="P884" i="6"/>
  <c r="Q884" i="6" s="1"/>
  <c r="P883" i="6"/>
  <c r="Q883" i="6" s="1"/>
  <c r="P882" i="6"/>
  <c r="Q882" i="6" s="1"/>
  <c r="P881" i="6"/>
  <c r="Q881" i="6" s="1"/>
  <c r="P880" i="6"/>
  <c r="Q880" i="6" s="1"/>
  <c r="P879" i="6"/>
  <c r="Q879" i="6" s="1"/>
  <c r="P878" i="6"/>
  <c r="Q878" i="6" s="1"/>
  <c r="P877" i="6"/>
  <c r="Q877" i="6" s="1"/>
  <c r="P876" i="6"/>
  <c r="Q876" i="6" s="1"/>
  <c r="P875" i="6"/>
  <c r="Q875" i="6" s="1"/>
  <c r="P874" i="6"/>
  <c r="Q874" i="6" s="1"/>
  <c r="P873" i="6"/>
  <c r="Q873" i="6" s="1"/>
  <c r="P872" i="6"/>
  <c r="Q872" i="6" s="1"/>
  <c r="P871" i="6"/>
  <c r="Q871" i="6" s="1"/>
  <c r="P870" i="6"/>
  <c r="Q870" i="6" s="1"/>
  <c r="P869" i="6"/>
  <c r="Q869" i="6" s="1"/>
  <c r="P868" i="6"/>
  <c r="Q868" i="6" s="1"/>
  <c r="P867" i="6"/>
  <c r="Q867" i="6" s="1"/>
  <c r="P866" i="6"/>
  <c r="Q866" i="6" s="1"/>
  <c r="P865" i="6"/>
  <c r="Q865" i="6" s="1"/>
  <c r="P864" i="6"/>
  <c r="Q864" i="6" s="1"/>
  <c r="P863" i="6"/>
  <c r="Q863" i="6" s="1"/>
  <c r="P862" i="6"/>
  <c r="Q862" i="6" s="1"/>
  <c r="P861" i="6"/>
  <c r="Q861" i="6" s="1"/>
  <c r="P860" i="6"/>
  <c r="Q860" i="6" s="1"/>
  <c r="P859" i="6"/>
  <c r="Q859" i="6" s="1"/>
  <c r="P858" i="6"/>
  <c r="Q858" i="6" s="1"/>
  <c r="P857" i="6"/>
  <c r="Q857" i="6" s="1"/>
  <c r="P856" i="6"/>
  <c r="Q856" i="6" s="1"/>
  <c r="P855" i="6"/>
  <c r="Q855" i="6" s="1"/>
  <c r="P854" i="6"/>
  <c r="Q854" i="6" s="1"/>
  <c r="P853" i="6"/>
  <c r="Q853" i="6" s="1"/>
  <c r="P852" i="6"/>
  <c r="Q852" i="6" s="1"/>
  <c r="P851" i="6"/>
  <c r="Q851" i="6" s="1"/>
  <c r="P850" i="6"/>
  <c r="Q850" i="6" s="1"/>
  <c r="P849" i="6"/>
  <c r="Q849" i="6" s="1"/>
  <c r="P848" i="6"/>
  <c r="Q848" i="6" s="1"/>
  <c r="P847" i="6"/>
  <c r="Q847" i="6" s="1"/>
  <c r="P846" i="6"/>
  <c r="Q846" i="6" s="1"/>
  <c r="P845" i="6"/>
  <c r="Q845" i="6" s="1"/>
  <c r="P844" i="6"/>
  <c r="Q844" i="6" s="1"/>
  <c r="P843" i="6"/>
  <c r="Q843" i="6" s="1"/>
  <c r="P842" i="6"/>
  <c r="Q842" i="6" s="1"/>
  <c r="P841" i="6"/>
  <c r="Q841" i="6" s="1"/>
  <c r="P840" i="6"/>
  <c r="Q840" i="6" s="1"/>
  <c r="P839" i="6"/>
  <c r="Q839" i="6" s="1"/>
  <c r="P838" i="6"/>
  <c r="Q838" i="6" s="1"/>
  <c r="P837" i="6"/>
  <c r="Q837" i="6" s="1"/>
  <c r="P836" i="6"/>
  <c r="Q836" i="6" s="1"/>
  <c r="P835" i="6"/>
  <c r="Q835" i="6" s="1"/>
  <c r="P834" i="6"/>
  <c r="Q834" i="6" s="1"/>
  <c r="P833" i="6"/>
  <c r="Q833" i="6" s="1"/>
  <c r="P832" i="6"/>
  <c r="Q832" i="6" s="1"/>
  <c r="P831" i="6"/>
  <c r="Q831" i="6" s="1"/>
  <c r="P830" i="6"/>
  <c r="Q830" i="6" s="1"/>
  <c r="P829" i="6"/>
  <c r="Q829" i="6" s="1"/>
  <c r="P828" i="6"/>
  <c r="Q828" i="6" s="1"/>
  <c r="P827" i="6"/>
  <c r="Q827" i="6" s="1"/>
  <c r="P826" i="6"/>
  <c r="Q826" i="6" s="1"/>
  <c r="P825" i="6"/>
  <c r="Q825" i="6" s="1"/>
  <c r="P824" i="6"/>
  <c r="Q824" i="6" s="1"/>
  <c r="P823" i="6"/>
  <c r="Q823" i="6" s="1"/>
  <c r="P822" i="6"/>
  <c r="Q822" i="6" s="1"/>
  <c r="P821" i="6"/>
  <c r="Q821" i="6" s="1"/>
  <c r="P820" i="6"/>
  <c r="Q820" i="6" s="1"/>
  <c r="P819" i="6"/>
  <c r="Q819" i="6" s="1"/>
  <c r="P818" i="6"/>
  <c r="Q818" i="6" s="1"/>
  <c r="P817" i="6"/>
  <c r="Q817" i="6" s="1"/>
  <c r="P816" i="6"/>
  <c r="Q816" i="6" s="1"/>
  <c r="P815" i="6"/>
  <c r="Q815" i="6" s="1"/>
  <c r="P814" i="6"/>
  <c r="Q814" i="6" s="1"/>
  <c r="P813" i="6"/>
  <c r="Q813" i="6" s="1"/>
  <c r="P812" i="6"/>
  <c r="Q812" i="6" s="1"/>
  <c r="P811" i="6"/>
  <c r="Q811" i="6" s="1"/>
  <c r="P810" i="6"/>
  <c r="Q810" i="6" s="1"/>
  <c r="P809" i="6"/>
  <c r="Q809" i="6" s="1"/>
  <c r="P808" i="6"/>
  <c r="Q808" i="6" s="1"/>
  <c r="P807" i="6"/>
  <c r="Q807" i="6" s="1"/>
  <c r="P806" i="6"/>
  <c r="Q806" i="6" s="1"/>
  <c r="P805" i="6"/>
  <c r="Q805" i="6" s="1"/>
  <c r="P804" i="6"/>
  <c r="Q804" i="6" s="1"/>
  <c r="P803" i="6"/>
  <c r="Q803" i="6" s="1"/>
  <c r="P802" i="6"/>
  <c r="Q802" i="6" s="1"/>
  <c r="P801" i="6"/>
  <c r="Q801" i="6" s="1"/>
  <c r="P800" i="6"/>
  <c r="Q800" i="6" s="1"/>
  <c r="P799" i="6"/>
  <c r="Q799" i="6" s="1"/>
  <c r="P798" i="6"/>
  <c r="Q798" i="6" s="1"/>
  <c r="P797" i="6"/>
  <c r="Q797" i="6" s="1"/>
  <c r="P796" i="6"/>
  <c r="Q796" i="6" s="1"/>
  <c r="P795" i="6"/>
  <c r="Q795" i="6" s="1"/>
  <c r="P794" i="6"/>
  <c r="Q794" i="6" s="1"/>
  <c r="P793" i="6"/>
  <c r="Q793" i="6" s="1"/>
  <c r="P792" i="6"/>
  <c r="Q792" i="6" s="1"/>
  <c r="P791" i="6"/>
  <c r="Q791" i="6" s="1"/>
  <c r="P790" i="6"/>
  <c r="Q790" i="6" s="1"/>
  <c r="P789" i="6"/>
  <c r="Q789" i="6" s="1"/>
  <c r="P788" i="6"/>
  <c r="Q788" i="6" s="1"/>
  <c r="P787" i="6"/>
  <c r="Q787" i="6" s="1"/>
  <c r="P786" i="6"/>
  <c r="Q786" i="6" s="1"/>
  <c r="P785" i="6"/>
  <c r="Q785" i="6" s="1"/>
  <c r="P784" i="6"/>
  <c r="Q784" i="6" s="1"/>
  <c r="P783" i="6"/>
  <c r="Q783" i="6" s="1"/>
  <c r="P782" i="6"/>
  <c r="Q782" i="6" s="1"/>
  <c r="P781" i="6"/>
  <c r="Q781" i="6" s="1"/>
  <c r="P780" i="6"/>
  <c r="Q780" i="6" s="1"/>
  <c r="P779" i="6"/>
  <c r="Q779" i="6" s="1"/>
  <c r="P778" i="6"/>
  <c r="Q778" i="6" s="1"/>
  <c r="P777" i="6"/>
  <c r="Q777" i="6" s="1"/>
  <c r="P776" i="6"/>
  <c r="Q776" i="6" s="1"/>
  <c r="P775" i="6"/>
  <c r="Q775" i="6" s="1"/>
  <c r="P774" i="6"/>
  <c r="Q774" i="6" s="1"/>
  <c r="P773" i="6"/>
  <c r="Q773" i="6" s="1"/>
  <c r="P772" i="6"/>
  <c r="Q772" i="6" s="1"/>
  <c r="P771" i="6"/>
  <c r="Q771" i="6" s="1"/>
  <c r="P770" i="6"/>
  <c r="Q770" i="6" s="1"/>
  <c r="P769" i="6"/>
  <c r="Q769" i="6" s="1"/>
  <c r="P768" i="6"/>
  <c r="Q768" i="6" s="1"/>
  <c r="P767" i="6"/>
  <c r="Q767" i="6" s="1"/>
  <c r="P766" i="6"/>
  <c r="Q766" i="6" s="1"/>
  <c r="P765" i="6"/>
  <c r="Q765" i="6" s="1"/>
  <c r="P764" i="6"/>
  <c r="Q764" i="6" s="1"/>
  <c r="P763" i="6"/>
  <c r="Q763" i="6" s="1"/>
  <c r="P762" i="6"/>
  <c r="Q762" i="6" s="1"/>
  <c r="P761" i="6"/>
  <c r="Q761" i="6" s="1"/>
  <c r="P760" i="6"/>
  <c r="Q760" i="6" s="1"/>
  <c r="P759" i="6"/>
  <c r="Q759" i="6" s="1"/>
  <c r="P758" i="6"/>
  <c r="Q758" i="6" s="1"/>
  <c r="P757" i="6"/>
  <c r="Q757" i="6" s="1"/>
  <c r="P756" i="6"/>
  <c r="Q756" i="6" s="1"/>
  <c r="P755" i="6"/>
  <c r="Q755" i="6" s="1"/>
  <c r="P754" i="6"/>
  <c r="Q754" i="6" s="1"/>
  <c r="P753" i="6"/>
  <c r="Q753" i="6" s="1"/>
  <c r="P752" i="6"/>
  <c r="Q752" i="6" s="1"/>
  <c r="P751" i="6"/>
  <c r="Q751" i="6" s="1"/>
  <c r="P750" i="6"/>
  <c r="Q750" i="6" s="1"/>
  <c r="P749" i="6"/>
  <c r="Q749" i="6" s="1"/>
  <c r="P748" i="6"/>
  <c r="Q748" i="6" s="1"/>
  <c r="P747" i="6"/>
  <c r="Q747" i="6" s="1"/>
  <c r="P746" i="6"/>
  <c r="Q746" i="6" s="1"/>
  <c r="P745" i="6"/>
  <c r="Q745" i="6" s="1"/>
  <c r="P744" i="6"/>
  <c r="Q744" i="6" s="1"/>
  <c r="P743" i="6"/>
  <c r="Q743" i="6" s="1"/>
  <c r="P742" i="6"/>
  <c r="Q742" i="6" s="1"/>
  <c r="P741" i="6"/>
  <c r="Q741" i="6" s="1"/>
  <c r="P740" i="6"/>
  <c r="Q740" i="6" s="1"/>
  <c r="P739" i="6"/>
  <c r="Q739" i="6" s="1"/>
  <c r="P738" i="6"/>
  <c r="Q738" i="6" s="1"/>
  <c r="P737" i="6"/>
  <c r="Q737" i="6" s="1"/>
  <c r="P736" i="6"/>
  <c r="Q736" i="6" s="1"/>
  <c r="P735" i="6"/>
  <c r="Q735" i="6" s="1"/>
  <c r="P734" i="6"/>
  <c r="Q734" i="6" s="1"/>
  <c r="P733" i="6"/>
  <c r="Q733" i="6" s="1"/>
  <c r="P732" i="6"/>
  <c r="Q732" i="6" s="1"/>
  <c r="P731" i="6"/>
  <c r="Q731" i="6" s="1"/>
  <c r="P730" i="6"/>
  <c r="Q730" i="6" s="1"/>
  <c r="P729" i="6"/>
  <c r="Q729" i="6" s="1"/>
  <c r="P728" i="6"/>
  <c r="Q728" i="6" s="1"/>
  <c r="P727" i="6"/>
  <c r="Q727" i="6" s="1"/>
  <c r="P726" i="6"/>
  <c r="Q726" i="6" s="1"/>
  <c r="P725" i="6"/>
  <c r="Q725" i="6" s="1"/>
  <c r="P724" i="6"/>
  <c r="Q724" i="6" s="1"/>
  <c r="P723" i="6"/>
  <c r="Q723" i="6" s="1"/>
  <c r="P722" i="6"/>
  <c r="Q722" i="6" s="1"/>
  <c r="P721" i="6"/>
  <c r="Q721" i="6" s="1"/>
  <c r="P720" i="6"/>
  <c r="Q720" i="6" s="1"/>
  <c r="P719" i="6"/>
  <c r="Q719" i="6" s="1"/>
  <c r="P718" i="6"/>
  <c r="Q718" i="6" s="1"/>
  <c r="P717" i="6"/>
  <c r="Q717" i="6" s="1"/>
  <c r="P716" i="6"/>
  <c r="Q716" i="6" s="1"/>
  <c r="P715" i="6"/>
  <c r="Q715" i="6" s="1"/>
  <c r="P714" i="6"/>
  <c r="Q714" i="6" s="1"/>
  <c r="P713" i="6"/>
  <c r="Q713" i="6" s="1"/>
  <c r="P712" i="6"/>
  <c r="Q712" i="6" s="1"/>
  <c r="P711" i="6"/>
  <c r="Q711" i="6" s="1"/>
  <c r="P710" i="6"/>
  <c r="Q710" i="6" s="1"/>
  <c r="P709" i="6"/>
  <c r="Q709" i="6" s="1"/>
  <c r="P708" i="6"/>
  <c r="Q708" i="6" s="1"/>
  <c r="P707" i="6"/>
  <c r="Q707" i="6" s="1"/>
  <c r="P706" i="6"/>
  <c r="Q706" i="6" s="1"/>
  <c r="P705" i="6"/>
  <c r="Q705" i="6" s="1"/>
  <c r="P704" i="6"/>
  <c r="Q704" i="6" s="1"/>
  <c r="P703" i="6"/>
  <c r="Q703" i="6" s="1"/>
  <c r="P702" i="6"/>
  <c r="Q702" i="6" s="1"/>
  <c r="P701" i="6"/>
  <c r="Q701" i="6" s="1"/>
  <c r="P700" i="6"/>
  <c r="Q700" i="6" s="1"/>
  <c r="P699" i="6"/>
  <c r="Q699" i="6" s="1"/>
  <c r="P698" i="6"/>
  <c r="Q698" i="6" s="1"/>
  <c r="P697" i="6"/>
  <c r="Q697" i="6" s="1"/>
  <c r="P696" i="6"/>
  <c r="Q696" i="6" s="1"/>
  <c r="P695" i="6"/>
  <c r="Q695" i="6" s="1"/>
  <c r="P694" i="6"/>
  <c r="Q694" i="6" s="1"/>
  <c r="P693" i="6"/>
  <c r="Q693" i="6" s="1"/>
  <c r="P692" i="6"/>
  <c r="Q692" i="6" s="1"/>
  <c r="P691" i="6"/>
  <c r="Q691" i="6" s="1"/>
  <c r="P690" i="6"/>
  <c r="Q690" i="6" s="1"/>
  <c r="P689" i="6"/>
  <c r="Q689" i="6" s="1"/>
  <c r="P688" i="6"/>
  <c r="Q688" i="6" s="1"/>
  <c r="P687" i="6"/>
  <c r="Q687" i="6" s="1"/>
  <c r="P686" i="6"/>
  <c r="Q686" i="6" s="1"/>
  <c r="P685" i="6"/>
  <c r="Q685" i="6" s="1"/>
  <c r="P684" i="6"/>
  <c r="Q684" i="6" s="1"/>
  <c r="P683" i="6"/>
  <c r="Q683" i="6" s="1"/>
  <c r="P682" i="6"/>
  <c r="Q682" i="6" s="1"/>
  <c r="P681" i="6"/>
  <c r="Q681" i="6" s="1"/>
  <c r="P680" i="6"/>
  <c r="Q680" i="6" s="1"/>
  <c r="P679" i="6"/>
  <c r="Q679" i="6" s="1"/>
  <c r="P678" i="6"/>
  <c r="Q678" i="6" s="1"/>
  <c r="P677" i="6"/>
  <c r="Q677" i="6" s="1"/>
  <c r="P676" i="6"/>
  <c r="Q676" i="6" s="1"/>
  <c r="P675" i="6"/>
  <c r="Q675" i="6" s="1"/>
  <c r="P674" i="6"/>
  <c r="Q674" i="6" s="1"/>
  <c r="P673" i="6"/>
  <c r="Q673" i="6" s="1"/>
  <c r="P672" i="6"/>
  <c r="Q672" i="6" s="1"/>
  <c r="P671" i="6"/>
  <c r="Q671" i="6" s="1"/>
  <c r="P670" i="6"/>
  <c r="Q670" i="6" s="1"/>
  <c r="P669" i="6"/>
  <c r="Q669" i="6" s="1"/>
  <c r="P668" i="6"/>
  <c r="Q668" i="6" s="1"/>
  <c r="P667" i="6"/>
  <c r="Q667" i="6" s="1"/>
  <c r="P666" i="6"/>
  <c r="Q666" i="6" s="1"/>
  <c r="P665" i="6"/>
  <c r="Q665" i="6" s="1"/>
  <c r="P664" i="6"/>
  <c r="Q664" i="6" s="1"/>
  <c r="P663" i="6"/>
  <c r="Q663" i="6" s="1"/>
  <c r="P662" i="6"/>
  <c r="Q662" i="6" s="1"/>
  <c r="P661" i="6"/>
  <c r="Q661" i="6" s="1"/>
  <c r="P660" i="6"/>
  <c r="Q660" i="6" s="1"/>
  <c r="P659" i="6"/>
  <c r="Q659" i="6" s="1"/>
  <c r="P658" i="6"/>
  <c r="Q658" i="6" s="1"/>
  <c r="P657" i="6"/>
  <c r="Q657" i="6" s="1"/>
  <c r="P656" i="6"/>
  <c r="Q656" i="6" s="1"/>
  <c r="P655" i="6"/>
  <c r="Q655" i="6" s="1"/>
  <c r="P654" i="6"/>
  <c r="Q654" i="6" s="1"/>
  <c r="P653" i="6"/>
  <c r="Q653" i="6" s="1"/>
  <c r="P652" i="6"/>
  <c r="Q652" i="6" s="1"/>
  <c r="P651" i="6"/>
  <c r="Q651" i="6" s="1"/>
  <c r="P650" i="6"/>
  <c r="Q650" i="6" s="1"/>
  <c r="P649" i="6"/>
  <c r="Q649" i="6" s="1"/>
  <c r="P648" i="6"/>
  <c r="Q648" i="6" s="1"/>
  <c r="P647" i="6"/>
  <c r="Q647" i="6" s="1"/>
  <c r="P646" i="6"/>
  <c r="Q646" i="6" s="1"/>
  <c r="P645" i="6"/>
  <c r="Q645" i="6" s="1"/>
  <c r="P644" i="6"/>
  <c r="Q644" i="6" s="1"/>
  <c r="P643" i="6"/>
  <c r="Q643" i="6" s="1"/>
  <c r="P642" i="6"/>
  <c r="Q642" i="6" s="1"/>
  <c r="P641" i="6"/>
  <c r="Q641" i="6" s="1"/>
  <c r="P640" i="6"/>
  <c r="Q640" i="6" s="1"/>
  <c r="P639" i="6"/>
  <c r="Q639" i="6" s="1"/>
  <c r="P638" i="6"/>
  <c r="Q638" i="6" s="1"/>
  <c r="P637" i="6"/>
  <c r="Q637" i="6" s="1"/>
  <c r="P636" i="6"/>
  <c r="Q636" i="6" s="1"/>
  <c r="P635" i="6"/>
  <c r="Q635" i="6" s="1"/>
  <c r="P634" i="6"/>
  <c r="Q634" i="6" s="1"/>
  <c r="P633" i="6"/>
  <c r="Q633" i="6" s="1"/>
  <c r="P632" i="6"/>
  <c r="Q632" i="6" s="1"/>
  <c r="P631" i="6"/>
  <c r="Q631" i="6" s="1"/>
  <c r="P630" i="6"/>
  <c r="Q630" i="6" s="1"/>
  <c r="P629" i="6"/>
  <c r="Q629" i="6" s="1"/>
  <c r="P628" i="6"/>
  <c r="Q628" i="6" s="1"/>
  <c r="P627" i="6"/>
  <c r="Q627" i="6" s="1"/>
  <c r="P626" i="6"/>
  <c r="Q626" i="6" s="1"/>
  <c r="P625" i="6"/>
  <c r="Q625" i="6" s="1"/>
  <c r="P624" i="6"/>
  <c r="Q624" i="6" s="1"/>
  <c r="P623" i="6"/>
  <c r="Q623" i="6" s="1"/>
  <c r="P622" i="6"/>
  <c r="Q622" i="6" s="1"/>
  <c r="P621" i="6"/>
  <c r="Q621" i="6" s="1"/>
  <c r="P620" i="6"/>
  <c r="Q620" i="6" s="1"/>
  <c r="P619" i="6"/>
  <c r="Q619" i="6" s="1"/>
  <c r="P618" i="6"/>
  <c r="Q618" i="6" s="1"/>
  <c r="P617" i="6"/>
  <c r="Q617" i="6" s="1"/>
  <c r="P616" i="6"/>
  <c r="Q616" i="6" s="1"/>
  <c r="P615" i="6"/>
  <c r="Q615" i="6" s="1"/>
  <c r="P614" i="6"/>
  <c r="Q614" i="6" s="1"/>
  <c r="P613" i="6"/>
  <c r="Q613" i="6" s="1"/>
  <c r="P612" i="6"/>
  <c r="Q612" i="6" s="1"/>
  <c r="P611" i="6"/>
  <c r="Q611" i="6" s="1"/>
  <c r="P610" i="6"/>
  <c r="Q610" i="6" s="1"/>
  <c r="P609" i="6"/>
  <c r="Q609" i="6" s="1"/>
  <c r="P608" i="6"/>
  <c r="Q608" i="6" s="1"/>
  <c r="P607" i="6"/>
  <c r="Q607" i="6" s="1"/>
  <c r="P606" i="6"/>
  <c r="Q606" i="6" s="1"/>
  <c r="P605" i="6"/>
  <c r="Q605" i="6" s="1"/>
  <c r="P604" i="6"/>
  <c r="Q604" i="6" s="1"/>
  <c r="P603" i="6"/>
  <c r="Q603" i="6" s="1"/>
  <c r="P602" i="6"/>
  <c r="Q602" i="6" s="1"/>
  <c r="P601" i="6"/>
  <c r="Q601" i="6" s="1"/>
  <c r="P600" i="6"/>
  <c r="Q600" i="6" s="1"/>
  <c r="P599" i="6"/>
  <c r="Q599" i="6" s="1"/>
  <c r="P598" i="6"/>
  <c r="Q598" i="6" s="1"/>
  <c r="P597" i="6"/>
  <c r="Q597" i="6" s="1"/>
  <c r="P596" i="6"/>
  <c r="Q596" i="6" s="1"/>
  <c r="P595" i="6"/>
  <c r="Q595" i="6" s="1"/>
  <c r="P594" i="6"/>
  <c r="Q594" i="6" s="1"/>
  <c r="P593" i="6"/>
  <c r="Q593" i="6" s="1"/>
  <c r="P592" i="6"/>
  <c r="Q592" i="6" s="1"/>
  <c r="P591" i="6"/>
  <c r="Q591" i="6" s="1"/>
  <c r="P590" i="6"/>
  <c r="Q590" i="6" s="1"/>
  <c r="P589" i="6"/>
  <c r="Q589" i="6" s="1"/>
  <c r="P588" i="6"/>
  <c r="Q588" i="6" s="1"/>
  <c r="P587" i="6"/>
  <c r="Q587" i="6" s="1"/>
  <c r="P586" i="6"/>
  <c r="Q586" i="6" s="1"/>
  <c r="P585" i="6"/>
  <c r="Q585" i="6" s="1"/>
  <c r="P584" i="6"/>
  <c r="Q584" i="6" s="1"/>
  <c r="P583" i="6"/>
  <c r="Q583" i="6" s="1"/>
  <c r="P582" i="6"/>
  <c r="Q582" i="6" s="1"/>
  <c r="P581" i="6"/>
  <c r="Q581" i="6" s="1"/>
  <c r="P580" i="6"/>
  <c r="Q580" i="6" s="1"/>
  <c r="P579" i="6"/>
  <c r="Q579" i="6" s="1"/>
  <c r="P578" i="6"/>
  <c r="Q578" i="6" s="1"/>
  <c r="P577" i="6"/>
  <c r="Q577" i="6" s="1"/>
  <c r="P576" i="6"/>
  <c r="Q576" i="6" s="1"/>
  <c r="P575" i="6"/>
  <c r="Q575" i="6" s="1"/>
  <c r="P574" i="6"/>
  <c r="Q574" i="6" s="1"/>
  <c r="P573" i="6"/>
  <c r="Q573" i="6" s="1"/>
  <c r="P572" i="6"/>
  <c r="Q572" i="6" s="1"/>
  <c r="P571" i="6"/>
  <c r="Q571" i="6" s="1"/>
  <c r="P570" i="6"/>
  <c r="Q570" i="6" s="1"/>
  <c r="P569" i="6"/>
  <c r="Q569" i="6" s="1"/>
  <c r="P568" i="6"/>
  <c r="Q568" i="6" s="1"/>
  <c r="P567" i="6"/>
  <c r="Q567" i="6" s="1"/>
  <c r="P566" i="6"/>
  <c r="Q566" i="6" s="1"/>
  <c r="P565" i="6"/>
  <c r="Q565" i="6" s="1"/>
  <c r="P564" i="6"/>
  <c r="Q564" i="6" s="1"/>
  <c r="P563" i="6"/>
  <c r="Q563" i="6" s="1"/>
  <c r="P562" i="6"/>
  <c r="Q562" i="6" s="1"/>
  <c r="P561" i="6"/>
  <c r="Q561" i="6" s="1"/>
  <c r="P560" i="6"/>
  <c r="Q560" i="6" s="1"/>
  <c r="P559" i="6"/>
  <c r="Q559" i="6" s="1"/>
  <c r="P558" i="6"/>
  <c r="Q558" i="6" s="1"/>
  <c r="P557" i="6"/>
  <c r="Q557" i="6" s="1"/>
  <c r="P556" i="6"/>
  <c r="Q556" i="6" s="1"/>
  <c r="P555" i="6"/>
  <c r="Q555" i="6" s="1"/>
  <c r="P554" i="6"/>
  <c r="Q554" i="6" s="1"/>
  <c r="P553" i="6"/>
  <c r="Q553" i="6" s="1"/>
  <c r="P552" i="6"/>
  <c r="Q552" i="6" s="1"/>
  <c r="P551" i="6"/>
  <c r="Q551" i="6" s="1"/>
  <c r="P550" i="6"/>
  <c r="Q550" i="6" s="1"/>
  <c r="P549" i="6"/>
  <c r="Q549" i="6" s="1"/>
  <c r="P548" i="6"/>
  <c r="Q548" i="6" s="1"/>
  <c r="P547" i="6"/>
  <c r="Q547" i="6" s="1"/>
  <c r="P546" i="6"/>
  <c r="Q546" i="6" s="1"/>
  <c r="P545" i="6"/>
  <c r="Q545" i="6" s="1"/>
  <c r="P544" i="6"/>
  <c r="Q544" i="6" s="1"/>
  <c r="P543" i="6"/>
  <c r="Q543" i="6" s="1"/>
  <c r="P542" i="6"/>
  <c r="Q542" i="6" s="1"/>
  <c r="P541" i="6"/>
  <c r="Q541" i="6" s="1"/>
  <c r="P540" i="6"/>
  <c r="Q540" i="6" s="1"/>
  <c r="P539" i="6"/>
  <c r="Q539" i="6" s="1"/>
  <c r="P538" i="6"/>
  <c r="Q538" i="6" s="1"/>
  <c r="P537" i="6"/>
  <c r="Q537" i="6" s="1"/>
  <c r="P536" i="6"/>
  <c r="Q536" i="6" s="1"/>
  <c r="P535" i="6"/>
  <c r="Q535" i="6" s="1"/>
  <c r="P534" i="6"/>
  <c r="Q534" i="6" s="1"/>
  <c r="P533" i="6"/>
  <c r="Q533" i="6" s="1"/>
  <c r="P532" i="6"/>
  <c r="Q532" i="6" s="1"/>
  <c r="P531" i="6"/>
  <c r="Q531" i="6" s="1"/>
  <c r="P530" i="6"/>
  <c r="Q530" i="6" s="1"/>
  <c r="P529" i="6"/>
  <c r="Q529" i="6" s="1"/>
  <c r="P528" i="6"/>
  <c r="Q528" i="6" s="1"/>
  <c r="P527" i="6"/>
  <c r="Q527" i="6" s="1"/>
  <c r="P526" i="6"/>
  <c r="Q526" i="6" s="1"/>
  <c r="P525" i="6"/>
  <c r="Q525" i="6" s="1"/>
  <c r="P524" i="6"/>
  <c r="Q524" i="6" s="1"/>
  <c r="P523" i="6"/>
  <c r="Q523" i="6" s="1"/>
  <c r="P522" i="6"/>
  <c r="Q522" i="6" s="1"/>
  <c r="P521" i="6"/>
  <c r="Q521" i="6" s="1"/>
  <c r="P520" i="6"/>
  <c r="Q520" i="6" s="1"/>
  <c r="P519" i="6"/>
  <c r="Q519" i="6" s="1"/>
  <c r="P518" i="6"/>
  <c r="Q518" i="6" s="1"/>
  <c r="P517" i="6"/>
  <c r="Q517" i="6" s="1"/>
  <c r="P516" i="6"/>
  <c r="Q516" i="6" s="1"/>
  <c r="P515" i="6"/>
  <c r="Q515" i="6" s="1"/>
  <c r="P514" i="6"/>
  <c r="Q514" i="6" s="1"/>
  <c r="P513" i="6"/>
  <c r="Q513" i="6" s="1"/>
  <c r="P512" i="6"/>
  <c r="Q512" i="6" s="1"/>
  <c r="P511" i="6"/>
  <c r="Q511" i="6" s="1"/>
  <c r="P510" i="6"/>
  <c r="Q510" i="6" s="1"/>
  <c r="P509" i="6"/>
  <c r="Q509" i="6" s="1"/>
  <c r="P508" i="6"/>
  <c r="Q508" i="6" s="1"/>
  <c r="P507" i="6"/>
  <c r="Q507" i="6" s="1"/>
  <c r="P506" i="6"/>
  <c r="Q506" i="6" s="1"/>
  <c r="P505" i="6"/>
  <c r="Q505" i="6" s="1"/>
  <c r="P504" i="6"/>
  <c r="Q504" i="6" s="1"/>
  <c r="P503" i="6"/>
  <c r="Q503" i="6" s="1"/>
  <c r="P502" i="6"/>
  <c r="Q502" i="6" s="1"/>
  <c r="P501" i="6"/>
  <c r="Q501" i="6" s="1"/>
  <c r="P500" i="6"/>
  <c r="Q500" i="6" s="1"/>
  <c r="P499" i="6"/>
  <c r="Q499" i="6" s="1"/>
  <c r="P498" i="6"/>
  <c r="Q498" i="6" s="1"/>
  <c r="P497" i="6"/>
  <c r="Q497" i="6" s="1"/>
  <c r="P496" i="6"/>
  <c r="Q496" i="6" s="1"/>
  <c r="P495" i="6"/>
  <c r="Q495" i="6" s="1"/>
  <c r="P494" i="6"/>
  <c r="Q494" i="6" s="1"/>
  <c r="P493" i="6"/>
  <c r="Q493" i="6" s="1"/>
  <c r="P492" i="6"/>
  <c r="Q492" i="6" s="1"/>
  <c r="P491" i="6"/>
  <c r="Q491" i="6" s="1"/>
  <c r="P490" i="6"/>
  <c r="Q490" i="6" s="1"/>
  <c r="P489" i="6"/>
  <c r="Q489" i="6" s="1"/>
  <c r="P488" i="6"/>
  <c r="Q488" i="6" s="1"/>
  <c r="P487" i="6"/>
  <c r="Q487" i="6" s="1"/>
  <c r="P486" i="6"/>
  <c r="Q486" i="6" s="1"/>
  <c r="P485" i="6"/>
  <c r="Q485" i="6" s="1"/>
  <c r="P484" i="6"/>
  <c r="Q484" i="6" s="1"/>
  <c r="P483" i="6"/>
  <c r="Q483" i="6" s="1"/>
  <c r="P482" i="6"/>
  <c r="Q482" i="6" s="1"/>
  <c r="P481" i="6"/>
  <c r="Q481" i="6" s="1"/>
  <c r="P480" i="6"/>
  <c r="Q480" i="6" s="1"/>
  <c r="P479" i="6"/>
  <c r="Q479" i="6" s="1"/>
  <c r="P478" i="6"/>
  <c r="Q478" i="6" s="1"/>
  <c r="P477" i="6"/>
  <c r="Q477" i="6" s="1"/>
  <c r="P476" i="6"/>
  <c r="Q476" i="6" s="1"/>
  <c r="P475" i="6"/>
  <c r="Q475" i="6" s="1"/>
  <c r="P474" i="6"/>
  <c r="Q474" i="6" s="1"/>
  <c r="P473" i="6"/>
  <c r="Q473" i="6" s="1"/>
  <c r="P472" i="6"/>
  <c r="Q472" i="6" s="1"/>
  <c r="P471" i="6"/>
  <c r="Q471" i="6" s="1"/>
  <c r="P470" i="6"/>
  <c r="Q470" i="6" s="1"/>
  <c r="P469" i="6"/>
  <c r="Q469" i="6" s="1"/>
  <c r="P468" i="6"/>
  <c r="Q468" i="6" s="1"/>
  <c r="P467" i="6"/>
  <c r="Q467" i="6" s="1"/>
  <c r="P466" i="6"/>
  <c r="Q466" i="6" s="1"/>
  <c r="P465" i="6"/>
  <c r="Q465" i="6" s="1"/>
  <c r="P464" i="6"/>
  <c r="Q464" i="6" s="1"/>
  <c r="P463" i="6"/>
  <c r="Q463" i="6" s="1"/>
  <c r="P462" i="6"/>
  <c r="Q462" i="6" s="1"/>
  <c r="P461" i="6"/>
  <c r="Q461" i="6" s="1"/>
  <c r="P460" i="6"/>
  <c r="Q460" i="6" s="1"/>
  <c r="P459" i="6"/>
  <c r="Q459" i="6" s="1"/>
  <c r="P458" i="6"/>
  <c r="Q458" i="6" s="1"/>
  <c r="P457" i="6"/>
  <c r="Q457" i="6" s="1"/>
  <c r="P456" i="6"/>
  <c r="Q456" i="6" s="1"/>
  <c r="P455" i="6"/>
  <c r="Q455" i="6" s="1"/>
  <c r="P454" i="6"/>
  <c r="Q454" i="6" s="1"/>
  <c r="P453" i="6"/>
  <c r="Q453" i="6" s="1"/>
  <c r="P452" i="6"/>
  <c r="Q452" i="6" s="1"/>
  <c r="P451" i="6"/>
  <c r="Q451" i="6" s="1"/>
  <c r="P450" i="6"/>
  <c r="Q450" i="6" s="1"/>
  <c r="P449" i="6"/>
  <c r="Q449" i="6" s="1"/>
  <c r="P448" i="6"/>
  <c r="Q448" i="6" s="1"/>
  <c r="P447" i="6"/>
  <c r="Q447" i="6" s="1"/>
  <c r="P446" i="6"/>
  <c r="Q446" i="6" s="1"/>
  <c r="P445" i="6"/>
  <c r="Q445" i="6" s="1"/>
  <c r="P444" i="6"/>
  <c r="Q444" i="6" s="1"/>
  <c r="P443" i="6"/>
  <c r="Q443" i="6" s="1"/>
  <c r="P442" i="6"/>
  <c r="Q442" i="6" s="1"/>
  <c r="P441" i="6"/>
  <c r="Q441" i="6" s="1"/>
  <c r="P440" i="6"/>
  <c r="Q440" i="6" s="1"/>
  <c r="P439" i="6"/>
  <c r="Q439" i="6" s="1"/>
  <c r="P438" i="6"/>
  <c r="Q438" i="6" s="1"/>
  <c r="P437" i="6"/>
  <c r="Q437" i="6" s="1"/>
  <c r="P436" i="6"/>
  <c r="Q436" i="6" s="1"/>
  <c r="P435" i="6"/>
  <c r="Q435" i="6" s="1"/>
  <c r="P434" i="6"/>
  <c r="Q434" i="6" s="1"/>
  <c r="P433" i="6"/>
  <c r="Q433" i="6" s="1"/>
  <c r="P432" i="6"/>
  <c r="Q432" i="6" s="1"/>
  <c r="P431" i="6"/>
  <c r="Q431" i="6" s="1"/>
  <c r="P430" i="6"/>
  <c r="Q430" i="6" s="1"/>
  <c r="P429" i="6"/>
  <c r="Q429" i="6" s="1"/>
  <c r="P428" i="6"/>
  <c r="Q428" i="6" s="1"/>
  <c r="P427" i="6"/>
  <c r="Q427" i="6" s="1"/>
  <c r="P426" i="6"/>
  <c r="Q426" i="6" s="1"/>
  <c r="P425" i="6"/>
  <c r="Q425" i="6" s="1"/>
  <c r="P424" i="6"/>
  <c r="Q424" i="6" s="1"/>
  <c r="P423" i="6"/>
  <c r="Q423" i="6" s="1"/>
  <c r="P422" i="6"/>
  <c r="Q422" i="6" s="1"/>
  <c r="P421" i="6"/>
  <c r="Q421" i="6" s="1"/>
  <c r="P420" i="6"/>
  <c r="Q420" i="6" s="1"/>
  <c r="P419" i="6"/>
  <c r="Q419" i="6" s="1"/>
  <c r="P418" i="6"/>
  <c r="Q418" i="6" s="1"/>
  <c r="P417" i="6"/>
  <c r="Q417" i="6" s="1"/>
  <c r="P416" i="6"/>
  <c r="Q416" i="6" s="1"/>
  <c r="P415" i="6"/>
  <c r="Q415" i="6" s="1"/>
  <c r="P414" i="6"/>
  <c r="Q414" i="6" s="1"/>
  <c r="P413" i="6"/>
  <c r="Q413" i="6" s="1"/>
  <c r="P412" i="6"/>
  <c r="Q412" i="6" s="1"/>
  <c r="P411" i="6"/>
  <c r="Q411" i="6" s="1"/>
  <c r="P410" i="6"/>
  <c r="Q410" i="6" s="1"/>
  <c r="P409" i="6"/>
  <c r="Q409" i="6" s="1"/>
  <c r="P408" i="6"/>
  <c r="Q408" i="6" s="1"/>
  <c r="P407" i="6"/>
  <c r="Q407" i="6" s="1"/>
  <c r="P406" i="6"/>
  <c r="Q406" i="6" s="1"/>
  <c r="P405" i="6"/>
  <c r="Q405" i="6" s="1"/>
  <c r="P404" i="6"/>
  <c r="Q404" i="6" s="1"/>
  <c r="P403" i="6"/>
  <c r="Q403" i="6" s="1"/>
  <c r="P402" i="6"/>
  <c r="Q402" i="6" s="1"/>
  <c r="P401" i="6"/>
  <c r="Q401" i="6" s="1"/>
  <c r="P400" i="6"/>
  <c r="Q400" i="6" s="1"/>
  <c r="P399" i="6"/>
  <c r="Q399" i="6" s="1"/>
  <c r="P398" i="6"/>
  <c r="Q398" i="6" s="1"/>
  <c r="P397" i="6"/>
  <c r="Q397" i="6" s="1"/>
  <c r="P396" i="6"/>
  <c r="Q396" i="6" s="1"/>
  <c r="P395" i="6"/>
  <c r="Q395" i="6" s="1"/>
  <c r="P394" i="6"/>
  <c r="Q394" i="6" s="1"/>
  <c r="P393" i="6"/>
  <c r="Q393" i="6" s="1"/>
  <c r="P392" i="6"/>
  <c r="Q392" i="6" s="1"/>
  <c r="P391" i="6"/>
  <c r="Q391" i="6" s="1"/>
  <c r="P390" i="6"/>
  <c r="Q390" i="6" s="1"/>
  <c r="P389" i="6"/>
  <c r="Q389" i="6" s="1"/>
  <c r="P388" i="6"/>
  <c r="Q388" i="6" s="1"/>
  <c r="P387" i="6"/>
  <c r="Q387" i="6" s="1"/>
  <c r="P386" i="6"/>
  <c r="Q386" i="6" s="1"/>
  <c r="P385" i="6"/>
  <c r="Q385" i="6" s="1"/>
  <c r="P384" i="6"/>
  <c r="Q384" i="6" s="1"/>
  <c r="P383" i="6"/>
  <c r="Q383" i="6" s="1"/>
  <c r="P382" i="6"/>
  <c r="Q382" i="6" s="1"/>
  <c r="P381" i="6"/>
  <c r="Q381" i="6" s="1"/>
  <c r="P380" i="6"/>
  <c r="Q380" i="6" s="1"/>
  <c r="P379" i="6"/>
  <c r="Q379" i="6" s="1"/>
  <c r="P378" i="6"/>
  <c r="Q378" i="6" s="1"/>
  <c r="P377" i="6"/>
  <c r="Q377" i="6" s="1"/>
  <c r="P376" i="6"/>
  <c r="Q376" i="6" s="1"/>
  <c r="P375" i="6"/>
  <c r="Q375" i="6" s="1"/>
  <c r="P374" i="6"/>
  <c r="Q374" i="6" s="1"/>
  <c r="P373" i="6"/>
  <c r="Q373" i="6" s="1"/>
  <c r="P372" i="6"/>
  <c r="Q372" i="6" s="1"/>
  <c r="P371" i="6"/>
  <c r="Q371" i="6" s="1"/>
  <c r="P370" i="6"/>
  <c r="Q370" i="6" s="1"/>
  <c r="P369" i="6"/>
  <c r="Q369" i="6" s="1"/>
  <c r="P368" i="6"/>
  <c r="Q368" i="6" s="1"/>
  <c r="P367" i="6"/>
  <c r="Q367" i="6" s="1"/>
  <c r="P366" i="6"/>
  <c r="Q366" i="6" s="1"/>
  <c r="P365" i="6"/>
  <c r="Q365" i="6" s="1"/>
  <c r="P364" i="6"/>
  <c r="Q364" i="6" s="1"/>
  <c r="P363" i="6"/>
  <c r="Q363" i="6" s="1"/>
  <c r="P362" i="6"/>
  <c r="Q362" i="6" s="1"/>
  <c r="P361" i="6"/>
  <c r="Q361" i="6" s="1"/>
  <c r="P360" i="6"/>
  <c r="Q360" i="6" s="1"/>
  <c r="P359" i="6"/>
  <c r="Q359" i="6" s="1"/>
  <c r="P358" i="6"/>
  <c r="Q358" i="6" s="1"/>
  <c r="P357" i="6"/>
  <c r="Q357" i="6" s="1"/>
  <c r="P356" i="6"/>
  <c r="Q356" i="6" s="1"/>
  <c r="P355" i="6"/>
  <c r="Q355" i="6" s="1"/>
  <c r="P354" i="6"/>
  <c r="Q354" i="6" s="1"/>
  <c r="P353" i="6"/>
  <c r="Q353" i="6" s="1"/>
  <c r="P352" i="6"/>
  <c r="Q352" i="6" s="1"/>
  <c r="P351" i="6"/>
  <c r="Q351" i="6" s="1"/>
  <c r="P350" i="6"/>
  <c r="Q350" i="6" s="1"/>
  <c r="P349" i="6"/>
  <c r="Q349" i="6" s="1"/>
  <c r="P348" i="6"/>
  <c r="Q348" i="6" s="1"/>
  <c r="P347" i="6"/>
  <c r="Q347" i="6" s="1"/>
  <c r="P346" i="6"/>
  <c r="Q346" i="6" s="1"/>
  <c r="P345" i="6"/>
  <c r="Q345" i="6" s="1"/>
  <c r="P344" i="6"/>
  <c r="Q344" i="6" s="1"/>
  <c r="P343" i="6"/>
  <c r="Q343" i="6" s="1"/>
  <c r="P342" i="6"/>
  <c r="Q342" i="6" s="1"/>
  <c r="P341" i="6"/>
  <c r="Q341" i="6" s="1"/>
  <c r="P340" i="6"/>
  <c r="Q340" i="6" s="1"/>
  <c r="P339" i="6"/>
  <c r="Q339" i="6" s="1"/>
  <c r="P338" i="6"/>
  <c r="Q338" i="6" s="1"/>
  <c r="P337" i="6"/>
  <c r="Q337" i="6" s="1"/>
  <c r="P336" i="6"/>
  <c r="Q336" i="6" s="1"/>
  <c r="P335" i="6"/>
  <c r="Q335" i="6" s="1"/>
  <c r="P334" i="6"/>
  <c r="Q334" i="6" s="1"/>
  <c r="P333" i="6"/>
  <c r="Q333" i="6" s="1"/>
  <c r="P332" i="6"/>
  <c r="Q332" i="6" s="1"/>
  <c r="P331" i="6"/>
  <c r="Q331" i="6" s="1"/>
  <c r="P330" i="6"/>
  <c r="Q330" i="6" s="1"/>
  <c r="P329" i="6"/>
  <c r="Q329" i="6" s="1"/>
  <c r="P328" i="6"/>
  <c r="Q328" i="6" s="1"/>
  <c r="P327" i="6"/>
  <c r="Q327" i="6" s="1"/>
  <c r="P326" i="6"/>
  <c r="Q326" i="6" s="1"/>
  <c r="P325" i="6"/>
  <c r="Q325" i="6" s="1"/>
  <c r="P324" i="6"/>
  <c r="Q324" i="6" s="1"/>
  <c r="P323" i="6"/>
  <c r="Q323" i="6" s="1"/>
  <c r="P322" i="6"/>
  <c r="Q322" i="6" s="1"/>
  <c r="P321" i="6"/>
  <c r="Q321" i="6" s="1"/>
  <c r="P320" i="6"/>
  <c r="Q320" i="6" s="1"/>
  <c r="P319" i="6"/>
  <c r="Q319" i="6" s="1"/>
  <c r="P318" i="6"/>
  <c r="Q318" i="6" s="1"/>
  <c r="P317" i="6"/>
  <c r="Q317" i="6" s="1"/>
  <c r="P316" i="6"/>
  <c r="Q316" i="6" s="1"/>
  <c r="P315" i="6"/>
  <c r="Q315" i="6" s="1"/>
  <c r="P314" i="6"/>
  <c r="Q314" i="6" s="1"/>
  <c r="P313" i="6"/>
  <c r="Q313" i="6" s="1"/>
  <c r="P312" i="6"/>
  <c r="Q312" i="6" s="1"/>
  <c r="P311" i="6"/>
  <c r="Q311" i="6" s="1"/>
  <c r="P310" i="6"/>
  <c r="Q310" i="6" s="1"/>
  <c r="P309" i="6"/>
  <c r="Q309" i="6" s="1"/>
  <c r="P308" i="6"/>
  <c r="Q308" i="6" s="1"/>
  <c r="P307" i="6"/>
  <c r="Q307" i="6" s="1"/>
  <c r="P306" i="6"/>
  <c r="Q306" i="6" s="1"/>
  <c r="P305" i="6"/>
  <c r="Q305" i="6" s="1"/>
  <c r="P304" i="6"/>
  <c r="Q304" i="6" s="1"/>
  <c r="P303" i="6"/>
  <c r="Q303" i="6" s="1"/>
  <c r="P302" i="6"/>
  <c r="Q302" i="6" s="1"/>
  <c r="P301" i="6"/>
  <c r="Q301" i="6" s="1"/>
  <c r="P300" i="6"/>
  <c r="Q300" i="6" s="1"/>
  <c r="P299" i="6"/>
  <c r="Q299" i="6" s="1"/>
  <c r="P298" i="6"/>
  <c r="Q298" i="6" s="1"/>
  <c r="P297" i="6"/>
  <c r="Q297" i="6" s="1"/>
  <c r="P296" i="6"/>
  <c r="Q296" i="6" s="1"/>
  <c r="P295" i="6"/>
  <c r="Q295" i="6" s="1"/>
  <c r="P294" i="6"/>
  <c r="Q294" i="6" s="1"/>
  <c r="P293" i="6"/>
  <c r="Q293" i="6" s="1"/>
  <c r="P292" i="6"/>
  <c r="Q292" i="6" s="1"/>
  <c r="P291" i="6"/>
  <c r="Q291" i="6" s="1"/>
  <c r="P290" i="6"/>
  <c r="Q290" i="6" s="1"/>
  <c r="P289" i="6"/>
  <c r="Q289" i="6" s="1"/>
  <c r="P288" i="6"/>
  <c r="Q288" i="6" s="1"/>
  <c r="P287" i="6"/>
  <c r="Q287" i="6" s="1"/>
  <c r="P286" i="6"/>
  <c r="Q286" i="6" s="1"/>
  <c r="P285" i="6"/>
  <c r="Q285" i="6" s="1"/>
  <c r="P284" i="6"/>
  <c r="Q284" i="6" s="1"/>
  <c r="P283" i="6"/>
  <c r="Q283" i="6" s="1"/>
  <c r="P282" i="6"/>
  <c r="Q282" i="6" s="1"/>
  <c r="P281" i="6"/>
  <c r="Q281" i="6" s="1"/>
  <c r="P280" i="6"/>
  <c r="Q280" i="6" s="1"/>
  <c r="P279" i="6"/>
  <c r="Q279" i="6" s="1"/>
  <c r="P278" i="6"/>
  <c r="Q278" i="6" s="1"/>
  <c r="P277" i="6"/>
  <c r="Q277" i="6" s="1"/>
  <c r="P276" i="6"/>
  <c r="Q276" i="6" s="1"/>
  <c r="P275" i="6"/>
  <c r="Q275" i="6" s="1"/>
  <c r="P274" i="6"/>
  <c r="Q274" i="6" s="1"/>
  <c r="P273" i="6"/>
  <c r="Q273" i="6" s="1"/>
  <c r="P272" i="6"/>
  <c r="Q272" i="6" s="1"/>
  <c r="P271" i="6"/>
  <c r="Q271" i="6" s="1"/>
  <c r="P270" i="6"/>
  <c r="Q270" i="6" s="1"/>
  <c r="P269" i="6"/>
  <c r="Q269" i="6" s="1"/>
  <c r="P268" i="6"/>
  <c r="Q268" i="6" s="1"/>
  <c r="P267" i="6"/>
  <c r="Q267" i="6" s="1"/>
  <c r="P266" i="6"/>
  <c r="Q266" i="6" s="1"/>
  <c r="P265" i="6"/>
  <c r="Q265" i="6" s="1"/>
  <c r="P264" i="6"/>
  <c r="Q264" i="6" s="1"/>
  <c r="P263" i="6"/>
  <c r="Q263" i="6" s="1"/>
  <c r="P262" i="6"/>
  <c r="Q262" i="6" s="1"/>
  <c r="P261" i="6"/>
  <c r="Q261" i="6" s="1"/>
  <c r="P260" i="6"/>
  <c r="Q260" i="6" s="1"/>
  <c r="P259" i="6"/>
  <c r="Q259" i="6" s="1"/>
  <c r="P258" i="6"/>
  <c r="Q258" i="6" s="1"/>
  <c r="P257" i="6"/>
  <c r="Q257" i="6" s="1"/>
  <c r="P256" i="6"/>
  <c r="Q256" i="6" s="1"/>
  <c r="P255" i="6"/>
  <c r="Q255" i="6" s="1"/>
  <c r="P254" i="6"/>
  <c r="Q254" i="6" s="1"/>
  <c r="P253" i="6"/>
  <c r="Q253" i="6" s="1"/>
  <c r="P252" i="6"/>
  <c r="Q252" i="6" s="1"/>
  <c r="P251" i="6"/>
  <c r="Q251" i="6" s="1"/>
  <c r="P250" i="6"/>
  <c r="Q250" i="6" s="1"/>
  <c r="P249" i="6"/>
  <c r="Q249" i="6" s="1"/>
  <c r="P248" i="6"/>
  <c r="Q248" i="6" s="1"/>
  <c r="P247" i="6"/>
  <c r="Q247" i="6" s="1"/>
  <c r="P246" i="6"/>
  <c r="Q246" i="6" s="1"/>
  <c r="P245" i="6"/>
  <c r="Q245" i="6" s="1"/>
  <c r="P244" i="6"/>
  <c r="Q244" i="6" s="1"/>
  <c r="P243" i="6"/>
  <c r="Q243" i="6" s="1"/>
  <c r="P242" i="6"/>
  <c r="Q242" i="6" s="1"/>
  <c r="P241" i="6"/>
  <c r="Q241" i="6" s="1"/>
  <c r="P240" i="6"/>
  <c r="Q240" i="6" s="1"/>
  <c r="P239" i="6"/>
  <c r="Q239" i="6" s="1"/>
  <c r="P238" i="6"/>
  <c r="Q238" i="6" s="1"/>
  <c r="P237" i="6"/>
  <c r="Q237" i="6" s="1"/>
  <c r="P236" i="6"/>
  <c r="Q236" i="6" s="1"/>
  <c r="P235" i="6"/>
  <c r="Q235" i="6" s="1"/>
  <c r="P234" i="6"/>
  <c r="Q234" i="6" s="1"/>
  <c r="P233" i="6"/>
  <c r="Q233" i="6" s="1"/>
  <c r="P232" i="6"/>
  <c r="Q232" i="6" s="1"/>
  <c r="P231" i="6"/>
  <c r="Q231" i="6" s="1"/>
  <c r="P230" i="6"/>
  <c r="Q230" i="6" s="1"/>
  <c r="P229" i="6"/>
  <c r="Q229" i="6" s="1"/>
  <c r="P228" i="6"/>
  <c r="Q228" i="6" s="1"/>
  <c r="P227" i="6"/>
  <c r="Q227" i="6" s="1"/>
  <c r="P226" i="6"/>
  <c r="Q226" i="6" s="1"/>
  <c r="P225" i="6"/>
  <c r="Q225" i="6" s="1"/>
  <c r="P224" i="6"/>
  <c r="Q224" i="6" s="1"/>
  <c r="P223" i="6"/>
  <c r="Q223" i="6" s="1"/>
  <c r="P222" i="6"/>
  <c r="Q222" i="6" s="1"/>
  <c r="P221" i="6"/>
  <c r="Q221" i="6" s="1"/>
  <c r="P220" i="6"/>
  <c r="Q220" i="6" s="1"/>
  <c r="P219" i="6"/>
  <c r="Q219" i="6" s="1"/>
  <c r="P218" i="6"/>
  <c r="Q218" i="6" s="1"/>
  <c r="P217" i="6"/>
  <c r="Q217" i="6" s="1"/>
  <c r="P216" i="6"/>
  <c r="Q216" i="6" s="1"/>
  <c r="P215" i="6"/>
  <c r="Q215" i="6" s="1"/>
  <c r="P214" i="6"/>
  <c r="Q214" i="6" s="1"/>
  <c r="P213" i="6"/>
  <c r="Q213" i="6" s="1"/>
  <c r="P212" i="6"/>
  <c r="Q212" i="6" s="1"/>
  <c r="P211" i="6"/>
  <c r="Q211" i="6" s="1"/>
  <c r="P210" i="6"/>
  <c r="Q210" i="6" s="1"/>
  <c r="P209" i="6"/>
  <c r="Q209" i="6" s="1"/>
  <c r="P208" i="6"/>
  <c r="Q208" i="6" s="1"/>
  <c r="P207" i="6"/>
  <c r="Q207" i="6" s="1"/>
  <c r="P206" i="6"/>
  <c r="Q206" i="6" s="1"/>
  <c r="P205" i="6"/>
  <c r="Q205" i="6" s="1"/>
  <c r="P204" i="6"/>
  <c r="Q204" i="6" s="1"/>
  <c r="P203" i="6"/>
  <c r="Q203" i="6" s="1"/>
  <c r="P202" i="6"/>
  <c r="Q202" i="6" s="1"/>
  <c r="P201" i="6"/>
  <c r="Q201" i="6" s="1"/>
  <c r="P200" i="6"/>
  <c r="Q200" i="6" s="1"/>
  <c r="P199" i="6"/>
  <c r="Q199" i="6" s="1"/>
  <c r="P198" i="6"/>
  <c r="Q198" i="6" s="1"/>
  <c r="P197" i="6"/>
  <c r="Q197" i="6" s="1"/>
  <c r="P196" i="6"/>
  <c r="Q196" i="6" s="1"/>
  <c r="P195" i="6"/>
  <c r="Q195" i="6" s="1"/>
  <c r="P194" i="6"/>
  <c r="Q194" i="6" s="1"/>
  <c r="P193" i="6"/>
  <c r="Q193" i="6" s="1"/>
  <c r="P192" i="6"/>
  <c r="Q192" i="6" s="1"/>
  <c r="P191" i="6"/>
  <c r="Q191" i="6" s="1"/>
  <c r="P190" i="6"/>
  <c r="Q190" i="6" s="1"/>
  <c r="P189" i="6"/>
  <c r="Q189" i="6" s="1"/>
  <c r="P188" i="6"/>
  <c r="Q188" i="6" s="1"/>
  <c r="P187" i="6"/>
  <c r="Q187" i="6" s="1"/>
  <c r="P186" i="6"/>
  <c r="Q186" i="6" s="1"/>
  <c r="P185" i="6"/>
  <c r="Q185" i="6" s="1"/>
  <c r="P184" i="6"/>
  <c r="Q184" i="6" s="1"/>
  <c r="P183" i="6"/>
  <c r="Q183" i="6" s="1"/>
  <c r="P182" i="6"/>
  <c r="Q182" i="6" s="1"/>
  <c r="P181" i="6"/>
  <c r="Q181" i="6" s="1"/>
  <c r="P180" i="6"/>
  <c r="Q180" i="6" s="1"/>
  <c r="P179" i="6"/>
  <c r="Q179" i="6" s="1"/>
  <c r="P178" i="6"/>
  <c r="Q178" i="6" s="1"/>
  <c r="P177" i="6"/>
  <c r="Q177" i="6" s="1"/>
  <c r="P176" i="6"/>
  <c r="Q176" i="6" s="1"/>
  <c r="P175" i="6"/>
  <c r="Q175" i="6" s="1"/>
  <c r="P174" i="6"/>
  <c r="Q174" i="6" s="1"/>
  <c r="P173" i="6"/>
  <c r="Q173" i="6" s="1"/>
  <c r="P172" i="6"/>
  <c r="Q172" i="6" s="1"/>
  <c r="P171" i="6"/>
  <c r="Q171" i="6" s="1"/>
  <c r="P170" i="6"/>
  <c r="Q170" i="6" s="1"/>
  <c r="P169" i="6"/>
  <c r="Q169" i="6" s="1"/>
  <c r="P168" i="6"/>
  <c r="Q168" i="6" s="1"/>
  <c r="P167" i="6"/>
  <c r="Q167" i="6" s="1"/>
  <c r="P166" i="6"/>
  <c r="Q166" i="6" s="1"/>
  <c r="P165" i="6"/>
  <c r="Q165" i="6" s="1"/>
  <c r="P164" i="6"/>
  <c r="Q164" i="6" s="1"/>
  <c r="P163" i="6"/>
  <c r="Q163" i="6" s="1"/>
  <c r="P162" i="6"/>
  <c r="Q162" i="6" s="1"/>
  <c r="P161" i="6"/>
  <c r="Q161" i="6" s="1"/>
  <c r="P160" i="6"/>
  <c r="Q160" i="6" s="1"/>
  <c r="P159" i="6"/>
  <c r="Q159" i="6" s="1"/>
  <c r="P158" i="6"/>
  <c r="Q158" i="6" s="1"/>
  <c r="P157" i="6"/>
  <c r="Q157" i="6" s="1"/>
  <c r="P156" i="6"/>
  <c r="Q156" i="6" s="1"/>
  <c r="P155" i="6"/>
  <c r="Q155" i="6" s="1"/>
  <c r="P154" i="6"/>
  <c r="Q154" i="6" s="1"/>
  <c r="P153" i="6"/>
  <c r="Q153" i="6" s="1"/>
  <c r="P152" i="6"/>
  <c r="Q152" i="6" s="1"/>
  <c r="P151" i="6"/>
  <c r="Q151" i="6" s="1"/>
  <c r="P150" i="6"/>
  <c r="Q150" i="6" s="1"/>
  <c r="P149" i="6"/>
  <c r="Q149" i="6" s="1"/>
  <c r="P148" i="6"/>
  <c r="Q148" i="6" s="1"/>
  <c r="P147" i="6"/>
  <c r="Q147" i="6" s="1"/>
  <c r="P146" i="6"/>
  <c r="Q146" i="6" s="1"/>
  <c r="P145" i="6"/>
  <c r="Q145" i="6" s="1"/>
  <c r="P144" i="6"/>
  <c r="Q144" i="6" s="1"/>
  <c r="P143" i="6"/>
  <c r="Q143" i="6" s="1"/>
  <c r="P142" i="6"/>
  <c r="Q142" i="6" s="1"/>
  <c r="P141" i="6"/>
  <c r="Q141" i="6" s="1"/>
  <c r="P140" i="6"/>
  <c r="Q140" i="6" s="1"/>
  <c r="P139" i="6"/>
  <c r="Q139" i="6" s="1"/>
  <c r="P138" i="6"/>
  <c r="Q138" i="6" s="1"/>
  <c r="P137" i="6"/>
  <c r="Q137" i="6" s="1"/>
  <c r="P136" i="6"/>
  <c r="Q136" i="6" s="1"/>
  <c r="P135" i="6"/>
  <c r="Q135" i="6" s="1"/>
  <c r="P134" i="6"/>
  <c r="Q134" i="6" s="1"/>
  <c r="P133" i="6"/>
  <c r="Q133" i="6" s="1"/>
  <c r="P132" i="6"/>
  <c r="Q132" i="6" s="1"/>
  <c r="P131" i="6"/>
  <c r="Q131" i="6" s="1"/>
  <c r="P130" i="6"/>
  <c r="Q130" i="6" s="1"/>
  <c r="P129" i="6"/>
  <c r="Q129" i="6" s="1"/>
  <c r="P128" i="6"/>
  <c r="Q128" i="6" s="1"/>
  <c r="P127" i="6"/>
  <c r="Q127" i="6" s="1"/>
  <c r="P126" i="6"/>
  <c r="Q126" i="6" s="1"/>
  <c r="P125" i="6"/>
  <c r="Q125" i="6" s="1"/>
  <c r="P124" i="6"/>
  <c r="Q124" i="6" s="1"/>
  <c r="P123" i="6"/>
  <c r="Q123" i="6" s="1"/>
  <c r="P122" i="6"/>
  <c r="Q122" i="6" s="1"/>
  <c r="P121" i="6"/>
  <c r="Q121" i="6" s="1"/>
  <c r="P120" i="6"/>
  <c r="Q120" i="6" s="1"/>
  <c r="P119" i="6"/>
  <c r="Q119" i="6" s="1"/>
  <c r="P118" i="6"/>
  <c r="Q118" i="6" s="1"/>
  <c r="P117" i="6"/>
  <c r="Q117" i="6" s="1"/>
  <c r="P116" i="6"/>
  <c r="Q116" i="6" s="1"/>
  <c r="P115" i="6"/>
  <c r="Q115" i="6" s="1"/>
  <c r="P114" i="6"/>
  <c r="Q114" i="6" s="1"/>
  <c r="P113" i="6"/>
  <c r="Q113" i="6" s="1"/>
  <c r="P112" i="6"/>
  <c r="Q112" i="6" s="1"/>
  <c r="P111" i="6"/>
  <c r="Q111" i="6" s="1"/>
  <c r="P110" i="6"/>
  <c r="Q110" i="6" s="1"/>
  <c r="P109" i="6"/>
  <c r="Q109" i="6" s="1"/>
  <c r="P108" i="6"/>
  <c r="Q108" i="6" s="1"/>
  <c r="P107" i="6"/>
  <c r="Q107" i="6" s="1"/>
  <c r="P106" i="6"/>
  <c r="Q106" i="6" s="1"/>
  <c r="P105" i="6"/>
  <c r="Q105" i="6" s="1"/>
  <c r="P104" i="6"/>
  <c r="Q104" i="6" s="1"/>
  <c r="P103" i="6"/>
  <c r="Q103" i="6" s="1"/>
  <c r="P102" i="6"/>
  <c r="Q102" i="6" s="1"/>
  <c r="P101" i="6"/>
  <c r="Q101" i="6" s="1"/>
  <c r="P100" i="6"/>
  <c r="Q100" i="6" s="1"/>
  <c r="P99" i="6"/>
  <c r="Q99" i="6" s="1"/>
  <c r="P98" i="6"/>
  <c r="Q98" i="6" s="1"/>
  <c r="P97" i="6"/>
  <c r="Q97" i="6" s="1"/>
  <c r="P96" i="6"/>
  <c r="Q96" i="6" s="1"/>
  <c r="P95" i="6"/>
  <c r="Q95" i="6" s="1"/>
  <c r="P94" i="6"/>
  <c r="Q94" i="6" s="1"/>
  <c r="P93" i="6"/>
  <c r="Q93" i="6" s="1"/>
  <c r="P92" i="6"/>
  <c r="Q92" i="6" s="1"/>
  <c r="P91" i="6"/>
  <c r="Q91" i="6" s="1"/>
  <c r="P90" i="6"/>
  <c r="Q90" i="6" s="1"/>
  <c r="P89" i="6"/>
  <c r="Q89" i="6" s="1"/>
  <c r="P88" i="6"/>
  <c r="Q88" i="6" s="1"/>
  <c r="P87" i="6"/>
  <c r="Q87" i="6" s="1"/>
  <c r="P86" i="6"/>
  <c r="Q86" i="6" s="1"/>
  <c r="P85" i="6"/>
  <c r="Q85" i="6" s="1"/>
  <c r="P84" i="6"/>
  <c r="Q84" i="6" s="1"/>
  <c r="P83" i="6"/>
  <c r="Q83" i="6" s="1"/>
  <c r="P82" i="6"/>
  <c r="Q82" i="6" s="1"/>
  <c r="P81" i="6"/>
  <c r="Q81" i="6" s="1"/>
  <c r="P80" i="6"/>
  <c r="Q80" i="6" s="1"/>
  <c r="P79" i="6"/>
  <c r="Q79" i="6" s="1"/>
  <c r="P78" i="6"/>
  <c r="Q78" i="6" s="1"/>
  <c r="P77" i="6"/>
  <c r="Q77" i="6" s="1"/>
  <c r="P76" i="6"/>
  <c r="Q76" i="6" s="1"/>
  <c r="P75" i="6"/>
  <c r="Q75" i="6" s="1"/>
  <c r="P74" i="6"/>
  <c r="Q74" i="6" s="1"/>
  <c r="P73" i="6"/>
  <c r="Q73" i="6" s="1"/>
  <c r="P72" i="6"/>
  <c r="Q72" i="6" s="1"/>
  <c r="P71" i="6"/>
  <c r="Q71" i="6" s="1"/>
  <c r="P70" i="6"/>
  <c r="Q70" i="6" s="1"/>
  <c r="P69" i="6"/>
  <c r="Q69" i="6" s="1"/>
  <c r="P68" i="6"/>
  <c r="Q68" i="6" s="1"/>
  <c r="P67" i="6"/>
  <c r="Q67" i="6" s="1"/>
  <c r="P66" i="6"/>
  <c r="Q66" i="6" s="1"/>
  <c r="P65" i="6"/>
  <c r="Q65" i="6" s="1"/>
  <c r="P64" i="6"/>
  <c r="Q64" i="6" s="1"/>
  <c r="P63" i="6"/>
  <c r="Q63" i="6" s="1"/>
  <c r="P62" i="6"/>
  <c r="Q62" i="6" s="1"/>
  <c r="P61" i="6"/>
  <c r="Q61" i="6" s="1"/>
  <c r="P60" i="6"/>
  <c r="Q60" i="6" s="1"/>
  <c r="P59" i="6"/>
  <c r="Q59" i="6" s="1"/>
  <c r="P58" i="6"/>
  <c r="Q58" i="6" s="1"/>
  <c r="P57" i="6"/>
  <c r="Q57" i="6" s="1"/>
  <c r="P56" i="6"/>
  <c r="Q56" i="6" s="1"/>
  <c r="P55" i="6"/>
  <c r="Q55" i="6" s="1"/>
  <c r="P54" i="6"/>
  <c r="Q54" i="6" s="1"/>
  <c r="P53" i="6"/>
  <c r="Q53" i="6" s="1"/>
  <c r="P52" i="6"/>
  <c r="Q52" i="6" s="1"/>
  <c r="P51" i="6"/>
  <c r="Q51" i="6" s="1"/>
  <c r="P50" i="6"/>
  <c r="Q50" i="6" s="1"/>
  <c r="P49" i="6"/>
  <c r="Q49" i="6" s="1"/>
  <c r="P48" i="6"/>
  <c r="Q48" i="6" s="1"/>
  <c r="P47" i="6"/>
  <c r="Q47" i="6" s="1"/>
  <c r="P46" i="6"/>
  <c r="Q46" i="6" s="1"/>
  <c r="P45" i="6"/>
  <c r="Q45" i="6" s="1"/>
  <c r="P44" i="6"/>
  <c r="Q44" i="6" s="1"/>
  <c r="P43" i="6"/>
  <c r="Q43" i="6" s="1"/>
  <c r="P42" i="6"/>
  <c r="Q42" i="6" s="1"/>
  <c r="P41" i="6"/>
  <c r="Q41" i="6" s="1"/>
  <c r="P40" i="6"/>
  <c r="Q40" i="6" s="1"/>
  <c r="P39" i="6"/>
  <c r="Q39" i="6" s="1"/>
  <c r="P38" i="6"/>
  <c r="Q38" i="6" s="1"/>
  <c r="P37" i="6"/>
  <c r="Q37" i="6" s="1"/>
  <c r="P36" i="6"/>
  <c r="Q36" i="6" s="1"/>
  <c r="P35" i="6"/>
  <c r="Q35" i="6" s="1"/>
  <c r="P34" i="6"/>
  <c r="Q34" i="6" s="1"/>
  <c r="P33" i="6"/>
  <c r="Q33" i="6" s="1"/>
  <c r="P32" i="6"/>
  <c r="Q32" i="6" s="1"/>
  <c r="P31" i="6"/>
  <c r="Q31" i="6" s="1"/>
  <c r="P30" i="6"/>
  <c r="Q30" i="6" s="1"/>
  <c r="P29" i="6"/>
  <c r="Q29" i="6" s="1"/>
  <c r="P28" i="6"/>
  <c r="Q28" i="6" s="1"/>
  <c r="P27" i="6"/>
  <c r="Q27" i="6" s="1"/>
  <c r="P26" i="6"/>
  <c r="Q26" i="6" s="1"/>
  <c r="P25" i="6"/>
  <c r="Q25" i="6" s="1"/>
  <c r="P24" i="6"/>
  <c r="Q24" i="6" s="1"/>
  <c r="P23" i="6"/>
  <c r="Q23" i="6" s="1"/>
  <c r="P22" i="6"/>
  <c r="Q22" i="6" s="1"/>
  <c r="P21" i="6"/>
  <c r="Q21" i="6" s="1"/>
  <c r="P20" i="6"/>
  <c r="Q20" i="6" s="1"/>
  <c r="P19" i="6"/>
  <c r="Q19" i="6" s="1"/>
  <c r="P18" i="6"/>
  <c r="Q18" i="6" s="1"/>
  <c r="P17" i="6"/>
  <c r="Q17" i="6" s="1"/>
  <c r="P16" i="6"/>
  <c r="Q16" i="6" s="1"/>
  <c r="P15" i="6"/>
  <c r="Q15" i="6" s="1"/>
  <c r="P14" i="6"/>
  <c r="Q14" i="6" s="1"/>
  <c r="P13" i="6"/>
  <c r="Q13" i="6" s="1"/>
  <c r="P12" i="6"/>
  <c r="Q12" i="6" s="1"/>
  <c r="P11" i="6"/>
  <c r="Q11" i="6" s="1"/>
  <c r="P10" i="6"/>
  <c r="Q10" i="6" s="1"/>
  <c r="P9" i="6"/>
  <c r="Q9" i="6" s="1"/>
  <c r="P8" i="6"/>
  <c r="Q8" i="6" s="1"/>
  <c r="P7" i="6"/>
  <c r="Q7" i="6" s="1"/>
  <c r="P6" i="6"/>
  <c r="Q6" i="6" s="1"/>
  <c r="P5" i="6"/>
  <c r="Q5" i="6" s="1"/>
  <c r="P4" i="6"/>
  <c r="Q4" i="6" s="1"/>
  <c r="P3" i="6"/>
  <c r="Q3" i="6" s="1"/>
  <c r="P2" i="6"/>
  <c r="Q2" i="6" s="1"/>
  <c r="P2" i="1"/>
  <c r="Q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Q1882" i="1" s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 s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1918" i="1"/>
  <c r="Q1918" i="1" s="1"/>
  <c r="P1919" i="1"/>
  <c r="Q1919" i="1" s="1"/>
  <c r="P1920" i="1"/>
  <c r="Q1920" i="1" s="1"/>
  <c r="P1921" i="1"/>
  <c r="Q1921" i="1" s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 s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 s="1"/>
  <c r="P1948" i="1"/>
  <c r="Q1948" i="1" s="1"/>
  <c r="P1949" i="1"/>
  <c r="Q1949" i="1" s="1"/>
  <c r="P1950" i="1"/>
  <c r="Q1950" i="1" s="1"/>
  <c r="P1951" i="1"/>
  <c r="Q1951" i="1" s="1"/>
  <c r="P1952" i="1"/>
  <c r="Q1952" i="1" s="1"/>
  <c r="P1953" i="1"/>
  <c r="Q1953" i="1" s="1"/>
  <c r="P1954" i="1"/>
  <c r="Q1954" i="1" s="1"/>
  <c r="P1955" i="1"/>
  <c r="Q1955" i="1" s="1"/>
  <c r="P1956" i="1"/>
  <c r="Q1956" i="1" s="1"/>
  <c r="P1957" i="1"/>
  <c r="Q1957" i="1" s="1"/>
  <c r="P1958" i="1"/>
  <c r="Q1958" i="1" s="1"/>
  <c r="P1959" i="1"/>
  <c r="Q1959" i="1" s="1"/>
  <c r="P1960" i="1"/>
  <c r="Q1960" i="1" s="1"/>
  <c r="P1961" i="1"/>
  <c r="Q1961" i="1" s="1"/>
  <c r="P1962" i="1"/>
  <c r="Q1962" i="1" s="1"/>
  <c r="P1963" i="1"/>
  <c r="Q1963" i="1" s="1"/>
  <c r="P1964" i="1"/>
  <c r="Q1964" i="1" s="1"/>
  <c r="P1965" i="1"/>
  <c r="Q1965" i="1" s="1"/>
  <c r="P1966" i="1"/>
  <c r="Q1966" i="1" s="1"/>
  <c r="P1967" i="1"/>
  <c r="Q1967" i="1" s="1"/>
  <c r="P1968" i="1"/>
  <c r="Q1968" i="1" s="1"/>
  <c r="P1969" i="1"/>
  <c r="Q1969" i="1" s="1"/>
  <c r="P1970" i="1"/>
  <c r="Q1970" i="1" s="1"/>
  <c r="P1971" i="1"/>
  <c r="Q1971" i="1" s="1"/>
  <c r="P1972" i="1"/>
  <c r="Q1972" i="1" s="1"/>
  <c r="P1973" i="1"/>
  <c r="Q1973" i="1" s="1"/>
  <c r="P1974" i="1"/>
  <c r="Q1974" i="1" s="1"/>
  <c r="P1975" i="1"/>
  <c r="Q1975" i="1" s="1"/>
  <c r="P1976" i="1"/>
  <c r="Q1976" i="1" s="1"/>
  <c r="P1977" i="1"/>
  <c r="Q1977" i="1" s="1"/>
  <c r="P1978" i="1"/>
  <c r="Q1978" i="1" s="1"/>
  <c r="P1979" i="1"/>
  <c r="Q1979" i="1" s="1"/>
  <c r="P1980" i="1"/>
  <c r="Q1980" i="1" s="1"/>
  <c r="P1981" i="1"/>
  <c r="Q1981" i="1" s="1"/>
  <c r="P1982" i="1"/>
  <c r="Q1982" i="1" s="1"/>
  <c r="P1983" i="1"/>
  <c r="Q1983" i="1" s="1"/>
  <c r="P1984" i="1"/>
  <c r="Q1984" i="1" s="1"/>
  <c r="P1985" i="1"/>
  <c r="Q1985" i="1" s="1"/>
  <c r="P1986" i="1"/>
  <c r="Q1986" i="1" s="1"/>
  <c r="P1987" i="1"/>
  <c r="Q1987" i="1" s="1"/>
  <c r="P1988" i="1"/>
  <c r="Q1988" i="1" s="1"/>
  <c r="P1989" i="1"/>
  <c r="Q1989" i="1" s="1"/>
  <c r="P1990" i="1"/>
  <c r="Q1990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 s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 s="1"/>
  <c r="P2023" i="1"/>
  <c r="Q2023" i="1" s="1"/>
  <c r="P2024" i="1"/>
  <c r="Q2024" i="1" s="1"/>
  <c r="P2025" i="1"/>
  <c r="Q2025" i="1" s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 s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 s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 s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Q2116" i="1" s="1"/>
  <c r="P2117" i="1"/>
  <c r="Q2117" i="1" s="1"/>
  <c r="P2118" i="1"/>
  <c r="Q2118" i="1" s="1"/>
  <c r="P2119" i="1"/>
  <c r="Q2119" i="1" s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</calcChain>
</file>

<file path=xl/sharedStrings.xml><?xml version="1.0" encoding="utf-8"?>
<sst xmlns="http://schemas.openxmlformats.org/spreadsheetml/2006/main" count="4646" uniqueCount="24">
  <si>
    <t>Experiment_ID</t>
  </si>
  <si>
    <t>Adsorbent_Type</t>
  </si>
  <si>
    <t>Dosage_g_L</t>
  </si>
  <si>
    <t>Contact_Time_min</t>
  </si>
  <si>
    <t>Initial_Concentration_mg_L</t>
  </si>
  <si>
    <t>pH</t>
  </si>
  <si>
    <t>Temperature_C</t>
  </si>
  <si>
    <t>Agitation_Speed_rpm</t>
  </si>
  <si>
    <t>Solution_Volume_mL</t>
  </si>
  <si>
    <t>qe_mg_g</t>
  </si>
  <si>
    <t>Ce_mg_L</t>
  </si>
  <si>
    <t>Removal_Efficiency_%</t>
  </si>
  <si>
    <t>Equilibrium_Time_min</t>
  </si>
  <si>
    <t>Rate_Constant_k1_min-1</t>
  </si>
  <si>
    <t>Rate_Constant_k2_g_mg_min</t>
  </si>
  <si>
    <t>Replicate</t>
  </si>
  <si>
    <t>Activated_Carbon</t>
  </si>
  <si>
    <t>Biochar</t>
  </si>
  <si>
    <t>Zeolite</t>
  </si>
  <si>
    <t>MOF</t>
  </si>
  <si>
    <t xml:space="preserve">ln(qe - qt) </t>
  </si>
  <si>
    <t>qt</t>
  </si>
  <si>
    <t>Min of qe_mg_g</t>
  </si>
  <si>
    <t>Max of qe_mg_g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</si>
</sst>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/>
    <xf numFmtId="0" fontId="4" fillId="0" borderId="0" xfId="0" applyFon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089626851855" createdVersion="8" refreshedVersion="8" minRefreshableVersion="3" recordCount="2305" xr:uid="{A3C0B2C4-AF96-47EC-ABAD-BE9F997807FF}">
  <cacheSource type="worksheet">
    <worksheetSource ref="A1:R1048576" sheet="full data"/>
  </cacheSource>
  <cacheFields count="18">
    <cacheField name="Experiment_ID" numFmtId="0">
      <sharedItems containsString="0" containsBlank="1" containsNumber="1" containsInteger="1" minValue="1" maxValue="2304"/>
    </cacheField>
    <cacheField name="Adsorbent_Type" numFmtId="0">
      <sharedItems containsBlank="1"/>
    </cacheField>
    <cacheField name="Dosage_g_L" numFmtId="0">
      <sharedItems containsString="0" containsBlank="1" containsNumber="1" minValue="0.5" maxValue="4"/>
    </cacheField>
    <cacheField name="Contact_Time_min" numFmtId="0">
      <sharedItems containsString="0" containsBlank="1" containsNumber="1" containsInteger="1" minValue="30" maxValue="240"/>
    </cacheField>
    <cacheField name="Initial_Concentration_mg_L" numFmtId="0">
      <sharedItems containsString="0" containsBlank="1" containsNumber="1" containsInteger="1" minValue="25" maxValue="200"/>
    </cacheField>
    <cacheField name="pH" numFmtId="0">
      <sharedItems containsString="0" containsBlank="1" containsNumber="1" containsInteger="1" minValue="3" maxValue="11"/>
    </cacheField>
    <cacheField name="Temperature_C" numFmtId="0">
      <sharedItems containsString="0" containsBlank="1" containsNumber="1" containsInteger="1" minValue="25" maxValue="25"/>
    </cacheField>
    <cacheField name="Agitation_Speed_rpm" numFmtId="0">
      <sharedItems containsString="0" containsBlank="1" containsNumber="1" containsInteger="1" minValue="150" maxValue="150"/>
    </cacheField>
    <cacheField name="Solution_Volume_mL" numFmtId="0">
      <sharedItems containsString="0" containsBlank="1" containsNumber="1" containsInteger="1" minValue="100" maxValue="100"/>
    </cacheField>
    <cacheField name="qe_mg_g" numFmtId="0">
      <sharedItems containsString="0" containsBlank="1" containsNumber="1" minValue="9.9000000000000005E-2" maxValue="300"/>
    </cacheField>
    <cacheField name="Ce_mg_L" numFmtId="0">
      <sharedItems containsString="0" containsBlank="1" containsNumber="1" minValue="3.5009999999999999" maxValue="184.24100000000001"/>
    </cacheField>
    <cacheField name="Removal_Efficiency_%" numFmtId="0">
      <sharedItems containsString="0" containsBlank="1" containsNumber="1" minValue="1.58" maxValue="94.57"/>
    </cacheField>
    <cacheField name="Equilibrium_Time_min" numFmtId="0">
      <sharedItems containsString="0" containsBlank="1" containsNumber="1" minValue="25.1" maxValue="146.69999999999999"/>
    </cacheField>
    <cacheField name="Rate_Constant_k1_min-1" numFmtId="0">
      <sharedItems containsString="0" containsBlank="1" containsNumber="1" minValue="2.1499999999999998E-2" maxValue="7.2370000000000004E-2"/>
    </cacheField>
    <cacheField name="Rate_Constant_k2_g_mg_min" numFmtId="0">
      <sharedItems containsString="0" containsBlank="1" containsNumber="1" minValue="1.4019999999999999E-4" maxValue="4.5909999999999999E-4"/>
    </cacheField>
    <cacheField name="qt" numFmtId="0">
      <sharedItems containsString="0" containsBlank="1" containsNumber="1" minValue="6.4380079144238719E-5" maxValue="288.12877900535"/>
    </cacheField>
    <cacheField name="ln(qe - qt) " numFmtId="0">
      <sharedItems containsString="0" containsBlank="1" containsNumber="1" minValue="-2.313285944216537" maxValue="4.3052557473297854"/>
    </cacheField>
    <cacheField name="Replicate" numFmtId="0">
      <sharedItems containsString="0" containsBlank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5">
  <r>
    <n v="1"/>
    <s v="Activated_Carbon"/>
    <n v="0.5"/>
    <n v="30"/>
    <n v="25"/>
    <n v="3"/>
    <n v="25"/>
    <n v="150"/>
    <n v="100"/>
    <n v="8.8000000000000007"/>
    <n v="20.6"/>
    <n v="17.600000000000001"/>
    <n v="65.3"/>
    <n v="4.7910000000000001E-2"/>
    <n v="3.457E-4"/>
    <n v="0.73596274708026876"/>
    <n v="2.0874143309760469"/>
    <n v="1"/>
  </r>
  <r>
    <n v="2"/>
    <s v="Activated_Carbon"/>
    <n v="0.5"/>
    <n v="30"/>
    <n v="25"/>
    <n v="3"/>
    <n v="25"/>
    <n v="150"/>
    <n v="100"/>
    <n v="8.3059999999999992"/>
    <n v="20.847000000000001"/>
    <n v="16.61"/>
    <n v="64.3"/>
    <n v="5.2109999999999997E-2"/>
    <n v="3.2299999999999999E-4"/>
    <n v="0.61871241731283766"/>
    <n v="2.0395680012305095"/>
    <n v="2"/>
  </r>
  <r>
    <n v="3"/>
    <s v="Activated_Carbon"/>
    <n v="0.5"/>
    <n v="30"/>
    <n v="25"/>
    <n v="3"/>
    <n v="25"/>
    <n v="150"/>
    <n v="100"/>
    <n v="8.1460000000000008"/>
    <n v="20.927"/>
    <n v="16.29"/>
    <n v="72.099999999999994"/>
    <n v="4.2909999999999997E-2"/>
    <n v="2.8600000000000001E-4"/>
    <n v="0.53215222603448431"/>
    <n v="2.0299686648481141"/>
    <n v="3"/>
  </r>
  <r>
    <n v="4"/>
    <s v="Activated_Carbon"/>
    <n v="0.5"/>
    <n v="30"/>
    <n v="25"/>
    <n v="7"/>
    <n v="25"/>
    <n v="150"/>
    <n v="100"/>
    <n v="14.2"/>
    <n v="17.899999999999999"/>
    <n v="28.4"/>
    <n v="47.5"/>
    <n v="3.7240000000000002E-2"/>
    <n v="2.831E-4"/>
    <n v="1.5282238114097031"/>
    <n v="2.5393771730308616"/>
    <n v="1"/>
  </r>
  <r>
    <n v="5"/>
    <s v="Activated_Carbon"/>
    <n v="0.5"/>
    <n v="30"/>
    <n v="25"/>
    <n v="7"/>
    <n v="25"/>
    <n v="150"/>
    <n v="100"/>
    <n v="12.802"/>
    <n v="18.599"/>
    <n v="25.6"/>
    <n v="69.8"/>
    <n v="4.0910000000000002E-2"/>
    <n v="2.5759999999999997E-4"/>
    <n v="1.1525272586669673"/>
    <n v="2.4552609207328486"/>
    <n v="2"/>
  </r>
  <r>
    <n v="6"/>
    <s v="Activated_Carbon"/>
    <n v="0.5"/>
    <n v="30"/>
    <n v="25"/>
    <n v="7"/>
    <n v="25"/>
    <n v="150"/>
    <n v="100"/>
    <n v="15.564"/>
    <n v="17.218"/>
    <n v="31.13"/>
    <n v="64.400000000000006"/>
    <n v="4.53E-2"/>
    <n v="2.5730000000000002E-4"/>
    <n v="1.6692898568483832"/>
    <n v="2.6315082024624261"/>
    <n v="3"/>
  </r>
  <r>
    <n v="7"/>
    <s v="Activated_Carbon"/>
    <n v="0.5"/>
    <n v="30"/>
    <n v="25"/>
    <n v="11"/>
    <n v="25"/>
    <n v="150"/>
    <n v="100"/>
    <n v="10.074999999999999"/>
    <n v="19.962"/>
    <n v="20.149999999999999"/>
    <n v="67.8"/>
    <n v="3.9820000000000001E-2"/>
    <n v="3.1129999999999998E-4"/>
    <n v="0.86643755416742607"/>
    <n v="2.220133751855673"/>
    <n v="1"/>
  </r>
  <r>
    <n v="8"/>
    <s v="Activated_Carbon"/>
    <n v="0.5"/>
    <n v="30"/>
    <n v="25"/>
    <n v="11"/>
    <n v="25"/>
    <n v="150"/>
    <n v="100"/>
    <n v="10.028"/>
    <n v="19.986000000000001"/>
    <n v="20.059999999999999"/>
    <n v="63.7"/>
    <n v="4.2290000000000001E-2"/>
    <n v="3.5560000000000002E-4"/>
    <n v="0.96910847501904618"/>
    <n v="2.2037467643336344"/>
    <n v="2"/>
  </r>
  <r>
    <n v="9"/>
    <s v="Activated_Carbon"/>
    <n v="0.5"/>
    <n v="30"/>
    <n v="25"/>
    <n v="11"/>
    <n v="25"/>
    <n v="150"/>
    <n v="100"/>
    <n v="10.523"/>
    <n v="19.739000000000001"/>
    <n v="21.05"/>
    <n v="56.1"/>
    <n v="4.87E-2"/>
    <n v="2.6340000000000001E-4"/>
    <n v="0.80784206049365426"/>
    <n v="2.2736873399804614"/>
    <n v="3"/>
  </r>
  <r>
    <n v="10"/>
    <s v="Activated_Carbon"/>
    <n v="0.5"/>
    <n v="30"/>
    <n v="50"/>
    <n v="3"/>
    <n v="25"/>
    <n v="150"/>
    <n v="100"/>
    <n v="26.974"/>
    <n v="36.512999999999998"/>
    <n v="26.97"/>
    <n v="47.1"/>
    <n v="3.9019999999999999E-2"/>
    <n v="3.0590000000000001E-4"/>
    <n v="5.352255290775763"/>
    <n v="3.07369950780912"/>
    <n v="1"/>
  </r>
  <r>
    <n v="11"/>
    <s v="Activated_Carbon"/>
    <n v="0.5"/>
    <n v="30"/>
    <n v="50"/>
    <n v="3"/>
    <n v="25"/>
    <n v="150"/>
    <n v="100"/>
    <n v="28.097999999999999"/>
    <n v="35.951000000000001"/>
    <n v="28.1"/>
    <n v="68.400000000000006"/>
    <n v="4.4479999999999999E-2"/>
    <n v="2.9100000000000003E-4"/>
    <n v="5.5346814162042213"/>
    <n v="3.1163255161572208"/>
    <n v="2"/>
  </r>
  <r>
    <n v="12"/>
    <s v="Activated_Carbon"/>
    <n v="0.5"/>
    <n v="30"/>
    <n v="50"/>
    <n v="3"/>
    <n v="25"/>
    <n v="150"/>
    <n v="100"/>
    <n v="23.391999999999999"/>
    <n v="38.304000000000002"/>
    <n v="23.39"/>
    <n v="59.5"/>
    <n v="4.2930000000000003E-2"/>
    <n v="3.3169999999999999E-4"/>
    <n v="4.4169048513192273"/>
    <n v="2.9431273376923506"/>
    <n v="3"/>
  </r>
  <r>
    <n v="13"/>
    <s v="Activated_Carbon"/>
    <n v="0.5"/>
    <n v="30"/>
    <n v="50"/>
    <n v="7"/>
    <n v="25"/>
    <n v="150"/>
    <n v="100"/>
    <n v="42.966999999999999"/>
    <n v="28.515999999999998"/>
    <n v="42.97"/>
    <n v="49"/>
    <n v="4.6460000000000001E-2"/>
    <n v="2.8840000000000002E-4"/>
    <n v="11.644248157617561"/>
    <n v="3.4443447294079834"/>
    <n v="1"/>
  </r>
  <r>
    <n v="14"/>
    <s v="Activated_Carbon"/>
    <n v="0.5"/>
    <n v="30"/>
    <n v="50"/>
    <n v="7"/>
    <n v="25"/>
    <n v="150"/>
    <n v="100"/>
    <n v="39.552999999999997"/>
    <n v="30.222999999999999"/>
    <n v="39.549999999999997"/>
    <n v="72.8"/>
    <n v="4.9639999999999997E-2"/>
    <n v="3.279E-4"/>
    <n v="11.078816702161442"/>
    <n v="3.3489978275466354"/>
    <n v="2"/>
  </r>
  <r>
    <n v="15"/>
    <s v="Activated_Carbon"/>
    <n v="0.5"/>
    <n v="30"/>
    <n v="50"/>
    <n v="7"/>
    <n v="25"/>
    <n v="150"/>
    <n v="100"/>
    <n v="39.01"/>
    <n v="30.495000000000001"/>
    <n v="39.01"/>
    <n v="63.6"/>
    <n v="4.6489999999999997E-2"/>
    <n v="3.2929999999999998E-4"/>
    <n v="10.851656503448774"/>
    <n v="3.3378437048632672"/>
    <n v="3"/>
  </r>
  <r>
    <n v="16"/>
    <s v="Activated_Carbon"/>
    <n v="0.5"/>
    <n v="30"/>
    <n v="50"/>
    <n v="11"/>
    <n v="25"/>
    <n v="150"/>
    <n v="100"/>
    <n v="31.175999999999998"/>
    <n v="34.411999999999999"/>
    <n v="31.18"/>
    <n v="64.8"/>
    <n v="4.002E-2"/>
    <n v="2.6410000000000002E-4"/>
    <n v="6.1753473976428088"/>
    <n v="3.2189019286217824"/>
    <n v="1"/>
  </r>
  <r>
    <n v="17"/>
    <s v="Activated_Carbon"/>
    <n v="0.5"/>
    <n v="30"/>
    <n v="50"/>
    <n v="11"/>
    <n v="25"/>
    <n v="150"/>
    <n v="100"/>
    <n v="34.526000000000003"/>
    <n v="32.737000000000002"/>
    <n v="34.53"/>
    <n v="80.2"/>
    <n v="4.4679999999999997E-2"/>
    <n v="3.301E-4"/>
    <n v="8.797020532630297"/>
    <n v="3.247617962365569"/>
    <n v="2"/>
  </r>
  <r>
    <n v="18"/>
    <s v="Activated_Carbon"/>
    <n v="0.5"/>
    <n v="30"/>
    <n v="50"/>
    <n v="11"/>
    <n v="25"/>
    <n v="150"/>
    <n v="100"/>
    <n v="33.356999999999999"/>
    <n v="33.322000000000003"/>
    <n v="33.36"/>
    <n v="60.2"/>
    <n v="4.6629999999999998E-2"/>
    <n v="3.4610000000000001E-4"/>
    <n v="8.5810459252438473"/>
    <n v="3.2098735890510111"/>
    <n v="3"/>
  </r>
  <r>
    <n v="19"/>
    <s v="Activated_Carbon"/>
    <n v="0.5"/>
    <n v="30"/>
    <n v="100"/>
    <n v="3"/>
    <n v="25"/>
    <n v="150"/>
    <n v="100"/>
    <n v="68.572999999999993"/>
    <n v="65.713999999999999"/>
    <n v="34.29"/>
    <n v="82.3"/>
    <n v="3.3210000000000003E-2"/>
    <n v="3.2469999999999998E-4"/>
    <n v="27.461339279216098"/>
    <n v="3.7162917970966207"/>
    <n v="1"/>
  </r>
  <r>
    <n v="20"/>
    <s v="Activated_Carbon"/>
    <n v="0.5"/>
    <n v="30"/>
    <n v="100"/>
    <n v="3"/>
    <n v="25"/>
    <n v="150"/>
    <n v="100"/>
    <n v="69.248999999999995"/>
    <n v="65.376000000000005"/>
    <n v="34.619999999999997"/>
    <n v="63.7"/>
    <n v="4.5409999999999999E-2"/>
    <n v="2.4039999999999999E-4"/>
    <n v="23.065258916121714"/>
    <n v="3.8326278115563226"/>
    <n v="2"/>
  </r>
  <r>
    <n v="21"/>
    <s v="Activated_Carbon"/>
    <n v="0.5"/>
    <n v="30"/>
    <n v="100"/>
    <n v="3"/>
    <n v="25"/>
    <n v="150"/>
    <n v="100"/>
    <n v="67.561000000000007"/>
    <n v="66.218999999999994"/>
    <n v="33.78"/>
    <n v="70.2"/>
    <n v="5.1650000000000001E-2"/>
    <n v="2.8449999999999998E-4"/>
    <n v="24.709560118267465"/>
    <n v="3.7577392473201257"/>
    <n v="3"/>
  </r>
  <r>
    <n v="22"/>
    <s v="Activated_Carbon"/>
    <n v="0.5"/>
    <n v="30"/>
    <n v="100"/>
    <n v="7"/>
    <n v="25"/>
    <n v="150"/>
    <n v="100"/>
    <n v="97.018000000000001"/>
    <n v="51.491"/>
    <n v="48.51"/>
    <n v="61.6"/>
    <n v="4.9119999999999997E-2"/>
    <n v="3.099E-4"/>
    <n v="46.00895343428629"/>
    <n v="3.9320030006351532"/>
    <n v="1"/>
  </r>
  <r>
    <n v="23"/>
    <s v="Activated_Carbon"/>
    <n v="0.5"/>
    <n v="30"/>
    <n v="100"/>
    <n v="7"/>
    <n v="25"/>
    <n v="150"/>
    <n v="100"/>
    <n v="99.331000000000003"/>
    <n v="50.334000000000003"/>
    <n v="49.67"/>
    <n v="71.8"/>
    <n v="4.5440000000000001E-2"/>
    <n v="3.2909999999999998E-4"/>
    <n v="49.181430351197896"/>
    <n v="3.9150099330910075"/>
    <n v="2"/>
  </r>
  <r>
    <n v="24"/>
    <s v="Activated_Carbon"/>
    <n v="0.5"/>
    <n v="30"/>
    <n v="100"/>
    <n v="7"/>
    <n v="25"/>
    <n v="150"/>
    <n v="100"/>
    <n v="97.902000000000001"/>
    <n v="51.048999999999999"/>
    <n v="48.95"/>
    <n v="63.4"/>
    <n v="4.3240000000000001E-2"/>
    <n v="2.5609999999999999E-4"/>
    <n v="42.027637527006583"/>
    <n v="4.0231056429893277"/>
    <n v="3"/>
  </r>
  <r>
    <n v="25"/>
    <s v="Activated_Carbon"/>
    <n v="0.5"/>
    <n v="30"/>
    <n v="100"/>
    <n v="11"/>
    <n v="25"/>
    <n v="150"/>
    <n v="100"/>
    <n v="84.393000000000001"/>
    <n v="57.802999999999997"/>
    <n v="42.2"/>
    <n v="69.3"/>
    <n v="4.5019999999999998E-2"/>
    <n v="2.9300000000000002E-4"/>
    <n v="35.941800716990258"/>
    <n v="3.8805570910337219"/>
    <n v="1"/>
  </r>
  <r>
    <n v="26"/>
    <s v="Activated_Carbon"/>
    <n v="0.5"/>
    <n v="30"/>
    <n v="100"/>
    <n v="11"/>
    <n v="25"/>
    <n v="150"/>
    <n v="100"/>
    <n v="73.105000000000004"/>
    <n v="63.447000000000003"/>
    <n v="36.549999999999997"/>
    <n v="62.5"/>
    <n v="4.3459999999999999E-2"/>
    <n v="2.7589999999999998E-4"/>
    <n v="27.559269773898706"/>
    <n v="3.8187168811366674"/>
    <n v="2"/>
  </r>
  <r>
    <n v="27"/>
    <s v="Activated_Carbon"/>
    <n v="0.5"/>
    <n v="30"/>
    <n v="100"/>
    <n v="11"/>
    <n v="25"/>
    <n v="150"/>
    <n v="100"/>
    <n v="81.376000000000005"/>
    <n v="59.311999999999998"/>
    <n v="40.69"/>
    <n v="70.7"/>
    <n v="5.3490000000000003E-2"/>
    <n v="3.0519999999999999E-4"/>
    <n v="34.744291039369628"/>
    <n v="3.8422807595295363"/>
    <n v="3"/>
  </r>
  <r>
    <n v="28"/>
    <s v="Activated_Carbon"/>
    <n v="0.5"/>
    <n v="30"/>
    <n v="200"/>
    <n v="3"/>
    <n v="25"/>
    <n v="150"/>
    <n v="100"/>
    <n v="108.15300000000001"/>
    <n v="145.92400000000001"/>
    <n v="27.04"/>
    <n v="65.900000000000006"/>
    <n v="3.637E-2"/>
    <n v="2.9920000000000001E-4"/>
    <n v="53.274765432110897"/>
    <n v="4.0051168139477404"/>
    <n v="1"/>
  </r>
  <r>
    <n v="29"/>
    <s v="Activated_Carbon"/>
    <n v="0.5"/>
    <n v="30"/>
    <n v="200"/>
    <n v="3"/>
    <n v="25"/>
    <n v="150"/>
    <n v="100"/>
    <n v="106.48"/>
    <n v="146.76"/>
    <n v="26.62"/>
    <n v="91.3"/>
    <n v="4.4130000000000003E-2"/>
    <n v="3.0899999999999998E-4"/>
    <n v="52.893552902223455"/>
    <n v="3.9812961834507119"/>
    <n v="2"/>
  </r>
  <r>
    <n v="30"/>
    <s v="Activated_Carbon"/>
    <n v="0.5"/>
    <n v="30"/>
    <n v="200"/>
    <n v="3"/>
    <n v="25"/>
    <n v="150"/>
    <n v="100"/>
    <n v="105.675"/>
    <n v="147.16200000000001"/>
    <n v="26.42"/>
    <n v="55"/>
    <n v="5.0139999999999997E-2"/>
    <n v="3.2259999999999998E-4"/>
    <n v="53.43106037733348"/>
    <n v="3.9559238960348448"/>
    <n v="3"/>
  </r>
  <r>
    <n v="31"/>
    <s v="Activated_Carbon"/>
    <n v="0.5"/>
    <n v="30"/>
    <n v="200"/>
    <n v="7"/>
    <n v="25"/>
    <n v="150"/>
    <n v="100"/>
    <n v="166.46700000000001"/>
    <n v="116.76600000000001"/>
    <n v="41.62"/>
    <n v="57.6"/>
    <n v="5.1310000000000001E-2"/>
    <n v="2.5789999999999998E-4"/>
    <n v="93.709018756347334"/>
    <n v="4.2871386078506708"/>
    <n v="1"/>
  </r>
  <r>
    <n v="32"/>
    <s v="Activated_Carbon"/>
    <n v="0.5"/>
    <n v="30"/>
    <n v="200"/>
    <n v="7"/>
    <n v="25"/>
    <n v="150"/>
    <n v="100"/>
    <n v="163.91"/>
    <n v="118.045"/>
    <n v="40.98"/>
    <n v="88.6"/>
    <n v="4.054E-2"/>
    <n v="2.8299999999999999E-4"/>
    <n v="95.374174194310982"/>
    <n v="4.2273566130116267"/>
    <n v="2"/>
  </r>
  <r>
    <n v="33"/>
    <s v="Activated_Carbon"/>
    <n v="0.5"/>
    <n v="30"/>
    <n v="200"/>
    <n v="7"/>
    <n v="25"/>
    <n v="150"/>
    <n v="100"/>
    <n v="157.80799999999999"/>
    <n v="121.096"/>
    <n v="39.450000000000003"/>
    <n v="61.6"/>
    <n v="3.8019999999999998E-2"/>
    <n v="3.0210000000000002E-4"/>
    <n v="92.872152278835785"/>
    <n v="4.1733998243958226"/>
    <n v="3"/>
  </r>
  <r>
    <n v="34"/>
    <s v="Activated_Carbon"/>
    <n v="0.5"/>
    <n v="30"/>
    <n v="200"/>
    <n v="11"/>
    <n v="25"/>
    <n v="150"/>
    <n v="100"/>
    <n v="115.178"/>
    <n v="142.411"/>
    <n v="28.79"/>
    <n v="71.400000000000006"/>
    <n v="4.086E-2"/>
    <n v="3.4650000000000002E-4"/>
    <n v="62.759443492395128"/>
    <n v="3.9592606604616423"/>
    <n v="1"/>
  </r>
  <r>
    <n v="35"/>
    <s v="Activated_Carbon"/>
    <n v="0.5"/>
    <n v="30"/>
    <n v="200"/>
    <n v="11"/>
    <n v="25"/>
    <n v="150"/>
    <n v="100"/>
    <n v="117.988"/>
    <n v="141.006"/>
    <n v="29.5"/>
    <n v="63.4"/>
    <n v="4.8660000000000002E-2"/>
    <n v="2.631E-4"/>
    <n v="56.894816338014429"/>
    <n v="4.1124002995939284"/>
    <n v="2"/>
  </r>
  <r>
    <n v="36"/>
    <s v="Activated_Carbon"/>
    <n v="0.5"/>
    <n v="30"/>
    <n v="200"/>
    <n v="11"/>
    <n v="25"/>
    <n v="150"/>
    <n v="100"/>
    <n v="128.166"/>
    <n v="135.917"/>
    <n v="32.04"/>
    <n v="79.7"/>
    <n v="3.7769999999999998E-2"/>
    <n v="3.055E-4"/>
    <n v="69.229386087763203"/>
    <n v="4.0764625259177629"/>
    <n v="3"/>
  </r>
  <r>
    <n v="37"/>
    <s v="Activated_Carbon"/>
    <n v="0.5"/>
    <n v="60"/>
    <n v="25"/>
    <n v="3"/>
    <n v="25"/>
    <n v="150"/>
    <n v="100"/>
    <n v="13.93"/>
    <n v="18.035"/>
    <n v="27.86"/>
    <n v="74.5"/>
    <n v="3.943E-2"/>
    <n v="2.6039999999999999E-4"/>
    <n v="2.489858859044912"/>
    <n v="2.4371283233716197"/>
    <n v="1"/>
  </r>
  <r>
    <n v="38"/>
    <s v="Activated_Carbon"/>
    <n v="0.5"/>
    <n v="60"/>
    <n v="25"/>
    <n v="3"/>
    <n v="25"/>
    <n v="150"/>
    <n v="100"/>
    <n v="14.215999999999999"/>
    <n v="17.891999999999999"/>
    <n v="28.43"/>
    <n v="69.599999999999994"/>
    <n v="4.6129999999999997E-2"/>
    <n v="3.1040000000000001E-4"/>
    <n v="2.9759120244576218"/>
    <n v="2.4194866714404637"/>
    <n v="2"/>
  </r>
  <r>
    <n v="39"/>
    <s v="Activated_Carbon"/>
    <n v="0.5"/>
    <n v="60"/>
    <n v="25"/>
    <n v="3"/>
    <n v="25"/>
    <n v="150"/>
    <n v="100"/>
    <n v="12.904"/>
    <n v="18.547999999999998"/>
    <n v="25.81"/>
    <n v="69"/>
    <n v="4.632E-2"/>
    <n v="2.786E-4"/>
    <n v="2.289567693926994"/>
    <n v="2.3622146133739883"/>
    <n v="3"/>
  </r>
  <r>
    <n v="40"/>
    <s v="Activated_Carbon"/>
    <n v="0.5"/>
    <n v="60"/>
    <n v="25"/>
    <n v="7"/>
    <n v="25"/>
    <n v="150"/>
    <n v="100"/>
    <n v="24.689"/>
    <n v="12.654999999999999"/>
    <n v="49.38"/>
    <n v="71.400000000000006"/>
    <n v="3.9640000000000002E-2"/>
    <n v="3.1970000000000002E-4"/>
    <n v="7.9346152267160477"/>
    <n v="2.8186600015228112"/>
    <n v="1"/>
  </r>
  <r>
    <n v="41"/>
    <s v="Activated_Carbon"/>
    <n v="0.5"/>
    <n v="60"/>
    <n v="25"/>
    <n v="7"/>
    <n v="25"/>
    <n v="150"/>
    <n v="100"/>
    <n v="19.808"/>
    <n v="15.096"/>
    <n v="39.619999999999997"/>
    <n v="74.5"/>
    <n v="5.0209999999999998E-2"/>
    <n v="2.7540000000000003E-4"/>
    <n v="4.8845541430812727"/>
    <n v="2.7029335236670411"/>
    <n v="2"/>
  </r>
  <r>
    <n v="42"/>
    <s v="Activated_Carbon"/>
    <n v="0.5"/>
    <n v="60"/>
    <n v="25"/>
    <n v="7"/>
    <n v="25"/>
    <n v="150"/>
    <n v="100"/>
    <n v="23.138000000000002"/>
    <n v="13.430999999999999"/>
    <n v="46.28"/>
    <n v="70.8"/>
    <n v="4.87E-2"/>
    <n v="3.569E-4"/>
    <n v="7.666014835602315"/>
    <n v="2.7390309798426973"/>
    <n v="3"/>
  </r>
  <r>
    <n v="43"/>
    <s v="Activated_Carbon"/>
    <n v="0.5"/>
    <n v="60"/>
    <n v="25"/>
    <n v="11"/>
    <n v="25"/>
    <n v="150"/>
    <n v="100"/>
    <n v="16.338999999999999"/>
    <n v="16.831"/>
    <n v="32.68"/>
    <n v="59.1"/>
    <n v="4.1000000000000002E-2"/>
    <n v="2.7549999999999997E-4"/>
    <n v="3.4744932073097194"/>
    <n v="2.5544721078585391"/>
    <n v="1"/>
  </r>
  <r>
    <n v="44"/>
    <s v="Activated_Carbon"/>
    <n v="0.5"/>
    <n v="60"/>
    <n v="25"/>
    <n v="11"/>
    <n v="25"/>
    <n v="150"/>
    <n v="100"/>
    <n v="16.562999999999999"/>
    <n v="16.718"/>
    <n v="33.130000000000003"/>
    <n v="70.099999999999994"/>
    <n v="4.6249999999999999E-2"/>
    <n v="3.2479999999999998E-4"/>
    <n v="4.0416410397285292"/>
    <n v="2.5274359029342439"/>
    <n v="2"/>
  </r>
  <r>
    <n v="45"/>
    <s v="Activated_Carbon"/>
    <n v="0.5"/>
    <n v="60"/>
    <n v="25"/>
    <n v="11"/>
    <n v="25"/>
    <n v="150"/>
    <n v="100"/>
    <n v="16.683"/>
    <n v="16.658000000000001"/>
    <n v="33.369999999999997"/>
    <n v="81.2"/>
    <n v="4.3810000000000002E-2"/>
    <n v="3.8160000000000001E-4"/>
    <n v="4.6111372975905436"/>
    <n v="2.4908773481743527"/>
    <n v="3"/>
  </r>
  <r>
    <n v="46"/>
    <s v="Activated_Carbon"/>
    <n v="0.5"/>
    <n v="60"/>
    <n v="50"/>
    <n v="3"/>
    <n v="25"/>
    <n v="150"/>
    <n v="100"/>
    <n v="40.268999999999998"/>
    <n v="29.866"/>
    <n v="40.270000000000003"/>
    <n v="58.1"/>
    <n v="4.018E-2"/>
    <n v="3.145E-4"/>
    <n v="17.387274632105761"/>
    <n v="3.1303385731043853"/>
    <n v="1"/>
  </r>
  <r>
    <n v="47"/>
    <s v="Activated_Carbon"/>
    <n v="0.5"/>
    <n v="60"/>
    <n v="50"/>
    <n v="3"/>
    <n v="25"/>
    <n v="150"/>
    <n v="100"/>
    <n v="37.664000000000001"/>
    <n v="31.167999999999999"/>
    <n v="37.659999999999997"/>
    <n v="73.8"/>
    <n v="4.7129999999999998E-2"/>
    <n v="2.9779999999999997E-4"/>
    <n v="15.150884436524452"/>
    <n v="3.1140980533142888"/>
    <n v="2"/>
  </r>
  <r>
    <n v="48"/>
    <s v="Activated_Carbon"/>
    <n v="0.5"/>
    <n v="60"/>
    <n v="50"/>
    <n v="3"/>
    <n v="25"/>
    <n v="150"/>
    <n v="100"/>
    <n v="35.750999999999998"/>
    <n v="32.124000000000002"/>
    <n v="35.75"/>
    <n v="51.5"/>
    <n v="4.299E-2"/>
    <n v="3.257E-4"/>
    <n v="14.704237392584464"/>
    <n v="3.046746752928486"/>
    <n v="3"/>
  </r>
  <r>
    <n v="49"/>
    <s v="Activated_Carbon"/>
    <n v="0.5"/>
    <n v="60"/>
    <n v="50"/>
    <n v="7"/>
    <n v="25"/>
    <n v="150"/>
    <n v="100"/>
    <n v="58.526000000000003"/>
    <n v="20.736999999999998"/>
    <n v="58.53"/>
    <n v="54.2"/>
    <n v="4.5780000000000001E-2"/>
    <n v="3.1159999999999998E-4"/>
    <n v="30.57931800985839"/>
    <n v="3.3302984802158369"/>
    <n v="1"/>
  </r>
  <r>
    <n v="50"/>
    <s v="Activated_Carbon"/>
    <n v="0.5"/>
    <n v="60"/>
    <n v="50"/>
    <n v="7"/>
    <n v="25"/>
    <n v="150"/>
    <n v="100"/>
    <n v="53.472000000000001"/>
    <n v="23.263999999999999"/>
    <n v="53.47"/>
    <n v="68.2"/>
    <n v="4.5260000000000002E-2"/>
    <n v="2.6570000000000001E-4"/>
    <n v="24.606453298119327"/>
    <n v="3.3626487282912958"/>
    <n v="2"/>
  </r>
  <r>
    <n v="51"/>
    <s v="Activated_Carbon"/>
    <n v="0.5"/>
    <n v="60"/>
    <n v="50"/>
    <n v="7"/>
    <n v="25"/>
    <n v="150"/>
    <n v="100"/>
    <n v="59.186999999999998"/>
    <n v="20.405999999999999"/>
    <n v="59.19"/>
    <n v="72.3"/>
    <n v="4.9869999999999998E-2"/>
    <n v="3.3159999999999998E-4"/>
    <n v="32.006884332096419"/>
    <n v="3.3024856643395339"/>
    <n v="3"/>
  </r>
  <r>
    <n v="52"/>
    <s v="Activated_Carbon"/>
    <n v="0.5"/>
    <n v="60"/>
    <n v="50"/>
    <n v="11"/>
    <n v="25"/>
    <n v="150"/>
    <n v="100"/>
    <n v="40.811"/>
    <n v="29.594000000000001"/>
    <n v="40.81"/>
    <n v="57.3"/>
    <n v="4.7320000000000001E-2"/>
    <n v="3.1540000000000002E-4"/>
    <n v="17.783955803844417"/>
    <n v="3.1366693597925086"/>
    <n v="1"/>
  </r>
  <r>
    <n v="53"/>
    <s v="Activated_Carbon"/>
    <n v="0.5"/>
    <n v="60"/>
    <n v="50"/>
    <n v="11"/>
    <n v="25"/>
    <n v="150"/>
    <n v="100"/>
    <n v="47.756"/>
    <n v="26.122"/>
    <n v="47.76"/>
    <n v="105.2"/>
    <n v="4.7570000000000001E-2"/>
    <n v="3.3409999999999999E-4"/>
    <n v="23.357292245808658"/>
    <n v="3.194530170002881"/>
    <n v="2"/>
  </r>
  <r>
    <n v="54"/>
    <s v="Activated_Carbon"/>
    <n v="0.5"/>
    <n v="60"/>
    <n v="50"/>
    <n v="11"/>
    <n v="25"/>
    <n v="150"/>
    <n v="100"/>
    <n v="49.366999999999997"/>
    <n v="25.317"/>
    <n v="49.37"/>
    <n v="73.2"/>
    <n v="4.3580000000000001E-2"/>
    <n v="3.2279999999999999E-4"/>
    <n v="24.130054491636052"/>
    <n v="3.2283090124560934"/>
    <n v="3"/>
  </r>
  <r>
    <n v="55"/>
    <s v="Activated_Carbon"/>
    <n v="0.5"/>
    <n v="60"/>
    <n v="100"/>
    <n v="3"/>
    <n v="25"/>
    <n v="150"/>
    <n v="100"/>
    <n v="84.012"/>
    <n v="57.994"/>
    <n v="42.01"/>
    <n v="64.3"/>
    <n v="4.2819999999999997E-2"/>
    <n v="3.0249999999999998E-4"/>
    <n v="50.737519758297019"/>
    <n v="3.5047907440751227"/>
    <n v="1"/>
  </r>
  <r>
    <n v="56"/>
    <s v="Activated_Carbon"/>
    <n v="0.5"/>
    <n v="60"/>
    <n v="100"/>
    <n v="3"/>
    <n v="25"/>
    <n v="150"/>
    <n v="100"/>
    <n v="106.13"/>
    <n v="46.935000000000002"/>
    <n v="53.06"/>
    <n v="48"/>
    <n v="4.8090000000000001E-2"/>
    <n v="2.5159999999999999E-4"/>
    <n v="65.344315142828208"/>
    <n v="3.7083311585000449"/>
    <n v="2"/>
  </r>
  <r>
    <n v="57"/>
    <s v="Activated_Carbon"/>
    <n v="0.5"/>
    <n v="60"/>
    <n v="100"/>
    <n v="3"/>
    <n v="25"/>
    <n v="150"/>
    <n v="100"/>
    <n v="86.167000000000002"/>
    <n v="56.915999999999997"/>
    <n v="43.08"/>
    <n v="77.599999999999994"/>
    <n v="4.5289999999999997E-2"/>
    <n v="2.677E-4"/>
    <n v="50.023341781069661"/>
    <n v="3.5875015035867137"/>
    <n v="3"/>
  </r>
  <r>
    <n v="58"/>
    <s v="Activated_Carbon"/>
    <n v="0.5"/>
    <n v="60"/>
    <n v="100"/>
    <n v="7"/>
    <n v="25"/>
    <n v="150"/>
    <n v="100"/>
    <n v="121.762"/>
    <n v="39.119"/>
    <n v="60.88"/>
    <n v="73.5"/>
    <n v="4.1709999999999997E-2"/>
    <n v="3.0650000000000002E-4"/>
    <n v="84.171891188116206"/>
    <n v="3.6267409522748446"/>
    <n v="1"/>
  </r>
  <r>
    <n v="59"/>
    <s v="Activated_Carbon"/>
    <n v="0.5"/>
    <n v="60"/>
    <n v="100"/>
    <n v="7"/>
    <n v="25"/>
    <n v="150"/>
    <n v="100"/>
    <n v="129.624"/>
    <n v="35.188000000000002"/>
    <n v="64.81"/>
    <n v="60.2"/>
    <n v="5.4649999999999997E-2"/>
    <n v="3.19E-4"/>
    <n v="92.386460533792757"/>
    <n v="3.6173173778899903"/>
    <n v="2"/>
  </r>
  <r>
    <n v="60"/>
    <s v="Activated_Carbon"/>
    <n v="0.5"/>
    <n v="60"/>
    <n v="100"/>
    <n v="7"/>
    <n v="25"/>
    <n v="150"/>
    <n v="100"/>
    <n v="108.229"/>
    <n v="45.886000000000003"/>
    <n v="54.11"/>
    <n v="68.5"/>
    <n v="4.2020000000000002E-2"/>
    <n v="3.256E-4"/>
    <n v="73.477417205063119"/>
    <n v="3.5482251190292575"/>
    <n v="3"/>
  </r>
  <r>
    <n v="61"/>
    <s v="Activated_Carbon"/>
    <n v="0.5"/>
    <n v="60"/>
    <n v="100"/>
    <n v="11"/>
    <n v="25"/>
    <n v="150"/>
    <n v="100"/>
    <n v="98.557000000000002"/>
    <n v="50.722000000000001"/>
    <n v="49.28"/>
    <n v="65.5"/>
    <n v="4.727E-2"/>
    <n v="3.2600000000000001E-4"/>
    <n v="64.894234694257179"/>
    <n v="3.5163923394506722"/>
    <n v="1"/>
  </r>
  <r>
    <n v="62"/>
    <s v="Activated_Carbon"/>
    <n v="0.5"/>
    <n v="60"/>
    <n v="100"/>
    <n v="11"/>
    <n v="25"/>
    <n v="150"/>
    <n v="100"/>
    <n v="95.123999999999995"/>
    <n v="52.438000000000002"/>
    <n v="47.56"/>
    <n v="63.3"/>
    <n v="4.2860000000000002E-2"/>
    <n v="2.8039999999999999E-4"/>
    <n v="58.542998109595466"/>
    <n v="3.599529031609094"/>
    <n v="2"/>
  </r>
  <r>
    <n v="63"/>
    <s v="Activated_Carbon"/>
    <n v="0.5"/>
    <n v="60"/>
    <n v="100"/>
    <n v="11"/>
    <n v="25"/>
    <n v="150"/>
    <n v="100"/>
    <n v="120.09"/>
    <n v="39.954999999999998"/>
    <n v="60.05"/>
    <n v="70.7"/>
    <n v="3.9329999999999997E-2"/>
    <n v="3.2749999999999999E-4"/>
    <n v="84.346465884479855"/>
    <n v="3.5763693888806345"/>
    <n v="3"/>
  </r>
  <r>
    <n v="64"/>
    <s v="Activated_Carbon"/>
    <n v="0.5"/>
    <n v="60"/>
    <n v="200"/>
    <n v="3"/>
    <n v="25"/>
    <n v="150"/>
    <n v="100"/>
    <n v="153.994"/>
    <n v="123.003"/>
    <n v="38.5"/>
    <n v="77"/>
    <n v="3.8159999999999999E-2"/>
    <n v="2.855E-4"/>
    <n v="111.66373499193585"/>
    <n v="3.7455023150392015"/>
    <n v="1"/>
  </r>
  <r>
    <n v="65"/>
    <s v="Activated_Carbon"/>
    <n v="0.5"/>
    <n v="60"/>
    <n v="200"/>
    <n v="3"/>
    <n v="25"/>
    <n v="150"/>
    <n v="100"/>
    <n v="144.98699999999999"/>
    <n v="127.506"/>
    <n v="36.25"/>
    <n v="59.6"/>
    <n v="4.7E-2"/>
    <n v="3.232E-4"/>
    <n v="106.9485226903606"/>
    <n v="3.638598208212493"/>
    <n v="2"/>
  </r>
  <r>
    <n v="66"/>
    <s v="Activated_Carbon"/>
    <n v="0.5"/>
    <n v="60"/>
    <n v="200"/>
    <n v="3"/>
    <n v="25"/>
    <n v="150"/>
    <n v="100"/>
    <n v="121.88200000000001"/>
    <n v="139.059"/>
    <n v="30.47"/>
    <n v="66.099999999999994"/>
    <n v="3.041E-2"/>
    <n v="2.6929999999999999E-4"/>
    <n v="80.835573844317679"/>
    <n v="3.7147037713455138"/>
    <n v="3"/>
  </r>
  <r>
    <n v="67"/>
    <s v="Activated_Carbon"/>
    <n v="0.5"/>
    <n v="60"/>
    <n v="200"/>
    <n v="7"/>
    <n v="25"/>
    <n v="150"/>
    <n v="100"/>
    <n v="183.06800000000001"/>
    <n v="108.46599999999999"/>
    <n v="45.77"/>
    <n v="54.2"/>
    <n v="5.2350000000000001E-2"/>
    <n v="2.5710000000000002E-4"/>
    <n v="135.19465627130211"/>
    <n v="3.8685588511571498"/>
    <n v="1"/>
  </r>
  <r>
    <n v="68"/>
    <s v="Activated_Carbon"/>
    <n v="0.5"/>
    <n v="60"/>
    <n v="200"/>
    <n v="7"/>
    <n v="25"/>
    <n v="150"/>
    <n v="100"/>
    <n v="180.26599999999999"/>
    <n v="109.867"/>
    <n v="45.07"/>
    <n v="68"/>
    <n v="5.1490000000000001E-2"/>
    <n v="2.5690000000000001E-4"/>
    <n v="132.55916679519171"/>
    <n v="3.8650746414040196"/>
    <n v="2"/>
  </r>
  <r>
    <n v="69"/>
    <s v="Activated_Carbon"/>
    <n v="0.5"/>
    <n v="60"/>
    <n v="200"/>
    <n v="7"/>
    <n v="25"/>
    <n v="150"/>
    <n v="100"/>
    <n v="204.23"/>
    <n v="97.885000000000005"/>
    <n v="51.06"/>
    <n v="66.8"/>
    <n v="4.0579999999999998E-2"/>
    <n v="3.1389999999999999E-4"/>
    <n v="162.09003176226602"/>
    <n v="3.7409966546437694"/>
    <n v="3"/>
  </r>
  <r>
    <n v="70"/>
    <s v="Activated_Carbon"/>
    <n v="0.5"/>
    <n v="60"/>
    <n v="200"/>
    <n v="11"/>
    <n v="25"/>
    <n v="150"/>
    <n v="100"/>
    <n v="156.02000000000001"/>
    <n v="121.99"/>
    <n v="39.01"/>
    <n v="60.7"/>
    <n v="4.5310000000000003E-2"/>
    <n v="2.8840000000000002E-4"/>
    <n v="113.84981195415256"/>
    <n v="3.7417135269813326"/>
    <n v="1"/>
  </r>
  <r>
    <n v="71"/>
    <s v="Activated_Carbon"/>
    <n v="0.5"/>
    <n v="60"/>
    <n v="200"/>
    <n v="11"/>
    <n v="25"/>
    <n v="150"/>
    <n v="100"/>
    <n v="154.96899999999999"/>
    <n v="122.515"/>
    <n v="38.74"/>
    <n v="73.3"/>
    <n v="5.2139999999999999E-2"/>
    <n v="2.6289999999999999E-4"/>
    <n v="109.97847755843132"/>
    <n v="3.8064518551788264"/>
    <n v="2"/>
  </r>
  <r>
    <n v="72"/>
    <s v="Activated_Carbon"/>
    <n v="0.5"/>
    <n v="60"/>
    <n v="200"/>
    <n v="11"/>
    <n v="25"/>
    <n v="150"/>
    <n v="100"/>
    <n v="179.78100000000001"/>
    <n v="110.10899999999999"/>
    <n v="44.95"/>
    <n v="47.1"/>
    <n v="4.4319999999999998E-2"/>
    <n v="3.1760000000000002E-4"/>
    <n v="139.16084898378574"/>
    <n v="3.7042642739250979"/>
    <n v="3"/>
  </r>
  <r>
    <n v="73"/>
    <s v="Activated_Carbon"/>
    <n v="0.5"/>
    <n v="120"/>
    <n v="25"/>
    <n v="3"/>
    <n v="25"/>
    <n v="150"/>
    <n v="100"/>
    <n v="20.108000000000001"/>
    <n v="14.946"/>
    <n v="40.22"/>
    <n v="60.4"/>
    <n v="4.4060000000000002E-2"/>
    <n v="2.8519999999999999E-4"/>
    <n v="8.1969209933840848"/>
    <n v="2.4774689759567683"/>
    <n v="1"/>
  </r>
  <r>
    <n v="74"/>
    <s v="Activated_Carbon"/>
    <n v="0.5"/>
    <n v="120"/>
    <n v="25"/>
    <n v="3"/>
    <n v="25"/>
    <n v="150"/>
    <n v="100"/>
    <n v="18.739000000000001"/>
    <n v="15.631"/>
    <n v="37.479999999999997"/>
    <n v="75.2"/>
    <n v="4.6609999999999999E-2"/>
    <n v="2.7920000000000001E-4"/>
    <n v="7.2273659601673161"/>
    <n v="2.4433581796281283"/>
    <n v="2"/>
  </r>
  <r>
    <n v="75"/>
    <s v="Activated_Carbon"/>
    <n v="0.5"/>
    <n v="120"/>
    <n v="25"/>
    <n v="3"/>
    <n v="25"/>
    <n v="150"/>
    <n v="100"/>
    <n v="21.081"/>
    <n v="14.459"/>
    <n v="42.16"/>
    <n v="69.7"/>
    <n v="4.8660000000000002E-2"/>
    <n v="3.189E-4"/>
    <n v="9.4129440407895686"/>
    <n v="2.4568548479496166"/>
    <n v="3"/>
  </r>
  <r>
    <n v="76"/>
    <s v="Activated_Carbon"/>
    <n v="0.5"/>
    <n v="120"/>
    <n v="25"/>
    <n v="7"/>
    <n v="25"/>
    <n v="150"/>
    <n v="100"/>
    <n v="27.516999999999999"/>
    <n v="11.242000000000001"/>
    <n v="55.03"/>
    <n v="61.1"/>
    <n v="4.836E-2"/>
    <n v="3.1829999999999998E-4"/>
    <n v="14.10087502829224"/>
    <n v="2.5964573396018333"/>
    <n v="1"/>
  </r>
  <r>
    <n v="77"/>
    <s v="Activated_Carbon"/>
    <n v="0.5"/>
    <n v="120"/>
    <n v="25"/>
    <n v="7"/>
    <n v="25"/>
    <n v="150"/>
    <n v="100"/>
    <n v="29.422000000000001"/>
    <n v="10.289"/>
    <n v="58.84"/>
    <n v="67.8"/>
    <n v="5.0750000000000003E-2"/>
    <n v="2.8229999999999998E-4"/>
    <n v="14.686684312523891"/>
    <n v="2.6902470402883658"/>
    <n v="2"/>
  </r>
  <r>
    <n v="78"/>
    <s v="Activated_Carbon"/>
    <n v="0.5"/>
    <n v="120"/>
    <n v="25"/>
    <n v="7"/>
    <n v="25"/>
    <n v="150"/>
    <n v="100"/>
    <n v="30.760999999999999"/>
    <n v="9.6189999999999998"/>
    <n v="61.52"/>
    <n v="64.599999999999994"/>
    <n v="4.4019999999999997E-2"/>
    <n v="3.3300000000000002E-4"/>
    <n v="16.961938416933755"/>
    <n v="2.624600588623887"/>
    <n v="3"/>
  </r>
  <r>
    <n v="79"/>
    <s v="Activated_Carbon"/>
    <n v="0.5"/>
    <n v="120"/>
    <n v="25"/>
    <n v="11"/>
    <n v="25"/>
    <n v="150"/>
    <n v="100"/>
    <n v="25.06"/>
    <n v="12.47"/>
    <n v="50.12"/>
    <n v="74.8"/>
    <n v="5.0869999999999999E-2"/>
    <n v="3.0059999999999999E-4"/>
    <n v="11.897988644661153"/>
    <n v="2.5773347527701338"/>
    <n v="1"/>
  </r>
  <r>
    <n v="80"/>
    <s v="Activated_Carbon"/>
    <n v="0.5"/>
    <n v="120"/>
    <n v="25"/>
    <n v="11"/>
    <n v="25"/>
    <n v="150"/>
    <n v="100"/>
    <n v="24.791"/>
    <n v="12.605"/>
    <n v="49.58"/>
    <n v="63.6"/>
    <n v="4.6460000000000001E-2"/>
    <n v="2.9609999999999999E-4"/>
    <n v="11.610424119878173"/>
    <n v="2.5787442216040342"/>
    <n v="2"/>
  </r>
  <r>
    <n v="81"/>
    <s v="Activated_Carbon"/>
    <n v="0.5"/>
    <n v="120"/>
    <n v="25"/>
    <n v="11"/>
    <n v="25"/>
    <n v="150"/>
    <n v="100"/>
    <n v="23.69"/>
    <n v="13.154999999999999"/>
    <n v="47.38"/>
    <n v="72.599999999999994"/>
    <n v="4.1320000000000003E-2"/>
    <n v="3.6279999999999998E-4"/>
    <n v="12.027907328492514"/>
    <n v="2.4563436392190421"/>
    <n v="3"/>
  </r>
  <r>
    <n v="82"/>
    <s v="Activated_Carbon"/>
    <n v="0.5"/>
    <n v="120"/>
    <n v="50"/>
    <n v="3"/>
    <n v="25"/>
    <n v="150"/>
    <n v="100"/>
    <n v="45.368000000000002"/>
    <n v="27.315999999999999"/>
    <n v="45.37"/>
    <n v="54.5"/>
    <n v="5.0209999999999998E-2"/>
    <n v="3.2370000000000001E-4"/>
    <n v="28.943854431202048"/>
    <n v="2.7987525428530704"/>
    <n v="1"/>
  </r>
  <r>
    <n v="83"/>
    <s v="Activated_Carbon"/>
    <n v="0.5"/>
    <n v="120"/>
    <n v="50"/>
    <n v="3"/>
    <n v="25"/>
    <n v="150"/>
    <n v="100"/>
    <n v="51.802"/>
    <n v="24.099"/>
    <n v="51.8"/>
    <n v="73"/>
    <n v="4.4940000000000001E-2"/>
    <n v="2.7310000000000002E-4"/>
    <n v="32.599397282148679"/>
    <n v="2.9550458280679734"/>
    <n v="2"/>
  </r>
  <r>
    <n v="84"/>
    <s v="Activated_Carbon"/>
    <n v="0.5"/>
    <n v="120"/>
    <n v="50"/>
    <n v="3"/>
    <n v="25"/>
    <n v="150"/>
    <n v="100"/>
    <n v="49.637999999999998"/>
    <n v="25.181000000000001"/>
    <n v="49.64"/>
    <n v="59.9"/>
    <n v="4.9390000000000003E-2"/>
    <n v="2.9559999999999998E-4"/>
    <n v="31.658162732515901"/>
    <n v="2.8892509782507974"/>
    <n v="3"/>
  </r>
  <r>
    <n v="85"/>
    <s v="Activated_Carbon"/>
    <n v="0.5"/>
    <n v="120"/>
    <n v="50"/>
    <n v="7"/>
    <n v="25"/>
    <n v="150"/>
    <n v="100"/>
    <n v="66.182000000000002"/>
    <n v="16.908999999999999"/>
    <n v="66.180000000000007"/>
    <n v="63.5"/>
    <n v="4.6859999999999999E-2"/>
    <n v="2.831E-4"/>
    <n v="45.807869266588405"/>
    <n v="3.0142659948259762"/>
    <n v="1"/>
  </r>
  <r>
    <n v="86"/>
    <s v="Activated_Carbon"/>
    <n v="0.5"/>
    <n v="120"/>
    <n v="50"/>
    <n v="7"/>
    <n v="25"/>
    <n v="150"/>
    <n v="100"/>
    <n v="66.2"/>
    <n v="16.899999999999999"/>
    <n v="66.2"/>
    <n v="69.099999999999994"/>
    <n v="4.6100000000000002E-2"/>
    <n v="2.8479999999999998E-4"/>
    <n v="45.908508743364507"/>
    <n v="3.0102016482604266"/>
    <n v="2"/>
  </r>
  <r>
    <n v="87"/>
    <s v="Activated_Carbon"/>
    <n v="0.5"/>
    <n v="120"/>
    <n v="50"/>
    <n v="7"/>
    <n v="25"/>
    <n v="150"/>
    <n v="100"/>
    <n v="68.191000000000003"/>
    <n v="15.904"/>
    <n v="68.19"/>
    <n v="69"/>
    <n v="3.848E-2"/>
    <n v="2.5779999999999998E-4"/>
    <n v="46.261508142411877"/>
    <n v="3.0878323910527299"/>
    <n v="3"/>
  </r>
  <r>
    <n v="88"/>
    <s v="Activated_Carbon"/>
    <n v="0.5"/>
    <n v="120"/>
    <n v="50"/>
    <n v="11"/>
    <n v="25"/>
    <n v="150"/>
    <n v="100"/>
    <n v="54.542000000000002"/>
    <n v="22.728999999999999"/>
    <n v="54.54"/>
    <n v="64.5"/>
    <n v="4.6399999999999997E-2"/>
    <n v="3.4430000000000002E-4"/>
    <n v="37.777679635506217"/>
    <n v="2.8192528401459018"/>
    <n v="1"/>
  </r>
  <r>
    <n v="89"/>
    <s v="Activated_Carbon"/>
    <n v="0.5"/>
    <n v="120"/>
    <n v="50"/>
    <n v="11"/>
    <n v="25"/>
    <n v="150"/>
    <n v="100"/>
    <n v="61.838999999999999"/>
    <n v="19.081"/>
    <n v="61.84"/>
    <n v="65.099999999999994"/>
    <n v="4.4909999999999999E-2"/>
    <n v="2.699E-4"/>
    <n v="41.245505691023588"/>
    <n v="3.0249752156731149"/>
    <n v="2"/>
  </r>
  <r>
    <n v="90"/>
    <s v="Activated_Carbon"/>
    <n v="0.5"/>
    <n v="120"/>
    <n v="50"/>
    <n v="11"/>
    <n v="25"/>
    <n v="150"/>
    <n v="100"/>
    <n v="57.781999999999996"/>
    <n v="21.109000000000002"/>
    <n v="57.78"/>
    <n v="63.8"/>
    <n v="4.6449999999999998E-2"/>
    <n v="2.7520000000000002E-4"/>
    <n v="37.913303318061203"/>
    <n v="2.9891454621597568"/>
    <n v="3"/>
  </r>
  <r>
    <n v="91"/>
    <s v="Activated_Carbon"/>
    <n v="0.5"/>
    <n v="120"/>
    <n v="100"/>
    <n v="3"/>
    <n v="25"/>
    <n v="150"/>
    <n v="100"/>
    <n v="109.866"/>
    <n v="45.067"/>
    <n v="54.93"/>
    <n v="82"/>
    <n v="4.4510000000000001E-2"/>
    <n v="3.121E-4"/>
    <n v="88.385567278624279"/>
    <n v="3.0671424147531932"/>
    <n v="1"/>
  </r>
  <r>
    <n v="92"/>
    <s v="Activated_Carbon"/>
    <n v="0.5"/>
    <n v="120"/>
    <n v="100"/>
    <n v="3"/>
    <n v="25"/>
    <n v="150"/>
    <n v="100"/>
    <n v="111.307"/>
    <n v="44.345999999999997"/>
    <n v="55.65"/>
    <n v="62.7"/>
    <n v="4.6010000000000002E-2"/>
    <n v="3.0039999999999998E-4"/>
    <n v="89.100648373187497"/>
    <n v="3.1003783572726471"/>
    <n v="2"/>
  </r>
  <r>
    <n v="93"/>
    <s v="Activated_Carbon"/>
    <n v="0.5"/>
    <n v="120"/>
    <n v="100"/>
    <n v="3"/>
    <n v="25"/>
    <n v="150"/>
    <n v="100"/>
    <n v="106.30800000000001"/>
    <n v="46.845999999999997"/>
    <n v="53.15"/>
    <n v="58.9"/>
    <n v="4.5109999999999997E-2"/>
    <n v="3.1490000000000001E-4"/>
    <n v="85.11914854819463"/>
    <n v="3.053475168442418"/>
    <n v="3"/>
  </r>
  <r>
    <n v="94"/>
    <s v="Activated_Carbon"/>
    <n v="0.5"/>
    <n v="120"/>
    <n v="100"/>
    <n v="7"/>
    <n v="25"/>
    <n v="150"/>
    <n v="100"/>
    <n v="164.28100000000001"/>
    <n v="17.86"/>
    <n v="82.14"/>
    <n v="76.3"/>
    <n v="5.4690000000000003E-2"/>
    <n v="2.7700000000000001E-4"/>
    <n v="138.85326170356228"/>
    <n v="3.2358406370767971"/>
    <n v="1"/>
  </r>
  <r>
    <n v="95"/>
    <s v="Activated_Carbon"/>
    <n v="0.5"/>
    <n v="120"/>
    <n v="100"/>
    <n v="7"/>
    <n v="25"/>
    <n v="150"/>
    <n v="100"/>
    <n v="157.465"/>
    <n v="21.268000000000001"/>
    <n v="78.73"/>
    <n v="68.5"/>
    <n v="5.4850000000000003E-2"/>
    <n v="2.7579999999999998E-4"/>
    <n v="132.11428399686619"/>
    <n v="3.2328069743378767"/>
    <n v="2"/>
  </r>
  <r>
    <n v="96"/>
    <s v="Activated_Carbon"/>
    <n v="0.5"/>
    <n v="120"/>
    <n v="100"/>
    <n v="7"/>
    <n v="25"/>
    <n v="150"/>
    <n v="100"/>
    <n v="137.30500000000001"/>
    <n v="31.347999999999999"/>
    <n v="68.650000000000006"/>
    <n v="60.7"/>
    <n v="3.5439999999999999E-2"/>
    <n v="2.8420000000000002E-4"/>
    <n v="113.14285614714962"/>
    <n v="3.1847871047610656"/>
    <n v="3"/>
  </r>
  <r>
    <n v="97"/>
    <s v="Activated_Carbon"/>
    <n v="0.5"/>
    <n v="120"/>
    <n v="100"/>
    <n v="11"/>
    <n v="25"/>
    <n v="150"/>
    <n v="100"/>
    <n v="114.68899999999999"/>
    <n v="42.655999999999999"/>
    <n v="57.34"/>
    <n v="68.2"/>
    <n v="4.6539999999999998E-2"/>
    <n v="3.5629999999999999E-4"/>
    <n v="95.262181296106334"/>
    <n v="2.9666545188410525"/>
    <n v="1"/>
  </r>
  <r>
    <n v="98"/>
    <s v="Activated_Carbon"/>
    <n v="0.5"/>
    <n v="120"/>
    <n v="100"/>
    <n v="11"/>
    <n v="25"/>
    <n v="150"/>
    <n v="100"/>
    <n v="131.38800000000001"/>
    <n v="34.305999999999997"/>
    <n v="65.69"/>
    <n v="60.9"/>
    <n v="4.0960000000000003E-2"/>
    <n v="3.1480000000000001E-4"/>
    <n v="109.35528126443798"/>
    <n v="3.0925285638017885"/>
    <n v="2"/>
  </r>
  <r>
    <n v="99"/>
    <s v="Activated_Carbon"/>
    <n v="0.5"/>
    <n v="120"/>
    <n v="100"/>
    <n v="11"/>
    <n v="25"/>
    <n v="150"/>
    <n v="100"/>
    <n v="109.208"/>
    <n v="45.396000000000001"/>
    <n v="54.6"/>
    <n v="85"/>
    <n v="5.0310000000000001E-2"/>
    <n v="2.8590000000000001E-4"/>
    <n v="86.20089728216999"/>
    <n v="3.1358029820746731"/>
    <n v="3"/>
  </r>
  <r>
    <n v="100"/>
    <s v="Activated_Carbon"/>
    <n v="0.5"/>
    <n v="120"/>
    <n v="200"/>
    <n v="3"/>
    <n v="25"/>
    <n v="150"/>
    <n v="100"/>
    <n v="129.262"/>
    <n v="135.369"/>
    <n v="32.32"/>
    <n v="80.2"/>
    <n v="4.4479999999999999E-2"/>
    <n v="3.3710000000000001E-4"/>
    <n v="108.51004272192097"/>
    <n v="3.0326405688826394"/>
    <n v="1"/>
  </r>
  <r>
    <n v="101"/>
    <s v="Activated_Carbon"/>
    <n v="0.5"/>
    <n v="120"/>
    <n v="200"/>
    <n v="3"/>
    <n v="25"/>
    <n v="150"/>
    <n v="100"/>
    <n v="130.684"/>
    <n v="134.65799999999999"/>
    <n v="32.67"/>
    <n v="60.7"/>
    <n v="4.5019999999999998E-2"/>
    <n v="3.0140000000000001E-4"/>
    <n v="107.86339418836039"/>
    <n v="3.1276638914803097"/>
    <n v="2"/>
  </r>
  <r>
    <n v="102"/>
    <s v="Activated_Carbon"/>
    <n v="0.5"/>
    <n v="120"/>
    <n v="200"/>
    <n v="3"/>
    <n v="25"/>
    <n v="150"/>
    <n v="100"/>
    <n v="144.398"/>
    <n v="127.801"/>
    <n v="36.1"/>
    <n v="72.900000000000006"/>
    <n v="4.02E-2"/>
    <n v="2.9569999999999998E-4"/>
    <n v="120.81826835258499"/>
    <n v="3.1603875145277147"/>
    <n v="3"/>
  </r>
  <r>
    <n v="103"/>
    <s v="Activated_Carbon"/>
    <n v="0.5"/>
    <n v="120"/>
    <n v="200"/>
    <n v="7"/>
    <n v="25"/>
    <n v="150"/>
    <n v="100"/>
    <n v="208.84"/>
    <n v="95.58"/>
    <n v="52.21"/>
    <n v="71.8"/>
    <n v="4.82E-2"/>
    <n v="2.6630000000000002E-4"/>
    <n v="181.62493505779719"/>
    <n v="3.3037706781483469"/>
    <n v="1"/>
  </r>
  <r>
    <n v="104"/>
    <s v="Activated_Carbon"/>
    <n v="0.5"/>
    <n v="120"/>
    <n v="200"/>
    <n v="7"/>
    <n v="25"/>
    <n v="150"/>
    <n v="100"/>
    <n v="181.46299999999999"/>
    <n v="109.26900000000001"/>
    <n v="45.37"/>
    <n v="79.400000000000006"/>
    <n v="4.65E-2"/>
    <n v="2.7750000000000002E-4"/>
    <n v="155.69695305951419"/>
    <n v="3.2490576151671693"/>
    <n v="2"/>
  </r>
  <r>
    <n v="105"/>
    <s v="Activated_Carbon"/>
    <n v="0.5"/>
    <n v="120"/>
    <n v="200"/>
    <n v="7"/>
    <n v="25"/>
    <n v="150"/>
    <n v="100"/>
    <n v="232.518"/>
    <n v="83.741"/>
    <n v="58.13"/>
    <n v="67.8"/>
    <n v="5.0310000000000001E-2"/>
    <n v="3.0200000000000002E-4"/>
    <n v="207.85145609708658"/>
    <n v="3.2054478276147598"/>
    <n v="3"/>
  </r>
  <r>
    <n v="106"/>
    <s v="Activated_Carbon"/>
    <n v="0.5"/>
    <n v="120"/>
    <n v="200"/>
    <n v="11"/>
    <n v="25"/>
    <n v="150"/>
    <n v="100"/>
    <n v="201.01"/>
    <n v="99.495000000000005"/>
    <n v="50.25"/>
    <n v="84.2"/>
    <n v="4.3880000000000002E-2"/>
    <n v="3.2909999999999998E-4"/>
    <n v="178.52135068731937"/>
    <n v="3.1130107069280815"/>
    <n v="1"/>
  </r>
  <r>
    <n v="107"/>
    <s v="Activated_Carbon"/>
    <n v="0.5"/>
    <n v="120"/>
    <n v="200"/>
    <n v="11"/>
    <n v="25"/>
    <n v="150"/>
    <n v="100"/>
    <n v="181.471"/>
    <n v="109.265"/>
    <n v="45.37"/>
    <n v="80.400000000000006"/>
    <n v="4.0660000000000002E-2"/>
    <n v="3.2059999999999999E-4"/>
    <n v="158.73469596962178"/>
    <n v="3.1239629434670539"/>
    <n v="2"/>
  </r>
  <r>
    <n v="108"/>
    <s v="Activated_Carbon"/>
    <n v="0.5"/>
    <n v="120"/>
    <n v="200"/>
    <n v="11"/>
    <n v="25"/>
    <n v="150"/>
    <n v="100"/>
    <n v="187.173"/>
    <n v="106.414"/>
    <n v="46.79"/>
    <n v="49.1"/>
    <n v="3.968E-2"/>
    <n v="2.388E-4"/>
    <n v="157.76006822058775"/>
    <n v="3.3814344340787419"/>
    <n v="3"/>
  </r>
  <r>
    <n v="109"/>
    <s v="Activated_Carbon"/>
    <n v="0.5"/>
    <n v="240"/>
    <n v="25"/>
    <n v="3"/>
    <n v="25"/>
    <n v="150"/>
    <n v="100"/>
    <n v="24.687000000000001"/>
    <n v="12.656000000000001"/>
    <n v="49.37"/>
    <n v="73.8"/>
    <n v="5.176E-2"/>
    <n v="3.0219999999999997E-4"/>
    <n v="15.840194344252877"/>
    <n v="2.1800564510108553"/>
    <n v="1"/>
  </r>
  <r>
    <n v="110"/>
    <s v="Activated_Carbon"/>
    <n v="0.5"/>
    <n v="240"/>
    <n v="25"/>
    <n v="3"/>
    <n v="25"/>
    <n v="150"/>
    <n v="100"/>
    <n v="28.518999999999998"/>
    <n v="10.741"/>
    <n v="57.04"/>
    <n v="52.9"/>
    <n v="3.7330000000000002E-2"/>
    <n v="2.9829999999999999E-4"/>
    <n v="19.143092564770679"/>
    <n v="2.2381433602634528"/>
    <n v="2"/>
  </r>
  <r>
    <n v="111"/>
    <s v="Activated_Carbon"/>
    <n v="0.5"/>
    <n v="240"/>
    <n v="25"/>
    <n v="3"/>
    <n v="25"/>
    <n v="150"/>
    <n v="100"/>
    <n v="26.006"/>
    <n v="11.997"/>
    <n v="52.01"/>
    <n v="66.3"/>
    <n v="3.5700000000000003E-2"/>
    <n v="2.9730000000000002E-4"/>
    <n v="16.898918783572196"/>
    <n v="2.2090522665680754"/>
    <n v="3"/>
  </r>
  <r>
    <n v="112"/>
    <s v="Activated_Carbon"/>
    <n v="0.5"/>
    <n v="240"/>
    <n v="25"/>
    <n v="7"/>
    <n v="25"/>
    <n v="150"/>
    <n v="100"/>
    <n v="32.424999999999997"/>
    <n v="8.7880000000000003"/>
    <n v="64.849999999999994"/>
    <n v="73.400000000000006"/>
    <n v="4.6649999999999997E-2"/>
    <n v="2.7179999999999999E-4"/>
    <n v="22.016183416156583"/>
    <n v="2.3426531954580518"/>
    <n v="1"/>
  </r>
  <r>
    <n v="113"/>
    <s v="Activated_Carbon"/>
    <n v="0.5"/>
    <n v="240"/>
    <n v="25"/>
    <n v="7"/>
    <n v="25"/>
    <n v="150"/>
    <n v="100"/>
    <n v="34.715000000000003"/>
    <n v="7.6429999999999998"/>
    <n v="69.430000000000007"/>
    <n v="56.1"/>
    <n v="4.4720000000000003E-2"/>
    <n v="3.2870000000000002E-4"/>
    <n v="25.429430910085919"/>
    <n v="2.2284614842472821"/>
    <n v="2"/>
  </r>
  <r>
    <n v="114"/>
    <s v="Activated_Carbon"/>
    <n v="0.5"/>
    <n v="240"/>
    <n v="25"/>
    <n v="7"/>
    <n v="25"/>
    <n v="150"/>
    <n v="100"/>
    <n v="33.347999999999999"/>
    <n v="8.3260000000000005"/>
    <n v="66.7"/>
    <n v="71.7"/>
    <n v="4.2610000000000002E-2"/>
    <n v="2.7619999999999999E-4"/>
    <n v="22.961066558442884"/>
    <n v="2.3405486163650413"/>
    <n v="3"/>
  </r>
  <r>
    <n v="115"/>
    <s v="Activated_Carbon"/>
    <n v="0.5"/>
    <n v="240"/>
    <n v="25"/>
    <n v="11"/>
    <n v="25"/>
    <n v="150"/>
    <n v="100"/>
    <n v="29.327000000000002"/>
    <n v="10.337"/>
    <n v="58.65"/>
    <n v="56.3"/>
    <n v="4.2509999999999999E-2"/>
    <n v="2.6410000000000002E-4"/>
    <n v="19.068724443747385"/>
    <n v="2.328084751177216"/>
    <n v="1"/>
  </r>
  <r>
    <n v="116"/>
    <s v="Activated_Carbon"/>
    <n v="0.5"/>
    <n v="240"/>
    <n v="25"/>
    <n v="11"/>
    <n v="25"/>
    <n v="150"/>
    <n v="100"/>
    <n v="34.229999999999997"/>
    <n v="7.8849999999999998"/>
    <n v="68.459999999999994"/>
    <n v="67"/>
    <n v="4.1849999999999998E-2"/>
    <n v="3.0640000000000002E-4"/>
    <n v="24.497653129536072"/>
    <n v="2.2754550665450379"/>
    <n v="2"/>
  </r>
  <r>
    <n v="117"/>
    <s v="Activated_Carbon"/>
    <n v="0.5"/>
    <n v="240"/>
    <n v="25"/>
    <n v="11"/>
    <n v="25"/>
    <n v="150"/>
    <n v="100"/>
    <n v="29.314"/>
    <n v="10.343"/>
    <n v="58.63"/>
    <n v="64.5"/>
    <n v="4.7759999999999997E-2"/>
    <n v="3.2269999999999998E-4"/>
    <n v="20.350325615488803"/>
    <n v="2.1931802304809715"/>
    <n v="3"/>
  </r>
  <r>
    <n v="118"/>
    <s v="Activated_Carbon"/>
    <n v="0.5"/>
    <n v="240"/>
    <n v="50"/>
    <n v="3"/>
    <n v="25"/>
    <n v="150"/>
    <n v="100"/>
    <n v="55.146000000000001"/>
    <n v="22.427"/>
    <n v="55.15"/>
    <n v="60.9"/>
    <n v="4.376E-2"/>
    <n v="2.309E-4"/>
    <n v="41.549748057022462"/>
    <n v="2.6097941623313123"/>
    <n v="1"/>
  </r>
  <r>
    <n v="119"/>
    <s v="Activated_Carbon"/>
    <n v="0.5"/>
    <n v="240"/>
    <n v="50"/>
    <n v="3"/>
    <n v="25"/>
    <n v="150"/>
    <n v="100"/>
    <n v="50.609000000000002"/>
    <n v="24.695"/>
    <n v="50.61"/>
    <n v="80.3"/>
    <n v="5.2400000000000002E-2"/>
    <n v="2.9250000000000001E-4"/>
    <n v="39.492865797384347"/>
    <n v="2.4083975847307029"/>
    <n v="2"/>
  </r>
  <r>
    <n v="120"/>
    <s v="Activated_Carbon"/>
    <n v="0.5"/>
    <n v="240"/>
    <n v="50"/>
    <n v="3"/>
    <n v="25"/>
    <n v="150"/>
    <n v="100"/>
    <n v="60.247"/>
    <n v="19.876999999999999"/>
    <n v="60.25"/>
    <n v="69.8"/>
    <n v="5.885E-2"/>
    <n v="3.3359999999999998E-4"/>
    <n v="49.901709035366366"/>
    <n v="2.3365314369144574"/>
    <n v="3"/>
  </r>
  <r>
    <n v="121"/>
    <s v="Activated_Carbon"/>
    <n v="0.5"/>
    <n v="240"/>
    <n v="50"/>
    <n v="7"/>
    <n v="25"/>
    <n v="150"/>
    <n v="100"/>
    <n v="79.317999999999998"/>
    <n v="10.340999999999999"/>
    <n v="79.319999999999993"/>
    <n v="57.1"/>
    <n v="3.7769999999999998E-2"/>
    <n v="3.0610000000000001E-4"/>
    <n v="67.699749512748284"/>
    <n v="2.4525771796109215"/>
    <n v="1"/>
  </r>
  <r>
    <n v="122"/>
    <s v="Activated_Carbon"/>
    <n v="0.5"/>
    <n v="240"/>
    <n v="50"/>
    <n v="7"/>
    <n v="25"/>
    <n v="150"/>
    <n v="100"/>
    <n v="75.289000000000001"/>
    <n v="12.356"/>
    <n v="75.290000000000006"/>
    <n v="52.4"/>
    <n v="4.2090000000000002E-2"/>
    <n v="2.676E-4"/>
    <n v="62.386798507036467"/>
    <n v="2.5573979551764099"/>
    <n v="2"/>
  </r>
  <r>
    <n v="123"/>
    <s v="Activated_Carbon"/>
    <n v="0.5"/>
    <n v="240"/>
    <n v="50"/>
    <n v="7"/>
    <n v="25"/>
    <n v="150"/>
    <n v="100"/>
    <n v="90.953999999999994"/>
    <n v="4.5229999999999997"/>
    <n v="90.95"/>
    <n v="75.5"/>
    <n v="4.496E-2"/>
    <n v="3.4440000000000002E-4"/>
    <n v="80.276008247657614"/>
    <n v="2.3681847776804661"/>
    <n v="3"/>
  </r>
  <r>
    <n v="124"/>
    <s v="Activated_Carbon"/>
    <n v="0.5"/>
    <n v="240"/>
    <n v="50"/>
    <n v="11"/>
    <n v="25"/>
    <n v="150"/>
    <n v="100"/>
    <n v="66.991"/>
    <n v="16.504000000000001"/>
    <n v="66.989999999999995"/>
    <n v="58.1"/>
    <n v="5.185E-2"/>
    <n v="3.1619999999999999E-4"/>
    <n v="55.979649073876985"/>
    <n v="2.3989266431279157"/>
    <n v="1"/>
  </r>
  <r>
    <n v="125"/>
    <s v="Activated_Carbon"/>
    <n v="0.5"/>
    <n v="240"/>
    <n v="50"/>
    <n v="11"/>
    <n v="25"/>
    <n v="150"/>
    <n v="100"/>
    <n v="61.054000000000002"/>
    <n v="19.472999999999999"/>
    <n v="61.05"/>
    <n v="64.8"/>
    <n v="4.1059999999999999E-2"/>
    <n v="2.5849999999999999E-4"/>
    <n v="48.30197913866801"/>
    <n v="2.5456897579728066"/>
    <n v="2"/>
  </r>
  <r>
    <n v="126"/>
    <s v="Activated_Carbon"/>
    <n v="0.5"/>
    <n v="240"/>
    <n v="50"/>
    <n v="11"/>
    <n v="25"/>
    <n v="150"/>
    <n v="100"/>
    <n v="71.512"/>
    <n v="14.244"/>
    <n v="71.510000000000005"/>
    <n v="85.8"/>
    <n v="3.8710000000000001E-2"/>
    <n v="3.1690000000000001E-4"/>
    <n v="60.405783901417138"/>
    <n v="2.4075049604531706"/>
    <n v="3"/>
  </r>
  <r>
    <n v="127"/>
    <s v="Activated_Carbon"/>
    <n v="0.5"/>
    <n v="240"/>
    <n v="100"/>
    <n v="3"/>
    <n v="25"/>
    <n v="150"/>
    <n v="100"/>
    <n v="109.759"/>
    <n v="45.121000000000002"/>
    <n v="54.88"/>
    <n v="61.8"/>
    <n v="4.233E-2"/>
    <n v="2.7409999999999999E-4"/>
    <n v="96.406950685979325"/>
    <n v="2.5916698797335309"/>
    <n v="1"/>
  </r>
  <r>
    <n v="128"/>
    <s v="Activated_Carbon"/>
    <n v="0.5"/>
    <n v="240"/>
    <n v="100"/>
    <n v="3"/>
    <n v="25"/>
    <n v="150"/>
    <n v="100"/>
    <n v="116.235"/>
    <n v="41.881999999999998"/>
    <n v="58.12"/>
    <n v="58.4"/>
    <n v="4.6219999999999997E-2"/>
    <n v="2.9849999999999999E-4"/>
    <n v="103.77289424710773"/>
    <n v="2.5226925001149336"/>
    <n v="2"/>
  </r>
  <r>
    <n v="129"/>
    <s v="Activated_Carbon"/>
    <n v="0.5"/>
    <n v="240"/>
    <n v="100"/>
    <n v="3"/>
    <n v="25"/>
    <n v="150"/>
    <n v="100"/>
    <n v="113.572"/>
    <n v="43.213999999999999"/>
    <n v="56.79"/>
    <n v="57.6"/>
    <n v="4.24E-2"/>
    <n v="3.2269999999999998E-4"/>
    <n v="101.97819863608713"/>
    <n v="2.4504705901084392"/>
    <n v="3"/>
  </r>
  <r>
    <n v="130"/>
    <s v="Activated_Carbon"/>
    <n v="0.5"/>
    <n v="240"/>
    <n v="100"/>
    <n v="7"/>
    <n v="25"/>
    <n v="150"/>
    <n v="100"/>
    <n v="164.58600000000001"/>
    <n v="17.707000000000001"/>
    <n v="82.29"/>
    <n v="56.9"/>
    <n v="4.5449999999999997E-2"/>
    <n v="3.2249999999999998E-4"/>
    <n v="152.60648749495996"/>
    <n v="2.4831978994586814"/>
    <n v="1"/>
  </r>
  <r>
    <n v="131"/>
    <s v="Activated_Carbon"/>
    <n v="0.5"/>
    <n v="240"/>
    <n v="100"/>
    <n v="7"/>
    <n v="25"/>
    <n v="150"/>
    <n v="100"/>
    <n v="137.11099999999999"/>
    <n v="31.445"/>
    <n v="68.56"/>
    <n v="72.099999999999994"/>
    <n v="4.2020000000000002E-2"/>
    <n v="3.1710000000000001E-4"/>
    <n v="125.12021288438285"/>
    <n v="2.4841386145591988"/>
    <n v="2"/>
  </r>
  <r>
    <n v="132"/>
    <s v="Activated_Carbon"/>
    <n v="0.5"/>
    <n v="240"/>
    <n v="100"/>
    <n v="7"/>
    <n v="25"/>
    <n v="150"/>
    <n v="100"/>
    <n v="148.58199999999999"/>
    <n v="25.709"/>
    <n v="74.290000000000006"/>
    <n v="48.6"/>
    <n v="3.7679999999999998E-2"/>
    <n v="3.0140000000000001E-4"/>
    <n v="135.93438499694312"/>
    <n v="2.5374686600903793"/>
    <n v="3"/>
  </r>
  <r>
    <n v="133"/>
    <s v="Activated_Carbon"/>
    <n v="0.5"/>
    <n v="240"/>
    <n v="100"/>
    <n v="11"/>
    <n v="25"/>
    <n v="150"/>
    <n v="100"/>
    <n v="135.50700000000001"/>
    <n v="32.246000000000002"/>
    <n v="67.75"/>
    <n v="57.6"/>
    <n v="4.7870000000000003E-2"/>
    <n v="2.5020000000000001E-4"/>
    <n v="120.67629822149293"/>
    <n v="2.6966994765748562"/>
    <n v="1"/>
  </r>
  <r>
    <n v="134"/>
    <s v="Activated_Carbon"/>
    <n v="0.5"/>
    <n v="240"/>
    <n v="100"/>
    <n v="11"/>
    <n v="25"/>
    <n v="150"/>
    <n v="100"/>
    <n v="132.047"/>
    <n v="33.975999999999999"/>
    <n v="66.02"/>
    <n v="54.6"/>
    <n v="4.2070000000000003E-2"/>
    <n v="3.0140000000000001E-4"/>
    <n v="119.53277462747808"/>
    <n v="2.5268660270449672"/>
    <n v="2"/>
  </r>
  <r>
    <n v="135"/>
    <s v="Activated_Carbon"/>
    <n v="0.5"/>
    <n v="240"/>
    <n v="100"/>
    <n v="11"/>
    <n v="25"/>
    <n v="150"/>
    <n v="100"/>
    <n v="123.61199999999999"/>
    <n v="38.194000000000003"/>
    <n v="61.81"/>
    <n v="62.8"/>
    <n v="4.9529999999999998E-2"/>
    <n v="2.8269999999999999E-4"/>
    <n v="110.44333285443012"/>
    <n v="2.5778403068045694"/>
    <n v="3"/>
  </r>
  <r>
    <n v="136"/>
    <s v="Activated_Carbon"/>
    <n v="0.5"/>
    <n v="240"/>
    <n v="200"/>
    <n v="3"/>
    <n v="25"/>
    <n v="150"/>
    <n v="100"/>
    <n v="171.63399999999999"/>
    <n v="114.18300000000001"/>
    <n v="42.91"/>
    <n v="55.4"/>
    <n v="4.7379999999999999E-2"/>
    <n v="3.4319999999999999E-4"/>
    <n v="160.29540536356228"/>
    <n v="2.4282123608522799"/>
    <n v="1"/>
  </r>
  <r>
    <n v="137"/>
    <s v="Activated_Carbon"/>
    <n v="0.5"/>
    <n v="240"/>
    <n v="200"/>
    <n v="3"/>
    <n v="25"/>
    <n v="150"/>
    <n v="100"/>
    <n v="129.06800000000001"/>
    <n v="135.46600000000001"/>
    <n v="32.270000000000003"/>
    <n v="58.7"/>
    <n v="4.7600000000000003E-2"/>
    <n v="2.9389999999999999E-4"/>
    <n v="116.29397380059302"/>
    <n v="2.5474139061320482"/>
    <n v="2"/>
  </r>
  <r>
    <n v="138"/>
    <s v="Activated_Carbon"/>
    <n v="0.5"/>
    <n v="240"/>
    <n v="200"/>
    <n v="3"/>
    <n v="25"/>
    <n v="150"/>
    <n v="100"/>
    <n v="165.65600000000001"/>
    <n v="117.172"/>
    <n v="41.41"/>
    <n v="60.6"/>
    <n v="4.539E-2"/>
    <n v="2.9530000000000002E-4"/>
    <n v="152.65355395023616"/>
    <n v="2.5651374974362438"/>
    <n v="3"/>
  </r>
  <r>
    <n v="139"/>
    <s v="Activated_Carbon"/>
    <n v="0.5"/>
    <n v="240"/>
    <n v="200"/>
    <n v="7"/>
    <n v="25"/>
    <n v="150"/>
    <n v="100"/>
    <n v="238.96700000000001"/>
    <n v="80.516999999999996"/>
    <n v="59.74"/>
    <n v="69.2"/>
    <n v="4.6519999999999999E-2"/>
    <n v="2.876E-4"/>
    <n v="225.30741722476876"/>
    <n v="2.6144413101352768"/>
    <n v="1"/>
  </r>
  <r>
    <n v="140"/>
    <s v="Activated_Carbon"/>
    <n v="0.5"/>
    <n v="240"/>
    <n v="200"/>
    <n v="7"/>
    <n v="25"/>
    <n v="150"/>
    <n v="100"/>
    <n v="210.024"/>
    <n v="94.988"/>
    <n v="52.51"/>
    <n v="62.3"/>
    <n v="4.6780000000000002E-2"/>
    <n v="2.8739999999999999E-4"/>
    <n v="196.46235374935955"/>
    <n v="2.6072456800577566"/>
    <n v="2"/>
  </r>
  <r>
    <n v="141"/>
    <s v="Activated_Carbon"/>
    <n v="0.5"/>
    <n v="240"/>
    <n v="200"/>
    <n v="7"/>
    <n v="25"/>
    <n v="150"/>
    <n v="100"/>
    <n v="223.61600000000001"/>
    <n v="88.191999999999993"/>
    <n v="55.9"/>
    <n v="87.4"/>
    <n v="4.8919999999999998E-2"/>
    <n v="2.9020000000000001E-4"/>
    <n v="210.12435606164351"/>
    <n v="2.6020705262757517"/>
    <n v="3"/>
  </r>
  <r>
    <n v="142"/>
    <s v="Activated_Carbon"/>
    <n v="0.5"/>
    <n v="240"/>
    <n v="200"/>
    <n v="11"/>
    <n v="25"/>
    <n v="150"/>
    <n v="100"/>
    <n v="201.60599999999999"/>
    <n v="99.197000000000003"/>
    <n v="50.4"/>
    <n v="62.6"/>
    <n v="3.5830000000000001E-2"/>
    <n v="2.698E-4"/>
    <n v="187.26130233315871"/>
    <n v="2.6633803733549226"/>
    <n v="1"/>
  </r>
  <r>
    <n v="143"/>
    <s v="Activated_Carbon"/>
    <n v="0.5"/>
    <n v="240"/>
    <n v="200"/>
    <n v="11"/>
    <n v="25"/>
    <n v="150"/>
    <n v="100"/>
    <n v="156.40299999999999"/>
    <n v="121.798"/>
    <n v="39.1"/>
    <n v="63.2"/>
    <n v="4.5080000000000002E-2"/>
    <n v="3.503E-4"/>
    <n v="145.34909154488076"/>
    <n v="2.4027840717700504"/>
    <n v="2"/>
  </r>
  <r>
    <n v="144"/>
    <s v="Activated_Carbon"/>
    <n v="0.5"/>
    <n v="240"/>
    <n v="200"/>
    <n v="11"/>
    <n v="25"/>
    <n v="150"/>
    <n v="100"/>
    <n v="188.74199999999999"/>
    <n v="105.629"/>
    <n v="47.19"/>
    <n v="64.5"/>
    <n v="4.8730000000000002E-2"/>
    <n v="2.3369999999999999E-4"/>
    <n v="172.45170374241545"/>
    <n v="2.7905696089178602"/>
    <n v="3"/>
  </r>
  <r>
    <n v="145"/>
    <s v="Activated_Carbon"/>
    <n v="1"/>
    <n v="30"/>
    <n v="25"/>
    <n v="3"/>
    <n v="25"/>
    <n v="150"/>
    <n v="100"/>
    <n v="2.5739999999999998"/>
    <n v="22.425999999999998"/>
    <n v="10.3"/>
    <n v="74.400000000000006"/>
    <n v="3.8350000000000002E-2"/>
    <n v="3.3429999999999999E-4"/>
    <n v="6.4774761272028067E-2"/>
    <n v="0.91997403566586211"/>
    <n v="1"/>
  </r>
  <r>
    <n v="146"/>
    <s v="Activated_Carbon"/>
    <n v="1"/>
    <n v="30"/>
    <n v="25"/>
    <n v="3"/>
    <n v="25"/>
    <n v="150"/>
    <n v="100"/>
    <n v="2.5950000000000002"/>
    <n v="22.405000000000001"/>
    <n v="10.38"/>
    <n v="62.5"/>
    <n v="4.7849999999999997E-2"/>
    <n v="3.681E-4"/>
    <n v="7.2292190765492453E-2"/>
    <n v="0.92533285210591698"/>
    <n v="2"/>
  </r>
  <r>
    <n v="147"/>
    <s v="Activated_Carbon"/>
    <n v="1"/>
    <n v="30"/>
    <n v="25"/>
    <n v="3"/>
    <n v="25"/>
    <n v="150"/>
    <n v="100"/>
    <n v="2.5630000000000002"/>
    <n v="22.437000000000001"/>
    <n v="10.25"/>
    <n v="69.099999999999994"/>
    <n v="4.2930000000000003E-2"/>
    <n v="2.745E-4"/>
    <n v="5.297730456673657E-2"/>
    <n v="0.92029179510809811"/>
    <n v="3"/>
  </r>
  <r>
    <n v="148"/>
    <s v="Activated_Carbon"/>
    <n v="1"/>
    <n v="30"/>
    <n v="25"/>
    <n v="7"/>
    <n v="25"/>
    <n v="150"/>
    <n v="100"/>
    <n v="4.5750000000000002"/>
    <n v="20.425000000000001"/>
    <n v="18.3"/>
    <n v="58.1"/>
    <n v="4.5319999999999999E-2"/>
    <n v="2.8570000000000001E-4"/>
    <n v="0.17262727025009064"/>
    <n v="1.4821436523388816"/>
    <n v="1"/>
  </r>
  <r>
    <n v="149"/>
    <s v="Activated_Carbon"/>
    <n v="1"/>
    <n v="30"/>
    <n v="25"/>
    <n v="7"/>
    <n v="25"/>
    <n v="150"/>
    <n v="100"/>
    <n v="4.4539999999999997"/>
    <n v="20.545999999999999"/>
    <n v="17.82"/>
    <n v="70"/>
    <n v="4.9669999999999999E-2"/>
    <n v="2.8469999999999998E-4"/>
    <n v="0.1632278961371196"/>
    <n v="1.4564666943363171"/>
    <n v="2"/>
  </r>
  <r>
    <n v="150"/>
    <s v="Activated_Carbon"/>
    <n v="1"/>
    <n v="30"/>
    <n v="25"/>
    <n v="7"/>
    <n v="25"/>
    <n v="150"/>
    <n v="100"/>
    <n v="4.1970000000000001"/>
    <n v="20.803000000000001"/>
    <n v="16.79"/>
    <n v="56.9"/>
    <n v="4.2999999999999997E-2"/>
    <n v="3.1129999999999998E-4"/>
    <n v="0.1583000084701075"/>
    <n v="1.3959228559146106"/>
    <n v="3"/>
  </r>
  <r>
    <n v="151"/>
    <s v="Activated_Carbon"/>
    <n v="1"/>
    <n v="30"/>
    <n v="25"/>
    <n v="11"/>
    <n v="25"/>
    <n v="150"/>
    <n v="100"/>
    <n v="3.3780000000000001"/>
    <n v="21.622"/>
    <n v="13.51"/>
    <n v="57.4"/>
    <n v="4.8910000000000002E-2"/>
    <n v="3.4069999999999999E-4"/>
    <n v="0.11273818609764848"/>
    <n v="1.183339947538729"/>
    <n v="1"/>
  </r>
  <r>
    <n v="152"/>
    <s v="Activated_Carbon"/>
    <n v="1"/>
    <n v="30"/>
    <n v="25"/>
    <n v="11"/>
    <n v="25"/>
    <n v="150"/>
    <n v="100"/>
    <n v="3.29"/>
    <n v="21.71"/>
    <n v="13.16"/>
    <n v="85.4"/>
    <n v="4.1520000000000001E-2"/>
    <n v="2.6269999999999999E-4"/>
    <n v="8.3148809036388077E-2"/>
    <n v="1.1652895183134617"/>
    <n v="2"/>
  </r>
  <r>
    <n v="153"/>
    <s v="Activated_Carbon"/>
    <n v="1"/>
    <n v="30"/>
    <n v="25"/>
    <n v="11"/>
    <n v="25"/>
    <n v="150"/>
    <n v="100"/>
    <n v="2.7320000000000002"/>
    <n v="22.268000000000001"/>
    <n v="10.93"/>
    <n v="81.599999999999994"/>
    <n v="4.7940000000000003E-2"/>
    <n v="2.9829999999999999E-4"/>
    <n v="6.5199714795275629E-2"/>
    <n v="0.98087935870818654"/>
    <n v="3"/>
  </r>
  <r>
    <n v="154"/>
    <s v="Activated_Carbon"/>
    <n v="1"/>
    <n v="30"/>
    <n v="50"/>
    <n v="3"/>
    <n v="25"/>
    <n v="150"/>
    <n v="100"/>
    <n v="9.0020000000000007"/>
    <n v="40.997999999999998"/>
    <n v="18"/>
    <n v="55.4"/>
    <n v="5.6009999999999997E-2"/>
    <n v="3.0390000000000001E-4"/>
    <n v="0.68276951207447034"/>
    <n v="2.1185697611236782"/>
    <n v="1"/>
  </r>
  <r>
    <n v="155"/>
    <s v="Activated_Carbon"/>
    <n v="1"/>
    <n v="30"/>
    <n v="50"/>
    <n v="3"/>
    <n v="25"/>
    <n v="150"/>
    <n v="100"/>
    <n v="8.8819999999999997"/>
    <n v="41.118000000000002"/>
    <n v="17.760000000000002"/>
    <n v="73.900000000000006"/>
    <n v="4.7160000000000001E-2"/>
    <n v="3.0669999999999997E-4"/>
    <n v="0.67102761196185456"/>
    <n v="2.1054713559196512"/>
    <n v="2"/>
  </r>
  <r>
    <n v="156"/>
    <s v="Activated_Carbon"/>
    <n v="1"/>
    <n v="30"/>
    <n v="50"/>
    <n v="3"/>
    <n v="25"/>
    <n v="150"/>
    <n v="100"/>
    <n v="8.2479999999999993"/>
    <n v="41.752000000000002"/>
    <n v="16.5"/>
    <n v="71.400000000000006"/>
    <n v="5.3469999999999997E-2"/>
    <n v="3.4039999999999998E-4"/>
    <n v="0.64074800298198364"/>
    <n v="2.029102002457146"/>
    <n v="3"/>
  </r>
  <r>
    <n v="157"/>
    <s v="Activated_Carbon"/>
    <n v="1"/>
    <n v="30"/>
    <n v="50"/>
    <n v="7"/>
    <n v="25"/>
    <n v="150"/>
    <n v="100"/>
    <n v="16.309000000000001"/>
    <n v="33.691000000000003"/>
    <n v="32.619999999999997"/>
    <n v="61.6"/>
    <n v="4.0550000000000003E-2"/>
    <n v="2.9619999999999999E-4"/>
    <n v="2.0643586888111711"/>
    <n v="2.6563807876531262"/>
    <n v="1"/>
  </r>
  <r>
    <n v="158"/>
    <s v="Activated_Carbon"/>
    <n v="1"/>
    <n v="30"/>
    <n v="50"/>
    <n v="7"/>
    <n v="25"/>
    <n v="150"/>
    <n v="100"/>
    <n v="14.53"/>
    <n v="35.47"/>
    <n v="29.06"/>
    <n v="77.599999999999994"/>
    <n v="3.7379999999999997E-2"/>
    <n v="3.4590000000000001E-4"/>
    <n v="1.9037572329449073"/>
    <n v="2.5357774073112833"/>
    <n v="2"/>
  </r>
  <r>
    <n v="159"/>
    <s v="Activated_Carbon"/>
    <n v="1"/>
    <n v="30"/>
    <n v="50"/>
    <n v="7"/>
    <n v="25"/>
    <n v="150"/>
    <n v="100"/>
    <n v="14.282"/>
    <n v="35.718000000000004"/>
    <n v="28.56"/>
    <n v="62.4"/>
    <n v="4.045E-2"/>
    <n v="2.5040000000000001E-4"/>
    <n v="1.3838011181468659"/>
    <n v="2.5570876800578564"/>
    <n v="3"/>
  </r>
  <r>
    <n v="160"/>
    <s v="Activated_Carbon"/>
    <n v="1"/>
    <n v="30"/>
    <n v="50"/>
    <n v="11"/>
    <n v="25"/>
    <n v="150"/>
    <n v="100"/>
    <n v="11.670999999999999"/>
    <n v="38.329000000000001"/>
    <n v="23.34"/>
    <n v="67.400000000000006"/>
    <n v="3.9199999999999999E-2"/>
    <n v="2.611E-4"/>
    <n v="0.97758105683987528"/>
    <n v="2.3696285002046524"/>
    <n v="1"/>
  </r>
  <r>
    <n v="161"/>
    <s v="Activated_Carbon"/>
    <n v="1"/>
    <n v="30"/>
    <n v="50"/>
    <n v="11"/>
    <n v="25"/>
    <n v="150"/>
    <n v="100"/>
    <n v="10.654999999999999"/>
    <n v="39.344999999999999"/>
    <n v="21.31"/>
    <n v="83.4"/>
    <n v="4.3830000000000001E-2"/>
    <n v="2.5490000000000002E-4"/>
    <n v="0.80274940777039827"/>
    <n v="2.2876999156056996"/>
    <n v="2"/>
  </r>
  <r>
    <n v="162"/>
    <s v="Activated_Carbon"/>
    <n v="1"/>
    <n v="30"/>
    <n v="50"/>
    <n v="11"/>
    <n v="25"/>
    <n v="150"/>
    <n v="100"/>
    <n v="10.734"/>
    <n v="39.265999999999998"/>
    <n v="21.47"/>
    <n v="63.9"/>
    <n v="3.286E-2"/>
    <n v="2.9839999999999999E-4"/>
    <n v="0.94101541024201019"/>
    <n v="2.2816662711397466"/>
    <n v="3"/>
  </r>
  <r>
    <n v="163"/>
    <s v="Activated_Carbon"/>
    <n v="1"/>
    <n v="30"/>
    <n v="100"/>
    <n v="3"/>
    <n v="25"/>
    <n v="150"/>
    <n v="100"/>
    <n v="27.303999999999998"/>
    <n v="72.695999999999998"/>
    <n v="27.3"/>
    <n v="73.599999999999994"/>
    <n v="5.3319999999999999E-2"/>
    <n v="3.3379999999999998E-4"/>
    <n v="5.8625654158694074"/>
    <n v="3.0653252455373767"/>
    <n v="1"/>
  </r>
  <r>
    <n v="164"/>
    <s v="Activated_Carbon"/>
    <n v="1"/>
    <n v="30"/>
    <n v="100"/>
    <n v="3"/>
    <n v="25"/>
    <n v="150"/>
    <n v="100"/>
    <n v="27.22"/>
    <n v="72.78"/>
    <n v="27.22"/>
    <n v="55.6"/>
    <n v="5.6579999999999998E-2"/>
    <n v="3.0180000000000002E-4"/>
    <n v="5.3819779208450811"/>
    <n v="3.0836525826342664"/>
    <n v="2"/>
  </r>
  <r>
    <n v="165"/>
    <s v="Activated_Carbon"/>
    <n v="1"/>
    <n v="30"/>
    <n v="100"/>
    <n v="3"/>
    <n v="25"/>
    <n v="150"/>
    <n v="100"/>
    <n v="27.849"/>
    <n v="72.150999999999996"/>
    <n v="27.85"/>
    <n v="66.400000000000006"/>
    <n v="4.589E-2"/>
    <n v="2.9569999999999998E-4"/>
    <n v="5.5170694704572103"/>
    <n v="3.106017516640069"/>
    <n v="3"/>
  </r>
  <r>
    <n v="166"/>
    <s v="Activated_Carbon"/>
    <n v="1"/>
    <n v="30"/>
    <n v="100"/>
    <n v="7"/>
    <n v="25"/>
    <n v="150"/>
    <n v="100"/>
    <n v="41.720999999999997"/>
    <n v="58.279000000000003"/>
    <n v="41.72"/>
    <n v="61.2"/>
    <n v="4.4850000000000001E-2"/>
    <n v="2.8370000000000001E-4"/>
    <n v="10.932580710174856"/>
    <n v="3.4271386221913023"/>
    <n v="1"/>
  </r>
  <r>
    <n v="167"/>
    <s v="Activated_Carbon"/>
    <n v="1"/>
    <n v="30"/>
    <n v="100"/>
    <n v="7"/>
    <n v="25"/>
    <n v="150"/>
    <n v="100"/>
    <n v="41.234999999999999"/>
    <n v="58.765000000000001"/>
    <n v="41.23"/>
    <n v="67.7"/>
    <n v="4.385E-2"/>
    <n v="3.4509999999999999E-4"/>
    <n v="12.336809579314567"/>
    <n v="3.3637789779567768"/>
    <n v="2"/>
  </r>
  <r>
    <n v="168"/>
    <s v="Activated_Carbon"/>
    <n v="1"/>
    <n v="30"/>
    <n v="100"/>
    <n v="7"/>
    <n v="25"/>
    <n v="150"/>
    <n v="100"/>
    <n v="34.454000000000001"/>
    <n v="65.546000000000006"/>
    <n v="34.450000000000003"/>
    <n v="77.599999999999994"/>
    <n v="5.0610000000000002E-2"/>
    <n v="2.3780000000000001E-4"/>
    <n v="6.7977607827746702"/>
    <n v="3.3198513523224893"/>
    <n v="3"/>
  </r>
  <r>
    <n v="169"/>
    <s v="Activated_Carbon"/>
    <n v="1"/>
    <n v="30"/>
    <n v="100"/>
    <n v="11"/>
    <n v="25"/>
    <n v="150"/>
    <n v="100"/>
    <n v="33.021999999999998"/>
    <n v="66.977999999999994"/>
    <n v="33.020000000000003"/>
    <n v="63"/>
    <n v="3.8670000000000003E-2"/>
    <n v="2.767E-4"/>
    <n v="7.1044149474246048"/>
    <n v="3.2549216978756235"/>
    <n v="1"/>
  </r>
  <r>
    <n v="170"/>
    <s v="Activated_Carbon"/>
    <n v="1"/>
    <n v="30"/>
    <n v="100"/>
    <n v="11"/>
    <n v="25"/>
    <n v="150"/>
    <n v="100"/>
    <n v="30.936"/>
    <n v="69.063999999999993"/>
    <n v="30.94"/>
    <n v="84.2"/>
    <n v="4.9209999999999997E-2"/>
    <n v="3.3809999999999998E-4"/>
    <n v="7.3887474994501536"/>
    <n v="3.1590091470130259"/>
    <n v="2"/>
  </r>
  <r>
    <n v="171"/>
    <s v="Activated_Carbon"/>
    <n v="1"/>
    <n v="30"/>
    <n v="100"/>
    <n v="11"/>
    <n v="25"/>
    <n v="150"/>
    <n v="100"/>
    <n v="35.912999999999997"/>
    <n v="64.087000000000003"/>
    <n v="35.909999999999997"/>
    <n v="55.4"/>
    <n v="4.2639999999999997E-2"/>
    <n v="3.1470000000000001E-4"/>
    <n v="9.0933325159773357"/>
    <n v="3.2891354797163723"/>
    <n v="3"/>
  </r>
  <r>
    <n v="172"/>
    <s v="Activated_Carbon"/>
    <n v="1"/>
    <n v="30"/>
    <n v="200"/>
    <n v="3"/>
    <n v="25"/>
    <n v="150"/>
    <n v="100"/>
    <n v="66.933999999999997"/>
    <n v="133.066"/>
    <n v="33.47"/>
    <n v="73.8"/>
    <n v="4.3920000000000001E-2"/>
    <n v="2.8880000000000003E-4"/>
    <n v="24.568461234859843"/>
    <n v="3.7463352667922756"/>
    <n v="1"/>
  </r>
  <r>
    <n v="173"/>
    <s v="Activated_Carbon"/>
    <n v="1"/>
    <n v="30"/>
    <n v="200"/>
    <n v="3"/>
    <n v="25"/>
    <n v="150"/>
    <n v="100"/>
    <n v="78.406999999999996"/>
    <n v="121.593"/>
    <n v="39.200000000000003"/>
    <n v="71.099999999999994"/>
    <n v="4.3380000000000002E-2"/>
    <n v="3.3480000000000001E-4"/>
    <n v="34.543432579524591"/>
    <n v="3.7810840762182525"/>
    <n v="2"/>
  </r>
  <r>
    <n v="174"/>
    <s v="Activated_Carbon"/>
    <n v="1"/>
    <n v="30"/>
    <n v="200"/>
    <n v="3"/>
    <n v="25"/>
    <n v="150"/>
    <n v="100"/>
    <n v="67.771000000000001"/>
    <n v="132.22900000000001"/>
    <n v="33.89"/>
    <n v="72.8"/>
    <n v="4.7669999999999997E-2"/>
    <n v="2.9070000000000002E-4"/>
    <n v="25.175346839925691"/>
    <n v="3.751752209573135"/>
    <n v="3"/>
  </r>
  <r>
    <n v="175"/>
    <s v="Activated_Carbon"/>
    <n v="1"/>
    <n v="30"/>
    <n v="200"/>
    <n v="7"/>
    <n v="25"/>
    <n v="150"/>
    <n v="100"/>
    <n v="114.31699999999999"/>
    <n v="85.683000000000007"/>
    <n v="57.16"/>
    <n v="54.2"/>
    <n v="4.9160000000000002E-2"/>
    <n v="2.945E-4"/>
    <n v="57.442607355112656"/>
    <n v="4.0408451984428844"/>
    <n v="1"/>
  </r>
  <r>
    <n v="176"/>
    <s v="Activated_Carbon"/>
    <n v="1"/>
    <n v="30"/>
    <n v="200"/>
    <n v="7"/>
    <n v="25"/>
    <n v="150"/>
    <n v="100"/>
    <n v="106.751"/>
    <n v="93.248999999999995"/>
    <n v="53.38"/>
    <n v="77.2"/>
    <n v="4.1829999999999999E-2"/>
    <n v="2.5769999999999998E-4"/>
    <n v="48.266658255664026"/>
    <n v="4.0687590559198297"/>
    <n v="2"/>
  </r>
  <r>
    <n v="177"/>
    <s v="Activated_Carbon"/>
    <n v="1"/>
    <n v="30"/>
    <n v="200"/>
    <n v="7"/>
    <n v="25"/>
    <n v="150"/>
    <n v="100"/>
    <n v="97.536000000000001"/>
    <n v="102.464"/>
    <n v="48.77"/>
    <n v="72.7"/>
    <n v="3.9239999999999997E-2"/>
    <n v="3.5260000000000001E-4"/>
    <n v="49.529758432592438"/>
    <n v="3.8713310351087022"/>
    <n v="3"/>
  </r>
  <r>
    <n v="178"/>
    <s v="Activated_Carbon"/>
    <n v="1"/>
    <n v="30"/>
    <n v="200"/>
    <n v="11"/>
    <n v="25"/>
    <n v="150"/>
    <n v="100"/>
    <n v="73.978999999999999"/>
    <n v="126.021"/>
    <n v="36.99"/>
    <n v="83.6"/>
    <n v="4.5949999999999998E-2"/>
    <n v="2.9710000000000001E-4"/>
    <n v="29.396547141083637"/>
    <n v="3.7973403479541075"/>
    <n v="1"/>
  </r>
  <r>
    <n v="179"/>
    <s v="Activated_Carbon"/>
    <n v="1"/>
    <n v="30"/>
    <n v="200"/>
    <n v="11"/>
    <n v="25"/>
    <n v="150"/>
    <n v="100"/>
    <n v="84.894000000000005"/>
    <n v="115.10599999999999"/>
    <n v="42.45"/>
    <n v="70.7"/>
    <n v="4.4830000000000002E-2"/>
    <n v="3.3310000000000002E-4"/>
    <n v="38.96428129480767"/>
    <n v="3.8271123738946571"/>
    <n v="2"/>
  </r>
  <r>
    <n v="180"/>
    <s v="Activated_Carbon"/>
    <n v="1"/>
    <n v="30"/>
    <n v="200"/>
    <n v="11"/>
    <n v="25"/>
    <n v="150"/>
    <n v="100"/>
    <n v="89.573999999999998"/>
    <n v="110.426"/>
    <n v="44.79"/>
    <n v="68.2"/>
    <n v="4.3360000000000003E-2"/>
    <n v="2.9829999999999999E-4"/>
    <n v="39.854798700342059"/>
    <n v="3.9063912025484382"/>
    <n v="3"/>
  </r>
  <r>
    <n v="181"/>
    <s v="Activated_Carbon"/>
    <n v="1"/>
    <n v="60"/>
    <n v="25"/>
    <n v="3"/>
    <n v="25"/>
    <n v="150"/>
    <n v="100"/>
    <n v="4.5380000000000003"/>
    <n v="20.462"/>
    <n v="18.149999999999999"/>
    <n v="49.6"/>
    <n v="3.8929999999999999E-2"/>
    <n v="3.2229999999999997E-4"/>
    <n v="0.36610791131911402"/>
    <n v="1.428369671195397"/>
    <n v="1"/>
  </r>
  <r>
    <n v="182"/>
    <s v="Activated_Carbon"/>
    <n v="1"/>
    <n v="60"/>
    <n v="25"/>
    <n v="3"/>
    <n v="25"/>
    <n v="150"/>
    <n v="100"/>
    <n v="4.4889999999999999"/>
    <n v="20.510999999999999"/>
    <n v="17.96"/>
    <n v="64.8"/>
    <n v="4.5080000000000002E-2"/>
    <n v="3.1040000000000001E-4"/>
    <n v="0.34633941619009861"/>
    <n v="1.4213382345183323"/>
    <n v="2"/>
  </r>
  <r>
    <n v="183"/>
    <s v="Activated_Carbon"/>
    <n v="1"/>
    <n v="60"/>
    <n v="25"/>
    <n v="3"/>
    <n v="25"/>
    <n v="150"/>
    <n v="100"/>
    <n v="4.2380000000000004"/>
    <n v="20.762"/>
    <n v="16.95"/>
    <n v="58.9"/>
    <n v="4.5879999999999997E-2"/>
    <n v="2.7060000000000002E-4"/>
    <n v="0.2728356918619656"/>
    <n v="1.3775472938594959"/>
    <n v="3"/>
  </r>
  <r>
    <n v="184"/>
    <s v="Activated_Carbon"/>
    <n v="1"/>
    <n v="60"/>
    <n v="25"/>
    <n v="7"/>
    <n v="25"/>
    <n v="150"/>
    <n v="100"/>
    <n v="7.5119999999999996"/>
    <n v="17.488"/>
    <n v="30.05"/>
    <n v="49.6"/>
    <n v="4.9630000000000001E-2"/>
    <n v="3.1419999999999999E-4"/>
    <n v="0.93185525251259904"/>
    <n v="1.8840567431936603"/>
    <n v="1"/>
  </r>
  <r>
    <n v="185"/>
    <s v="Activated_Carbon"/>
    <n v="1"/>
    <n v="60"/>
    <n v="25"/>
    <n v="7"/>
    <n v="25"/>
    <n v="150"/>
    <n v="100"/>
    <n v="7.4240000000000004"/>
    <n v="17.576000000000001"/>
    <n v="29.7"/>
    <n v="76.5"/>
    <n v="5.2490000000000002E-2"/>
    <n v="3.3040000000000001E-4"/>
    <n v="0.95244116214914676"/>
    <n v="1.8674170127003067"/>
    <n v="2"/>
  </r>
  <r>
    <n v="186"/>
    <s v="Activated_Carbon"/>
    <n v="1"/>
    <n v="60"/>
    <n v="25"/>
    <n v="7"/>
    <n v="25"/>
    <n v="150"/>
    <n v="100"/>
    <n v="6.2030000000000003"/>
    <n v="18.797000000000001"/>
    <n v="24.81"/>
    <n v="53.9"/>
    <n v="4.2189999999999998E-2"/>
    <n v="3.0079999999999999E-4"/>
    <n v="0.62452050799787229"/>
    <n v="1.7189162467876631"/>
    <n v="3"/>
  </r>
  <r>
    <n v="187"/>
    <s v="Activated_Carbon"/>
    <n v="1"/>
    <n v="60"/>
    <n v="25"/>
    <n v="11"/>
    <n v="25"/>
    <n v="150"/>
    <n v="100"/>
    <n v="5.7350000000000003"/>
    <n v="19.265000000000001"/>
    <n v="22.94"/>
    <n v="59.4"/>
    <n v="4.5839999999999999E-2"/>
    <n v="2.7730000000000002E-4"/>
    <n v="0.4995600756598208"/>
    <n v="1.6554508760047633"/>
    <n v="1"/>
  </r>
  <r>
    <n v="188"/>
    <s v="Activated_Carbon"/>
    <n v="1"/>
    <n v="60"/>
    <n v="25"/>
    <n v="11"/>
    <n v="25"/>
    <n v="150"/>
    <n v="100"/>
    <n v="5.2380000000000004"/>
    <n v="19.762"/>
    <n v="20.95"/>
    <n v="52.6"/>
    <n v="4.0849999999999997E-2"/>
    <n v="2.5940000000000002E-4"/>
    <n v="0.39483528392732314"/>
    <n v="1.5775683740078459"/>
    <n v="2"/>
  </r>
  <r>
    <n v="189"/>
    <s v="Activated_Carbon"/>
    <n v="1"/>
    <n v="60"/>
    <n v="25"/>
    <n v="11"/>
    <n v="25"/>
    <n v="150"/>
    <n v="100"/>
    <n v="5.077"/>
    <n v="19.922999999999998"/>
    <n v="20.309999999999999"/>
    <n v="77.2"/>
    <n v="4.0730000000000002E-2"/>
    <n v="3.79E-4"/>
    <n v="0.52547770898905821"/>
    <n v="1.5154617464599343"/>
    <n v="3"/>
  </r>
  <r>
    <n v="190"/>
    <s v="Activated_Carbon"/>
    <n v="1"/>
    <n v="60"/>
    <n v="50"/>
    <n v="3"/>
    <n v="25"/>
    <n v="150"/>
    <n v="100"/>
    <n v="14.686999999999999"/>
    <n v="35.313000000000002"/>
    <n v="29.37"/>
    <n v="68.5"/>
    <n v="4.1140000000000003E-2"/>
    <n v="3.21E-4"/>
    <n v="3.2384655004995748"/>
    <n v="2.4378617304986556"/>
    <n v="1"/>
  </r>
  <r>
    <n v="191"/>
    <s v="Activated_Carbon"/>
    <n v="1"/>
    <n v="60"/>
    <n v="50"/>
    <n v="3"/>
    <n v="25"/>
    <n v="150"/>
    <n v="100"/>
    <n v="13.478999999999999"/>
    <n v="36.521000000000001"/>
    <n v="26.96"/>
    <n v="67.900000000000006"/>
    <n v="5.6520000000000001E-2"/>
    <n v="2.9710000000000001E-4"/>
    <n v="2.6112633893582906"/>
    <n v="2.385798455959574"/>
    <n v="2"/>
  </r>
  <r>
    <n v="192"/>
    <s v="Activated_Carbon"/>
    <n v="1"/>
    <n v="60"/>
    <n v="50"/>
    <n v="3"/>
    <n v="25"/>
    <n v="150"/>
    <n v="100"/>
    <n v="15.429"/>
    <n v="34.570999999999998"/>
    <n v="30.86"/>
    <n v="59.6"/>
    <n v="4.4839999999999998E-2"/>
    <n v="3.5310000000000002E-4"/>
    <n v="3.8009597677133429"/>
    <n v="2.4534194426396168"/>
    <n v="3"/>
  </r>
  <r>
    <n v="193"/>
    <s v="Activated_Carbon"/>
    <n v="1"/>
    <n v="60"/>
    <n v="50"/>
    <n v="7"/>
    <n v="25"/>
    <n v="150"/>
    <n v="100"/>
    <n v="21.082999999999998"/>
    <n v="28.917000000000002"/>
    <n v="42.17"/>
    <n v="84.8"/>
    <n v="4.8180000000000001E-2"/>
    <n v="2.831E-4"/>
    <n v="5.5592873606956639"/>
    <n v="2.7423687025974015"/>
    <n v="1"/>
  </r>
  <r>
    <n v="194"/>
    <s v="Activated_Carbon"/>
    <n v="1"/>
    <n v="60"/>
    <n v="50"/>
    <n v="7"/>
    <n v="25"/>
    <n v="150"/>
    <n v="100"/>
    <n v="23.318999999999999"/>
    <n v="26.681000000000001"/>
    <n v="46.64"/>
    <n v="76.400000000000006"/>
    <n v="4.7800000000000002E-2"/>
    <n v="2.5290000000000002E-4"/>
    <n v="6.0946922266407269"/>
    <n v="2.8463216287690711"/>
    <n v="2"/>
  </r>
  <r>
    <n v="195"/>
    <s v="Activated_Carbon"/>
    <n v="1"/>
    <n v="60"/>
    <n v="50"/>
    <n v="7"/>
    <n v="25"/>
    <n v="150"/>
    <n v="100"/>
    <n v="20.905000000000001"/>
    <n v="29.094999999999999"/>
    <n v="41.81"/>
    <n v="64.2"/>
    <n v="4.4670000000000001E-2"/>
    <n v="3.1859999999999999E-4"/>
    <n v="5.9688028188194355"/>
    <n v="2.7037876078917389"/>
    <n v="3"/>
  </r>
  <r>
    <n v="196"/>
    <s v="Activated_Carbon"/>
    <n v="1"/>
    <n v="60"/>
    <n v="50"/>
    <n v="11"/>
    <n v="25"/>
    <n v="150"/>
    <n v="100"/>
    <n v="17.486000000000001"/>
    <n v="32.514000000000003"/>
    <n v="34.97"/>
    <n v="53.3"/>
    <n v="4.6710000000000002E-2"/>
    <n v="3.1829999999999998E-4"/>
    <n v="4.3775393431023071"/>
    <n v="2.5732578734062512"/>
    <n v="1"/>
  </r>
  <r>
    <n v="197"/>
    <s v="Activated_Carbon"/>
    <n v="1"/>
    <n v="60"/>
    <n v="50"/>
    <n v="11"/>
    <n v="25"/>
    <n v="150"/>
    <n v="100"/>
    <n v="18.013000000000002"/>
    <n v="31.986999999999998"/>
    <n v="36.03"/>
    <n v="77.5"/>
    <n v="4.8750000000000002E-2"/>
    <n v="3.1379999999999998E-4"/>
    <n v="4.5619178766101598"/>
    <n v="2.5990595580821165"/>
    <n v="2"/>
  </r>
  <r>
    <n v="198"/>
    <s v="Activated_Carbon"/>
    <n v="1"/>
    <n v="60"/>
    <n v="50"/>
    <n v="11"/>
    <n v="25"/>
    <n v="150"/>
    <n v="100"/>
    <n v="17.143999999999998"/>
    <n v="32.856000000000002"/>
    <n v="34.29"/>
    <n v="50.1"/>
    <n v="4.6929999999999999E-2"/>
    <n v="3.0620000000000002E-4"/>
    <n v="4.1064359246008033"/>
    <n v="2.5678347350146562"/>
    <n v="3"/>
  </r>
  <r>
    <n v="199"/>
    <s v="Activated_Carbon"/>
    <n v="1"/>
    <n v="60"/>
    <n v="100"/>
    <n v="3"/>
    <n v="25"/>
    <n v="150"/>
    <n v="100"/>
    <n v="40.811999999999998"/>
    <n v="59.188000000000002"/>
    <n v="40.81"/>
    <n v="53.9"/>
    <n v="4.0140000000000002E-2"/>
    <n v="3.3159999999999998E-4"/>
    <n v="18.288765903231088"/>
    <n v="3.1145474029414211"/>
    <n v="1"/>
  </r>
  <r>
    <n v="200"/>
    <s v="Activated_Carbon"/>
    <n v="1"/>
    <n v="60"/>
    <n v="100"/>
    <n v="3"/>
    <n v="25"/>
    <n v="150"/>
    <n v="100"/>
    <n v="39.817999999999998"/>
    <n v="60.182000000000002"/>
    <n v="39.82"/>
    <n v="73.5"/>
    <n v="4.5130000000000003E-2"/>
    <n v="3.009E-4"/>
    <n v="16.652837215763341"/>
    <n v="3.1426495460071702"/>
    <n v="2"/>
  </r>
  <r>
    <n v="201"/>
    <s v="Activated_Carbon"/>
    <n v="1"/>
    <n v="60"/>
    <n v="100"/>
    <n v="3"/>
    <n v="25"/>
    <n v="150"/>
    <n v="100"/>
    <n v="42.942999999999998"/>
    <n v="57.057000000000002"/>
    <n v="42.94"/>
    <n v="61.5"/>
    <n v="4.5429999999999998E-2"/>
    <n v="2.8610000000000002E-4"/>
    <n v="18.222760401603367"/>
    <n v="3.2076223250342912"/>
    <n v="3"/>
  </r>
  <r>
    <n v="202"/>
    <s v="Activated_Carbon"/>
    <n v="1"/>
    <n v="60"/>
    <n v="100"/>
    <n v="7"/>
    <n v="25"/>
    <n v="150"/>
    <n v="100"/>
    <n v="57.695"/>
    <n v="42.305"/>
    <n v="57.7"/>
    <n v="63.6"/>
    <n v="4.5999999999999999E-2"/>
    <n v="2.856E-4"/>
    <n v="28.683024146009519"/>
    <n v="3.3677087052241919"/>
    <n v="1"/>
  </r>
  <r>
    <n v="203"/>
    <s v="Activated_Carbon"/>
    <n v="1"/>
    <n v="60"/>
    <n v="100"/>
    <n v="7"/>
    <n v="25"/>
    <n v="150"/>
    <n v="100"/>
    <n v="65.778000000000006"/>
    <n v="34.222000000000001"/>
    <n v="65.78"/>
    <n v="57.7"/>
    <n v="4.4159999999999998E-2"/>
    <n v="2.8679999999999998E-4"/>
    <n v="34.923945589437459"/>
    <n v="3.4292681650730747"/>
    <n v="2"/>
  </r>
  <r>
    <n v="204"/>
    <s v="Activated_Carbon"/>
    <n v="1"/>
    <n v="60"/>
    <n v="100"/>
    <n v="7"/>
    <n v="25"/>
    <n v="150"/>
    <n v="100"/>
    <n v="66.691999999999993"/>
    <n v="33.308"/>
    <n v="66.69"/>
    <n v="68.599999999999994"/>
    <n v="4.9639999999999997E-2"/>
    <n v="2.5539999999999997E-4"/>
    <n v="33.708622680521579"/>
    <n v="3.4960037169665918"/>
    <n v="3"/>
  </r>
  <r>
    <n v="205"/>
    <s v="Activated_Carbon"/>
    <n v="1"/>
    <n v="60"/>
    <n v="100"/>
    <n v="11"/>
    <n v="25"/>
    <n v="150"/>
    <n v="100"/>
    <n v="48.737000000000002"/>
    <n v="51.262999999999998"/>
    <n v="48.74"/>
    <n v="75.599999999999994"/>
    <n v="4.5370000000000001E-2"/>
    <n v="3.3199999999999999E-4"/>
    <n v="24.007963507031494"/>
    <n v="3.2079781197136077"/>
    <n v="1"/>
  </r>
  <r>
    <n v="206"/>
    <s v="Activated_Carbon"/>
    <n v="1"/>
    <n v="60"/>
    <n v="100"/>
    <n v="11"/>
    <n v="25"/>
    <n v="150"/>
    <n v="100"/>
    <n v="45.743000000000002"/>
    <n v="54.256999999999998"/>
    <n v="45.74"/>
    <n v="80.8"/>
    <n v="5.5350000000000003E-2"/>
    <n v="2.8909999999999998E-4"/>
    <n v="20.237525095891314"/>
    <n v="3.2388931312410878"/>
    <n v="2"/>
  </r>
  <r>
    <n v="207"/>
    <s v="Activated_Carbon"/>
    <n v="1"/>
    <n v="60"/>
    <n v="100"/>
    <n v="11"/>
    <n v="25"/>
    <n v="150"/>
    <n v="100"/>
    <n v="46.017000000000003"/>
    <n v="53.982999999999997"/>
    <n v="46.02"/>
    <n v="81.2"/>
    <n v="5.2109999999999997E-2"/>
    <n v="2.8430000000000003E-4"/>
    <n v="20.236561266468939"/>
    <n v="3.2496160157343867"/>
    <n v="3"/>
  </r>
  <r>
    <n v="208"/>
    <s v="Activated_Carbon"/>
    <n v="1"/>
    <n v="60"/>
    <n v="200"/>
    <n v="3"/>
    <n v="25"/>
    <n v="150"/>
    <n v="100"/>
    <n v="92.423000000000002"/>
    <n v="107.577"/>
    <n v="46.21"/>
    <n v="63.8"/>
    <n v="3.8949999999999999E-2"/>
    <n v="2.7240000000000001E-4"/>
    <n v="55.609323235564688"/>
    <n v="3.6058694273371632"/>
    <n v="1"/>
  </r>
  <r>
    <n v="209"/>
    <s v="Activated_Carbon"/>
    <n v="1"/>
    <n v="60"/>
    <n v="200"/>
    <n v="3"/>
    <n v="25"/>
    <n v="150"/>
    <n v="100"/>
    <n v="87.954999999999998"/>
    <n v="112.045"/>
    <n v="43.98"/>
    <n v="59"/>
    <n v="4.4839999999999998E-2"/>
    <n v="3.0699999999999998E-4"/>
    <n v="54.386069040781962"/>
    <n v="3.5136009653617917"/>
    <n v="2"/>
  </r>
  <r>
    <n v="210"/>
    <s v="Activated_Carbon"/>
    <n v="1"/>
    <n v="60"/>
    <n v="200"/>
    <n v="3"/>
    <n v="25"/>
    <n v="150"/>
    <n v="100"/>
    <n v="107.501"/>
    <n v="92.498999999999995"/>
    <n v="53.75"/>
    <n v="56.7"/>
    <n v="4.9430000000000002E-2"/>
    <n v="2.9359999999999998E-4"/>
    <n v="70.351467365939655"/>
    <n v="3.6149511905748173"/>
    <n v="3"/>
  </r>
  <r>
    <n v="211"/>
    <s v="Activated_Carbon"/>
    <n v="1"/>
    <n v="60"/>
    <n v="200"/>
    <n v="7"/>
    <n v="25"/>
    <n v="150"/>
    <n v="100"/>
    <n v="136.90899999999999"/>
    <n v="63.091000000000001"/>
    <n v="68.45"/>
    <n v="73.400000000000006"/>
    <n v="3.9949999999999999E-2"/>
    <n v="3.1149999999999998E-4"/>
    <n v="98.43876388546613"/>
    <n v="3.6498848543729707"/>
    <n v="1"/>
  </r>
  <r>
    <n v="212"/>
    <s v="Activated_Carbon"/>
    <n v="1"/>
    <n v="60"/>
    <n v="200"/>
    <n v="7"/>
    <n v="25"/>
    <n v="150"/>
    <n v="100"/>
    <n v="139.28299999999999"/>
    <n v="60.716999999999999"/>
    <n v="69.64"/>
    <n v="71.599999999999994"/>
    <n v="4.6300000000000001E-2"/>
    <n v="3.7369999999999998E-4"/>
    <n v="105.50107318381791"/>
    <n v="3.5199259499004127"/>
    <n v="2"/>
  </r>
  <r>
    <n v="213"/>
    <s v="Activated_Carbon"/>
    <n v="1"/>
    <n v="60"/>
    <n v="200"/>
    <n v="7"/>
    <n v="25"/>
    <n v="150"/>
    <n v="100"/>
    <n v="130.44"/>
    <n v="69.56"/>
    <n v="65.22"/>
    <n v="61.4"/>
    <n v="4.2200000000000001E-2"/>
    <n v="2.833E-4"/>
    <n v="89.895668036686303"/>
    <n v="3.7023959918349276"/>
    <n v="3"/>
  </r>
  <r>
    <n v="214"/>
    <s v="Activated_Carbon"/>
    <n v="1"/>
    <n v="60"/>
    <n v="200"/>
    <n v="11"/>
    <n v="25"/>
    <n v="150"/>
    <n v="100"/>
    <n v="106.485"/>
    <n v="93.515000000000001"/>
    <n v="53.24"/>
    <n v="78.599999999999994"/>
    <n v="5.1389999999999998E-2"/>
    <n v="2.8289999999999999E-4"/>
    <n v="68.555918786960831"/>
    <n v="3.6357181321814562"/>
    <n v="1"/>
  </r>
  <r>
    <n v="215"/>
    <s v="Activated_Carbon"/>
    <n v="1"/>
    <n v="60"/>
    <n v="200"/>
    <n v="11"/>
    <n v="25"/>
    <n v="150"/>
    <n v="100"/>
    <n v="104.735"/>
    <n v="95.265000000000001"/>
    <n v="52.37"/>
    <n v="71.400000000000006"/>
    <n v="4.2509999999999999E-2"/>
    <n v="3.19E-4"/>
    <n v="69.877106282112337"/>
    <n v="3.551279617092824"/>
    <n v="2"/>
  </r>
  <r>
    <n v="216"/>
    <s v="Activated_Carbon"/>
    <n v="1"/>
    <n v="60"/>
    <n v="200"/>
    <n v="11"/>
    <n v="25"/>
    <n v="150"/>
    <n v="100"/>
    <n v="114.02800000000001"/>
    <n v="85.971999999999994"/>
    <n v="57.01"/>
    <n v="51.5"/>
    <n v="5.1959999999999999E-2"/>
    <n v="3.5389999999999998E-4"/>
    <n v="80.698861521506473"/>
    <n v="3.5064320437555603"/>
    <n v="3"/>
  </r>
  <r>
    <n v="217"/>
    <s v="Activated_Carbon"/>
    <n v="1"/>
    <n v="120"/>
    <n v="25"/>
    <n v="3"/>
    <n v="25"/>
    <n v="150"/>
    <n v="100"/>
    <n v="6.7560000000000002"/>
    <n v="18.244"/>
    <n v="27.02"/>
    <n v="62.8"/>
    <n v="4.6289999999999998E-2"/>
    <n v="3.1E-4"/>
    <n v="1.356915255147511"/>
    <n v="1.6862294475109048"/>
    <n v="1"/>
  </r>
  <r>
    <n v="218"/>
    <s v="Activated_Carbon"/>
    <n v="1"/>
    <n v="120"/>
    <n v="25"/>
    <n v="3"/>
    <n v="25"/>
    <n v="150"/>
    <n v="100"/>
    <n v="7.4779999999999998"/>
    <n v="17.521999999999998"/>
    <n v="29.91"/>
    <n v="86.8"/>
    <n v="4.4200000000000003E-2"/>
    <n v="2.7609999999999999E-4"/>
    <n v="1.4848655578599637"/>
    <n v="1.7906145544198284"/>
    <n v="2"/>
  </r>
  <r>
    <n v="219"/>
    <s v="Activated_Carbon"/>
    <n v="1"/>
    <n v="120"/>
    <n v="25"/>
    <n v="3"/>
    <n v="25"/>
    <n v="150"/>
    <n v="100"/>
    <n v="6.32"/>
    <n v="18.68"/>
    <n v="25.28"/>
    <n v="59.4"/>
    <n v="4.4850000000000001E-2"/>
    <n v="3.5379999999999998E-4"/>
    <n v="1.3370379456975721"/>
    <n v="1.6060245042396546"/>
    <n v="3"/>
  </r>
  <r>
    <n v="220"/>
    <s v="Activated_Carbon"/>
    <n v="1"/>
    <n v="120"/>
    <n v="25"/>
    <n v="7"/>
    <n v="25"/>
    <n v="150"/>
    <n v="100"/>
    <n v="10.694000000000001"/>
    <n v="14.305999999999999"/>
    <n v="42.78"/>
    <n v="68.900000000000006"/>
    <n v="4.4929999999999998E-2"/>
    <n v="3.3569999999999997E-4"/>
    <n v="3.2198444891336298"/>
    <n v="2.0114511377596451"/>
    <n v="1"/>
  </r>
  <r>
    <n v="221"/>
    <s v="Activated_Carbon"/>
    <n v="1"/>
    <n v="120"/>
    <n v="25"/>
    <n v="7"/>
    <n v="25"/>
    <n v="150"/>
    <n v="100"/>
    <n v="13.412000000000001"/>
    <n v="11.587999999999999"/>
    <n v="53.65"/>
    <n v="61.4"/>
    <n v="4.2799999999999998E-2"/>
    <n v="3.3129999999999998E-4"/>
    <n v="4.664325438706185"/>
    <n v="2.1687879006243365"/>
    <n v="2"/>
  </r>
  <r>
    <n v="222"/>
    <s v="Activated_Carbon"/>
    <n v="1"/>
    <n v="120"/>
    <n v="25"/>
    <n v="7"/>
    <n v="25"/>
    <n v="150"/>
    <n v="100"/>
    <n v="11.765000000000001"/>
    <n v="13.234999999999999"/>
    <n v="47.06"/>
    <n v="85.1"/>
    <n v="4.7629999999999999E-2"/>
    <n v="2.8919999999999998E-4"/>
    <n v="3.4109119829476344"/>
    <n v="2.1227510019366904"/>
    <n v="3"/>
  </r>
  <r>
    <n v="223"/>
    <s v="Activated_Carbon"/>
    <n v="1"/>
    <n v="120"/>
    <n v="25"/>
    <n v="11"/>
    <n v="25"/>
    <n v="150"/>
    <n v="100"/>
    <n v="9.0760000000000005"/>
    <n v="15.923999999999999"/>
    <n v="36.31"/>
    <n v="77.8"/>
    <n v="4.8689999999999997E-2"/>
    <n v="3.1520000000000002E-4"/>
    <n v="2.3194576421192981"/>
    <n v="1.910511273680926"/>
    <n v="1"/>
  </r>
  <r>
    <n v="224"/>
    <s v="Activated_Carbon"/>
    <n v="1"/>
    <n v="120"/>
    <n v="25"/>
    <n v="11"/>
    <n v="25"/>
    <n v="150"/>
    <n v="100"/>
    <n v="9.4060000000000006"/>
    <n v="15.593999999999999"/>
    <n v="37.630000000000003"/>
    <n v="78.400000000000006"/>
    <n v="5.1220000000000002E-2"/>
    <n v="3.1950000000000001E-4"/>
    <n v="2.4930057433267998"/>
    <n v="1.9334028661618572"/>
    <n v="2"/>
  </r>
  <r>
    <n v="225"/>
    <s v="Activated_Carbon"/>
    <n v="1"/>
    <n v="120"/>
    <n v="25"/>
    <n v="11"/>
    <n v="25"/>
    <n v="150"/>
    <n v="100"/>
    <n v="8.5510000000000002"/>
    <n v="16.449000000000002"/>
    <n v="34.200000000000003"/>
    <n v="68.099999999999994"/>
    <n v="5.0430000000000003E-2"/>
    <n v="2.7549999999999997E-4"/>
    <n v="1.8845727249368802"/>
    <n v="1.8970840755006149"/>
    <n v="3"/>
  </r>
  <r>
    <n v="226"/>
    <s v="Activated_Carbon"/>
    <n v="1"/>
    <n v="120"/>
    <n v="50"/>
    <n v="3"/>
    <n v="25"/>
    <n v="150"/>
    <n v="100"/>
    <n v="20.853000000000002"/>
    <n v="29.146999999999998"/>
    <n v="41.71"/>
    <n v="62.7"/>
    <n v="4.5130000000000003E-2"/>
    <n v="3.3839999999999999E-4"/>
    <n v="9.5615685851149959"/>
    <n v="2.4240441562085975"/>
    <n v="1"/>
  </r>
  <r>
    <n v="227"/>
    <s v="Activated_Carbon"/>
    <n v="1"/>
    <n v="120"/>
    <n v="50"/>
    <n v="3"/>
    <n v="25"/>
    <n v="150"/>
    <n v="100"/>
    <n v="20.565000000000001"/>
    <n v="29.434999999999999"/>
    <n v="41.13"/>
    <n v="67.099999999999994"/>
    <n v="3.8879999999999998E-2"/>
    <n v="3.2239999999999998E-4"/>
    <n v="9.1121231888248548"/>
    <n v="2.4382409483265746"/>
    <n v="2"/>
  </r>
  <r>
    <n v="228"/>
    <s v="Activated_Carbon"/>
    <n v="1"/>
    <n v="120"/>
    <n v="50"/>
    <n v="3"/>
    <n v="25"/>
    <n v="150"/>
    <n v="100"/>
    <n v="21.300999999999998"/>
    <n v="28.699000000000002"/>
    <n v="42.6"/>
    <n v="88.3"/>
    <n v="4.3610000000000003E-2"/>
    <n v="3.0660000000000003E-4"/>
    <n v="9.3590121843281473"/>
    <n v="2.4800605778321891"/>
    <n v="3"/>
  </r>
  <r>
    <n v="229"/>
    <s v="Activated_Carbon"/>
    <n v="1"/>
    <n v="120"/>
    <n v="50"/>
    <n v="7"/>
    <n v="25"/>
    <n v="150"/>
    <n v="100"/>
    <n v="30.893999999999998"/>
    <n v="19.106000000000002"/>
    <n v="61.79"/>
    <n v="82.4"/>
    <n v="4.4569999999999999E-2"/>
    <n v="3.0840000000000002E-4"/>
    <n v="16.479948090437002"/>
    <n v="2.6682035578252354"/>
    <n v="1"/>
  </r>
  <r>
    <n v="230"/>
    <s v="Activated_Carbon"/>
    <n v="1"/>
    <n v="120"/>
    <n v="50"/>
    <n v="7"/>
    <n v="25"/>
    <n v="150"/>
    <n v="100"/>
    <n v="31.763000000000002"/>
    <n v="18.236999999999998"/>
    <n v="63.53"/>
    <n v="68.5"/>
    <n v="4.299E-2"/>
    <n v="3.0580000000000001E-4"/>
    <n v="17.095764140714277"/>
    <n v="2.6856161530847809"/>
    <n v="2"/>
  </r>
  <r>
    <n v="231"/>
    <s v="Activated_Carbon"/>
    <n v="1"/>
    <n v="120"/>
    <n v="50"/>
    <n v="7"/>
    <n v="25"/>
    <n v="150"/>
    <n v="100"/>
    <n v="32.890999999999998"/>
    <n v="17.109000000000002"/>
    <n v="65.78"/>
    <n v="56.4"/>
    <n v="4.5600000000000002E-2"/>
    <n v="2.7900000000000001E-4"/>
    <n v="17.237494436192719"/>
    <n v="2.7506948895897922"/>
    <n v="3"/>
  </r>
  <r>
    <n v="232"/>
    <s v="Activated_Carbon"/>
    <n v="1"/>
    <n v="120"/>
    <n v="50"/>
    <n v="11"/>
    <n v="25"/>
    <n v="150"/>
    <n v="100"/>
    <n v="26.501999999999999"/>
    <n v="23.498000000000001"/>
    <n v="53"/>
    <n v="51.4"/>
    <n v="4.2479999999999997E-2"/>
    <n v="3.1129999999999998E-4"/>
    <n v="13.184470362973968"/>
    <n v="2.589081185226179"/>
    <n v="1"/>
  </r>
  <r>
    <n v="233"/>
    <s v="Activated_Carbon"/>
    <n v="1"/>
    <n v="120"/>
    <n v="50"/>
    <n v="11"/>
    <n v="25"/>
    <n v="150"/>
    <n v="100"/>
    <n v="27.219000000000001"/>
    <n v="22.780999999999999"/>
    <n v="54.44"/>
    <n v="66"/>
    <n v="4.2500000000000003E-2"/>
    <n v="3.5639999999999999E-4"/>
    <n v="14.641497837384936"/>
    <n v="2.5319096753264794"/>
    <n v="2"/>
  </r>
  <r>
    <n v="234"/>
    <s v="Activated_Carbon"/>
    <n v="1"/>
    <n v="120"/>
    <n v="50"/>
    <n v="11"/>
    <n v="25"/>
    <n v="150"/>
    <n v="100"/>
    <n v="21.387"/>
    <n v="28.613"/>
    <n v="42.77"/>
    <n v="44.7"/>
    <n v="4.6980000000000001E-2"/>
    <n v="2.8489999999999999E-4"/>
    <n v="9.0329898055726829"/>
    <n v="2.5139807224657997"/>
    <n v="3"/>
  </r>
  <r>
    <n v="235"/>
    <s v="Activated_Carbon"/>
    <n v="1"/>
    <n v="120"/>
    <n v="100"/>
    <n v="3"/>
    <n v="25"/>
    <n v="150"/>
    <n v="100"/>
    <n v="46.904000000000003"/>
    <n v="53.095999999999997"/>
    <n v="46.9"/>
    <n v="73.8"/>
    <n v="4.6100000000000002E-2"/>
    <n v="2.831E-4"/>
    <n v="28.818247832785218"/>
    <n v="2.8951244552063091"/>
    <n v="1"/>
  </r>
  <r>
    <n v="236"/>
    <s v="Activated_Carbon"/>
    <n v="1"/>
    <n v="120"/>
    <n v="100"/>
    <n v="3"/>
    <n v="25"/>
    <n v="150"/>
    <n v="100"/>
    <n v="45.844999999999999"/>
    <n v="54.155000000000001"/>
    <n v="45.85"/>
    <n v="75.400000000000006"/>
    <n v="4.793E-2"/>
    <n v="2.9700000000000001E-4"/>
    <n v="28.439356281244827"/>
    <n v="2.8567945052824539"/>
    <n v="2"/>
  </r>
  <r>
    <n v="237"/>
    <s v="Activated_Carbon"/>
    <n v="1"/>
    <n v="120"/>
    <n v="100"/>
    <n v="3"/>
    <n v="25"/>
    <n v="150"/>
    <n v="100"/>
    <n v="58.622999999999998"/>
    <n v="41.377000000000002"/>
    <n v="58.62"/>
    <n v="56"/>
    <n v="3.814E-2"/>
    <n v="2.7920000000000001E-4"/>
    <n v="38.845360490528797"/>
    <n v="2.9845519818372752"/>
    <n v="3"/>
  </r>
  <r>
    <n v="238"/>
    <s v="Activated_Carbon"/>
    <n v="1"/>
    <n v="120"/>
    <n v="100"/>
    <n v="7"/>
    <n v="25"/>
    <n v="150"/>
    <n v="100"/>
    <n v="72.936000000000007"/>
    <n v="27.064"/>
    <n v="72.94"/>
    <n v="69.099999999999994"/>
    <n v="4.3909999999999998E-2"/>
    <n v="3.1060000000000001E-4"/>
    <n v="53.321484248035709"/>
    <n v="2.9762698917179384"/>
    <n v="1"/>
  </r>
  <r>
    <n v="239"/>
    <s v="Activated_Carbon"/>
    <n v="1"/>
    <n v="120"/>
    <n v="100"/>
    <n v="7"/>
    <n v="25"/>
    <n v="150"/>
    <n v="100"/>
    <n v="65.873999999999995"/>
    <n v="34.125999999999998"/>
    <n v="65.87"/>
    <n v="81.099999999999994"/>
    <n v="4.4630000000000003E-2"/>
    <n v="3.3349999999999997E-4"/>
    <n v="47.758220782843004"/>
    <n v="2.896783338445768"/>
    <n v="2"/>
  </r>
  <r>
    <n v="240"/>
    <s v="Activated_Carbon"/>
    <n v="1"/>
    <n v="120"/>
    <n v="100"/>
    <n v="7"/>
    <n v="25"/>
    <n v="150"/>
    <n v="100"/>
    <n v="75.209999999999994"/>
    <n v="24.79"/>
    <n v="75.209999999999994"/>
    <n v="71.2"/>
    <n v="4.7559999999999998E-2"/>
    <n v="3.1339999999999997E-4"/>
    <n v="55.56521860365865"/>
    <n v="2.9778117252489089"/>
    <n v="3"/>
  </r>
  <r>
    <n v="241"/>
    <s v="Activated_Carbon"/>
    <n v="1"/>
    <n v="120"/>
    <n v="100"/>
    <n v="11"/>
    <n v="25"/>
    <n v="150"/>
    <n v="100"/>
    <n v="62.927"/>
    <n v="37.073"/>
    <n v="62.93"/>
    <n v="80"/>
    <n v="4.5879999999999997E-2"/>
    <n v="3.213E-4"/>
    <n v="44.560660127648809"/>
    <n v="2.9105196345385194"/>
    <n v="1"/>
  </r>
  <r>
    <n v="242"/>
    <s v="Activated_Carbon"/>
    <n v="1"/>
    <n v="120"/>
    <n v="100"/>
    <n v="11"/>
    <n v="25"/>
    <n v="150"/>
    <n v="100"/>
    <n v="59.42"/>
    <n v="40.58"/>
    <n v="59.42"/>
    <n v="81.099999999999994"/>
    <n v="4.1959999999999997E-2"/>
    <n v="3.5399999999999999E-4"/>
    <n v="42.559252184122315"/>
    <n v="2.8249883060312242"/>
    <n v="2"/>
  </r>
  <r>
    <n v="243"/>
    <s v="Activated_Carbon"/>
    <n v="1"/>
    <n v="120"/>
    <n v="100"/>
    <n v="11"/>
    <n v="25"/>
    <n v="150"/>
    <n v="100"/>
    <n v="59.656999999999996"/>
    <n v="40.343000000000004"/>
    <n v="59.66"/>
    <n v="52.4"/>
    <n v="4.5580000000000002E-2"/>
    <n v="2.7960000000000002E-4"/>
    <n v="39.782010601637907"/>
    <n v="2.9894621271245092"/>
    <n v="3"/>
  </r>
  <r>
    <n v="244"/>
    <s v="Activated_Carbon"/>
    <n v="1"/>
    <n v="120"/>
    <n v="200"/>
    <n v="3"/>
    <n v="25"/>
    <n v="150"/>
    <n v="100"/>
    <n v="119.319"/>
    <n v="80.680999999999997"/>
    <n v="59.66"/>
    <n v="60.1"/>
    <n v="4.299E-2"/>
    <n v="2.433E-4"/>
    <n v="92.706902264331205"/>
    <n v="3.2813659144893408"/>
    <n v="1"/>
  </r>
  <r>
    <n v="245"/>
    <s v="Activated_Carbon"/>
    <n v="1"/>
    <n v="120"/>
    <n v="200"/>
    <n v="3"/>
    <n v="25"/>
    <n v="150"/>
    <n v="100"/>
    <n v="107.755"/>
    <n v="92.245000000000005"/>
    <n v="53.88"/>
    <n v="42.4"/>
    <n v="3.7870000000000001E-2"/>
    <n v="3.2279999999999999E-4"/>
    <n v="86.928744043889878"/>
    <n v="3.0362144962516231"/>
    <n v="2"/>
  </r>
  <r>
    <n v="246"/>
    <s v="Activated_Carbon"/>
    <n v="1"/>
    <n v="120"/>
    <n v="200"/>
    <n v="3"/>
    <n v="25"/>
    <n v="150"/>
    <n v="100"/>
    <n v="118.82899999999999"/>
    <n v="81.171000000000006"/>
    <n v="59.41"/>
    <n v="70.900000000000006"/>
    <n v="4.0649999999999999E-2"/>
    <n v="2.9859999999999999E-4"/>
    <n v="96.228829675253891"/>
    <n v="3.1179574427430312"/>
    <n v="3"/>
  </r>
  <r>
    <n v="247"/>
    <s v="Activated_Carbon"/>
    <n v="1"/>
    <n v="120"/>
    <n v="200"/>
    <n v="7"/>
    <n v="25"/>
    <n v="150"/>
    <n v="100"/>
    <n v="155.59899999999999"/>
    <n v="44.401000000000003"/>
    <n v="77.8"/>
    <n v="55.1"/>
    <n v="5.1769999999999997E-2"/>
    <n v="3.2630000000000002E-4"/>
    <n v="133.66088924178538"/>
    <n v="3.0882253416688314"/>
    <n v="1"/>
  </r>
  <r>
    <n v="248"/>
    <s v="Activated_Carbon"/>
    <n v="1"/>
    <n v="120"/>
    <n v="200"/>
    <n v="7"/>
    <n v="25"/>
    <n v="150"/>
    <n v="100"/>
    <n v="152.892"/>
    <n v="47.107999999999997"/>
    <n v="76.45"/>
    <n v="66.900000000000006"/>
    <n v="4.5940000000000002E-2"/>
    <n v="2.387E-4"/>
    <n v="124.47044606311219"/>
    <n v="3.3471477987564491"/>
    <n v="2"/>
  </r>
  <r>
    <n v="249"/>
    <s v="Activated_Carbon"/>
    <n v="1"/>
    <n v="120"/>
    <n v="200"/>
    <n v="7"/>
    <n v="25"/>
    <n v="150"/>
    <n v="100"/>
    <n v="152.566"/>
    <n v="47.433999999999997"/>
    <n v="76.28"/>
    <n v="59.8"/>
    <n v="4.0489999999999998E-2"/>
    <n v="2.9159999999999999E-4"/>
    <n v="128.49660716837033"/>
    <n v="3.1809410263679592"/>
    <n v="3"/>
  </r>
  <r>
    <n v="250"/>
    <s v="Activated_Carbon"/>
    <n v="1"/>
    <n v="120"/>
    <n v="200"/>
    <n v="11"/>
    <n v="25"/>
    <n v="150"/>
    <n v="100"/>
    <n v="147.87"/>
    <n v="52.13"/>
    <n v="73.930000000000007"/>
    <n v="73.099999999999994"/>
    <n v="4.2430000000000002E-2"/>
    <n v="3.1720000000000001E-4"/>
    <n v="125.56186516657357"/>
    <n v="3.1049514026827207"/>
    <n v="1"/>
  </r>
  <r>
    <n v="251"/>
    <s v="Activated_Carbon"/>
    <n v="1"/>
    <n v="120"/>
    <n v="200"/>
    <n v="11"/>
    <n v="25"/>
    <n v="150"/>
    <n v="100"/>
    <n v="143.75"/>
    <n v="56.25"/>
    <n v="71.88"/>
    <n v="75.900000000000006"/>
    <n v="4.5269999999999998E-2"/>
    <n v="2.8059999999999999E-4"/>
    <n v="119.13674908181873"/>
    <n v="3.2032849531262957"/>
    <n v="2"/>
  </r>
  <r>
    <n v="252"/>
    <s v="Activated_Carbon"/>
    <n v="1"/>
    <n v="120"/>
    <n v="200"/>
    <n v="11"/>
    <n v="25"/>
    <n v="150"/>
    <n v="100"/>
    <n v="136.499"/>
    <n v="63.500999999999998"/>
    <n v="68.25"/>
    <n v="70.599999999999994"/>
    <n v="4.9029999999999997E-2"/>
    <n v="3.191E-4"/>
    <n v="114.57785784381537"/>
    <n v="3.0874515663877191"/>
    <n v="3"/>
  </r>
  <r>
    <n v="253"/>
    <s v="Activated_Carbon"/>
    <n v="1"/>
    <n v="240"/>
    <n v="25"/>
    <n v="3"/>
    <n v="25"/>
    <n v="150"/>
    <n v="100"/>
    <n v="11.032"/>
    <n v="13.968"/>
    <n v="44.13"/>
    <n v="61.3"/>
    <n v="5.0930000000000003E-2"/>
    <n v="3.0590000000000001E-4"/>
    <n v="4.9367208595533478"/>
    <n v="1.80751456015305"/>
    <n v="1"/>
  </r>
  <r>
    <n v="254"/>
    <s v="Activated_Carbon"/>
    <n v="1"/>
    <n v="240"/>
    <n v="25"/>
    <n v="3"/>
    <n v="25"/>
    <n v="150"/>
    <n v="100"/>
    <n v="11.867000000000001"/>
    <n v="13.132999999999999"/>
    <n v="47.47"/>
    <n v="59.8"/>
    <n v="5.2810000000000003E-2"/>
    <n v="3.0590000000000001E-4"/>
    <n v="5.5251741615031014"/>
    <n v="1.847166714133418"/>
    <n v="2"/>
  </r>
  <r>
    <n v="255"/>
    <s v="Activated_Carbon"/>
    <n v="1"/>
    <n v="240"/>
    <n v="25"/>
    <n v="3"/>
    <n v="25"/>
    <n v="150"/>
    <n v="100"/>
    <n v="9.6470000000000002"/>
    <n v="15.353"/>
    <n v="38.590000000000003"/>
    <n v="61.8"/>
    <n v="4.3560000000000001E-2"/>
    <n v="3.1270000000000001E-4"/>
    <n v="4.0512535756407821"/>
    <n v="1.7220067420451604"/>
    <n v="3"/>
  </r>
  <r>
    <n v="256"/>
    <s v="Activated_Carbon"/>
    <n v="1"/>
    <n v="240"/>
    <n v="25"/>
    <n v="7"/>
    <n v="25"/>
    <n v="150"/>
    <n v="100"/>
    <n v="15.852"/>
    <n v="9.1479999999999997"/>
    <n v="63.41"/>
    <n v="60.9"/>
    <n v="4.4889999999999999E-2"/>
    <n v="3.6430000000000002E-4"/>
    <n v="9.2081669731268079"/>
    <n v="1.8936890600194141"/>
    <n v="1"/>
  </r>
  <r>
    <n v="257"/>
    <s v="Activated_Carbon"/>
    <n v="1"/>
    <n v="240"/>
    <n v="25"/>
    <n v="7"/>
    <n v="25"/>
    <n v="150"/>
    <n v="100"/>
    <n v="17.318999999999999"/>
    <n v="7.681"/>
    <n v="69.27"/>
    <n v="71"/>
    <n v="4.5170000000000002E-2"/>
    <n v="3.0360000000000001E-4"/>
    <n v="9.6622698506478617"/>
    <n v="2.0355850191633671"/>
    <n v="2"/>
  </r>
  <r>
    <n v="258"/>
    <s v="Activated_Carbon"/>
    <n v="1"/>
    <n v="240"/>
    <n v="25"/>
    <n v="7"/>
    <n v="25"/>
    <n v="150"/>
    <n v="100"/>
    <n v="15.962999999999999"/>
    <n v="9.0370000000000008"/>
    <n v="63.85"/>
    <n v="56.4"/>
    <n v="4.3839999999999997E-2"/>
    <n v="2.499E-4"/>
    <n v="7.8077811489521487"/>
    <n v="2.0986580721381292"/>
    <n v="3"/>
  </r>
  <r>
    <n v="259"/>
    <s v="Activated_Carbon"/>
    <n v="1"/>
    <n v="240"/>
    <n v="25"/>
    <n v="11"/>
    <n v="25"/>
    <n v="150"/>
    <n v="100"/>
    <n v="12.541"/>
    <n v="12.459"/>
    <n v="50.16"/>
    <n v="73.099999999999994"/>
    <n v="4.283E-2"/>
    <n v="3.4719999999999998E-4"/>
    <n v="6.4085309862348829"/>
    <n v="1.8135974443477081"/>
    <n v="1"/>
  </r>
  <r>
    <n v="260"/>
    <s v="Activated_Carbon"/>
    <n v="1"/>
    <n v="240"/>
    <n v="25"/>
    <n v="11"/>
    <n v="25"/>
    <n v="150"/>
    <n v="100"/>
    <n v="10.961"/>
    <n v="14.039"/>
    <n v="43.85"/>
    <n v="52"/>
    <n v="4.6010000000000002E-2"/>
    <n v="3.3139999999999998E-4"/>
    <n v="5.1051208606098735"/>
    <n v="1.7674461376806809"/>
    <n v="2"/>
  </r>
  <r>
    <n v="261"/>
    <s v="Activated_Carbon"/>
    <n v="1"/>
    <n v="240"/>
    <n v="25"/>
    <n v="11"/>
    <n v="25"/>
    <n v="150"/>
    <n v="100"/>
    <n v="13.79"/>
    <n v="11.21"/>
    <n v="55.16"/>
    <n v="62.1"/>
    <n v="4.9849999999999998E-2"/>
    <n v="2.988E-4"/>
    <n v="6.8565487433589691"/>
    <n v="1.9363577060639046"/>
    <n v="3"/>
  </r>
  <r>
    <n v="262"/>
    <s v="Activated_Carbon"/>
    <n v="1"/>
    <n v="240"/>
    <n v="50"/>
    <n v="3"/>
    <n v="25"/>
    <n v="150"/>
    <n v="100"/>
    <n v="25.503"/>
    <n v="24.497"/>
    <n v="51.01"/>
    <n v="75.5"/>
    <n v="4.7940000000000003E-2"/>
    <n v="2.5270000000000002E-4"/>
    <n v="15.488887432318334"/>
    <n v="2.3039953548752967"/>
    <n v="1"/>
  </r>
  <r>
    <n v="263"/>
    <s v="Activated_Carbon"/>
    <n v="1"/>
    <n v="240"/>
    <n v="50"/>
    <n v="3"/>
    <n v="25"/>
    <n v="150"/>
    <n v="100"/>
    <n v="28.914999999999999"/>
    <n v="21.085000000000001"/>
    <n v="57.83"/>
    <n v="80.5"/>
    <n v="4.2180000000000002E-2"/>
    <n v="3.1189999999999999E-4"/>
    <n v="19.777583609967046"/>
    <n v="2.2123776748324415"/>
    <n v="2"/>
  </r>
  <r>
    <n v="264"/>
    <s v="Activated_Carbon"/>
    <n v="1"/>
    <n v="240"/>
    <n v="50"/>
    <n v="3"/>
    <n v="25"/>
    <n v="150"/>
    <n v="100"/>
    <n v="26.882999999999999"/>
    <n v="23.117000000000001"/>
    <n v="53.77"/>
    <n v="69.3"/>
    <n v="4.2520000000000002E-2"/>
    <n v="2.7989999999999997E-4"/>
    <n v="17.302090937573823"/>
    <n v="2.2597724791745923"/>
    <n v="3"/>
  </r>
  <r>
    <n v="265"/>
    <s v="Activated_Carbon"/>
    <n v="1"/>
    <n v="240"/>
    <n v="50"/>
    <n v="7"/>
    <n v="25"/>
    <n v="150"/>
    <n v="100"/>
    <n v="36.968000000000004"/>
    <n v="13.032"/>
    <n v="73.94"/>
    <n v="78.400000000000006"/>
    <n v="4.7449999999999999E-2"/>
    <n v="2.8889999999999997E-4"/>
    <n v="26.593094703285072"/>
    <n v="2.3393899380476246"/>
    <n v="1"/>
  </r>
  <r>
    <n v="266"/>
    <s v="Activated_Carbon"/>
    <n v="1"/>
    <n v="240"/>
    <n v="50"/>
    <n v="7"/>
    <n v="25"/>
    <n v="150"/>
    <n v="100"/>
    <n v="39.33"/>
    <n v="10.67"/>
    <n v="78.66"/>
    <n v="38.200000000000003"/>
    <n v="5.0169999999999999E-2"/>
    <n v="2.4780000000000001E-4"/>
    <n v="27.551143352560775"/>
    <n v="2.4663061147216938"/>
    <n v="2"/>
  </r>
  <r>
    <n v="267"/>
    <s v="Activated_Carbon"/>
    <n v="1"/>
    <n v="240"/>
    <n v="50"/>
    <n v="7"/>
    <n v="25"/>
    <n v="150"/>
    <n v="100"/>
    <n v="35.969000000000001"/>
    <n v="14.031000000000001"/>
    <n v="71.94"/>
    <n v="55.5"/>
    <n v="3.9170000000000003E-2"/>
    <n v="3.3480000000000001E-4"/>
    <n v="26.722900863136378"/>
    <n v="2.2242017476439213"/>
    <n v="3"/>
  </r>
  <r>
    <n v="268"/>
    <s v="Activated_Carbon"/>
    <n v="1"/>
    <n v="240"/>
    <n v="50"/>
    <n v="11"/>
    <n v="25"/>
    <n v="150"/>
    <n v="100"/>
    <n v="29.161000000000001"/>
    <n v="20.838999999999999"/>
    <n v="58.32"/>
    <n v="70.099999999999994"/>
    <n v="4.4790000000000003E-2"/>
    <n v="3.143E-4"/>
    <n v="20.047254913249638"/>
    <n v="2.2097837230353936"/>
    <n v="1"/>
  </r>
  <r>
    <n v="269"/>
    <s v="Activated_Carbon"/>
    <n v="1"/>
    <n v="240"/>
    <n v="50"/>
    <n v="11"/>
    <n v="25"/>
    <n v="150"/>
    <n v="100"/>
    <n v="30.481000000000002"/>
    <n v="19.518999999999998"/>
    <n v="60.96"/>
    <n v="53.8"/>
    <n v="4.9480000000000003E-2"/>
    <n v="2.8519999999999999E-4"/>
    <n v="20.60497596118789"/>
    <n v="2.2901100055435704"/>
    <n v="2"/>
  </r>
  <r>
    <n v="270"/>
    <s v="Activated_Carbon"/>
    <n v="1"/>
    <n v="240"/>
    <n v="50"/>
    <n v="11"/>
    <n v="25"/>
    <n v="150"/>
    <n v="100"/>
    <n v="26.521999999999998"/>
    <n v="23.478000000000002"/>
    <n v="53.04"/>
    <n v="62.4"/>
    <n v="5.1749999999999997E-2"/>
    <n v="3.255E-4"/>
    <n v="17.888251589603229"/>
    <n v="2.1556787573059881"/>
    <n v="3"/>
  </r>
  <r>
    <n v="271"/>
    <s v="Activated_Carbon"/>
    <n v="1"/>
    <n v="240"/>
    <n v="100"/>
    <n v="3"/>
    <n v="25"/>
    <n v="150"/>
    <n v="100"/>
    <n v="57.692"/>
    <n v="42.308"/>
    <n v="57.69"/>
    <n v="63.2"/>
    <n v="4.3549999999999998E-2"/>
    <n v="3.6230000000000002E-4"/>
    <n v="48.102932375860682"/>
    <n v="2.2606236604085725"/>
    <n v="1"/>
  </r>
  <r>
    <n v="272"/>
    <s v="Activated_Carbon"/>
    <n v="1"/>
    <n v="240"/>
    <n v="100"/>
    <n v="3"/>
    <n v="25"/>
    <n v="150"/>
    <n v="100"/>
    <n v="61.16"/>
    <n v="38.840000000000003"/>
    <n v="61.16"/>
    <n v="71"/>
    <n v="4.9639999999999997E-2"/>
    <n v="3.0719999999999999E-4"/>
    <n v="50.058578692798861"/>
    <n v="2.4070731458149344"/>
    <n v="2"/>
  </r>
  <r>
    <n v="273"/>
    <s v="Activated_Carbon"/>
    <n v="1"/>
    <n v="240"/>
    <n v="100"/>
    <n v="3"/>
    <n v="25"/>
    <n v="150"/>
    <n v="100"/>
    <n v="58.116999999999997"/>
    <n v="41.883000000000003"/>
    <n v="58.12"/>
    <n v="64.7"/>
    <n v="4.4679999999999997E-2"/>
    <n v="2.989E-4"/>
    <n v="46.87380246822174"/>
    <n v="2.4197632819255901"/>
    <n v="3"/>
  </r>
  <r>
    <n v="274"/>
    <s v="Activated_Carbon"/>
    <n v="1"/>
    <n v="240"/>
    <n v="100"/>
    <n v="7"/>
    <n v="25"/>
    <n v="150"/>
    <n v="100"/>
    <n v="87.268000000000001"/>
    <n v="12.731999999999999"/>
    <n v="87.27"/>
    <n v="67.2"/>
    <n v="4.8300000000000003E-2"/>
    <n v="2.9760000000000002E-4"/>
    <n v="75.202792965051145"/>
    <n v="2.4903258588923718"/>
    <n v="1"/>
  </r>
  <r>
    <n v="275"/>
    <s v="Activated_Carbon"/>
    <n v="1"/>
    <n v="240"/>
    <n v="100"/>
    <n v="7"/>
    <n v="25"/>
    <n v="150"/>
    <n v="100"/>
    <n v="82.986000000000004"/>
    <n v="17.013999999999999"/>
    <n v="82.99"/>
    <n v="46.7"/>
    <n v="4.9119999999999997E-2"/>
    <n v="3.1040000000000001E-4"/>
    <n v="71.431481058468492"/>
    <n v="2.4470766107983914"/>
    <n v="2"/>
  </r>
  <r>
    <n v="276"/>
    <s v="Activated_Carbon"/>
    <n v="1"/>
    <n v="240"/>
    <n v="100"/>
    <n v="7"/>
    <n v="25"/>
    <n v="150"/>
    <n v="100"/>
    <n v="89.052000000000007"/>
    <n v="10.948"/>
    <n v="89.05"/>
    <n v="37.700000000000003"/>
    <n v="5.4399999999999997E-2"/>
    <n v="2.9579999999999998E-4"/>
    <n v="76.889715336628839"/>
    <n v="2.4983397423910447"/>
    <n v="3"/>
  </r>
  <r>
    <n v="277"/>
    <s v="Activated_Carbon"/>
    <n v="1"/>
    <n v="240"/>
    <n v="100"/>
    <n v="11"/>
    <n v="25"/>
    <n v="150"/>
    <n v="100"/>
    <n v="74.644999999999996"/>
    <n v="25.355"/>
    <n v="74.64"/>
    <n v="56.3"/>
    <n v="4.7759999999999997E-2"/>
    <n v="2.6840000000000002E-4"/>
    <n v="61.793634773707304"/>
    <n v="2.5534500489890704"/>
    <n v="1"/>
  </r>
  <r>
    <n v="278"/>
    <s v="Activated_Carbon"/>
    <n v="1"/>
    <n v="240"/>
    <n v="100"/>
    <n v="11"/>
    <n v="25"/>
    <n v="150"/>
    <n v="100"/>
    <n v="65.144000000000005"/>
    <n v="34.856000000000002"/>
    <n v="65.14"/>
    <n v="85.8"/>
    <n v="4.4139999999999999E-2"/>
    <n v="3.0650000000000002E-4"/>
    <n v="53.89674813885123"/>
    <n v="2.4201238198004544"/>
    <n v="2"/>
  </r>
  <r>
    <n v="279"/>
    <s v="Activated_Carbon"/>
    <n v="1"/>
    <n v="240"/>
    <n v="100"/>
    <n v="11"/>
    <n v="25"/>
    <n v="150"/>
    <n v="100"/>
    <n v="73.338999999999999"/>
    <n v="26.661000000000001"/>
    <n v="73.34"/>
    <n v="71.599999999999994"/>
    <n v="4.5679999999999998E-2"/>
    <n v="3.1090000000000002E-4"/>
    <n v="62.007723444287613"/>
    <n v="2.4275667391001763"/>
    <n v="3"/>
  </r>
  <r>
    <n v="280"/>
    <s v="Activated_Carbon"/>
    <n v="1"/>
    <n v="240"/>
    <n v="200"/>
    <n v="3"/>
    <n v="25"/>
    <n v="150"/>
    <n v="100"/>
    <n v="145.6"/>
    <n v="54.4"/>
    <n v="72.8"/>
    <n v="66.099999999999994"/>
    <n v="4.5900000000000003E-2"/>
    <n v="3.3149999999999998E-4"/>
    <n v="134.02969322158023"/>
    <n v="2.4484420558428126"/>
    <n v="1"/>
  </r>
  <r>
    <n v="281"/>
    <s v="Activated_Carbon"/>
    <n v="1"/>
    <n v="240"/>
    <n v="200"/>
    <n v="3"/>
    <n v="25"/>
    <n v="150"/>
    <n v="100"/>
    <n v="132.91999999999999"/>
    <n v="67.08"/>
    <n v="66.459999999999994"/>
    <n v="78.5"/>
    <n v="4.7870000000000003E-2"/>
    <n v="2.6570000000000001E-4"/>
    <n v="118.89304738150098"/>
    <n v="2.6409806658533812"/>
    <n v="2"/>
  </r>
  <r>
    <n v="282"/>
    <s v="Activated_Carbon"/>
    <n v="1"/>
    <n v="240"/>
    <n v="200"/>
    <n v="3"/>
    <n v="25"/>
    <n v="150"/>
    <n v="100"/>
    <n v="138.078"/>
    <n v="61.921999999999997"/>
    <n v="69.040000000000006"/>
    <n v="55.2"/>
    <n v="4.6359999999999998E-2"/>
    <n v="2.7740000000000002E-4"/>
    <n v="124.53122060257081"/>
    <n v="2.6061488362281113"/>
    <n v="3"/>
  </r>
  <r>
    <n v="283"/>
    <s v="Activated_Carbon"/>
    <n v="1"/>
    <n v="240"/>
    <n v="200"/>
    <n v="7"/>
    <n v="25"/>
    <n v="150"/>
    <n v="100"/>
    <n v="165.81700000000001"/>
    <n v="34.183"/>
    <n v="82.91"/>
    <n v="70"/>
    <n v="4.6449999999999998E-2"/>
    <n v="3.1270000000000001E-4"/>
    <n v="153.48331127248136"/>
    <n v="2.5123344393057043"/>
    <n v="1"/>
  </r>
  <r>
    <n v="284"/>
    <s v="Activated_Carbon"/>
    <n v="1"/>
    <n v="240"/>
    <n v="200"/>
    <n v="7"/>
    <n v="25"/>
    <n v="150"/>
    <n v="100"/>
    <n v="188.18899999999999"/>
    <n v="11.811"/>
    <n v="94.09"/>
    <n v="71.2"/>
    <n v="4.3900000000000002E-2"/>
    <n v="3.2890000000000003E-4"/>
    <n v="176.31953658853143"/>
    <n v="2.4739690021632645"/>
    <n v="2"/>
  </r>
  <r>
    <n v="285"/>
    <s v="Activated_Carbon"/>
    <n v="1"/>
    <n v="240"/>
    <n v="200"/>
    <n v="7"/>
    <n v="25"/>
    <n v="150"/>
    <n v="100"/>
    <n v="182.53299999999999"/>
    <n v="17.466999999999999"/>
    <n v="91.27"/>
    <n v="54.4"/>
    <n v="4.7690000000000003E-2"/>
    <n v="3.21E-4"/>
    <n v="170.41449969492922"/>
    <n v="2.4947332357797065"/>
    <n v="3"/>
  </r>
  <r>
    <n v="286"/>
    <s v="Activated_Carbon"/>
    <n v="1"/>
    <n v="240"/>
    <n v="200"/>
    <n v="11"/>
    <n v="25"/>
    <n v="150"/>
    <n v="100"/>
    <n v="136.59100000000001"/>
    <n v="63.408999999999999"/>
    <n v="68.3"/>
    <n v="80.400000000000006"/>
    <n v="4.4319999999999998E-2"/>
    <n v="3.0380000000000001E-4"/>
    <n v="124.12732018732619"/>
    <n v="2.5228187998280962"/>
    <n v="1"/>
  </r>
  <r>
    <n v="287"/>
    <s v="Activated_Carbon"/>
    <n v="1"/>
    <n v="240"/>
    <n v="200"/>
    <n v="11"/>
    <n v="25"/>
    <n v="150"/>
    <n v="100"/>
    <n v="137.98500000000001"/>
    <n v="62.015000000000001"/>
    <n v="68.989999999999995"/>
    <n v="66.8"/>
    <n v="4.0070000000000001E-2"/>
    <n v="2.5680000000000001E-4"/>
    <n v="123.46682158452987"/>
    <n v="2.6754015480466866"/>
    <n v="2"/>
  </r>
  <r>
    <n v="288"/>
    <s v="Activated_Carbon"/>
    <n v="1"/>
    <n v="240"/>
    <n v="200"/>
    <n v="11"/>
    <n v="25"/>
    <n v="150"/>
    <n v="100"/>
    <n v="157.77000000000001"/>
    <n v="42.23"/>
    <n v="78.89"/>
    <n v="58.2"/>
    <n v="4.054E-2"/>
    <n v="2.354E-4"/>
    <n v="141.85513576980054"/>
    <n v="2.7672535297645524"/>
    <n v="3"/>
  </r>
  <r>
    <n v="289"/>
    <s v="Activated_Carbon"/>
    <n v="2"/>
    <n v="30"/>
    <n v="25"/>
    <n v="3"/>
    <n v="25"/>
    <n v="150"/>
    <n v="100"/>
    <n v="0.64400000000000002"/>
    <n v="23.713000000000001"/>
    <n v="5.15"/>
    <n v="53.4"/>
    <n v="5.2389999999999999E-2"/>
    <n v="3.3030000000000001E-4"/>
    <n v="4.0835602092151547E-3"/>
    <n v="-0.44641767397938603"/>
    <n v="1"/>
  </r>
  <r>
    <n v="290"/>
    <s v="Activated_Carbon"/>
    <n v="2"/>
    <n v="30"/>
    <n v="25"/>
    <n v="3"/>
    <n v="25"/>
    <n v="150"/>
    <n v="100"/>
    <n v="0.64100000000000001"/>
    <n v="23.718"/>
    <n v="5.13"/>
    <n v="89.2"/>
    <n v="4.9419999999999999E-2"/>
    <n v="2.9030000000000001E-4"/>
    <n v="3.5584974274248215E-3"/>
    <n v="-0.45029276683029407"/>
    <n v="2"/>
  </r>
  <r>
    <n v="291"/>
    <s v="Activated_Carbon"/>
    <n v="2"/>
    <n v="30"/>
    <n v="25"/>
    <n v="3"/>
    <n v="25"/>
    <n v="150"/>
    <n v="100"/>
    <n v="0.54300000000000004"/>
    <n v="23.914999999999999"/>
    <n v="4.34"/>
    <n v="89.6"/>
    <n v="3.875E-2"/>
    <n v="2.5060000000000002E-4"/>
    <n v="2.207662498780454E-3"/>
    <n v="-0.61471992317547075"/>
    <n v="3"/>
  </r>
  <r>
    <n v="292"/>
    <s v="Activated_Carbon"/>
    <n v="2"/>
    <n v="30"/>
    <n v="25"/>
    <n v="7"/>
    <n v="25"/>
    <n v="150"/>
    <n v="100"/>
    <n v="1.272"/>
    <n v="22.456"/>
    <n v="10.17"/>
    <n v="91.1"/>
    <n v="5.1229999999999998E-2"/>
    <n v="3.1690000000000001E-4"/>
    <n v="1.5198381321721036E-2"/>
    <n v="0.22857009589469487"/>
    <n v="1"/>
  </r>
  <r>
    <n v="293"/>
    <s v="Activated_Carbon"/>
    <n v="2"/>
    <n v="30"/>
    <n v="25"/>
    <n v="7"/>
    <n v="25"/>
    <n v="150"/>
    <n v="100"/>
    <n v="1.232"/>
    <n v="22.536999999999999"/>
    <n v="9.85"/>
    <n v="75.2"/>
    <n v="4.8419999999999998E-2"/>
    <n v="3.0840000000000002E-4"/>
    <n v="1.388464403283887E-2"/>
    <n v="0.19730487413570422"/>
    <n v="2"/>
  </r>
  <r>
    <n v="294"/>
    <s v="Activated_Carbon"/>
    <n v="2"/>
    <n v="30"/>
    <n v="25"/>
    <n v="7"/>
    <n v="25"/>
    <n v="150"/>
    <n v="100"/>
    <n v="1.1850000000000001"/>
    <n v="22.629000000000001"/>
    <n v="9.48"/>
    <n v="66"/>
    <n v="4.1610000000000001E-2"/>
    <n v="2.9159999999999999E-4"/>
    <n v="1.2158124560716282E-2"/>
    <n v="0.15942975703745096"/>
    <n v="3"/>
  </r>
  <r>
    <n v="295"/>
    <s v="Activated_Carbon"/>
    <n v="2"/>
    <n v="30"/>
    <n v="25"/>
    <n v="11"/>
    <n v="25"/>
    <n v="150"/>
    <n v="100"/>
    <n v="0.746"/>
    <n v="23.509"/>
    <n v="5.96"/>
    <n v="65.7"/>
    <n v="4.0550000000000003E-2"/>
    <n v="2.6689999999999998E-4"/>
    <n v="4.4295648378600682E-3"/>
    <n v="-0.29898513181139225"/>
    <n v="1"/>
  </r>
  <r>
    <n v="296"/>
    <s v="Activated_Carbon"/>
    <n v="2"/>
    <n v="30"/>
    <n v="25"/>
    <n v="11"/>
    <n v="25"/>
    <n v="150"/>
    <n v="100"/>
    <n v="0.875"/>
    <n v="23.251000000000001"/>
    <n v="7"/>
    <n v="80.599999999999994"/>
    <n v="4.913E-2"/>
    <n v="2.5290000000000002E-4"/>
    <n v="5.7704887640288999E-3"/>
    <n v="-0.14014807899494178"/>
    <n v="2"/>
  </r>
  <r>
    <n v="297"/>
    <s v="Activated_Carbon"/>
    <n v="2"/>
    <n v="30"/>
    <n v="25"/>
    <n v="11"/>
    <n v="25"/>
    <n v="150"/>
    <n v="100"/>
    <n v="0.79400000000000004"/>
    <n v="23.411999999999999"/>
    <n v="6.35"/>
    <n v="76.099999999999994"/>
    <n v="4.0579999999999998E-2"/>
    <n v="2.9329999999999997E-4"/>
    <n v="5.5087202080859087E-3"/>
    <n v="-0.23763393187683174"/>
    <n v="3"/>
  </r>
  <r>
    <n v="298"/>
    <s v="Activated_Carbon"/>
    <n v="2"/>
    <n v="30"/>
    <n v="50"/>
    <n v="3"/>
    <n v="25"/>
    <n v="150"/>
    <n v="100"/>
    <n v="2.6269999999999998"/>
    <n v="44.747"/>
    <n v="10.51"/>
    <n v="57"/>
    <n v="4.5469999999999997E-2"/>
    <n v="2.5999999999999998E-4"/>
    <n v="5.2747968673106826E-2"/>
    <n v="0.945559018649058"/>
    <n v="1"/>
  </r>
  <r>
    <n v="299"/>
    <s v="Activated_Carbon"/>
    <n v="2"/>
    <n v="30"/>
    <n v="50"/>
    <n v="3"/>
    <n v="25"/>
    <n v="150"/>
    <n v="100"/>
    <n v="2.395"/>
    <n v="45.21"/>
    <n v="9.58"/>
    <n v="69.900000000000006"/>
    <n v="3.7830000000000003E-2"/>
    <n v="3.1320000000000002E-4"/>
    <n v="5.2709545851690166E-2"/>
    <n v="0.85112927719037612"/>
    <n v="2"/>
  </r>
  <r>
    <n v="300"/>
    <s v="Activated_Carbon"/>
    <n v="2"/>
    <n v="30"/>
    <n v="50"/>
    <n v="3"/>
    <n v="25"/>
    <n v="150"/>
    <n v="100"/>
    <n v="2.512"/>
    <n v="44.975999999999999"/>
    <n v="10.050000000000001"/>
    <n v="72.2"/>
    <n v="4.6010000000000002E-2"/>
    <n v="3.4089999999999999E-4"/>
    <n v="6.291747857002096E-2"/>
    <n v="0.89571347337210927"/>
    <n v="3"/>
  </r>
  <r>
    <n v="301"/>
    <s v="Activated_Carbon"/>
    <n v="2"/>
    <n v="30"/>
    <n v="50"/>
    <n v="7"/>
    <n v="25"/>
    <n v="150"/>
    <n v="100"/>
    <n v="4.3129999999999997"/>
    <n v="41.375"/>
    <n v="17.25"/>
    <n v="62.4"/>
    <n v="4.555E-2"/>
    <n v="3.1629999999999999E-4"/>
    <n v="0.16957408516578229"/>
    <n v="1.4215229612953502"/>
    <n v="1"/>
  </r>
  <r>
    <n v="302"/>
    <s v="Activated_Carbon"/>
    <n v="2"/>
    <n v="30"/>
    <n v="50"/>
    <n v="7"/>
    <n v="25"/>
    <n v="150"/>
    <n v="100"/>
    <n v="4.2859999999999996"/>
    <n v="41.427"/>
    <n v="17.149999999999999"/>
    <n v="67.099999999999994"/>
    <n v="4.1840000000000002E-2"/>
    <n v="2.8009999999999998E-4"/>
    <n v="0.14899529190910812"/>
    <n v="1.419972025523319"/>
    <n v="2"/>
  </r>
  <r>
    <n v="303"/>
    <s v="Activated_Carbon"/>
    <n v="2"/>
    <n v="30"/>
    <n v="50"/>
    <n v="7"/>
    <n v="25"/>
    <n v="150"/>
    <n v="100"/>
    <n v="3.7909999999999999"/>
    <n v="42.418999999999997"/>
    <n v="15.16"/>
    <n v="84.2"/>
    <n v="3.9399999999999998E-2"/>
    <n v="2.7920000000000001E-4"/>
    <n v="0.11667245117800511"/>
    <n v="1.3013701360095511"/>
    <n v="3"/>
  </r>
  <r>
    <n v="304"/>
    <s v="Activated_Carbon"/>
    <n v="2"/>
    <n v="30"/>
    <n v="50"/>
    <n v="11"/>
    <n v="25"/>
    <n v="150"/>
    <n v="100"/>
    <n v="2.9889999999999999"/>
    <n v="44.021999999999998"/>
    <n v="11.96"/>
    <n v="75.599999999999994"/>
    <n v="4.367E-2"/>
    <n v="3.3740000000000002E-4"/>
    <n v="8.7775553412736906E-2"/>
    <n v="1.0651328708425214"/>
    <n v="1"/>
  </r>
  <r>
    <n v="305"/>
    <s v="Activated_Carbon"/>
    <n v="2"/>
    <n v="30"/>
    <n v="50"/>
    <n v="11"/>
    <n v="25"/>
    <n v="150"/>
    <n v="100"/>
    <n v="3"/>
    <n v="43.999000000000002"/>
    <n v="12"/>
    <n v="69.5"/>
    <n v="4.1239999999999999E-2"/>
    <n v="3.6440000000000002E-4"/>
    <n v="9.5263730688345039E-2"/>
    <n v="1.0663426010920065"/>
    <n v="2"/>
  </r>
  <r>
    <n v="306"/>
    <s v="Activated_Carbon"/>
    <n v="2"/>
    <n v="30"/>
    <n v="50"/>
    <n v="11"/>
    <n v="25"/>
    <n v="150"/>
    <n v="100"/>
    <n v="2.87"/>
    <n v="44.26"/>
    <n v="11.48"/>
    <n v="69.8"/>
    <n v="4.7849999999999997E-2"/>
    <n v="3.124E-4"/>
    <n v="7.5174217753582531E-2"/>
    <n v="1.0277697727310438"/>
    <n v="3"/>
  </r>
  <r>
    <n v="307"/>
    <s v="Activated_Carbon"/>
    <n v="2"/>
    <n v="30"/>
    <n v="100"/>
    <n v="3"/>
    <n v="25"/>
    <n v="150"/>
    <n v="100"/>
    <n v="8.65"/>
    <n v="82.7"/>
    <n v="17.3"/>
    <n v="65.400000000000006"/>
    <n v="4.5199999999999997E-2"/>
    <n v="2.9559999999999998E-4"/>
    <n v="0.61625418103066365"/>
    <n v="2.0836508972699681"/>
    <n v="1"/>
  </r>
  <r>
    <n v="308"/>
    <s v="Activated_Carbon"/>
    <n v="2"/>
    <n v="30"/>
    <n v="100"/>
    <n v="3"/>
    <n v="25"/>
    <n v="150"/>
    <n v="100"/>
    <n v="9.4570000000000007"/>
    <n v="81.084999999999994"/>
    <n v="18.91"/>
    <n v="88.8"/>
    <n v="4.249E-2"/>
    <n v="2.589E-4"/>
    <n v="0.64710870754684979"/>
    <n v="2.1758751007633514"/>
    <n v="2"/>
  </r>
  <r>
    <n v="309"/>
    <s v="Activated_Carbon"/>
    <n v="2"/>
    <n v="30"/>
    <n v="100"/>
    <n v="3"/>
    <n v="25"/>
    <n v="150"/>
    <n v="100"/>
    <n v="8.718"/>
    <n v="82.563000000000002"/>
    <n v="17.440000000000001"/>
    <n v="92.5"/>
    <n v="4.138E-2"/>
    <n v="3.4919999999999998E-4"/>
    <n v="0.7295804996533366"/>
    <n v="2.0779929304924449"/>
    <n v="3"/>
  </r>
  <r>
    <n v="310"/>
    <s v="Activated_Carbon"/>
    <n v="2"/>
    <n v="30"/>
    <n v="100"/>
    <n v="7"/>
    <n v="25"/>
    <n v="150"/>
    <n v="100"/>
    <n v="16.346"/>
    <n v="67.307000000000002"/>
    <n v="32.69"/>
    <n v="61.1"/>
    <n v="4.7559999999999998E-2"/>
    <n v="3.4890000000000002E-4"/>
    <n v="2.3881060697094654"/>
    <n v="2.6360452213606504"/>
    <n v="1"/>
  </r>
  <r>
    <n v="311"/>
    <s v="Activated_Carbon"/>
    <n v="2"/>
    <n v="30"/>
    <n v="100"/>
    <n v="7"/>
    <n v="25"/>
    <n v="150"/>
    <n v="100"/>
    <n v="13.975"/>
    <n v="72.05"/>
    <n v="27.95"/>
    <n v="64.599999999999994"/>
    <n v="4.2380000000000001E-2"/>
    <n v="2.6959999999999999E-4"/>
    <n v="1.4191816382634137"/>
    <n v="2.5301841726228069"/>
    <n v="2"/>
  </r>
  <r>
    <n v="312"/>
    <s v="Activated_Carbon"/>
    <n v="2"/>
    <n v="30"/>
    <n v="100"/>
    <n v="7"/>
    <n v="25"/>
    <n v="150"/>
    <n v="100"/>
    <n v="13.663"/>
    <n v="72.673000000000002"/>
    <n v="27.33"/>
    <n v="54.4"/>
    <n v="4.5150000000000003E-2"/>
    <n v="2.7690000000000001E-4"/>
    <n v="1.3926651078413943"/>
    <n v="2.5071845519248157"/>
    <n v="3"/>
  </r>
  <r>
    <n v="313"/>
    <s v="Activated_Carbon"/>
    <n v="2"/>
    <n v="30"/>
    <n v="100"/>
    <n v="11"/>
    <n v="25"/>
    <n v="150"/>
    <n v="100"/>
    <n v="11.119"/>
    <n v="77.762"/>
    <n v="22.24"/>
    <n v="51.1"/>
    <n v="4.6489999999999997E-2"/>
    <n v="3.2499999999999999E-4"/>
    <n v="1.0875157187963571"/>
    <n v="2.305728575193128"/>
    <n v="1"/>
  </r>
  <r>
    <n v="314"/>
    <s v="Activated_Carbon"/>
    <n v="2"/>
    <n v="30"/>
    <n v="100"/>
    <n v="11"/>
    <n v="25"/>
    <n v="150"/>
    <n v="100"/>
    <n v="9.1739999999999995"/>
    <n v="81.652000000000001"/>
    <n v="18.350000000000001"/>
    <n v="70.400000000000006"/>
    <n v="5.0520000000000002E-2"/>
    <n v="2.6370000000000001E-4"/>
    <n v="0.62075607427674317"/>
    <n v="2.1463106175095561"/>
    <n v="2"/>
  </r>
  <r>
    <n v="315"/>
    <s v="Activated_Carbon"/>
    <n v="2"/>
    <n v="30"/>
    <n v="100"/>
    <n v="11"/>
    <n v="25"/>
    <n v="150"/>
    <n v="100"/>
    <n v="12.375999999999999"/>
    <n v="75.248999999999995"/>
    <n v="24.75"/>
    <n v="70.900000000000006"/>
    <n v="4.1829999999999999E-2"/>
    <n v="2.9829999999999999E-4"/>
    <n v="1.2340071708194909"/>
    <n v="2.4107211080138278"/>
    <n v="3"/>
  </r>
  <r>
    <n v="316"/>
    <s v="Activated_Carbon"/>
    <n v="2"/>
    <n v="30"/>
    <n v="200"/>
    <n v="3"/>
    <n v="25"/>
    <n v="150"/>
    <n v="100"/>
    <n v="29.126000000000001"/>
    <n v="141.749"/>
    <n v="29.13"/>
    <n v="67.400000000000006"/>
    <n v="4.7419999999999997E-2"/>
    <n v="2.7240000000000001E-4"/>
    <n v="5.5996799330599547"/>
    <n v="3.1581197972633555"/>
    <n v="1"/>
  </r>
  <r>
    <n v="317"/>
    <s v="Activated_Carbon"/>
    <n v="2"/>
    <n v="30"/>
    <n v="200"/>
    <n v="3"/>
    <n v="25"/>
    <n v="150"/>
    <n v="100"/>
    <n v="28.257999999999999"/>
    <n v="143.48400000000001"/>
    <n v="28.26"/>
    <n v="52.5"/>
    <n v="4.4499999999999998E-2"/>
    <n v="2.7290000000000002E-4"/>
    <n v="5.3091712736057275"/>
    <n v="3.1332668993172192"/>
    <n v="2"/>
  </r>
  <r>
    <n v="318"/>
    <s v="Activated_Carbon"/>
    <n v="2"/>
    <n v="30"/>
    <n v="200"/>
    <n v="3"/>
    <n v="25"/>
    <n v="150"/>
    <n v="100"/>
    <n v="26.24"/>
    <n v="147.52000000000001"/>
    <n v="26.24"/>
    <n v="79"/>
    <n v="4.9910000000000003E-2"/>
    <n v="3.1829999999999998E-4"/>
    <n v="5.2574968487862641"/>
    <n v="3.0436889071577835"/>
    <n v="3"/>
  </r>
  <r>
    <n v="319"/>
    <s v="Activated_Carbon"/>
    <n v="2"/>
    <n v="30"/>
    <n v="200"/>
    <n v="7"/>
    <n v="25"/>
    <n v="150"/>
    <n v="100"/>
    <n v="39.938000000000002"/>
    <n v="120.124"/>
    <n v="39.94"/>
    <n v="63.5"/>
    <n v="5.0459999999999998E-2"/>
    <n v="3.0430000000000002E-4"/>
    <n v="10.6706868347176"/>
    <n v="3.376471301658905"/>
    <n v="1"/>
  </r>
  <r>
    <n v="320"/>
    <s v="Activated_Carbon"/>
    <n v="2"/>
    <n v="30"/>
    <n v="200"/>
    <n v="7"/>
    <n v="25"/>
    <n v="150"/>
    <n v="100"/>
    <n v="51.881999999999998"/>
    <n v="96.234999999999999"/>
    <n v="51.88"/>
    <n v="70.599999999999994"/>
    <n v="4.5859999999999998E-2"/>
    <n v="2.9070000000000002E-4"/>
    <n v="16.16198318293732"/>
    <n v="3.5757112268106139"/>
    <n v="2"/>
  </r>
  <r>
    <n v="321"/>
    <s v="Activated_Carbon"/>
    <n v="2"/>
    <n v="30"/>
    <n v="200"/>
    <n v="7"/>
    <n v="25"/>
    <n v="150"/>
    <n v="100"/>
    <n v="44.23"/>
    <n v="111.54"/>
    <n v="44.23"/>
    <n v="65.099999999999994"/>
    <n v="4.8189999999999997E-2"/>
    <n v="3.2870000000000002E-4"/>
    <n v="13.432424899263625"/>
    <n v="3.4274359563845485"/>
    <n v="3"/>
  </r>
  <r>
    <n v="322"/>
    <s v="Activated_Carbon"/>
    <n v="2"/>
    <n v="30"/>
    <n v="200"/>
    <n v="11"/>
    <n v="25"/>
    <n v="150"/>
    <n v="100"/>
    <n v="31.869"/>
    <n v="136.26300000000001"/>
    <n v="31.87"/>
    <n v="53.4"/>
    <n v="3.6740000000000002E-2"/>
    <n v="3.1520000000000002E-4"/>
    <n v="7.3798771141484609"/>
    <n v="3.1982290551267614"/>
    <n v="1"/>
  </r>
  <r>
    <n v="323"/>
    <s v="Activated_Carbon"/>
    <n v="2"/>
    <n v="30"/>
    <n v="200"/>
    <n v="11"/>
    <n v="25"/>
    <n v="150"/>
    <n v="100"/>
    <n v="31.004999999999999"/>
    <n v="137.989"/>
    <n v="31.01"/>
    <n v="45.1"/>
    <n v="4.675E-2"/>
    <n v="3.748E-4"/>
    <n v="8.0148360233691296"/>
    <n v="3.1350664712694827"/>
    <n v="2"/>
  </r>
  <r>
    <n v="324"/>
    <s v="Activated_Carbon"/>
    <n v="2"/>
    <n v="30"/>
    <n v="200"/>
    <n v="11"/>
    <n v="25"/>
    <n v="150"/>
    <n v="100"/>
    <n v="33.991"/>
    <n v="132.01900000000001"/>
    <n v="33.99"/>
    <n v="75.099999999999994"/>
    <n v="4.5370000000000001E-2"/>
    <n v="2.9700000000000001E-4"/>
    <n v="7.9014700758249647"/>
    <n v="3.2615340815150686"/>
    <n v="3"/>
  </r>
  <r>
    <n v="325"/>
    <s v="Activated_Carbon"/>
    <n v="2"/>
    <n v="60"/>
    <n v="25"/>
    <n v="3"/>
    <n v="25"/>
    <n v="150"/>
    <n v="100"/>
    <n v="1.3520000000000001"/>
    <n v="22.295000000000002"/>
    <n v="10.82"/>
    <n v="63.8"/>
    <n v="4.6199999999999998E-2"/>
    <n v="3.0969999999999999E-4"/>
    <n v="3.3133698721210067E-2"/>
    <n v="0.27677250489684052"/>
    <n v="1"/>
  </r>
  <r>
    <n v="326"/>
    <s v="Activated_Carbon"/>
    <n v="2"/>
    <n v="60"/>
    <n v="25"/>
    <n v="3"/>
    <n v="25"/>
    <n v="150"/>
    <n v="100"/>
    <n v="1.1919999999999999"/>
    <n v="22.614999999999998"/>
    <n v="9.5399999999999991"/>
    <n v="76.599999999999994"/>
    <n v="4.4209999999999999E-2"/>
    <n v="2.7730000000000002E-4"/>
    <n v="2.3180605957078659E-2"/>
    <n v="0.15599417444033756"/>
    <n v="2"/>
  </r>
  <r>
    <n v="327"/>
    <s v="Activated_Carbon"/>
    <n v="2"/>
    <n v="60"/>
    <n v="25"/>
    <n v="3"/>
    <n v="25"/>
    <n v="150"/>
    <n v="100"/>
    <n v="1.3140000000000001"/>
    <n v="22.372"/>
    <n v="10.51"/>
    <n v="57.7"/>
    <n v="4.5130000000000003E-2"/>
    <n v="2.9970000000000002E-4"/>
    <n v="3.0330978360126472E-2"/>
    <n v="0.24972240073052565"/>
    <n v="3"/>
  </r>
  <r>
    <n v="328"/>
    <s v="Activated_Carbon"/>
    <n v="2"/>
    <n v="60"/>
    <n v="25"/>
    <n v="7"/>
    <n v="25"/>
    <n v="150"/>
    <n v="100"/>
    <n v="2.3239999999999998"/>
    <n v="20.353000000000002"/>
    <n v="18.59"/>
    <n v="71.400000000000006"/>
    <n v="4.4889999999999999E-2"/>
    <n v="3.2449999999999997E-4"/>
    <n v="0.10060480818968673"/>
    <n v="0.79903539327582584"/>
    <n v="1"/>
  </r>
  <r>
    <n v="329"/>
    <s v="Activated_Carbon"/>
    <n v="2"/>
    <n v="60"/>
    <n v="25"/>
    <n v="7"/>
    <n v="25"/>
    <n v="150"/>
    <n v="100"/>
    <n v="2.3759999999999999"/>
    <n v="20.248999999999999"/>
    <n v="19"/>
    <n v="72.2"/>
    <n v="4.505E-2"/>
    <n v="2.6059999999999999E-4"/>
    <n v="8.5109195826981177E-2"/>
    <n v="0.82894073938172008"/>
    <n v="2"/>
  </r>
  <r>
    <n v="330"/>
    <s v="Activated_Carbon"/>
    <n v="2"/>
    <n v="60"/>
    <n v="25"/>
    <n v="7"/>
    <n v="25"/>
    <n v="150"/>
    <n v="100"/>
    <n v="1.956"/>
    <n v="21.088999999999999"/>
    <n v="15.65"/>
    <n v="63.6"/>
    <n v="4.2259999999999999E-2"/>
    <n v="2.944E-4"/>
    <n v="6.5324326798828283E-2"/>
    <n v="0.63693426423223121"/>
    <n v="3"/>
  </r>
  <r>
    <n v="331"/>
    <s v="Activated_Carbon"/>
    <n v="2"/>
    <n v="60"/>
    <n v="25"/>
    <n v="11"/>
    <n v="25"/>
    <n v="150"/>
    <n v="100"/>
    <n v="1.595"/>
    <n v="21.81"/>
    <n v="12.76"/>
    <n v="72"/>
    <n v="4.4679999999999997E-2"/>
    <n v="3.146E-4"/>
    <n v="4.6617492788760373E-2"/>
    <n v="0.43721084232561064"/>
    <n v="1"/>
  </r>
  <r>
    <n v="332"/>
    <s v="Activated_Carbon"/>
    <n v="2"/>
    <n v="60"/>
    <n v="25"/>
    <n v="11"/>
    <n v="25"/>
    <n v="150"/>
    <n v="100"/>
    <n v="1.5960000000000001"/>
    <n v="21.808"/>
    <n v="12.77"/>
    <n v="46.9"/>
    <n v="4.0770000000000001E-2"/>
    <n v="2.9569999999999998E-4"/>
    <n v="4.3948257224437154E-2"/>
    <n v="0.43957776062252513"/>
    <n v="2"/>
  </r>
  <r>
    <n v="333"/>
    <s v="Activated_Carbon"/>
    <n v="2"/>
    <n v="60"/>
    <n v="25"/>
    <n v="11"/>
    <n v="25"/>
    <n v="150"/>
    <n v="100"/>
    <n v="1.4339999999999999"/>
    <n v="22.132000000000001"/>
    <n v="11.47"/>
    <n v="72.7"/>
    <n v="5.1889999999999999E-2"/>
    <n v="3.366E-4"/>
    <n v="4.0361260721134523E-2"/>
    <n v="0.33191812471974536"/>
    <n v="3"/>
  </r>
  <r>
    <n v="334"/>
    <s v="Activated_Carbon"/>
    <n v="2"/>
    <n v="60"/>
    <n v="50"/>
    <n v="3"/>
    <n v="25"/>
    <n v="150"/>
    <n v="100"/>
    <n v="4.3289999999999997"/>
    <n v="41.343000000000004"/>
    <n v="17.309999999999999"/>
    <n v="81.599999999999994"/>
    <n v="4.5670000000000002E-2"/>
    <n v="2.899E-4"/>
    <n v="0.30314160557106484"/>
    <n v="1.3927381538292607"/>
    <n v="1"/>
  </r>
  <r>
    <n v="335"/>
    <s v="Activated_Carbon"/>
    <n v="2"/>
    <n v="60"/>
    <n v="50"/>
    <n v="3"/>
    <n v="25"/>
    <n v="150"/>
    <n v="100"/>
    <n v="4.1879999999999997"/>
    <n v="41.625"/>
    <n v="16.75"/>
    <n v="63.6"/>
    <n v="4.3249999999999997E-2"/>
    <n v="3.0509999999999999E-4"/>
    <n v="0.29821260448490916"/>
    <n v="1.3583545020275334"/>
    <n v="2"/>
  </r>
  <r>
    <n v="336"/>
    <s v="Activated_Carbon"/>
    <n v="2"/>
    <n v="60"/>
    <n v="50"/>
    <n v="3"/>
    <n v="25"/>
    <n v="150"/>
    <n v="100"/>
    <n v="4.46"/>
    <n v="41.079000000000001"/>
    <n v="17.84"/>
    <n v="66.7"/>
    <n v="4.6969999999999998E-2"/>
    <n v="3.3569999999999997E-4"/>
    <n v="0.36763108619215279"/>
    <n v="1.4091239989151756"/>
    <n v="3"/>
  </r>
  <r>
    <n v="337"/>
    <s v="Activated_Carbon"/>
    <n v="2"/>
    <n v="60"/>
    <n v="50"/>
    <n v="7"/>
    <n v="25"/>
    <n v="150"/>
    <n v="100"/>
    <n v="7.7770000000000001"/>
    <n v="34.445999999999998"/>
    <n v="31.11"/>
    <n v="51.8"/>
    <n v="3.3509999999999998E-2"/>
    <n v="3.28E-4"/>
    <n v="1.0322874314289001"/>
    <n v="1.90875887475188"/>
    <n v="1"/>
  </r>
  <r>
    <n v="338"/>
    <s v="Activated_Carbon"/>
    <n v="2"/>
    <n v="60"/>
    <n v="50"/>
    <n v="7"/>
    <n v="25"/>
    <n v="150"/>
    <n v="100"/>
    <n v="6.4370000000000003"/>
    <n v="37.125"/>
    <n v="25.75"/>
    <n v="64.400000000000006"/>
    <n v="3.9730000000000001E-2"/>
    <n v="2.4590000000000001E-4"/>
    <n v="0.55830816942963035"/>
    <n v="1.7713342593645252"/>
    <n v="2"/>
  </r>
  <r>
    <n v="339"/>
    <s v="Activated_Carbon"/>
    <n v="2"/>
    <n v="60"/>
    <n v="50"/>
    <n v="7"/>
    <n v="25"/>
    <n v="150"/>
    <n v="100"/>
    <n v="7.5410000000000004"/>
    <n v="34.917999999999999"/>
    <n v="30.16"/>
    <n v="74.3"/>
    <n v="4.2410000000000003E-2"/>
    <n v="2.2230000000000001E-4"/>
    <n v="0.68916981110004827"/>
    <n v="1.9245157974489908"/>
    <n v="3"/>
  </r>
  <r>
    <n v="340"/>
    <s v="Activated_Carbon"/>
    <n v="2"/>
    <n v="60"/>
    <n v="50"/>
    <n v="11"/>
    <n v="25"/>
    <n v="150"/>
    <n v="100"/>
    <n v="5.2350000000000003"/>
    <n v="39.53"/>
    <n v="20.94"/>
    <n v="70.599999999999994"/>
    <n v="3.8339999999999999E-2"/>
    <n v="3.055E-4"/>
    <n v="0.45835513816205747"/>
    <n v="1.5637383882985949"/>
    <n v="1"/>
  </r>
  <r>
    <n v="341"/>
    <s v="Activated_Carbon"/>
    <n v="2"/>
    <n v="60"/>
    <n v="50"/>
    <n v="11"/>
    <n v="25"/>
    <n v="150"/>
    <n v="100"/>
    <n v="5.468"/>
    <n v="39.064999999999998"/>
    <n v="21.87"/>
    <n v="72.5"/>
    <n v="4.5539999999999997E-2"/>
    <n v="2.7080000000000002E-4"/>
    <n v="0.44616061933364237"/>
    <n v="1.6137962770830132"/>
    <n v="2"/>
  </r>
  <r>
    <n v="342"/>
    <s v="Activated_Carbon"/>
    <n v="2"/>
    <n v="60"/>
    <n v="50"/>
    <n v="11"/>
    <n v="25"/>
    <n v="150"/>
    <n v="100"/>
    <n v="5.9980000000000002"/>
    <n v="38.003"/>
    <n v="23.99"/>
    <n v="65.099999999999994"/>
    <n v="4.4880000000000003E-2"/>
    <n v="2.72E-4"/>
    <n v="0.53478016659195349"/>
    <n v="1.6980383290227827"/>
    <n v="3"/>
  </r>
  <r>
    <n v="343"/>
    <s v="Activated_Carbon"/>
    <n v="2"/>
    <n v="60"/>
    <n v="100"/>
    <n v="3"/>
    <n v="25"/>
    <n v="150"/>
    <n v="100"/>
    <n v="13.558"/>
    <n v="72.882999999999996"/>
    <n v="27.12"/>
    <n v="57.8"/>
    <n v="4.4220000000000002E-2"/>
    <n v="3.5139999999999998E-4"/>
    <n v="3.0140582167188508"/>
    <n v="2.3555514564324231"/>
    <n v="1"/>
  </r>
  <r>
    <n v="344"/>
    <s v="Activated_Carbon"/>
    <n v="2"/>
    <n v="60"/>
    <n v="100"/>
    <n v="3"/>
    <n v="25"/>
    <n v="150"/>
    <n v="100"/>
    <n v="12.513999999999999"/>
    <n v="74.971999999999994"/>
    <n v="25.03"/>
    <n v="50.5"/>
    <n v="5.1619999999999999E-2"/>
    <n v="2.9369999999999998E-4"/>
    <n v="2.2610074329886478"/>
    <n v="2.3275696207302499"/>
    <n v="2"/>
  </r>
  <r>
    <n v="345"/>
    <s v="Activated_Carbon"/>
    <n v="2"/>
    <n v="60"/>
    <n v="100"/>
    <n v="3"/>
    <n v="25"/>
    <n v="150"/>
    <n v="100"/>
    <n v="13.305"/>
    <n v="73.391000000000005"/>
    <n v="26.61"/>
    <n v="77.099999999999994"/>
    <n v="4.2270000000000002E-2"/>
    <n v="3.548E-4"/>
    <n v="2.9366879431235779"/>
    <n v="2.3387542372353392"/>
    <n v="3"/>
  </r>
  <r>
    <n v="346"/>
    <s v="Activated_Carbon"/>
    <n v="2"/>
    <n v="60"/>
    <n v="100"/>
    <n v="7"/>
    <n v="25"/>
    <n v="150"/>
    <n v="100"/>
    <n v="23.253"/>
    <n v="53.494999999999997"/>
    <n v="46.51"/>
    <n v="61.8"/>
    <n v="5.4710000000000002E-2"/>
    <n v="2.8180000000000002E-4"/>
    <n v="6.5621883021041123"/>
    <n v="2.8148583702776118"/>
    <n v="1"/>
  </r>
  <r>
    <n v="347"/>
    <s v="Activated_Carbon"/>
    <n v="2"/>
    <n v="60"/>
    <n v="100"/>
    <n v="7"/>
    <n v="25"/>
    <n v="150"/>
    <n v="100"/>
    <n v="23.366"/>
    <n v="53.268000000000001"/>
    <n v="46.73"/>
    <n v="69.7"/>
    <n v="5.0860000000000002E-2"/>
    <n v="3.4680000000000003E-4"/>
    <n v="7.6440216146022602"/>
    <n v="2.7550596305708321"/>
    <n v="2"/>
  </r>
  <r>
    <n v="348"/>
    <s v="Activated_Carbon"/>
    <n v="2"/>
    <n v="60"/>
    <n v="100"/>
    <n v="7"/>
    <n v="25"/>
    <n v="150"/>
    <n v="100"/>
    <n v="22.113"/>
    <n v="55.774000000000001"/>
    <n v="44.23"/>
    <n v="59.1"/>
    <n v="4.7070000000000001E-2"/>
    <n v="2.7970000000000002E-4"/>
    <n v="5.9850778227842731"/>
    <n v="2.7805520665558707"/>
    <n v="3"/>
  </r>
  <r>
    <n v="349"/>
    <s v="Activated_Carbon"/>
    <n v="2"/>
    <n v="60"/>
    <n v="100"/>
    <n v="11"/>
    <n v="25"/>
    <n v="150"/>
    <n v="100"/>
    <n v="19.905000000000001"/>
    <n v="60.191000000000003"/>
    <n v="39.81"/>
    <n v="68"/>
    <n v="4.3360000000000003E-2"/>
    <n v="3.055E-4"/>
    <n v="5.3210722064515625"/>
    <n v="2.6799200862909043"/>
    <n v="1"/>
  </r>
  <r>
    <n v="350"/>
    <s v="Activated_Carbon"/>
    <n v="2"/>
    <n v="60"/>
    <n v="100"/>
    <n v="11"/>
    <n v="25"/>
    <n v="150"/>
    <n v="100"/>
    <n v="15.295999999999999"/>
    <n v="69.408000000000001"/>
    <n v="30.59"/>
    <n v="57"/>
    <n v="5.04E-2"/>
    <n v="2.8029999999999998E-4"/>
    <n v="3.1297460527123562"/>
    <n v="2.4986660492042256"/>
    <n v="2"/>
  </r>
  <r>
    <n v="351"/>
    <s v="Activated_Carbon"/>
    <n v="2"/>
    <n v="60"/>
    <n v="100"/>
    <n v="11"/>
    <n v="25"/>
    <n v="150"/>
    <n v="100"/>
    <n v="15.707000000000001"/>
    <n v="68.584999999999994"/>
    <n v="31.41"/>
    <n v="72"/>
    <n v="5.0340000000000003E-2"/>
    <n v="3.2160000000000001E-4"/>
    <n v="3.6532714384928724"/>
    <n v="2.4893740362663346"/>
    <n v="3"/>
  </r>
  <r>
    <n v="352"/>
    <s v="Activated_Carbon"/>
    <n v="2"/>
    <n v="60"/>
    <n v="200"/>
    <n v="3"/>
    <n v="25"/>
    <n v="150"/>
    <n v="100"/>
    <n v="43.070999999999998"/>
    <n v="113.858"/>
    <n v="43.07"/>
    <n v="59.1"/>
    <n v="3.8600000000000002E-2"/>
    <n v="3.4499999999999998E-4"/>
    <n v="20.301022240258977"/>
    <n v="3.1254429033400384"/>
    <n v="1"/>
  </r>
  <r>
    <n v="353"/>
    <s v="Activated_Carbon"/>
    <n v="2"/>
    <n v="60"/>
    <n v="200"/>
    <n v="3"/>
    <n v="25"/>
    <n v="150"/>
    <n v="100"/>
    <n v="38.862000000000002"/>
    <n v="122.27500000000001"/>
    <n v="38.86"/>
    <n v="64.2"/>
    <n v="5.0979999999999998E-2"/>
    <n v="3.167E-4"/>
    <n v="16.507677446082603"/>
    <n v="3.1070197052194946"/>
    <n v="2"/>
  </r>
  <r>
    <n v="354"/>
    <s v="Activated_Carbon"/>
    <n v="2"/>
    <n v="60"/>
    <n v="200"/>
    <n v="3"/>
    <n v="25"/>
    <n v="150"/>
    <n v="100"/>
    <n v="41.347000000000001"/>
    <n v="117.306"/>
    <n v="41.35"/>
    <n v="88.3"/>
    <n v="4.2099999999999999E-2"/>
    <n v="3.278E-4"/>
    <n v="18.543829797797216"/>
    <n v="3.1268995702509428"/>
    <n v="3"/>
  </r>
  <r>
    <n v="355"/>
    <s v="Activated_Carbon"/>
    <n v="2"/>
    <n v="60"/>
    <n v="200"/>
    <n v="7"/>
    <n v="25"/>
    <n v="150"/>
    <n v="100"/>
    <n v="59.881999999999998"/>
    <n v="80.236000000000004"/>
    <n v="59.88"/>
    <n v="69.400000000000006"/>
    <n v="5.1880000000000003E-2"/>
    <n v="3.1520000000000002E-4"/>
    <n v="31.801190533794717"/>
    <n v="3.3350864058861789"/>
    <n v="1"/>
  </r>
  <r>
    <n v="356"/>
    <s v="Activated_Carbon"/>
    <n v="2"/>
    <n v="60"/>
    <n v="200"/>
    <n v="7"/>
    <n v="25"/>
    <n v="150"/>
    <n v="100"/>
    <n v="62.177"/>
    <n v="75.646000000000001"/>
    <n v="62.18"/>
    <n v="77.400000000000006"/>
    <n v="4.3360000000000003E-2"/>
    <n v="2.7480000000000001E-4"/>
    <n v="31.474952444565197"/>
    <n v="3.4243293479858665"/>
    <n v="2"/>
  </r>
  <r>
    <n v="357"/>
    <s v="Activated_Carbon"/>
    <n v="2"/>
    <n v="60"/>
    <n v="200"/>
    <n v="7"/>
    <n v="25"/>
    <n v="150"/>
    <n v="100"/>
    <n v="54.628"/>
    <n v="90.745000000000005"/>
    <n v="54.63"/>
    <n v="47"/>
    <n v="5.425E-2"/>
    <n v="2.6689999999999998E-4"/>
    <n v="25.490157420142033"/>
    <n v="3.3720377616452413"/>
    <n v="3"/>
  </r>
  <r>
    <n v="358"/>
    <s v="Activated_Carbon"/>
    <n v="2"/>
    <n v="60"/>
    <n v="200"/>
    <n v="11"/>
    <n v="25"/>
    <n v="150"/>
    <n v="100"/>
    <n v="46.781999999999996"/>
    <n v="106.43600000000001"/>
    <n v="46.78"/>
    <n v="63.9"/>
    <n v="4.6379999999999998E-2"/>
    <n v="3.2449999999999997E-4"/>
    <n v="22.299644403639238"/>
    <n v="3.1979526783562982"/>
    <n v="1"/>
  </r>
  <r>
    <n v="359"/>
    <s v="Activated_Carbon"/>
    <n v="2"/>
    <n v="60"/>
    <n v="200"/>
    <n v="11"/>
    <n v="25"/>
    <n v="150"/>
    <n v="100"/>
    <n v="50.904000000000003"/>
    <n v="98.192999999999998"/>
    <n v="50.9"/>
    <n v="60.8"/>
    <n v="4.4249999999999998E-2"/>
    <n v="3.0850000000000002E-4"/>
    <n v="24.694992660695348"/>
    <n v="3.2661031432607817"/>
    <n v="2"/>
  </r>
  <r>
    <n v="360"/>
    <s v="Activated_Carbon"/>
    <n v="2"/>
    <n v="60"/>
    <n v="200"/>
    <n v="11"/>
    <n v="25"/>
    <n v="150"/>
    <n v="100"/>
    <n v="46.677999999999997"/>
    <n v="106.645"/>
    <n v="46.68"/>
    <n v="82.7"/>
    <n v="4.7210000000000002E-2"/>
    <n v="3.2200000000000002E-4"/>
    <n v="22.134128589652928"/>
    <n v="3.2004621860229414"/>
    <n v="3"/>
  </r>
  <r>
    <n v="361"/>
    <s v="Activated_Carbon"/>
    <n v="2"/>
    <n v="120"/>
    <n v="25"/>
    <n v="3"/>
    <n v="25"/>
    <n v="150"/>
    <n v="100"/>
    <n v="2.3220000000000001"/>
    <n v="20.356000000000002"/>
    <n v="18.57"/>
    <n v="78.400000000000006"/>
    <n v="4.5809999999999997E-2"/>
    <n v="2.611E-4"/>
    <n v="0.15747544700937022"/>
    <n v="0.77220073132857581"/>
    <n v="1"/>
  </r>
  <r>
    <n v="362"/>
    <s v="Activated_Carbon"/>
    <n v="2"/>
    <n v="120"/>
    <n v="25"/>
    <n v="3"/>
    <n v="25"/>
    <n v="150"/>
    <n v="100"/>
    <n v="2.2749999999999999"/>
    <n v="20.449000000000002"/>
    <n v="18.2"/>
    <n v="60.2"/>
    <n v="4.2619999999999998E-2"/>
    <n v="3.1760000000000002E-4"/>
    <n v="0.18151518241200371"/>
    <n v="0.73883005428357784"/>
    <n v="2"/>
  </r>
  <r>
    <n v="363"/>
    <s v="Activated_Carbon"/>
    <n v="2"/>
    <n v="120"/>
    <n v="25"/>
    <n v="3"/>
    <n v="25"/>
    <n v="150"/>
    <n v="100"/>
    <n v="2.423"/>
    <n v="20.154"/>
    <n v="19.39"/>
    <n v="66.900000000000006"/>
    <n v="4.6390000000000001E-2"/>
    <n v="3.5110000000000002E-4"/>
    <n v="0.22444166556551229"/>
    <n v="0.78780184302994272"/>
    <n v="3"/>
  </r>
  <r>
    <n v="364"/>
    <s v="Activated_Carbon"/>
    <n v="2"/>
    <n v="120"/>
    <n v="25"/>
    <n v="7"/>
    <n v="25"/>
    <n v="150"/>
    <n v="100"/>
    <n v="3.6880000000000002"/>
    <n v="17.623999999999999"/>
    <n v="29.51"/>
    <n v="92.7"/>
    <n v="4.7539999999999999E-2"/>
    <n v="2.4719999999999999E-4"/>
    <n v="0.36368304113188193"/>
    <n v="1.201264227100701"/>
    <n v="1"/>
  </r>
  <r>
    <n v="365"/>
    <s v="Activated_Carbon"/>
    <n v="2"/>
    <n v="120"/>
    <n v="25"/>
    <n v="7"/>
    <n v="25"/>
    <n v="150"/>
    <n v="100"/>
    <n v="3.8370000000000002"/>
    <n v="17.327000000000002"/>
    <n v="30.69"/>
    <n v="70.5"/>
    <n v="5.0799999999999998E-2"/>
    <n v="3.2019999999999998E-4"/>
    <n v="0.49301357593299178"/>
    <n v="1.2071636354256401"/>
    <n v="2"/>
  </r>
  <r>
    <n v="366"/>
    <s v="Activated_Carbon"/>
    <n v="2"/>
    <n v="120"/>
    <n v="25"/>
    <n v="7"/>
    <n v="25"/>
    <n v="150"/>
    <n v="100"/>
    <n v="3.5779999999999998"/>
    <n v="17.843"/>
    <n v="28.63"/>
    <n v="54.4"/>
    <n v="4.4060000000000002E-2"/>
    <n v="2.745E-4"/>
    <n v="0.37723946065055836"/>
    <n v="1.1633884501136864"/>
    <n v="3"/>
  </r>
  <r>
    <n v="367"/>
    <s v="Activated_Carbon"/>
    <n v="2"/>
    <n v="120"/>
    <n v="25"/>
    <n v="11"/>
    <n v="25"/>
    <n v="150"/>
    <n v="100"/>
    <n v="2.613"/>
    <n v="19.773"/>
    <n v="20.91"/>
    <n v="72.599999999999994"/>
    <n v="5.2510000000000001E-2"/>
    <n v="3.1179999999999999E-4"/>
    <n v="0.23271565853830201"/>
    <n v="0.86721995174966171"/>
    <n v="1"/>
  </r>
  <r>
    <n v="368"/>
    <s v="Activated_Carbon"/>
    <n v="2"/>
    <n v="120"/>
    <n v="25"/>
    <n v="11"/>
    <n v="25"/>
    <n v="150"/>
    <n v="100"/>
    <n v="2.4790000000000001"/>
    <n v="20.042999999999999"/>
    <n v="19.829999999999998"/>
    <n v="71.099999999999994"/>
    <n v="5.0380000000000001E-2"/>
    <n v="2.8170000000000002E-4"/>
    <n v="0.19167786061023087"/>
    <n v="0.8273817618723649"/>
    <n v="2"/>
  </r>
  <r>
    <n v="369"/>
    <s v="Activated_Carbon"/>
    <n v="2"/>
    <n v="120"/>
    <n v="25"/>
    <n v="11"/>
    <n v="25"/>
    <n v="150"/>
    <n v="100"/>
    <n v="2.7109999999999999"/>
    <n v="19.577000000000002"/>
    <n v="21.69"/>
    <n v="66.8"/>
    <n v="4.147E-2"/>
    <n v="3.1940000000000001E-4"/>
    <n v="0.25517764432243834"/>
    <n v="0.8984616769187227"/>
    <n v="3"/>
  </r>
  <r>
    <n v="370"/>
    <s v="Activated_Carbon"/>
    <n v="2"/>
    <n v="120"/>
    <n v="50"/>
    <n v="3"/>
    <n v="25"/>
    <n v="150"/>
    <n v="100"/>
    <n v="6.98"/>
    <n v="36.039000000000001"/>
    <n v="27.92"/>
    <n v="70.900000000000006"/>
    <n v="4.1009999999999998E-2"/>
    <n v="2.8689999999999998E-4"/>
    <n v="1.3523630328299894"/>
    <n v="1.7276896324043873"/>
    <n v="1"/>
  </r>
  <r>
    <n v="371"/>
    <s v="Activated_Carbon"/>
    <n v="2"/>
    <n v="120"/>
    <n v="50"/>
    <n v="3"/>
    <n v="25"/>
    <n v="150"/>
    <n v="100"/>
    <n v="7.4560000000000004"/>
    <n v="35.088000000000001"/>
    <n v="29.82"/>
    <n v="62.9"/>
    <n v="5.2769999999999997E-2"/>
    <n v="2.8800000000000001E-4"/>
    <n v="1.5276209257023985"/>
    <n v="1.7797508323557796"/>
    <n v="2"/>
  </r>
  <r>
    <n v="372"/>
    <s v="Activated_Carbon"/>
    <n v="2"/>
    <n v="120"/>
    <n v="50"/>
    <n v="3"/>
    <n v="25"/>
    <n v="150"/>
    <n v="100"/>
    <n v="7.1749999999999998"/>
    <n v="35.65"/>
    <n v="28.7"/>
    <n v="76"/>
    <n v="3.8620000000000002E-2"/>
    <n v="2.4719999999999999E-4"/>
    <n v="1.2591292069055815"/>
    <n v="1.7776387043623199"/>
    <n v="3"/>
  </r>
  <r>
    <n v="373"/>
    <s v="Activated_Carbon"/>
    <n v="2"/>
    <n v="120"/>
    <n v="50"/>
    <n v="7"/>
    <n v="25"/>
    <n v="150"/>
    <n v="100"/>
    <n v="9.7089999999999996"/>
    <n v="30.582999999999998"/>
    <n v="38.83"/>
    <n v="79.3"/>
    <n v="4.2520000000000002E-2"/>
    <n v="3.7669999999999999E-4"/>
    <n v="2.9614171782058154"/>
    <n v="1.9091843402762165"/>
    <n v="1"/>
  </r>
  <r>
    <n v="374"/>
    <s v="Activated_Carbon"/>
    <n v="2"/>
    <n v="120"/>
    <n v="50"/>
    <n v="7"/>
    <n v="25"/>
    <n v="150"/>
    <n v="100"/>
    <n v="10.558999999999999"/>
    <n v="28.882000000000001"/>
    <n v="42.24"/>
    <n v="68.5"/>
    <n v="5.194E-2"/>
    <n v="3.6019999999999997E-4"/>
    <n v="3.3089423689423989"/>
    <n v="1.9810094179463826"/>
    <n v="2"/>
  </r>
  <r>
    <n v="375"/>
    <s v="Activated_Carbon"/>
    <n v="2"/>
    <n v="120"/>
    <n v="50"/>
    <n v="7"/>
    <n v="25"/>
    <n v="150"/>
    <n v="100"/>
    <n v="12.882"/>
    <n v="24.236000000000001"/>
    <n v="51.53"/>
    <n v="78.8"/>
    <n v="4.9610000000000001E-2"/>
    <n v="3.1780000000000003E-4"/>
    <n v="4.2437133777176479"/>
    <n v="2.1562042555442016"/>
    <n v="3"/>
  </r>
  <r>
    <n v="376"/>
    <s v="Activated_Carbon"/>
    <n v="2"/>
    <n v="120"/>
    <n v="50"/>
    <n v="11"/>
    <n v="25"/>
    <n v="150"/>
    <n v="100"/>
    <n v="9.1310000000000002"/>
    <n v="31.738"/>
    <n v="36.520000000000003"/>
    <n v="61.2"/>
    <n v="4.1320000000000003E-2"/>
    <n v="2.9990000000000003E-4"/>
    <n v="2.2583853508708152"/>
    <n v="1.92754462322138"/>
    <n v="1"/>
  </r>
  <r>
    <n v="377"/>
    <s v="Activated_Carbon"/>
    <n v="2"/>
    <n v="120"/>
    <n v="50"/>
    <n v="11"/>
    <n v="25"/>
    <n v="150"/>
    <n v="100"/>
    <n v="8.4789999999999992"/>
    <n v="33.042999999999999"/>
    <n v="33.909999999999997"/>
    <n v="62.1"/>
    <n v="4.8129999999999999E-2"/>
    <n v="3.2870000000000002E-4"/>
    <n v="2.1250508265755728"/>
    <n v="1.8490765366690338"/>
    <n v="2"/>
  </r>
  <r>
    <n v="378"/>
    <s v="Activated_Carbon"/>
    <n v="2"/>
    <n v="120"/>
    <n v="50"/>
    <n v="11"/>
    <n v="25"/>
    <n v="150"/>
    <n v="100"/>
    <n v="8.6560000000000006"/>
    <n v="32.686999999999998"/>
    <n v="34.630000000000003"/>
    <n v="81.400000000000006"/>
    <n v="3.986E-2"/>
    <n v="2.942E-4"/>
    <n v="2.0260544895736081"/>
    <n v="1.8915965855254446"/>
    <n v="3"/>
  </r>
  <r>
    <n v="379"/>
    <s v="Activated_Carbon"/>
    <n v="2"/>
    <n v="120"/>
    <n v="100"/>
    <n v="3"/>
    <n v="25"/>
    <n v="150"/>
    <n v="100"/>
    <n v="18.943000000000001"/>
    <n v="62.113999999999997"/>
    <n v="37.89"/>
    <n v="48"/>
    <n v="4.4630000000000003E-2"/>
    <n v="2.9629999999999999E-4"/>
    <n v="7.6238618430871563"/>
    <n v="2.4264949353283201"/>
    <n v="1"/>
  </r>
  <r>
    <n v="380"/>
    <s v="Activated_Carbon"/>
    <n v="2"/>
    <n v="120"/>
    <n v="100"/>
    <n v="3"/>
    <n v="25"/>
    <n v="150"/>
    <n v="100"/>
    <n v="22.527999999999999"/>
    <n v="54.942999999999998"/>
    <n v="45.06"/>
    <n v="73"/>
    <n v="4.0390000000000002E-2"/>
    <n v="3.5560000000000002E-4"/>
    <n v="11.041827654682848"/>
    <n v="2.4411439071455838"/>
    <n v="2"/>
  </r>
  <r>
    <n v="381"/>
    <s v="Activated_Carbon"/>
    <n v="2"/>
    <n v="120"/>
    <n v="100"/>
    <n v="3"/>
    <n v="25"/>
    <n v="150"/>
    <n v="100"/>
    <n v="22.058"/>
    <n v="55.884"/>
    <n v="44.12"/>
    <n v="72.5"/>
    <n v="4.3979999999999998E-2"/>
    <n v="2.7119999999999998E-4"/>
    <n v="9.2175723084405163"/>
    <n v="2.5525986070185587"/>
    <n v="3"/>
  </r>
  <r>
    <n v="382"/>
    <s v="Activated_Carbon"/>
    <n v="2"/>
    <n v="120"/>
    <n v="100"/>
    <n v="7"/>
    <n v="25"/>
    <n v="150"/>
    <n v="100"/>
    <n v="29.123000000000001"/>
    <n v="41.753"/>
    <n v="58.25"/>
    <n v="77.599999999999994"/>
    <n v="5.348E-2"/>
    <n v="3.4630000000000001E-4"/>
    <n v="15.946575372054447"/>
    <n v="2.5784292197350371"/>
    <n v="1"/>
  </r>
  <r>
    <n v="383"/>
    <s v="Activated_Carbon"/>
    <n v="2"/>
    <n v="120"/>
    <n v="100"/>
    <n v="7"/>
    <n v="25"/>
    <n v="150"/>
    <n v="100"/>
    <n v="28.843"/>
    <n v="42.313000000000002"/>
    <n v="57.69"/>
    <n v="55.5"/>
    <n v="4.5629999999999997E-2"/>
    <n v="2.4689999999999998E-4"/>
    <n v="13.290527328961563"/>
    <n v="2.7442196401985135"/>
    <n v="2"/>
  </r>
  <r>
    <n v="384"/>
    <s v="Activated_Carbon"/>
    <n v="2"/>
    <n v="120"/>
    <n v="100"/>
    <n v="7"/>
    <n v="25"/>
    <n v="150"/>
    <n v="100"/>
    <n v="30.792999999999999"/>
    <n v="38.412999999999997"/>
    <n v="61.59"/>
    <n v="65.2"/>
    <n v="4.2900000000000001E-2"/>
    <n v="2.522E-4"/>
    <n v="14.85392885392868"/>
    <n v="2.7687733997740658"/>
    <n v="3"/>
  </r>
  <r>
    <n v="385"/>
    <s v="Activated_Carbon"/>
    <n v="2"/>
    <n v="120"/>
    <n v="100"/>
    <n v="11"/>
    <n v="25"/>
    <n v="150"/>
    <n v="100"/>
    <n v="24.972000000000001"/>
    <n v="50.055"/>
    <n v="49.94"/>
    <n v="61.3"/>
    <n v="3.9739999999999998E-2"/>
    <n v="2.1379999999999999E-4"/>
    <n v="9.7514968183077695"/>
    <n v="2.722643412445017"/>
    <n v="1"/>
  </r>
  <r>
    <n v="386"/>
    <s v="Activated_Carbon"/>
    <n v="2"/>
    <n v="120"/>
    <n v="100"/>
    <n v="11"/>
    <n v="25"/>
    <n v="150"/>
    <n v="100"/>
    <n v="23.934000000000001"/>
    <n v="52.131999999999998"/>
    <n v="47.87"/>
    <n v="84.4"/>
    <n v="5.2479999999999999E-2"/>
    <n v="2.8630000000000002E-4"/>
    <n v="10.799879054323801"/>
    <n v="2.5752134963205804"/>
    <n v="2"/>
  </r>
  <r>
    <n v="387"/>
    <s v="Activated_Carbon"/>
    <n v="2"/>
    <n v="120"/>
    <n v="100"/>
    <n v="11"/>
    <n v="25"/>
    <n v="150"/>
    <n v="100"/>
    <n v="22.831"/>
    <n v="54.337000000000003"/>
    <n v="45.66"/>
    <n v="71.400000000000006"/>
    <n v="4.0509999999999997E-2"/>
    <n v="3.0909999999999998E-4"/>
    <n v="10.468852831171461"/>
    <n v="2.5146391561030037"/>
    <n v="3"/>
  </r>
  <r>
    <n v="388"/>
    <s v="Activated_Carbon"/>
    <n v="2"/>
    <n v="120"/>
    <n v="200"/>
    <n v="3"/>
    <n v="25"/>
    <n v="150"/>
    <n v="100"/>
    <n v="53.960999999999999"/>
    <n v="92.076999999999998"/>
    <n v="53.96"/>
    <n v="78.900000000000006"/>
    <n v="4.4549999999999999E-2"/>
    <n v="2.9389999999999999E-4"/>
    <n v="35.373605778758964"/>
    <n v="2.9224836209155294"/>
    <n v="1"/>
  </r>
  <r>
    <n v="389"/>
    <s v="Activated_Carbon"/>
    <n v="2"/>
    <n v="120"/>
    <n v="200"/>
    <n v="3"/>
    <n v="25"/>
    <n v="150"/>
    <n v="100"/>
    <n v="47.274000000000001"/>
    <n v="105.452"/>
    <n v="47.27"/>
    <n v="58.4"/>
    <n v="4.3979999999999998E-2"/>
    <n v="3.1100000000000002E-4"/>
    <n v="30.172170627361695"/>
    <n v="2.8391854386426116"/>
    <n v="2"/>
  </r>
  <r>
    <n v="390"/>
    <s v="Activated_Carbon"/>
    <n v="2"/>
    <n v="120"/>
    <n v="200"/>
    <n v="3"/>
    <n v="25"/>
    <n v="150"/>
    <n v="100"/>
    <n v="54.561"/>
    <n v="90.876999999999995"/>
    <n v="54.56"/>
    <n v="58.6"/>
    <n v="5.1720000000000002E-2"/>
    <n v="2.9189999999999999E-4"/>
    <n v="35.819003941152431"/>
    <n v="2.9307667844170919"/>
    <n v="3"/>
  </r>
  <r>
    <n v="391"/>
    <s v="Activated_Carbon"/>
    <n v="2"/>
    <n v="120"/>
    <n v="200"/>
    <n v="7"/>
    <n v="25"/>
    <n v="150"/>
    <n v="100"/>
    <n v="72.665999999999997"/>
    <n v="54.668999999999997"/>
    <n v="72.67"/>
    <n v="59.2"/>
    <n v="3.4090000000000002E-2"/>
    <n v="3.2650000000000002E-4"/>
    <n v="53.777260131350168"/>
    <n v="2.938565970376148"/>
    <n v="1"/>
  </r>
  <r>
    <n v="392"/>
    <s v="Activated_Carbon"/>
    <n v="2"/>
    <n v="120"/>
    <n v="200"/>
    <n v="7"/>
    <n v="25"/>
    <n v="150"/>
    <n v="100"/>
    <n v="77.081000000000003"/>
    <n v="45.838000000000001"/>
    <n v="77.08"/>
    <n v="63.9"/>
    <n v="4.53E-2"/>
    <n v="3.1550000000000003E-4"/>
    <n v="57.408881370476351"/>
    <n v="2.9792023352700303"/>
    <n v="2"/>
  </r>
  <r>
    <n v="393"/>
    <s v="Activated_Carbon"/>
    <n v="2"/>
    <n v="120"/>
    <n v="200"/>
    <n v="7"/>
    <n v="25"/>
    <n v="150"/>
    <n v="100"/>
    <n v="63.691000000000003"/>
    <n v="72.617999999999995"/>
    <n v="63.69"/>
    <n v="61.4"/>
    <n v="4.8570000000000002E-2"/>
    <n v="2.6239999999999998E-4"/>
    <n v="42.49953328589536"/>
    <n v="3.053598587162039"/>
    <n v="3"/>
  </r>
  <r>
    <n v="394"/>
    <s v="Activated_Carbon"/>
    <n v="2"/>
    <n v="120"/>
    <n v="200"/>
    <n v="11"/>
    <n v="25"/>
    <n v="150"/>
    <n v="100"/>
    <n v="60.947000000000003"/>
    <n v="78.106999999999999"/>
    <n v="60.95"/>
    <n v="53.1"/>
    <n v="4.7100000000000003E-2"/>
    <n v="2.989E-4"/>
    <n v="41.817652543255832"/>
    <n v="2.9512236718794731"/>
    <n v="1"/>
  </r>
  <r>
    <n v="395"/>
    <s v="Activated_Carbon"/>
    <n v="2"/>
    <n v="120"/>
    <n v="200"/>
    <n v="11"/>
    <n v="25"/>
    <n v="150"/>
    <n v="100"/>
    <n v="51.853999999999999"/>
    <n v="96.292000000000002"/>
    <n v="51.85"/>
    <n v="78.3"/>
    <n v="4.1689999999999998E-2"/>
    <n v="2.7569999999999998E-4"/>
    <n v="32.75870284667036"/>
    <n v="2.9494420823961249"/>
    <n v="2"/>
  </r>
  <r>
    <n v="396"/>
    <s v="Activated_Carbon"/>
    <n v="2"/>
    <n v="120"/>
    <n v="200"/>
    <n v="11"/>
    <n v="25"/>
    <n v="150"/>
    <n v="100"/>
    <n v="60.503999999999998"/>
    <n v="78.992999999999995"/>
    <n v="60.5"/>
    <n v="78.2"/>
    <n v="4.0430000000000001E-2"/>
    <n v="3.0190000000000002E-4"/>
    <n v="41.548750019326185"/>
    <n v="2.9420809369939085"/>
    <n v="3"/>
  </r>
  <r>
    <n v="397"/>
    <s v="Activated_Carbon"/>
    <n v="2"/>
    <n v="240"/>
    <n v="25"/>
    <n v="3"/>
    <n v="25"/>
    <n v="150"/>
    <n v="100"/>
    <n v="3.65"/>
    <n v="17.701000000000001"/>
    <n v="29.2"/>
    <n v="73.599999999999994"/>
    <n v="4.5789999999999997E-2"/>
    <n v="2.8899999999999998E-4"/>
    <n v="0.73737244287260084"/>
    <n v="1.0690556143713748"/>
    <n v="1"/>
  </r>
  <r>
    <n v="398"/>
    <s v="Activated_Carbon"/>
    <n v="2"/>
    <n v="240"/>
    <n v="25"/>
    <n v="3"/>
    <n v="25"/>
    <n v="150"/>
    <n v="100"/>
    <n v="3.2949999999999999"/>
    <n v="18.41"/>
    <n v="26.36"/>
    <n v="67.5"/>
    <n v="4.018E-2"/>
    <n v="2.1240000000000001E-4"/>
    <n v="0.47385604059406117"/>
    <n v="1.0371424620563154"/>
    <n v="2"/>
  </r>
  <r>
    <n v="399"/>
    <s v="Activated_Carbon"/>
    <n v="2"/>
    <n v="240"/>
    <n v="25"/>
    <n v="3"/>
    <n v="25"/>
    <n v="150"/>
    <n v="100"/>
    <n v="3.6520000000000001"/>
    <n v="17.696000000000002"/>
    <n v="29.21"/>
    <n v="75.7"/>
    <n v="3.4369999999999998E-2"/>
    <n v="2.697E-4"/>
    <n v="0.69823146628331134"/>
    <n v="1.0830818241388851"/>
    <n v="3"/>
  </r>
  <r>
    <n v="400"/>
    <s v="Activated_Carbon"/>
    <n v="2"/>
    <n v="240"/>
    <n v="25"/>
    <n v="7"/>
    <n v="25"/>
    <n v="150"/>
    <n v="100"/>
    <n v="5.81"/>
    <n v="13.381"/>
    <n v="46.48"/>
    <n v="87.2"/>
    <n v="4.5089999999999998E-2"/>
    <n v="2.7819999999999999E-4"/>
    <n v="1.6238860360230016"/>
    <n v="1.4317728486835524"/>
    <n v="1"/>
  </r>
  <r>
    <n v="401"/>
    <s v="Activated_Carbon"/>
    <n v="2"/>
    <n v="240"/>
    <n v="25"/>
    <n v="7"/>
    <n v="25"/>
    <n v="150"/>
    <n v="100"/>
    <n v="5.4550000000000001"/>
    <n v="14.090999999999999"/>
    <n v="43.64"/>
    <n v="80.400000000000006"/>
    <n v="4.2090000000000002E-2"/>
    <n v="2.7599999999999999E-4"/>
    <n v="1.4479163870400558"/>
    <n v="1.3880636981595207"/>
    <n v="2"/>
  </r>
  <r>
    <n v="402"/>
    <s v="Activated_Carbon"/>
    <n v="2"/>
    <n v="240"/>
    <n v="25"/>
    <n v="7"/>
    <n v="25"/>
    <n v="150"/>
    <n v="100"/>
    <n v="5.3220000000000001"/>
    <n v="14.356"/>
    <n v="42.57"/>
    <n v="57.1"/>
    <n v="4.555E-2"/>
    <n v="3.4870000000000002E-4"/>
    <n v="1.6399425119935447"/>
    <n v="1.3034716959444201"/>
    <n v="3"/>
  </r>
  <r>
    <n v="403"/>
    <s v="Activated_Carbon"/>
    <n v="2"/>
    <n v="240"/>
    <n v="25"/>
    <n v="11"/>
    <n v="25"/>
    <n v="150"/>
    <n v="100"/>
    <n v="4.4139999999999997"/>
    <n v="16.172000000000001"/>
    <n v="35.31"/>
    <n v="64.099999999999994"/>
    <n v="4.369E-2"/>
    <n v="2.5310000000000003E-4"/>
    <n v="0.93326787576902104"/>
    <n v="1.2472426521856466"/>
    <n v="1"/>
  </r>
  <r>
    <n v="404"/>
    <s v="Activated_Carbon"/>
    <n v="2"/>
    <n v="240"/>
    <n v="25"/>
    <n v="11"/>
    <n v="25"/>
    <n v="150"/>
    <n v="100"/>
    <n v="4.6070000000000002"/>
    <n v="15.786"/>
    <n v="36.86"/>
    <n v="65.900000000000006"/>
    <n v="4.419E-2"/>
    <n v="3.9580000000000003E-4"/>
    <n v="1.4024161030948767"/>
    <n v="1.1645822525852969"/>
    <n v="2"/>
  </r>
  <r>
    <n v="405"/>
    <s v="Activated_Carbon"/>
    <n v="2"/>
    <n v="240"/>
    <n v="25"/>
    <n v="11"/>
    <n v="25"/>
    <n v="150"/>
    <n v="100"/>
    <n v="4.4059999999999997"/>
    <n v="16.187999999999999"/>
    <n v="35.25"/>
    <n v="59.1"/>
    <n v="4.308E-2"/>
    <n v="3.345E-4"/>
    <n v="1.1512497045017673"/>
    <n v="1.1801155585852054"/>
    <n v="3"/>
  </r>
  <r>
    <n v="406"/>
    <s v="Activated_Carbon"/>
    <n v="2"/>
    <n v="240"/>
    <n v="50"/>
    <n v="3"/>
    <n v="25"/>
    <n v="150"/>
    <n v="100"/>
    <n v="10.164999999999999"/>
    <n v="29.670999999999999"/>
    <n v="40.659999999999997"/>
    <n v="52.3"/>
    <n v="4.9140000000000003E-2"/>
    <n v="2.7999999999999998E-4"/>
    <n v="4.1255059272004786"/>
    <n v="1.7983202456568896"/>
    <n v="1"/>
  </r>
  <r>
    <n v="407"/>
    <s v="Activated_Carbon"/>
    <n v="2"/>
    <n v="240"/>
    <n v="50"/>
    <n v="3"/>
    <n v="25"/>
    <n v="150"/>
    <n v="100"/>
    <n v="11.583"/>
    <n v="26.834"/>
    <n v="46.33"/>
    <n v="77.5"/>
    <n v="4.299E-2"/>
    <n v="3.3839999999999999E-4"/>
    <n v="5.6146116761911351"/>
    <n v="1.7864769284469946"/>
    <n v="2"/>
  </r>
  <r>
    <n v="408"/>
    <s v="Activated_Carbon"/>
    <n v="2"/>
    <n v="240"/>
    <n v="50"/>
    <n v="3"/>
    <n v="25"/>
    <n v="150"/>
    <n v="100"/>
    <n v="10.128"/>
    <n v="29.744"/>
    <n v="40.51"/>
    <n v="75.2"/>
    <n v="4.718E-2"/>
    <n v="2.7460000000000001E-4"/>
    <n v="4.0541484127692051"/>
    <n v="1.8039929322174981"/>
    <n v="3"/>
  </r>
  <r>
    <n v="409"/>
    <s v="Activated_Carbon"/>
    <n v="2"/>
    <n v="240"/>
    <n v="50"/>
    <n v="7"/>
    <n v="25"/>
    <n v="150"/>
    <n v="100"/>
    <n v="14.27"/>
    <n v="21.459"/>
    <n v="57.08"/>
    <n v="77"/>
    <n v="4.3490000000000001E-2"/>
    <n v="2.879E-4"/>
    <n v="7.0847026310051415"/>
    <n v="1.9720369061477387"/>
    <n v="1"/>
  </r>
  <r>
    <n v="410"/>
    <s v="Activated_Carbon"/>
    <n v="2"/>
    <n v="240"/>
    <n v="50"/>
    <n v="7"/>
    <n v="25"/>
    <n v="150"/>
    <n v="100"/>
    <n v="13.895"/>
    <n v="22.209"/>
    <n v="55.58"/>
    <n v="70.900000000000006"/>
    <n v="5.4280000000000002E-2"/>
    <n v="2.6800000000000001E-4"/>
    <n v="6.5576148317940754"/>
    <n v="1.9929825350427812"/>
    <n v="2"/>
  </r>
  <r>
    <n v="411"/>
    <s v="Activated_Carbon"/>
    <n v="2"/>
    <n v="240"/>
    <n v="50"/>
    <n v="7"/>
    <n v="25"/>
    <n v="150"/>
    <n v="100"/>
    <n v="15.074"/>
    <n v="19.852"/>
    <n v="60.3"/>
    <n v="80.8"/>
    <n v="4.4639999999999999E-2"/>
    <n v="3.1359999999999998E-4"/>
    <n v="8.012022292140351"/>
    <n v="1.9547251408684807"/>
    <n v="3"/>
  </r>
  <r>
    <n v="412"/>
    <s v="Activated_Carbon"/>
    <n v="2"/>
    <n v="240"/>
    <n v="50"/>
    <n v="11"/>
    <n v="25"/>
    <n v="150"/>
    <n v="100"/>
    <n v="11.000999999999999"/>
    <n v="27.997"/>
    <n v="44.01"/>
    <n v="70.900000000000006"/>
    <n v="4.4159999999999998E-2"/>
    <n v="3.2959999999999999E-4"/>
    <n v="5.1188140851370845"/>
    <n v="1.7719284470554402"/>
    <n v="1"/>
  </r>
  <r>
    <n v="413"/>
    <s v="Activated_Carbon"/>
    <n v="2"/>
    <n v="240"/>
    <n v="50"/>
    <n v="11"/>
    <n v="25"/>
    <n v="150"/>
    <n v="100"/>
    <n v="13.164999999999999"/>
    <n v="23.669"/>
    <n v="52.66"/>
    <n v="92.6"/>
    <n v="4.761E-2"/>
    <n v="3.098E-4"/>
    <n v="6.5121261667063726"/>
    <n v="1.8950489166980198"/>
    <n v="2"/>
  </r>
  <r>
    <n v="414"/>
    <s v="Activated_Carbon"/>
    <n v="2"/>
    <n v="240"/>
    <n v="50"/>
    <n v="11"/>
    <n v="25"/>
    <n v="150"/>
    <n v="100"/>
    <n v="12.21"/>
    <n v="25.579000000000001"/>
    <n v="48.84"/>
    <n v="63.1"/>
    <n v="4.6519999999999999E-2"/>
    <n v="2.9109999999999997E-4"/>
    <n v="5.6208256217147774"/>
    <n v="1.8854280566422303"/>
    <n v="3"/>
  </r>
  <r>
    <n v="415"/>
    <s v="Activated_Carbon"/>
    <n v="2"/>
    <n v="240"/>
    <n v="100"/>
    <n v="3"/>
    <n v="25"/>
    <n v="150"/>
    <n v="100"/>
    <n v="25.937000000000001"/>
    <n v="48.125999999999998"/>
    <n v="51.87"/>
    <n v="79.8"/>
    <n v="4.0469999999999999E-2"/>
    <n v="3.3419999999999999E-4"/>
    <n v="17.516866322000585"/>
    <n v="2.1306257043751708"/>
    <n v="1"/>
  </r>
  <r>
    <n v="416"/>
    <s v="Activated_Carbon"/>
    <n v="2"/>
    <n v="240"/>
    <n v="100"/>
    <n v="3"/>
    <n v="25"/>
    <n v="150"/>
    <n v="100"/>
    <n v="28.289000000000001"/>
    <n v="43.423000000000002"/>
    <n v="56.58"/>
    <n v="65.5"/>
    <n v="3.5450000000000002E-2"/>
    <n v="2.8180000000000002E-4"/>
    <n v="18.57851133544964"/>
    <n v="2.2732066069432468"/>
    <n v="2"/>
  </r>
  <r>
    <n v="417"/>
    <s v="Activated_Carbon"/>
    <n v="2"/>
    <n v="240"/>
    <n v="100"/>
    <n v="3"/>
    <n v="25"/>
    <n v="150"/>
    <n v="100"/>
    <n v="28.247"/>
    <n v="43.505000000000003"/>
    <n v="56.49"/>
    <n v="66.400000000000006"/>
    <n v="4.0500000000000001E-2"/>
    <n v="2.8489999999999999E-4"/>
    <n v="18.611045363248493"/>
    <n v="2.2655013770569763"/>
    <n v="3"/>
  </r>
  <r>
    <n v="418"/>
    <s v="Activated_Carbon"/>
    <n v="2"/>
    <n v="240"/>
    <n v="100"/>
    <n v="7"/>
    <n v="25"/>
    <n v="150"/>
    <n v="100"/>
    <n v="39.090000000000003"/>
    <n v="21.818999999999999"/>
    <n v="78.180000000000007"/>
    <n v="72.099999999999994"/>
    <n v="4.3920000000000001E-2"/>
    <n v="2.8899999999999998E-4"/>
    <n v="28.557252613274596"/>
    <n v="2.3544892025349462"/>
    <n v="1"/>
  </r>
  <r>
    <n v="419"/>
    <s v="Activated_Carbon"/>
    <n v="2"/>
    <n v="240"/>
    <n v="100"/>
    <n v="7"/>
    <n v="25"/>
    <n v="150"/>
    <n v="100"/>
    <n v="35.478999999999999"/>
    <n v="29.041"/>
    <n v="70.959999999999994"/>
    <n v="57.4"/>
    <n v="5.2269999999999997E-2"/>
    <n v="2.9030000000000001E-4"/>
    <n v="25.260078753141531"/>
    <n v="2.324241026059469"/>
    <n v="2"/>
  </r>
  <r>
    <n v="420"/>
    <s v="Activated_Carbon"/>
    <n v="2"/>
    <n v="240"/>
    <n v="100"/>
    <n v="7"/>
    <n v="25"/>
    <n v="150"/>
    <n v="100"/>
    <n v="40.194000000000003"/>
    <n v="19.613"/>
    <n v="80.39"/>
    <n v="81.900000000000006"/>
    <n v="4.9489999999999999E-2"/>
    <n v="2.8709999999999999E-4"/>
    <n v="29.531124792909317"/>
    <n v="2.3667681016092801"/>
    <n v="3"/>
  </r>
  <r>
    <n v="421"/>
    <s v="Activated_Carbon"/>
    <n v="2"/>
    <n v="240"/>
    <n v="100"/>
    <n v="11"/>
    <n v="25"/>
    <n v="150"/>
    <n v="100"/>
    <n v="30.937000000000001"/>
    <n v="38.127000000000002"/>
    <n v="61.87"/>
    <n v="66.400000000000006"/>
    <n v="4.0930000000000001E-2"/>
    <n v="3.0969999999999999E-4"/>
    <n v="21.560689197083917"/>
    <n v="2.2381863810604279"/>
    <n v="1"/>
  </r>
  <r>
    <n v="422"/>
    <s v="Activated_Carbon"/>
    <n v="2"/>
    <n v="240"/>
    <n v="100"/>
    <n v="11"/>
    <n v="25"/>
    <n v="150"/>
    <n v="100"/>
    <n v="27.141999999999999"/>
    <n v="45.716000000000001"/>
    <n v="54.28"/>
    <n v="78.5"/>
    <n v="4.2909999999999997E-2"/>
    <n v="3.0600000000000001E-4"/>
    <n v="18.074441416796439"/>
    <n v="2.2047030529429725"/>
    <n v="2"/>
  </r>
  <r>
    <n v="423"/>
    <s v="Activated_Carbon"/>
    <n v="2"/>
    <n v="240"/>
    <n v="100"/>
    <n v="11"/>
    <n v="25"/>
    <n v="150"/>
    <n v="100"/>
    <n v="30.648"/>
    <n v="38.704000000000001"/>
    <n v="61.3"/>
    <n v="64.099999999999994"/>
    <n v="4.7640000000000002E-2"/>
    <n v="2.8580000000000001E-4"/>
    <n v="20.768583857144396"/>
    <n v="2.2904534151609353"/>
    <n v="3"/>
  </r>
  <r>
    <n v="424"/>
    <s v="Activated_Carbon"/>
    <n v="2"/>
    <n v="240"/>
    <n v="200"/>
    <n v="3"/>
    <n v="25"/>
    <n v="150"/>
    <n v="100"/>
    <n v="63.043999999999997"/>
    <n v="73.911000000000001"/>
    <n v="63.04"/>
    <n v="53.2"/>
    <n v="4.5569999999999999E-2"/>
    <n v="3.5819999999999998E-4"/>
    <n v="53.223705274867406"/>
    <n v="2.2844511346586276"/>
    <n v="1"/>
  </r>
  <r>
    <n v="425"/>
    <s v="Activated_Carbon"/>
    <n v="2"/>
    <n v="240"/>
    <n v="200"/>
    <n v="3"/>
    <n v="25"/>
    <n v="150"/>
    <n v="100"/>
    <n v="54.22"/>
    <n v="91.561000000000007"/>
    <n v="54.22"/>
    <n v="59.9"/>
    <n v="4.7309999999999998E-2"/>
    <n v="3.054E-4"/>
    <n v="43.319555580316667"/>
    <n v="2.3888035608519362"/>
    <n v="2"/>
  </r>
  <r>
    <n v="426"/>
    <s v="Activated_Carbon"/>
    <n v="2"/>
    <n v="240"/>
    <n v="200"/>
    <n v="3"/>
    <n v="25"/>
    <n v="150"/>
    <n v="100"/>
    <n v="60.588999999999999"/>
    <n v="78.820999999999998"/>
    <n v="60.59"/>
    <n v="71.599999999999994"/>
    <n v="4.786E-2"/>
    <n v="3.3330000000000002E-4"/>
    <n v="50.225945522434642"/>
    <n v="2.3382470271182401"/>
    <n v="3"/>
  </r>
  <r>
    <n v="427"/>
    <s v="Activated_Carbon"/>
    <n v="2"/>
    <n v="240"/>
    <n v="200"/>
    <n v="7"/>
    <n v="25"/>
    <n v="150"/>
    <n v="100"/>
    <n v="84.52"/>
    <n v="30.959"/>
    <n v="84.52"/>
    <n v="64.3"/>
    <n v="4.8030000000000003E-2"/>
    <n v="3.57E-4"/>
    <n v="74.264801347143873"/>
    <n v="2.3277847626537507"/>
    <n v="1"/>
  </r>
  <r>
    <n v="428"/>
    <s v="Activated_Carbon"/>
    <n v="2"/>
    <n v="240"/>
    <n v="200"/>
    <n v="7"/>
    <n v="25"/>
    <n v="150"/>
    <n v="100"/>
    <n v="80.968999999999994"/>
    <n v="38.061999999999998"/>
    <n v="80.97"/>
    <n v="56.9"/>
    <n v="4.9979999999999997E-2"/>
    <n v="2.9639999999999999E-4"/>
    <n v="68.991002007563893"/>
    <n v="2.4830714662379907"/>
    <n v="2"/>
  </r>
  <r>
    <n v="429"/>
    <s v="Activated_Carbon"/>
    <n v="2"/>
    <n v="240"/>
    <n v="200"/>
    <n v="7"/>
    <n v="25"/>
    <n v="150"/>
    <n v="100"/>
    <n v="67.613"/>
    <n v="64.774000000000001"/>
    <n v="67.61"/>
    <n v="75.099999999999994"/>
    <n v="4.2590000000000003E-2"/>
    <n v="2.9730000000000002E-4"/>
    <n v="56.004268375679736"/>
    <n v="2.4517575411905161"/>
    <n v="3"/>
  </r>
  <r>
    <n v="430"/>
    <s v="Activated_Carbon"/>
    <n v="2"/>
    <n v="240"/>
    <n v="200"/>
    <n v="11"/>
    <n v="25"/>
    <n v="150"/>
    <n v="100"/>
    <n v="69.876000000000005"/>
    <n v="60.247"/>
    <n v="69.88"/>
    <n v="68.599999999999994"/>
    <n v="4.8189999999999997E-2"/>
    <n v="2.8689999999999998E-4"/>
    <n v="57.852009539305001"/>
    <n v="2.4869038590949866"/>
    <n v="1"/>
  </r>
  <r>
    <n v="431"/>
    <s v="Activated_Carbon"/>
    <n v="2"/>
    <n v="240"/>
    <n v="200"/>
    <n v="11"/>
    <n v="25"/>
    <n v="150"/>
    <n v="100"/>
    <n v="70.863"/>
    <n v="58.274000000000001"/>
    <n v="70.86"/>
    <n v="64.099999999999994"/>
    <n v="4.8320000000000002E-2"/>
    <n v="3.1849999999999999E-4"/>
    <n v="59.819589502354617"/>
    <n v="2.4018339150305761"/>
    <n v="2"/>
  </r>
  <r>
    <n v="432"/>
    <s v="Activated_Carbon"/>
    <n v="2"/>
    <n v="240"/>
    <n v="200"/>
    <n v="11"/>
    <n v="25"/>
    <n v="150"/>
    <n v="100"/>
    <n v="62.975000000000001"/>
    <n v="74.051000000000002"/>
    <n v="62.97"/>
    <n v="77.5"/>
    <n v="4.2590000000000003E-2"/>
    <n v="3.2420000000000002E-4"/>
    <n v="52.301196650729153"/>
    <n v="2.3677924544022293"/>
    <n v="3"/>
  </r>
  <r>
    <n v="433"/>
    <s v="Activated_Carbon"/>
    <n v="4"/>
    <n v="30"/>
    <n v="25"/>
    <n v="3"/>
    <n v="25"/>
    <n v="150"/>
    <n v="100"/>
    <n v="0.17199999999999999"/>
    <n v="24.31"/>
    <n v="2.76"/>
    <n v="85"/>
    <n v="4.3990000000000001E-2"/>
    <n v="2.8949999999999999E-4"/>
    <n v="2.5655379481023647E-4"/>
    <n v="-1.7617535075294968"/>
    <n v="1"/>
  </r>
  <r>
    <n v="434"/>
    <s v="Activated_Carbon"/>
    <n v="4"/>
    <n v="30"/>
    <n v="25"/>
    <n v="3"/>
    <n v="25"/>
    <n v="150"/>
    <n v="100"/>
    <n v="0.16700000000000001"/>
    <n v="24.331"/>
    <n v="2.68"/>
    <n v="63.6"/>
    <n v="4.8599999999999997E-2"/>
    <n v="2.5149999999999999E-4"/>
    <n v="2.1015770314167597E-4"/>
    <n v="-1.791020688412668"/>
    <n v="2"/>
  </r>
  <r>
    <n v="435"/>
    <s v="Activated_Carbon"/>
    <n v="4"/>
    <n v="30"/>
    <n v="25"/>
    <n v="3"/>
    <n v="25"/>
    <n v="150"/>
    <n v="100"/>
    <n v="0.153"/>
    <n v="24.385999999999999"/>
    <n v="2.46"/>
    <n v="56"/>
    <n v="4.9279999999999997E-2"/>
    <n v="3.5129999999999997E-4"/>
    <n v="2.4631028379561891E-4"/>
    <n v="-1.878928525960599"/>
    <n v="3"/>
  </r>
  <r>
    <n v="436"/>
    <s v="Activated_Carbon"/>
    <n v="4"/>
    <n v="30"/>
    <n v="25"/>
    <n v="7"/>
    <n v="25"/>
    <n v="150"/>
    <n v="100"/>
    <n v="0.29199999999999998"/>
    <n v="23.834"/>
    <n v="4.66"/>
    <n v="65"/>
    <n v="4.5319999999999999E-2"/>
    <n v="3.3490000000000001E-4"/>
    <n v="8.5414159231123824E-4"/>
    <n v="-1.2339309057437222"/>
    <n v="1"/>
  </r>
  <r>
    <n v="437"/>
    <s v="Activated_Carbon"/>
    <n v="4"/>
    <n v="30"/>
    <n v="25"/>
    <n v="7"/>
    <n v="25"/>
    <n v="150"/>
    <n v="100"/>
    <n v="0.27200000000000002"/>
    <n v="23.911000000000001"/>
    <n v="4.3499999999999996"/>
    <n v="69.099999999999994"/>
    <n v="4.9390000000000003E-2"/>
    <n v="3.1500000000000001E-4"/>
    <n v="6.9735631532708334E-4"/>
    <n v="-1.3045203148580091"/>
    <n v="2"/>
  </r>
  <r>
    <n v="438"/>
    <s v="Activated_Carbon"/>
    <n v="4"/>
    <n v="30"/>
    <n v="25"/>
    <n v="7"/>
    <n v="25"/>
    <n v="150"/>
    <n v="100"/>
    <n v="0.29799999999999999"/>
    <n v="23.806000000000001"/>
    <n v="4.7699999999999996"/>
    <n v="76.7"/>
    <n v="3.2840000000000001E-2"/>
    <n v="3.2029999999999998E-4"/>
    <n v="8.5088115313386187E-4"/>
    <n v="-1.2135211825217822"/>
    <n v="3"/>
  </r>
  <r>
    <n v="439"/>
    <s v="Activated_Carbon"/>
    <n v="4"/>
    <n v="30"/>
    <n v="25"/>
    <n v="11"/>
    <n v="25"/>
    <n v="150"/>
    <n v="100"/>
    <n v="0.20300000000000001"/>
    <n v="24.187999999999999"/>
    <n v="3.25"/>
    <n v="48.4"/>
    <n v="4.7300000000000002E-2"/>
    <n v="3.412E-4"/>
    <n v="4.2094064805987125E-4"/>
    <n v="-1.5966250520754641"/>
    <n v="1"/>
  </r>
  <r>
    <n v="440"/>
    <s v="Activated_Carbon"/>
    <n v="4"/>
    <n v="30"/>
    <n v="25"/>
    <n v="11"/>
    <n v="25"/>
    <n v="150"/>
    <n v="100"/>
    <n v="0.21199999999999999"/>
    <n v="24.152999999999999"/>
    <n v="3.39"/>
    <n v="76.2"/>
    <n v="5.2260000000000001E-2"/>
    <n v="3.3940000000000001E-4"/>
    <n v="4.5663412488417102E-4"/>
    <n v="-1.5533252619148936"/>
    <n v="2"/>
  </r>
  <r>
    <n v="441"/>
    <s v="Activated_Carbon"/>
    <n v="4"/>
    <n v="30"/>
    <n v="25"/>
    <n v="11"/>
    <n v="25"/>
    <n v="150"/>
    <n v="100"/>
    <n v="0.24199999999999999"/>
    <n v="24.030999999999999"/>
    <n v="3.87"/>
    <n v="74.099999999999994"/>
    <n v="4.5339999999999998E-2"/>
    <n v="2.519E-4"/>
    <n v="4.4176025948800988E-4"/>
    <n v="-1.4206446766177041"/>
    <n v="3"/>
  </r>
  <r>
    <n v="442"/>
    <s v="Activated_Carbon"/>
    <n v="4"/>
    <n v="30"/>
    <n v="50"/>
    <n v="3"/>
    <n v="25"/>
    <n v="150"/>
    <n v="100"/>
    <n v="0.63100000000000001"/>
    <n v="47.473999999999997"/>
    <n v="5.05"/>
    <n v="58.2"/>
    <n v="5.4769999999999999E-2"/>
    <n v="2.9470000000000001E-4"/>
    <n v="3.5006126348119406E-3"/>
    <n v="-0.46601258428713194"/>
    <n v="1"/>
  </r>
  <r>
    <n v="443"/>
    <s v="Activated_Carbon"/>
    <n v="4"/>
    <n v="30"/>
    <n v="50"/>
    <n v="3"/>
    <n v="25"/>
    <n v="150"/>
    <n v="100"/>
    <n v="0.65100000000000002"/>
    <n v="47.398000000000003"/>
    <n v="5.2"/>
    <n v="72.2"/>
    <n v="4.5199999999999997E-2"/>
    <n v="3.5090000000000002E-4"/>
    <n v="4.4309872303245693E-3"/>
    <n v="-0.43607533817712352"/>
    <n v="2"/>
  </r>
  <r>
    <n v="444"/>
    <s v="Activated_Carbon"/>
    <n v="4"/>
    <n v="30"/>
    <n v="50"/>
    <n v="3"/>
    <n v="25"/>
    <n v="150"/>
    <n v="100"/>
    <n v="0.61199999999999999"/>
    <n v="47.552"/>
    <n v="4.9000000000000004"/>
    <n v="68.599999999999994"/>
    <n v="4.1660000000000003E-2"/>
    <n v="2.6039999999999999E-4"/>
    <n v="2.9120155447534043E-3"/>
    <n v="-0.495792548053618"/>
    <n v="3"/>
  </r>
  <r>
    <n v="445"/>
    <s v="Activated_Carbon"/>
    <n v="4"/>
    <n v="30"/>
    <n v="50"/>
    <n v="7"/>
    <n v="25"/>
    <n v="150"/>
    <n v="100"/>
    <n v="1.0620000000000001"/>
    <n v="45.753"/>
    <n v="8.49"/>
    <n v="66.3"/>
    <n v="4.3069999999999997E-2"/>
    <n v="2.7920000000000001E-4"/>
    <n v="9.3635298247872131E-3"/>
    <n v="5.1297941043207056E-2"/>
    <n v="1"/>
  </r>
  <r>
    <n v="446"/>
    <s v="Activated_Carbon"/>
    <n v="4"/>
    <n v="30"/>
    <n v="50"/>
    <n v="7"/>
    <n v="25"/>
    <n v="150"/>
    <n v="100"/>
    <n v="0.99099999999999999"/>
    <n v="46.036999999999999"/>
    <n v="7.93"/>
    <n v="65.8"/>
    <n v="3.823E-2"/>
    <n v="3.2279999999999999E-4"/>
    <n v="9.4200694668574048E-3"/>
    <n v="-1.8591831461583483E-2"/>
    <n v="2"/>
  </r>
  <r>
    <n v="447"/>
    <s v="Activated_Carbon"/>
    <n v="4"/>
    <n v="30"/>
    <n v="50"/>
    <n v="7"/>
    <n v="25"/>
    <n v="150"/>
    <n v="100"/>
    <n v="1.1240000000000001"/>
    <n v="45.505000000000003"/>
    <n v="8.99"/>
    <n v="52.1"/>
    <n v="4.3610000000000003E-2"/>
    <n v="2.7740000000000002E-4"/>
    <n v="1.0416380994160064E-2"/>
    <n v="0.10758330054535759"/>
    <n v="3"/>
  </r>
  <r>
    <n v="448"/>
    <s v="Activated_Carbon"/>
    <n v="4"/>
    <n v="30"/>
    <n v="50"/>
    <n v="11"/>
    <n v="25"/>
    <n v="150"/>
    <n v="100"/>
    <n v="0.84"/>
    <n v="46.640999999999998"/>
    <n v="6.72"/>
    <n v="80.099999999999994"/>
    <n v="3.6560000000000002E-2"/>
    <n v="3.035E-4"/>
    <n v="6.3757251786883545E-3"/>
    <n v="-0.18197248794000265"/>
    <n v="1"/>
  </r>
  <r>
    <n v="449"/>
    <s v="Activated_Carbon"/>
    <n v="4"/>
    <n v="30"/>
    <n v="50"/>
    <n v="11"/>
    <n v="25"/>
    <n v="150"/>
    <n v="100"/>
    <n v="0.80800000000000005"/>
    <n v="46.765999999999998"/>
    <n v="6.47"/>
    <n v="73.400000000000006"/>
    <n v="4.5960000000000001E-2"/>
    <n v="2.7740000000000002E-4"/>
    <n v="5.3968448732277206E-3"/>
    <n v="-0.21989489002476204"/>
    <n v="2"/>
  </r>
  <r>
    <n v="450"/>
    <s v="Activated_Carbon"/>
    <n v="4"/>
    <n v="30"/>
    <n v="50"/>
    <n v="11"/>
    <n v="25"/>
    <n v="150"/>
    <n v="100"/>
    <n v="0.79800000000000004"/>
    <n v="46.808"/>
    <n v="6.38"/>
    <n v="58.7"/>
    <n v="4.9840000000000002E-2"/>
    <n v="3.0059999999999999E-4"/>
    <n v="5.7016671994260699E-3"/>
    <n v="-0.23281727526586973"/>
    <n v="3"/>
  </r>
  <r>
    <n v="451"/>
    <s v="Activated_Carbon"/>
    <n v="4"/>
    <n v="30"/>
    <n v="100"/>
    <n v="3"/>
    <n v="25"/>
    <n v="150"/>
    <n v="100"/>
    <n v="2.754"/>
    <n v="88.986000000000004"/>
    <n v="11.01"/>
    <n v="66.099999999999994"/>
    <n v="4.181E-2"/>
    <n v="2.5460000000000001E-4"/>
    <n v="5.6737066072830578E-2"/>
    <n v="0.99223753066523945"/>
    <n v="1"/>
  </r>
  <r>
    <n v="452"/>
    <s v="Activated_Carbon"/>
    <n v="4"/>
    <n v="30"/>
    <n v="100"/>
    <n v="3"/>
    <n v="25"/>
    <n v="150"/>
    <n v="100"/>
    <n v="2.0449999999999999"/>
    <n v="91.819000000000003"/>
    <n v="8.18"/>
    <n v="50.8"/>
    <n v="4.6199999999999998E-2"/>
    <n v="3.1530000000000002E-4"/>
    <n v="3.8807103258027338E-2"/>
    <n v="0.69623884480799014"/>
    <n v="2"/>
  </r>
  <r>
    <n v="453"/>
    <s v="Activated_Carbon"/>
    <n v="4"/>
    <n v="30"/>
    <n v="100"/>
    <n v="3"/>
    <n v="25"/>
    <n v="150"/>
    <n v="100"/>
    <n v="2.0880000000000001"/>
    <n v="91.649000000000001"/>
    <n v="8.35"/>
    <n v="75.599999999999994"/>
    <n v="4.283E-2"/>
    <n v="3.0440000000000003E-4"/>
    <n v="3.9068243934855848E-2"/>
    <n v="0.7173185627309715"/>
    <n v="3"/>
  </r>
  <r>
    <n v="454"/>
    <s v="Activated_Carbon"/>
    <n v="4"/>
    <n v="30"/>
    <n v="100"/>
    <n v="7"/>
    <n v="25"/>
    <n v="150"/>
    <n v="100"/>
    <n v="4.5780000000000003"/>
    <n v="81.688000000000002"/>
    <n v="18.309999999999999"/>
    <n v="75.599999999999994"/>
    <n v="4.3790000000000003E-2"/>
    <n v="2.7329999999999998E-4"/>
    <n v="0.16561882449496729"/>
    <n v="1.484414492832806"/>
    <n v="1"/>
  </r>
  <r>
    <n v="455"/>
    <s v="Activated_Carbon"/>
    <n v="4"/>
    <n v="30"/>
    <n v="100"/>
    <n v="7"/>
    <n v="25"/>
    <n v="150"/>
    <n v="100"/>
    <n v="3.3570000000000002"/>
    <n v="86.572000000000003"/>
    <n v="13.43"/>
    <n v="59.5"/>
    <n v="4.4049999999999999E-2"/>
    <n v="2.7040000000000001E-4"/>
    <n v="8.8994279492761619E-2"/>
    <n v="1.1841799274574356"/>
    <n v="2"/>
  </r>
  <r>
    <n v="456"/>
    <s v="Activated_Carbon"/>
    <n v="4"/>
    <n v="30"/>
    <n v="100"/>
    <n v="7"/>
    <n v="25"/>
    <n v="150"/>
    <n v="100"/>
    <n v="4.0119999999999996"/>
    <n v="83.95"/>
    <n v="16.05"/>
    <n v="67.400000000000006"/>
    <n v="4.3990000000000001E-2"/>
    <n v="2.8049999999999999E-4"/>
    <n v="0.13102550239418007"/>
    <n v="1.3560862812767538"/>
    <n v="3"/>
  </r>
  <r>
    <n v="457"/>
    <s v="Activated_Carbon"/>
    <n v="4"/>
    <n v="30"/>
    <n v="100"/>
    <n v="11"/>
    <n v="25"/>
    <n v="150"/>
    <n v="100"/>
    <n v="3.0529999999999999"/>
    <n v="87.789000000000001"/>
    <n v="12.21"/>
    <n v="71.099999999999994"/>
    <n v="4.0090000000000001E-2"/>
    <n v="3.4230000000000003E-4"/>
    <n v="9.2805808856448582E-2"/>
    <n v="1.085254871300112"/>
    <n v="1"/>
  </r>
  <r>
    <n v="458"/>
    <s v="Activated_Carbon"/>
    <n v="4"/>
    <n v="30"/>
    <n v="100"/>
    <n v="11"/>
    <n v="25"/>
    <n v="150"/>
    <n v="100"/>
    <n v="2.988"/>
    <n v="88.046000000000006"/>
    <n v="11.95"/>
    <n v="66.900000000000006"/>
    <n v="4.8189999999999997E-2"/>
    <n v="3.0699999999999998E-4"/>
    <n v="8.0025934145793509E-2"/>
    <n v="1.0674566414245614"/>
    <n v="2"/>
  </r>
  <r>
    <n v="459"/>
    <s v="Activated_Carbon"/>
    <n v="4"/>
    <n v="30"/>
    <n v="100"/>
    <n v="11"/>
    <n v="25"/>
    <n v="150"/>
    <n v="100"/>
    <n v="3.242"/>
    <n v="87.031999999999996"/>
    <n v="12.97"/>
    <n v="69.5"/>
    <n v="4.224E-2"/>
    <n v="3.1080000000000002E-4"/>
    <n v="9.5125020796359191E-2"/>
    <n v="1.1464098903162152"/>
    <n v="3"/>
  </r>
  <r>
    <n v="460"/>
    <s v="Activated_Carbon"/>
    <n v="4"/>
    <n v="30"/>
    <n v="200"/>
    <n v="3"/>
    <n v="25"/>
    <n v="150"/>
    <n v="100"/>
    <n v="7.5839999999999996"/>
    <n v="169.666"/>
    <n v="15.17"/>
    <n v="67.8"/>
    <n v="4.4850000000000001E-2"/>
    <n v="2.9379999999999999E-4"/>
    <n v="0.47519100985820817"/>
    <n v="1.961334717848408"/>
    <n v="1"/>
  </r>
  <r>
    <n v="461"/>
    <s v="Activated_Carbon"/>
    <n v="4"/>
    <n v="30"/>
    <n v="200"/>
    <n v="3"/>
    <n v="25"/>
    <n v="150"/>
    <n v="100"/>
    <n v="8.2609999999999992"/>
    <n v="166.95400000000001"/>
    <n v="16.52"/>
    <n v="47.8"/>
    <n v="4.2529999999999998E-2"/>
    <n v="3.0279999999999999E-4"/>
    <n v="0.57665566771731991"/>
    <n v="2.0391850554955697"/>
    <n v="2"/>
  </r>
  <r>
    <n v="462"/>
    <s v="Activated_Carbon"/>
    <n v="4"/>
    <n v="30"/>
    <n v="200"/>
    <n v="3"/>
    <n v="25"/>
    <n v="150"/>
    <n v="100"/>
    <n v="8.4540000000000006"/>
    <n v="166.184"/>
    <n v="16.91"/>
    <n v="56.4"/>
    <n v="5.0700000000000002E-2"/>
    <n v="2.7399999999999999E-4"/>
    <n v="0.5493116539790841"/>
    <n v="2.0674560449659629"/>
    <n v="3"/>
  </r>
  <r>
    <n v="463"/>
    <s v="Activated_Carbon"/>
    <n v="4"/>
    <n v="30"/>
    <n v="200"/>
    <n v="7"/>
    <n v="25"/>
    <n v="150"/>
    <n v="100"/>
    <n v="14.757"/>
    <n v="140.97200000000001"/>
    <n v="29.51"/>
    <n v="70.900000000000006"/>
    <n v="4.2090000000000002E-2"/>
    <n v="3.5330000000000002E-4"/>
    <n v="1.9959488953697517"/>
    <n v="2.5463976494950349"/>
    <n v="1"/>
  </r>
  <r>
    <n v="464"/>
    <s v="Activated_Carbon"/>
    <n v="4"/>
    <n v="30"/>
    <n v="200"/>
    <n v="7"/>
    <n v="25"/>
    <n v="150"/>
    <n v="100"/>
    <n v="12.387"/>
    <n v="150.452"/>
    <n v="24.77"/>
    <n v="75.900000000000006"/>
    <n v="4.9500000000000002E-2"/>
    <n v="2.7989999999999997E-4"/>
    <n v="1.1670299177282175"/>
    <n v="2.4176952336268047"/>
    <n v="2"/>
  </r>
  <r>
    <n v="465"/>
    <s v="Activated_Carbon"/>
    <n v="4"/>
    <n v="30"/>
    <n v="200"/>
    <n v="7"/>
    <n v="25"/>
    <n v="150"/>
    <n v="100"/>
    <n v="15.22"/>
    <n v="139.11799999999999"/>
    <n v="30.44"/>
    <n v="64.2"/>
    <n v="4.6300000000000001E-2"/>
    <n v="3.078E-4"/>
    <n v="1.8754612288191395"/>
    <n v="2.5911072203394547"/>
    <n v="3"/>
  </r>
  <r>
    <n v="466"/>
    <s v="Activated_Carbon"/>
    <n v="4"/>
    <n v="30"/>
    <n v="200"/>
    <n v="11"/>
    <n v="25"/>
    <n v="150"/>
    <n v="100"/>
    <n v="10.263"/>
    <n v="158.947"/>
    <n v="20.53"/>
    <n v="74.8"/>
    <n v="4.8570000000000002E-2"/>
    <n v="2.475E-4"/>
    <n v="0.7266930526405676"/>
    <n v="2.2551062980767149"/>
    <n v="1"/>
  </r>
  <r>
    <n v="467"/>
    <s v="Activated_Carbon"/>
    <n v="4"/>
    <n v="30"/>
    <n v="200"/>
    <n v="11"/>
    <n v="25"/>
    <n v="150"/>
    <n v="100"/>
    <n v="11.457000000000001"/>
    <n v="154.17099999999999"/>
    <n v="22.91"/>
    <n v="50"/>
    <n v="4.965E-2"/>
    <n v="3.3379999999999998E-4"/>
    <n v="1.1791785459913511"/>
    <n v="2.3299883167523507"/>
    <n v="2"/>
  </r>
  <r>
    <n v="468"/>
    <s v="Activated_Carbon"/>
    <n v="4"/>
    <n v="30"/>
    <n v="200"/>
    <n v="11"/>
    <n v="25"/>
    <n v="150"/>
    <n v="100"/>
    <n v="9.4689999999999994"/>
    <n v="162.12299999999999"/>
    <n v="18.940000000000001"/>
    <n v="62.6"/>
    <n v="4.002E-2"/>
    <n v="2.9359999999999998E-4"/>
    <n v="0.72894628081833035"/>
    <n v="2.1679163360080138"/>
    <n v="3"/>
  </r>
  <r>
    <n v="469"/>
    <s v="Activated_Carbon"/>
    <n v="4"/>
    <n v="60"/>
    <n v="25"/>
    <n v="3"/>
    <n v="25"/>
    <n v="150"/>
    <n v="100"/>
    <n v="0.314"/>
    <n v="23.742999999999999"/>
    <n v="5.03"/>
    <n v="74.5"/>
    <n v="5.0900000000000001E-2"/>
    <n v="3.4190000000000002E-4"/>
    <n v="2.00965337081584E-3"/>
    <n v="-1.1647830319423917"/>
    <n v="1"/>
  </r>
  <r>
    <n v="470"/>
    <s v="Activated_Carbon"/>
    <n v="4"/>
    <n v="60"/>
    <n v="25"/>
    <n v="3"/>
    <n v="25"/>
    <n v="150"/>
    <n v="100"/>
    <n v="0.308"/>
    <n v="23.768999999999998"/>
    <n v="4.92"/>
    <n v="64.599999999999994"/>
    <n v="3.7420000000000002E-2"/>
    <n v="2.7579999999999998E-4"/>
    <n v="1.5618490646767407E-3"/>
    <n v="-1.182739335370377"/>
    <n v="2"/>
  </r>
  <r>
    <n v="471"/>
    <s v="Activated_Carbon"/>
    <n v="4"/>
    <n v="60"/>
    <n v="25"/>
    <n v="3"/>
    <n v="25"/>
    <n v="150"/>
    <n v="100"/>
    <n v="0.34699999999999998"/>
    <n v="23.611999999999998"/>
    <n v="5.55"/>
    <n v="82.8"/>
    <n v="3.9449999999999999E-2"/>
    <n v="2.8219999999999997E-4"/>
    <n v="2.0268565867030582E-3"/>
    <n v="-1.06428871015972"/>
    <n v="3"/>
  </r>
  <r>
    <n v="472"/>
    <s v="Activated_Carbon"/>
    <n v="4"/>
    <n v="60"/>
    <n v="25"/>
    <n v="7"/>
    <n v="25"/>
    <n v="150"/>
    <n v="100"/>
    <n v="0.55700000000000005"/>
    <n v="22.771000000000001"/>
    <n v="8.92"/>
    <n v="69.5"/>
    <n v="4.1360000000000001E-2"/>
    <n v="3.1270000000000001E-4"/>
    <n v="5.7606900270775691E-3"/>
    <n v="-0.59558624474848476"/>
    <n v="1"/>
  </r>
  <r>
    <n v="473"/>
    <s v="Activated_Carbon"/>
    <n v="4"/>
    <n v="60"/>
    <n v="25"/>
    <n v="7"/>
    <n v="25"/>
    <n v="150"/>
    <n v="100"/>
    <n v="0.53700000000000003"/>
    <n v="22.850999999999999"/>
    <n v="8.6"/>
    <n v="66.5"/>
    <n v="4.7460000000000002E-2"/>
    <n v="3.0019999999999998E-4"/>
    <n v="5.1443440482763147E-3"/>
    <n v="-0.63138314985436106"/>
    <n v="2"/>
  </r>
  <r>
    <n v="474"/>
    <s v="Activated_Carbon"/>
    <n v="4"/>
    <n v="60"/>
    <n v="25"/>
    <n v="7"/>
    <n v="25"/>
    <n v="150"/>
    <n v="100"/>
    <n v="0.53900000000000003"/>
    <n v="22.844000000000001"/>
    <n v="8.6199999999999992"/>
    <n v="65.599999999999994"/>
    <n v="4.4600000000000001E-2"/>
    <n v="2.8889999999999997E-4"/>
    <n v="4.9892760778831591E-3"/>
    <n v="-0.62733935797243268"/>
    <n v="3"/>
  </r>
  <r>
    <n v="475"/>
    <s v="Activated_Carbon"/>
    <n v="4"/>
    <n v="60"/>
    <n v="25"/>
    <n v="11"/>
    <n v="25"/>
    <n v="150"/>
    <n v="100"/>
    <n v="0.40100000000000002"/>
    <n v="23.395"/>
    <n v="6.42"/>
    <n v="82.7"/>
    <n v="4.752E-2"/>
    <n v="2.9109999999999997E-4"/>
    <n v="2.7890163690791631E-3"/>
    <n v="-0.92077330453074091"/>
    <n v="1"/>
  </r>
  <r>
    <n v="476"/>
    <s v="Activated_Carbon"/>
    <n v="4"/>
    <n v="60"/>
    <n v="25"/>
    <n v="11"/>
    <n v="25"/>
    <n v="150"/>
    <n v="100"/>
    <n v="0.432"/>
    <n v="23.27"/>
    <n v="6.92"/>
    <n v="63.3"/>
    <n v="5.0279999999999998E-2"/>
    <n v="3.1110000000000003E-4"/>
    <n v="3.455658151892685E-3"/>
    <n v="-0.84736106473897288"/>
    <n v="2"/>
  </r>
  <r>
    <n v="477"/>
    <s v="Activated_Carbon"/>
    <n v="4"/>
    <n v="60"/>
    <n v="25"/>
    <n v="11"/>
    <n v="25"/>
    <n v="150"/>
    <n v="100"/>
    <n v="0.40600000000000003"/>
    <n v="23.376000000000001"/>
    <n v="6.5"/>
    <n v="71.099999999999994"/>
    <n v="3.7929999999999998E-2"/>
    <n v="2.6620000000000002E-4"/>
    <n v="2.6157981039098472E-3"/>
    <n v="-0.90786581660844001"/>
    <n v="3"/>
  </r>
  <r>
    <n v="478"/>
    <s v="Activated_Carbon"/>
    <n v="4"/>
    <n v="60"/>
    <n v="50"/>
    <n v="3"/>
    <n v="25"/>
    <n v="150"/>
    <n v="100"/>
    <n v="1.0820000000000001"/>
    <n v="45.673000000000002"/>
    <n v="8.65"/>
    <n v="68.099999999999994"/>
    <n v="5.28E-2"/>
    <n v="3.6689999999999997E-4"/>
    <n v="2.517272526729496E-2"/>
    <n v="5.5271282686186023E-2"/>
    <n v="1"/>
  </r>
  <r>
    <n v="479"/>
    <s v="Activated_Carbon"/>
    <n v="4"/>
    <n v="60"/>
    <n v="50"/>
    <n v="3"/>
    <n v="25"/>
    <n v="150"/>
    <n v="100"/>
    <n v="1.2569999999999999"/>
    <n v="44.972000000000001"/>
    <n v="10.06"/>
    <n v="71.7"/>
    <n v="3.6900000000000002E-2"/>
    <n v="2.8370000000000001E-4"/>
    <n v="2.6332173668937829E-2"/>
    <n v="0.20755697027789874"/>
    <n v="2"/>
  </r>
  <r>
    <n v="480"/>
    <s v="Activated_Carbon"/>
    <n v="4"/>
    <n v="60"/>
    <n v="50"/>
    <n v="3"/>
    <n v="25"/>
    <n v="150"/>
    <n v="100"/>
    <n v="1.1200000000000001"/>
    <n v="45.518000000000001"/>
    <n v="8.9600000000000009"/>
    <n v="60.5"/>
    <n v="4.4240000000000002E-2"/>
    <n v="2.8580000000000001E-4"/>
    <n v="2.1105111493875391E-2"/>
    <n v="9.4305027995845253E-2"/>
    <n v="3"/>
  </r>
  <r>
    <n v="481"/>
    <s v="Activated_Carbon"/>
    <n v="4"/>
    <n v="60"/>
    <n v="50"/>
    <n v="7"/>
    <n v="25"/>
    <n v="150"/>
    <n v="100"/>
    <n v="1.708"/>
    <n v="43.168999999999997"/>
    <n v="13.66"/>
    <n v="74.099999999999994"/>
    <n v="4.0169999999999997E-2"/>
    <n v="3.0719999999999999E-4"/>
    <n v="5.2129865140352012E-2"/>
    <n v="0.50432663190950877"/>
    <n v="1"/>
  </r>
  <r>
    <n v="482"/>
    <s v="Activated_Carbon"/>
    <n v="4"/>
    <n v="60"/>
    <n v="50"/>
    <n v="7"/>
    <n v="25"/>
    <n v="150"/>
    <n v="100"/>
    <n v="2.3660000000000001"/>
    <n v="40.537999999999997"/>
    <n v="18.920000000000002"/>
    <n v="57.5"/>
    <n v="3.3610000000000001E-2"/>
    <n v="2.9139999999999998E-4"/>
    <n v="9.3986701297347638E-2"/>
    <n v="0.82066635414399824"/>
    <n v="2"/>
  </r>
  <r>
    <n v="483"/>
    <s v="Activated_Carbon"/>
    <n v="4"/>
    <n v="60"/>
    <n v="50"/>
    <n v="7"/>
    <n v="25"/>
    <n v="150"/>
    <n v="100"/>
    <n v="2.2080000000000002"/>
    <n v="41.17"/>
    <n v="17.66"/>
    <n v="86.3"/>
    <n v="3.9469999999999998E-2"/>
    <n v="3.1490000000000001E-4"/>
    <n v="8.8424355017739029E-2"/>
    <n v="0.75121590118654347"/>
    <n v="3"/>
  </r>
  <r>
    <n v="484"/>
    <s v="Activated_Carbon"/>
    <n v="4"/>
    <n v="60"/>
    <n v="50"/>
    <n v="11"/>
    <n v="25"/>
    <n v="150"/>
    <n v="100"/>
    <n v="1.4510000000000001"/>
    <n v="44.195999999999998"/>
    <n v="11.61"/>
    <n v="65.599999999999994"/>
    <n v="5.6899999999999999E-2"/>
    <n v="2.5490000000000002E-4"/>
    <n v="3.1500946674777687E-2"/>
    <n v="0.35030403002346128"/>
    <n v="1"/>
  </r>
  <r>
    <n v="485"/>
    <s v="Activated_Carbon"/>
    <n v="4"/>
    <n v="60"/>
    <n v="50"/>
    <n v="11"/>
    <n v="25"/>
    <n v="150"/>
    <n v="100"/>
    <n v="1.538"/>
    <n v="43.848999999999997"/>
    <n v="12.3"/>
    <n v="71.3"/>
    <n v="4.9889999999999997E-2"/>
    <n v="3.0289999999999999E-4"/>
    <n v="4.1820625362276292E-2"/>
    <n v="0.40291477519721841"/>
    <n v="2"/>
  </r>
  <r>
    <n v="486"/>
    <s v="Activated_Carbon"/>
    <n v="4"/>
    <n v="60"/>
    <n v="50"/>
    <n v="11"/>
    <n v="25"/>
    <n v="150"/>
    <n v="100"/>
    <n v="1.544"/>
    <n v="43.823"/>
    <n v="12.35"/>
    <n v="62.8"/>
    <n v="4.6210000000000001E-2"/>
    <n v="2.8969999999999999E-4"/>
    <n v="4.0354547942395201E-2"/>
    <n v="0.40789246107356664"/>
    <n v="3"/>
  </r>
  <r>
    <n v="487"/>
    <s v="Activated_Carbon"/>
    <n v="4"/>
    <n v="60"/>
    <n v="100"/>
    <n v="3"/>
    <n v="25"/>
    <n v="150"/>
    <n v="100"/>
    <n v="4.3879999999999999"/>
    <n v="82.447000000000003"/>
    <n v="17.55"/>
    <n v="63"/>
    <n v="4.6699999999999998E-2"/>
    <n v="2.9910000000000001E-4"/>
    <n v="0.32031795337436697"/>
    <n v="1.4030733155018067"/>
    <n v="1"/>
  </r>
  <r>
    <n v="488"/>
    <s v="Activated_Carbon"/>
    <n v="4"/>
    <n v="60"/>
    <n v="100"/>
    <n v="3"/>
    <n v="25"/>
    <n v="150"/>
    <n v="100"/>
    <n v="4.5570000000000004"/>
    <n v="81.772999999999996"/>
    <n v="18.23"/>
    <n v="66.2"/>
    <n v="3.7019999999999997E-2"/>
    <n v="3.3789999999999997E-4"/>
    <n v="0.38540765190030563"/>
    <n v="1.4282978209789576"/>
    <n v="2"/>
  </r>
  <r>
    <n v="489"/>
    <s v="Activated_Carbon"/>
    <n v="4"/>
    <n v="60"/>
    <n v="100"/>
    <n v="3"/>
    <n v="25"/>
    <n v="150"/>
    <n v="100"/>
    <n v="3.8769999999999998"/>
    <n v="84.49"/>
    <n v="15.51"/>
    <n v="60.1"/>
    <n v="4.2320000000000003E-2"/>
    <n v="3.412E-4"/>
    <n v="0.28508971794011712"/>
    <n v="1.2786841729731977"/>
    <n v="3"/>
  </r>
  <r>
    <n v="490"/>
    <s v="Activated_Carbon"/>
    <n v="4"/>
    <n v="60"/>
    <n v="100"/>
    <n v="7"/>
    <n v="25"/>
    <n v="150"/>
    <n v="100"/>
    <n v="5.6859999999999999"/>
    <n v="77.254999999999995"/>
    <n v="22.74"/>
    <n v="98"/>
    <n v="4.9750000000000003E-2"/>
    <n v="3.0669999999999997E-4"/>
    <n v="0.53859264733035883"/>
    <n v="1.6384931612478064"/>
    <n v="1"/>
  </r>
  <r>
    <n v="491"/>
    <s v="Activated_Carbon"/>
    <n v="4"/>
    <n v="60"/>
    <n v="100"/>
    <n v="7"/>
    <n v="25"/>
    <n v="150"/>
    <n v="100"/>
    <n v="6.8280000000000003"/>
    <n v="72.688999999999993"/>
    <n v="27.31"/>
    <n v="69.5"/>
    <n v="4.7350000000000003E-2"/>
    <n v="3.1940000000000001E-4"/>
    <n v="0.7900735022012505"/>
    <n v="1.7980606579410505"/>
    <n v="2"/>
  </r>
  <r>
    <n v="492"/>
    <s v="Activated_Carbon"/>
    <n v="4"/>
    <n v="60"/>
    <n v="100"/>
    <n v="7"/>
    <n v="25"/>
    <n v="150"/>
    <n v="100"/>
    <n v="7.1630000000000003"/>
    <n v="71.349000000000004"/>
    <n v="28.65"/>
    <n v="67.599999999999994"/>
    <n v="4.4110000000000003E-2"/>
    <n v="2.9550000000000003E-4"/>
    <n v="0.80718805363077262"/>
    <n v="1.8493696614477895"/>
    <n v="3"/>
  </r>
  <r>
    <n v="493"/>
    <s v="Activated_Carbon"/>
    <n v="4"/>
    <n v="60"/>
    <n v="100"/>
    <n v="11"/>
    <n v="25"/>
    <n v="150"/>
    <n v="100"/>
    <n v="5.1139999999999999"/>
    <n v="79.542000000000002"/>
    <n v="20.46"/>
    <n v="78"/>
    <n v="4.7669999999999997E-2"/>
    <n v="2.118E-4"/>
    <n v="0.31207116979095267"/>
    <n v="1.5690176768248099"/>
    <n v="1"/>
  </r>
  <r>
    <n v="494"/>
    <s v="Activated_Carbon"/>
    <n v="4"/>
    <n v="60"/>
    <n v="100"/>
    <n v="11"/>
    <n v="25"/>
    <n v="150"/>
    <n v="100"/>
    <n v="5.468"/>
    <n v="78.128"/>
    <n v="21.87"/>
    <n v="68.599999999999994"/>
    <n v="4.4920000000000002E-2"/>
    <n v="2.8830000000000001E-4"/>
    <n v="0.47250153977195519"/>
    <n v="1.6085371989590891"/>
    <n v="2"/>
  </r>
  <r>
    <n v="495"/>
    <s v="Activated_Carbon"/>
    <n v="4"/>
    <n v="60"/>
    <n v="100"/>
    <n v="11"/>
    <n v="25"/>
    <n v="150"/>
    <n v="100"/>
    <n v="5.6630000000000003"/>
    <n v="77.349000000000004"/>
    <n v="22.65"/>
    <n v="76.099999999999994"/>
    <n v="4.1520000000000001E-2"/>
    <n v="3.122E-4"/>
    <n v="0.54311400441015023"/>
    <n v="1.633132172317157"/>
    <n v="3"/>
  </r>
  <r>
    <n v="496"/>
    <s v="Activated_Carbon"/>
    <n v="4"/>
    <n v="60"/>
    <n v="200"/>
    <n v="3"/>
    <n v="25"/>
    <n v="150"/>
    <n v="100"/>
    <n v="12.31"/>
    <n v="150.761"/>
    <n v="24.62"/>
    <n v="52.9"/>
    <n v="4.2180000000000002E-2"/>
    <n v="3.2590000000000001E-4"/>
    <n v="2.3882595613378519"/>
    <n v="2.2947283533534595"/>
    <n v="1"/>
  </r>
  <r>
    <n v="497"/>
    <s v="Activated_Carbon"/>
    <n v="4"/>
    <n v="60"/>
    <n v="200"/>
    <n v="3"/>
    <n v="25"/>
    <n v="150"/>
    <n v="100"/>
    <n v="14.365"/>
    <n v="142.54"/>
    <n v="28.73"/>
    <n v="71.8"/>
    <n v="4.8259999999999997E-2"/>
    <n v="3.1550000000000003E-4"/>
    <n v="3.0711346051858461"/>
    <n v="2.424259692887976"/>
    <n v="2"/>
  </r>
  <r>
    <n v="498"/>
    <s v="Activated_Carbon"/>
    <n v="4"/>
    <n v="60"/>
    <n v="200"/>
    <n v="3"/>
    <n v="25"/>
    <n v="150"/>
    <n v="100"/>
    <n v="12.662000000000001"/>
    <n v="149.35"/>
    <n v="25.32"/>
    <n v="71"/>
    <n v="4.8599999999999997E-2"/>
    <n v="3.2259999999999998E-4"/>
    <n v="2.4924186733906932"/>
    <n v="2.319401041721354"/>
    <n v="3"/>
  </r>
  <r>
    <n v="499"/>
    <s v="Activated_Carbon"/>
    <n v="4"/>
    <n v="60"/>
    <n v="200"/>
    <n v="7"/>
    <n v="25"/>
    <n v="150"/>
    <n v="100"/>
    <n v="22.922000000000001"/>
    <n v="108.313"/>
    <n v="45.84"/>
    <n v="73.7"/>
    <n v="4.6580000000000003E-2"/>
    <n v="3.321E-4"/>
    <n v="7.1869061279116968"/>
    <n v="2.7558934963128934"/>
    <n v="1"/>
  </r>
  <r>
    <n v="500"/>
    <s v="Activated_Carbon"/>
    <n v="4"/>
    <n v="60"/>
    <n v="200"/>
    <n v="7"/>
    <n v="25"/>
    <n v="150"/>
    <n v="100"/>
    <n v="20.887"/>
    <n v="116.45399999999999"/>
    <n v="41.77"/>
    <n v="57.8"/>
    <n v="4.4269999999999997E-2"/>
    <n v="2.7769999999999997E-4"/>
    <n v="5.3924135037783447"/>
    <n v="2.740490704612033"/>
    <n v="2"/>
  </r>
  <r>
    <n v="501"/>
    <s v="Activated_Carbon"/>
    <n v="4"/>
    <n v="60"/>
    <n v="200"/>
    <n v="7"/>
    <n v="25"/>
    <n v="150"/>
    <n v="100"/>
    <n v="19.8"/>
    <n v="120.79900000000001"/>
    <n v="39.6"/>
    <n v="65.2"/>
    <n v="4.1430000000000002E-2"/>
    <n v="2.9080000000000002E-4"/>
    <n v="5.0839571944503579"/>
    <n v="2.6889382460144353"/>
    <n v="3"/>
  </r>
  <r>
    <n v="502"/>
    <s v="Activated_Carbon"/>
    <n v="4"/>
    <n v="60"/>
    <n v="200"/>
    <n v="11"/>
    <n v="25"/>
    <n v="150"/>
    <n v="100"/>
    <n v="13.808999999999999"/>
    <n v="144.76599999999999"/>
    <n v="27.62"/>
    <n v="68.8"/>
    <n v="4.5010000000000001E-2"/>
    <n v="2.7549999999999997E-4"/>
    <n v="2.5662917316381733"/>
    <n v="2.4197197645844737"/>
    <n v="1"/>
  </r>
  <r>
    <n v="503"/>
    <s v="Activated_Carbon"/>
    <n v="4"/>
    <n v="60"/>
    <n v="200"/>
    <n v="11"/>
    <n v="25"/>
    <n v="150"/>
    <n v="100"/>
    <n v="17.132000000000001"/>
    <n v="131.471"/>
    <n v="34.26"/>
    <n v="76"/>
    <n v="3.7769999999999998E-2"/>
    <n v="2.7710000000000001E-4"/>
    <n v="3.7980090681474294"/>
    <n v="2.590316484118584"/>
    <n v="2"/>
  </r>
  <r>
    <n v="504"/>
    <s v="Activated_Carbon"/>
    <n v="4"/>
    <n v="60"/>
    <n v="200"/>
    <n v="11"/>
    <n v="25"/>
    <n v="150"/>
    <n v="100"/>
    <n v="15.273"/>
    <n v="138.91"/>
    <n v="30.55"/>
    <n v="57.3"/>
    <n v="4.8730000000000002E-2"/>
    <n v="2.942E-4"/>
    <n v="3.2432173299450215"/>
    <n v="2.4873854641588111"/>
    <n v="3"/>
  </r>
  <r>
    <n v="505"/>
    <s v="Activated_Carbon"/>
    <n v="4"/>
    <n v="120"/>
    <n v="25"/>
    <n v="3"/>
    <n v="25"/>
    <n v="150"/>
    <n v="100"/>
    <n v="0.58499999999999996"/>
    <n v="22.658000000000001"/>
    <n v="9.3699999999999992"/>
    <n v="46.6"/>
    <n v="4.786E-2"/>
    <n v="2.6279999999999999E-4"/>
    <n v="1.0596909872404355E-2"/>
    <n v="-0.5544238815139938"/>
    <n v="1"/>
  </r>
  <r>
    <n v="506"/>
    <s v="Activated_Carbon"/>
    <n v="4"/>
    <n v="120"/>
    <n v="25"/>
    <n v="3"/>
    <n v="25"/>
    <n v="150"/>
    <n v="100"/>
    <n v="0.60099999999999998"/>
    <n v="22.596"/>
    <n v="9.6199999999999992"/>
    <n v="69.400000000000006"/>
    <n v="5.1119999999999999E-2"/>
    <n v="2.6069999999999999E-4"/>
    <n v="1.1091277391331833E-2"/>
    <n v="-0.52778746149373823"/>
    <n v="2"/>
  </r>
  <r>
    <n v="507"/>
    <s v="Activated_Carbon"/>
    <n v="4"/>
    <n v="120"/>
    <n v="25"/>
    <n v="3"/>
    <n v="25"/>
    <n v="150"/>
    <n v="100"/>
    <n v="0.45400000000000001"/>
    <n v="23.184999999999999"/>
    <n v="7.26"/>
    <n v="68.5"/>
    <n v="5.3100000000000001E-2"/>
    <n v="3.3720000000000001E-4"/>
    <n v="8.1898253596183745E-3"/>
    <n v="-0.80786203496111375"/>
    <n v="3"/>
  </r>
  <r>
    <n v="508"/>
    <s v="Activated_Carbon"/>
    <n v="4"/>
    <n v="120"/>
    <n v="25"/>
    <n v="7"/>
    <n v="25"/>
    <n v="150"/>
    <n v="100"/>
    <n v="1.032"/>
    <n v="20.873000000000001"/>
    <n v="16.510000000000002"/>
    <n v="61.8"/>
    <n v="4.863E-2"/>
    <n v="2.7080000000000002E-4"/>
    <n v="3.3486036471117281E-2"/>
    <n v="-1.487141718408196E-3"/>
    <n v="1"/>
  </r>
  <r>
    <n v="509"/>
    <s v="Activated_Carbon"/>
    <n v="4"/>
    <n v="120"/>
    <n v="25"/>
    <n v="7"/>
    <n v="25"/>
    <n v="150"/>
    <n v="100"/>
    <n v="1.0529999999999999"/>
    <n v="20.786000000000001"/>
    <n v="16.86"/>
    <n v="71.7"/>
    <n v="4.9770000000000002E-2"/>
    <n v="3.8279999999999998E-4"/>
    <n v="4.8584202795582378E-2"/>
    <n v="4.4060761788214942E-3"/>
    <n v="2"/>
  </r>
  <r>
    <n v="510"/>
    <s v="Activated_Carbon"/>
    <n v="4"/>
    <n v="120"/>
    <n v="25"/>
    <n v="7"/>
    <n v="25"/>
    <n v="150"/>
    <n v="100"/>
    <n v="1.0469999999999999"/>
    <n v="20.812999999999999"/>
    <n v="16.75"/>
    <n v="61.6"/>
    <n v="4.4880000000000003E-2"/>
    <n v="2.4689999999999998E-4"/>
    <n v="3.1501293861741157E-2"/>
    <n v="1.5379827924500751E-2"/>
    <n v="3"/>
  </r>
  <r>
    <n v="511"/>
    <s v="Activated_Carbon"/>
    <n v="4"/>
    <n v="120"/>
    <n v="25"/>
    <n v="11"/>
    <n v="25"/>
    <n v="150"/>
    <n v="100"/>
    <n v="0.71199999999999997"/>
    <n v="22.152000000000001"/>
    <n v="11.39"/>
    <n v="62.6"/>
    <n v="4.2639999999999997E-2"/>
    <n v="3.0459999999999998E-4"/>
    <n v="1.8059810096795453E-2"/>
    <n v="-0.365369503884859"/>
    <n v="1"/>
  </r>
  <r>
    <n v="512"/>
    <s v="Activated_Carbon"/>
    <n v="4"/>
    <n v="120"/>
    <n v="25"/>
    <n v="11"/>
    <n v="25"/>
    <n v="150"/>
    <n v="100"/>
    <n v="0.70399999999999996"/>
    <n v="22.183"/>
    <n v="11.27"/>
    <n v="77.900000000000006"/>
    <n v="4.4999999999999998E-2"/>
    <n v="2.9970000000000002E-4"/>
    <n v="1.7384189509958549E-2"/>
    <n v="-0.37598037100251808"/>
    <n v="2"/>
  </r>
  <r>
    <n v="513"/>
    <s v="Activated_Carbon"/>
    <n v="4"/>
    <n v="120"/>
    <n v="25"/>
    <n v="11"/>
    <n v="25"/>
    <n v="150"/>
    <n v="100"/>
    <n v="0.73399999999999999"/>
    <n v="22.064"/>
    <n v="11.74"/>
    <n v="68.2"/>
    <n v="4.8710000000000003E-2"/>
    <n v="2.7399999999999999E-4"/>
    <n v="1.7296856333007701E-2"/>
    <n v="-0.33309354968381538"/>
    <n v="3"/>
  </r>
  <r>
    <n v="514"/>
    <s v="Activated_Carbon"/>
    <n v="4"/>
    <n v="120"/>
    <n v="50"/>
    <n v="3"/>
    <n v="25"/>
    <n v="150"/>
    <n v="100"/>
    <n v="1.9810000000000001"/>
    <n v="42.073999999999998"/>
    <n v="15.85"/>
    <n v="63.6"/>
    <n v="3.8940000000000002E-2"/>
    <n v="2.7540000000000003E-4"/>
    <n v="0.1217232911888019"/>
    <n v="0.62018754586649183"/>
    <n v="1"/>
  </r>
  <r>
    <n v="515"/>
    <s v="Activated_Carbon"/>
    <n v="4"/>
    <n v="120"/>
    <n v="50"/>
    <n v="3"/>
    <n v="25"/>
    <n v="150"/>
    <n v="100"/>
    <n v="2.012"/>
    <n v="41.953000000000003"/>
    <n v="16.09"/>
    <n v="75.400000000000006"/>
    <n v="4.6179999999999999E-2"/>
    <n v="3.0580000000000001E-4"/>
    <n v="0.13833694984820127"/>
    <n v="0.62789536516946309"/>
    <n v="2"/>
  </r>
  <r>
    <n v="516"/>
    <s v="Activated_Carbon"/>
    <n v="4"/>
    <n v="120"/>
    <n v="50"/>
    <n v="3"/>
    <n v="25"/>
    <n v="150"/>
    <n v="100"/>
    <n v="2.234"/>
    <n v="41.064"/>
    <n v="17.87"/>
    <n v="65.3"/>
    <n v="4.6760000000000003E-2"/>
    <n v="2.9690000000000001E-4"/>
    <n v="0.16470157056749662"/>
    <n v="0.72720962685043711"/>
    <n v="3"/>
  </r>
  <r>
    <n v="517"/>
    <s v="Activated_Carbon"/>
    <n v="4"/>
    <n v="120"/>
    <n v="50"/>
    <n v="7"/>
    <n v="25"/>
    <n v="150"/>
    <n v="100"/>
    <n v="3.504"/>
    <n v="35.984000000000002"/>
    <n v="28.03"/>
    <n v="60.8"/>
    <n v="3.4029999999999998E-2"/>
    <n v="2.9599999999999998E-4"/>
    <n v="0.38784333956374939"/>
    <n v="1.136600402879568"/>
    <n v="1"/>
  </r>
  <r>
    <n v="518"/>
    <s v="Activated_Carbon"/>
    <n v="4"/>
    <n v="120"/>
    <n v="50"/>
    <n v="7"/>
    <n v="25"/>
    <n v="150"/>
    <n v="100"/>
    <n v="3.8220000000000001"/>
    <n v="34.713000000000001"/>
    <n v="30.57"/>
    <n v="75.900000000000006"/>
    <n v="4.9340000000000002E-2"/>
    <n v="3.3710000000000001E-4"/>
    <n v="0.5117843168778049"/>
    <n v="1.197013348330189"/>
    <n v="2"/>
  </r>
  <r>
    <n v="519"/>
    <s v="Activated_Carbon"/>
    <n v="4"/>
    <n v="120"/>
    <n v="50"/>
    <n v="7"/>
    <n v="25"/>
    <n v="150"/>
    <n v="100"/>
    <n v="3.456"/>
    <n v="36.177999999999997"/>
    <n v="27.64"/>
    <n v="68.599999999999994"/>
    <n v="4.2220000000000001E-2"/>
    <n v="2.9050000000000001E-4"/>
    <n v="0.37159702617858464"/>
    <n v="1.1263581131252816"/>
    <n v="3"/>
  </r>
  <r>
    <n v="520"/>
    <s v="Activated_Carbon"/>
    <n v="4"/>
    <n v="120"/>
    <n v="50"/>
    <n v="11"/>
    <n v="25"/>
    <n v="150"/>
    <n v="100"/>
    <n v="2.7280000000000002"/>
    <n v="39.090000000000003"/>
    <n v="21.82"/>
    <n v="78.7"/>
    <n v="4.437E-2"/>
    <n v="2.8650000000000003E-4"/>
    <n v="0.2339166824040155"/>
    <n v="0.91392125391554779"/>
    <n v="1"/>
  </r>
  <r>
    <n v="521"/>
    <s v="Activated_Carbon"/>
    <n v="4"/>
    <n v="120"/>
    <n v="50"/>
    <n v="11"/>
    <n v="25"/>
    <n v="150"/>
    <n v="100"/>
    <n v="2.6"/>
    <n v="39.601999999999997"/>
    <n v="20.8"/>
    <n v="72.7"/>
    <n v="3.85E-2"/>
    <n v="2.3110000000000001E-4"/>
    <n v="0.1748603306099637"/>
    <n v="0.88588911835563955"/>
    <n v="2"/>
  </r>
  <r>
    <n v="522"/>
    <s v="Activated_Carbon"/>
    <n v="4"/>
    <n v="120"/>
    <n v="50"/>
    <n v="11"/>
    <n v="25"/>
    <n v="150"/>
    <n v="100"/>
    <n v="2.4849999999999999"/>
    <n v="40.06"/>
    <n v="19.88"/>
    <n v="54.5"/>
    <n v="4.2709999999999998E-2"/>
    <n v="2.9559999999999998E-4"/>
    <n v="0.20130312908193582"/>
    <n v="0.82579556447365143"/>
    <n v="3"/>
  </r>
  <r>
    <n v="523"/>
    <s v="Activated_Carbon"/>
    <n v="4"/>
    <n v="120"/>
    <n v="100"/>
    <n v="3"/>
    <n v="25"/>
    <n v="150"/>
    <n v="100"/>
    <n v="6.4409999999999998"/>
    <n v="74.236000000000004"/>
    <n v="25.76"/>
    <n v="81.2"/>
    <n v="4.6469999999999997E-2"/>
    <n v="3.0899999999999998E-4"/>
    <n v="1.2417489762859584"/>
    <n v="1.6485145813123574"/>
    <n v="1"/>
  </r>
  <r>
    <n v="524"/>
    <s v="Activated_Carbon"/>
    <n v="4"/>
    <n v="120"/>
    <n v="100"/>
    <n v="3"/>
    <n v="25"/>
    <n v="150"/>
    <n v="100"/>
    <n v="7.016"/>
    <n v="71.936000000000007"/>
    <n v="28.06"/>
    <n v="55.3"/>
    <n v="4.9680000000000002E-2"/>
    <n v="2.9770000000000003E-4"/>
    <n v="1.4060704169619505"/>
    <n v="1.7245381674126989"/>
    <n v="2"/>
  </r>
  <r>
    <n v="525"/>
    <s v="Activated_Carbon"/>
    <n v="4"/>
    <n v="120"/>
    <n v="100"/>
    <n v="3"/>
    <n v="25"/>
    <n v="150"/>
    <n v="100"/>
    <n v="7.0419999999999998"/>
    <n v="71.832999999999998"/>
    <n v="28.17"/>
    <n v="55.9"/>
    <n v="3.8010000000000002E-2"/>
    <n v="3.2449999999999997E-4"/>
    <n v="1.5154622122154719"/>
    <n v="1.7095615413071594"/>
    <n v="3"/>
  </r>
  <r>
    <n v="526"/>
    <s v="Activated_Carbon"/>
    <n v="4"/>
    <n v="120"/>
    <n v="100"/>
    <n v="7"/>
    <n v="25"/>
    <n v="150"/>
    <n v="100"/>
    <n v="10.795999999999999"/>
    <n v="56.817999999999998"/>
    <n v="43.18"/>
    <n v="57.6"/>
    <n v="4.1090000000000002E-2"/>
    <n v="3.3379999999999998E-4"/>
    <n v="3.2592337048969351"/>
    <n v="2.0197932166988894"/>
    <n v="1"/>
  </r>
  <r>
    <n v="527"/>
    <s v="Activated_Carbon"/>
    <n v="4"/>
    <n v="120"/>
    <n v="100"/>
    <n v="7"/>
    <n v="25"/>
    <n v="150"/>
    <n v="100"/>
    <n v="9.4830000000000005"/>
    <n v="62.069000000000003"/>
    <n v="37.93"/>
    <n v="83.1"/>
    <n v="4.095E-2"/>
    <n v="3.1920000000000001E-4"/>
    <n v="2.5267618927244477"/>
    <n v="1.939638826394334"/>
    <n v="2"/>
  </r>
  <r>
    <n v="528"/>
    <s v="Activated_Carbon"/>
    <n v="4"/>
    <n v="120"/>
    <n v="100"/>
    <n v="7"/>
    <n v="25"/>
    <n v="150"/>
    <n v="100"/>
    <n v="10.204000000000001"/>
    <n v="59.182000000000002"/>
    <n v="40.82"/>
    <n v="72.7"/>
    <n v="4.2549999999999998E-2"/>
    <n v="2.9510000000000002E-4"/>
    <n v="2.7084664388909867"/>
    <n v="2.0143073179612441"/>
    <n v="3"/>
  </r>
  <r>
    <n v="529"/>
    <s v="Activated_Carbon"/>
    <n v="4"/>
    <n v="120"/>
    <n v="100"/>
    <n v="11"/>
    <n v="25"/>
    <n v="150"/>
    <n v="100"/>
    <n v="8.1750000000000007"/>
    <n v="67.299000000000007"/>
    <n v="32.700000000000003"/>
    <n v="56.6"/>
    <n v="4.8329999999999998E-2"/>
    <n v="2.8459999999999998E-4"/>
    <n v="1.78425008478004"/>
    <n v="1.8548516191279831"/>
    <n v="1"/>
  </r>
  <r>
    <n v="530"/>
    <s v="Activated_Carbon"/>
    <n v="4"/>
    <n v="120"/>
    <n v="100"/>
    <n v="11"/>
    <n v="25"/>
    <n v="150"/>
    <n v="100"/>
    <n v="8"/>
    <n v="68.001999999999995"/>
    <n v="32"/>
    <n v="56.7"/>
    <n v="3.347E-2"/>
    <n v="2.943E-4"/>
    <n v="1.7623194191471843"/>
    <n v="1.8306084114966965"/>
    <n v="2"/>
  </r>
  <r>
    <n v="531"/>
    <s v="Activated_Carbon"/>
    <n v="4"/>
    <n v="120"/>
    <n v="100"/>
    <n v="11"/>
    <n v="25"/>
    <n v="150"/>
    <n v="100"/>
    <n v="9.7210000000000001"/>
    <n v="61.115000000000002"/>
    <n v="38.89"/>
    <n v="74.5"/>
    <n v="4.4909999999999999E-2"/>
    <n v="2.921E-4"/>
    <n v="2.4705290415977084"/>
    <n v="1.9810664265364146"/>
    <n v="3"/>
  </r>
  <r>
    <n v="532"/>
    <s v="Activated_Carbon"/>
    <n v="4"/>
    <n v="120"/>
    <n v="200"/>
    <n v="3"/>
    <n v="25"/>
    <n v="150"/>
    <n v="100"/>
    <n v="19.088000000000001"/>
    <n v="123.646"/>
    <n v="38.18"/>
    <n v="72.099999999999994"/>
    <n v="3.9690000000000003E-2"/>
    <n v="3.3340000000000003E-4"/>
    <n v="8.2651302256317063"/>
    <n v="2.3816614669361114"/>
    <n v="1"/>
  </r>
  <r>
    <n v="533"/>
    <s v="Activated_Carbon"/>
    <n v="4"/>
    <n v="120"/>
    <n v="200"/>
    <n v="3"/>
    <n v="25"/>
    <n v="150"/>
    <n v="100"/>
    <n v="20.145"/>
    <n v="119.422"/>
    <n v="40.29"/>
    <n v="73.8"/>
    <n v="4.6969999999999998E-2"/>
    <n v="3.0059999999999999E-4"/>
    <n v="8.4780370791544915"/>
    <n v="2.456761165714231"/>
    <n v="2"/>
  </r>
  <r>
    <n v="534"/>
    <s v="Activated_Carbon"/>
    <n v="4"/>
    <n v="120"/>
    <n v="200"/>
    <n v="3"/>
    <n v="25"/>
    <n v="150"/>
    <n v="100"/>
    <n v="20.079999999999998"/>
    <n v="119.681"/>
    <n v="40.159999999999997"/>
    <n v="72.599999999999994"/>
    <n v="4.3409999999999997E-2"/>
    <n v="2.8279999999999999E-4"/>
    <n v="8.1378188077078537"/>
    <n v="2.480076770702055"/>
    <n v="3"/>
  </r>
  <r>
    <n v="535"/>
    <s v="Activated_Carbon"/>
    <n v="4"/>
    <n v="120"/>
    <n v="200"/>
    <n v="7"/>
    <n v="25"/>
    <n v="150"/>
    <n v="100"/>
    <n v="28.678000000000001"/>
    <n v="85.287999999999997"/>
    <n v="57.36"/>
    <n v="82.2"/>
    <n v="3.9419999999999997E-2"/>
    <n v="2.5599999999999999E-4"/>
    <n v="13.431758364964933"/>
    <n v="2.7243330225179543"/>
    <n v="1"/>
  </r>
  <r>
    <n v="536"/>
    <s v="Activated_Carbon"/>
    <n v="4"/>
    <n v="120"/>
    <n v="200"/>
    <n v="7"/>
    <n v="25"/>
    <n v="150"/>
    <n v="100"/>
    <n v="28.821000000000002"/>
    <n v="84.715999999999994"/>
    <n v="57.64"/>
    <n v="67.2"/>
    <n v="4.5780000000000001E-2"/>
    <n v="3.0729999999999999E-4"/>
    <n v="14.849235725110832"/>
    <n v="2.6370384555518469"/>
    <n v="2"/>
  </r>
  <r>
    <n v="537"/>
    <s v="Activated_Carbon"/>
    <n v="4"/>
    <n v="120"/>
    <n v="200"/>
    <n v="7"/>
    <n v="25"/>
    <n v="150"/>
    <n v="100"/>
    <n v="27.937999999999999"/>
    <n v="88.247"/>
    <n v="55.88"/>
    <n v="81.599999999999994"/>
    <n v="3.78E-2"/>
    <n v="2.7510000000000002E-4"/>
    <n v="13.404287181912022"/>
    <n v="2.6764709726823126"/>
    <n v="3"/>
  </r>
  <r>
    <n v="538"/>
    <s v="Activated_Carbon"/>
    <n v="4"/>
    <n v="120"/>
    <n v="200"/>
    <n v="11"/>
    <n v="25"/>
    <n v="150"/>
    <n v="100"/>
    <n v="22.550999999999998"/>
    <n v="109.797"/>
    <n v="45.1"/>
    <n v="50.2"/>
    <n v="4.4209999999999999E-2"/>
    <n v="3.4979999999999999E-4"/>
    <n v="10.966190069769088"/>
    <n v="2.4496947512094756"/>
    <n v="1"/>
  </r>
  <r>
    <n v="539"/>
    <s v="Activated_Carbon"/>
    <n v="4"/>
    <n v="120"/>
    <n v="200"/>
    <n v="11"/>
    <n v="25"/>
    <n v="150"/>
    <n v="100"/>
    <n v="22.776"/>
    <n v="108.89400000000001"/>
    <n v="45.55"/>
    <n v="69"/>
    <n v="3.9329999999999997E-2"/>
    <n v="2.8150000000000001E-4"/>
    <n v="9.9036455582057865"/>
    <n v="2.5550819451868478"/>
    <n v="2"/>
  </r>
  <r>
    <n v="540"/>
    <s v="Activated_Carbon"/>
    <n v="4"/>
    <n v="120"/>
    <n v="200"/>
    <n v="11"/>
    <n v="25"/>
    <n v="150"/>
    <n v="100"/>
    <n v="22.056000000000001"/>
    <n v="111.776"/>
    <n v="44.11"/>
    <n v="63.5"/>
    <n v="5.0770000000000003E-2"/>
    <n v="3.167E-4"/>
    <n v="10.057411524915365"/>
    <n v="2.4847890157931127"/>
    <n v="3"/>
  </r>
  <r>
    <n v="541"/>
    <s v="Activated_Carbon"/>
    <n v="4"/>
    <n v="240"/>
    <n v="25"/>
    <n v="3"/>
    <n v="25"/>
    <n v="150"/>
    <n v="100"/>
    <n v="0.95299999999999996"/>
    <n v="21.187999999999999"/>
    <n v="15.25"/>
    <n v="69.099999999999994"/>
    <n v="4.7239999999999997E-2"/>
    <n v="3.3419999999999999E-4"/>
    <n v="6.7672836069782666E-2"/>
    <n v="-0.12179802553051688"/>
    <n v="1"/>
  </r>
  <r>
    <n v="542"/>
    <s v="Activated_Carbon"/>
    <n v="4"/>
    <n v="240"/>
    <n v="25"/>
    <n v="3"/>
    <n v="25"/>
    <n v="150"/>
    <n v="100"/>
    <n v="1.1779999999999999"/>
    <n v="20.286999999999999"/>
    <n v="18.850000000000001"/>
    <n v="56.5"/>
    <n v="4.1349999999999998E-2"/>
    <n v="2.6229999999999998E-4"/>
    <n v="8.1326515661219775E-2"/>
    <n v="9.2281492812139071E-2"/>
    <n v="2"/>
  </r>
  <r>
    <n v="543"/>
    <s v="Activated_Carbon"/>
    <n v="4"/>
    <n v="240"/>
    <n v="25"/>
    <n v="3"/>
    <n v="25"/>
    <n v="150"/>
    <n v="100"/>
    <n v="1.0269999999999999"/>
    <n v="20.893999999999998"/>
    <n v="16.420000000000002"/>
    <n v="71.3"/>
    <n v="4.9439999999999998E-2"/>
    <n v="2.9770000000000003E-4"/>
    <n v="7.0206712881080519E-2"/>
    <n v="-4.4167911781410836E-2"/>
    <n v="3"/>
  </r>
  <r>
    <n v="544"/>
    <s v="Activated_Carbon"/>
    <n v="4"/>
    <n v="240"/>
    <n v="25"/>
    <n v="7"/>
    <n v="25"/>
    <n v="150"/>
    <n v="100"/>
    <n v="1.6719999999999999"/>
    <n v="18.311"/>
    <n v="26.76"/>
    <n v="68.2"/>
    <n v="4.1239999999999999E-2"/>
    <n v="3.6269999999999998E-4"/>
    <n v="0.21243177184766923"/>
    <n v="0.37814065784004103"/>
    <n v="1"/>
  </r>
  <r>
    <n v="545"/>
    <s v="Activated_Carbon"/>
    <n v="4"/>
    <n v="240"/>
    <n v="25"/>
    <n v="7"/>
    <n v="25"/>
    <n v="150"/>
    <n v="100"/>
    <n v="1.4950000000000001"/>
    <n v="19.018000000000001"/>
    <n v="23.93"/>
    <n v="68.5"/>
    <n v="5.4109999999999998E-2"/>
    <n v="3.0019999999999998E-4"/>
    <n v="0.14537092320839856"/>
    <n v="0.29982979676531496"/>
    <n v="2"/>
  </r>
  <r>
    <n v="546"/>
    <s v="Activated_Carbon"/>
    <n v="4"/>
    <n v="240"/>
    <n v="25"/>
    <n v="7"/>
    <n v="25"/>
    <n v="150"/>
    <n v="100"/>
    <n v="1.69"/>
    <n v="18.239999999999998"/>
    <n v="27.04"/>
    <n v="63.1"/>
    <n v="4.419E-2"/>
    <n v="3.412E-4"/>
    <n v="0.20544819339356524"/>
    <n v="0.39511291296669132"/>
    <n v="3"/>
  </r>
  <r>
    <n v="547"/>
    <s v="Activated_Carbon"/>
    <n v="4"/>
    <n v="240"/>
    <n v="25"/>
    <n v="11"/>
    <n v="25"/>
    <n v="150"/>
    <n v="100"/>
    <n v="1.07"/>
    <n v="20.72"/>
    <n v="17.12"/>
    <n v="82"/>
    <n v="3.8589999999999999E-2"/>
    <n v="2.92E-4"/>
    <n v="7.4637829567205369E-2"/>
    <n v="-4.6486176672555189E-3"/>
    <n v="1"/>
  </r>
  <r>
    <n v="548"/>
    <s v="Activated_Carbon"/>
    <n v="4"/>
    <n v="240"/>
    <n v="25"/>
    <n v="11"/>
    <n v="25"/>
    <n v="150"/>
    <n v="100"/>
    <n v="1.2549999999999999"/>
    <n v="19.978000000000002"/>
    <n v="20.09"/>
    <n v="72.599999999999994"/>
    <n v="3.7810000000000003E-2"/>
    <n v="3.1389999999999999E-4"/>
    <n v="0.108406599342113"/>
    <n v="0.1367952859007405"/>
    <n v="2"/>
  </r>
  <r>
    <n v="549"/>
    <s v="Activated_Carbon"/>
    <n v="4"/>
    <n v="240"/>
    <n v="25"/>
    <n v="11"/>
    <n v="25"/>
    <n v="150"/>
    <n v="100"/>
    <n v="1.5109999999999999"/>
    <n v="18.957000000000001"/>
    <n v="24.17"/>
    <n v="53"/>
    <n v="4.5850000000000002E-2"/>
    <n v="2.8009999999999998E-4"/>
    <n v="0.13932819958306547"/>
    <n v="0.3160302881637137"/>
    <n v="3"/>
  </r>
  <r>
    <n v="550"/>
    <s v="Activated_Carbon"/>
    <n v="4"/>
    <n v="240"/>
    <n v="50"/>
    <n v="3"/>
    <n v="25"/>
    <n v="150"/>
    <n v="100"/>
    <n v="3.4580000000000002"/>
    <n v="36.168999999999997"/>
    <n v="27.66"/>
    <n v="66.900000000000006"/>
    <n v="4.2110000000000002E-2"/>
    <n v="3.146E-4"/>
    <n v="0.715933823542659"/>
    <n v="1.0087117152242913"/>
    <n v="1"/>
  </r>
  <r>
    <n v="551"/>
    <s v="Activated_Carbon"/>
    <n v="4"/>
    <n v="240"/>
    <n v="50"/>
    <n v="3"/>
    <n v="25"/>
    <n v="150"/>
    <n v="100"/>
    <n v="3.8260000000000001"/>
    <n v="34.694000000000003"/>
    <n v="30.61"/>
    <n v="64.8"/>
    <n v="4.8239999999999998E-2"/>
    <n v="2.6120000000000001E-4"/>
    <n v="0.74012862322272532"/>
    <n v="1.1268340734797633"/>
    <n v="2"/>
  </r>
  <r>
    <n v="552"/>
    <s v="Activated_Carbon"/>
    <n v="4"/>
    <n v="240"/>
    <n v="50"/>
    <n v="3"/>
    <n v="25"/>
    <n v="150"/>
    <n v="100"/>
    <n v="3.0880000000000001"/>
    <n v="37.648000000000003"/>
    <n v="24.7"/>
    <n v="71.400000000000006"/>
    <n v="5.1679999999999997E-2"/>
    <n v="3.1070000000000002E-4"/>
    <n v="0.57797368035821439"/>
    <n v="0.92029323900177784"/>
    <n v="3"/>
  </r>
  <r>
    <n v="553"/>
    <s v="Activated_Carbon"/>
    <n v="4"/>
    <n v="240"/>
    <n v="50"/>
    <n v="7"/>
    <n v="25"/>
    <n v="150"/>
    <n v="100"/>
    <n v="5.1120000000000001"/>
    <n v="29.553000000000001"/>
    <n v="40.89"/>
    <n v="66.7"/>
    <n v="3.9370000000000002E-2"/>
    <n v="3.1809999999999998E-4"/>
    <n v="1.4350177889522231"/>
    <n v="1.3020923644090852"/>
    <n v="1"/>
  </r>
  <r>
    <n v="554"/>
    <s v="Activated_Carbon"/>
    <n v="4"/>
    <n v="240"/>
    <n v="50"/>
    <n v="7"/>
    <n v="25"/>
    <n v="150"/>
    <n v="100"/>
    <n v="5.6130000000000004"/>
    <n v="27.547000000000001"/>
    <n v="44.91"/>
    <n v="62.1"/>
    <n v="4.2880000000000001E-2"/>
    <n v="3.0800000000000001E-4"/>
    <n v="1.6459715263898635"/>
    <n v="1.3780173191243159"/>
    <n v="2"/>
  </r>
  <r>
    <n v="555"/>
    <s v="Activated_Carbon"/>
    <n v="4"/>
    <n v="240"/>
    <n v="50"/>
    <n v="7"/>
    <n v="25"/>
    <n v="150"/>
    <n v="100"/>
    <n v="5.0599999999999996"/>
    <n v="29.76"/>
    <n v="40.479999999999997"/>
    <n v="66"/>
    <n v="5.4449999999999998E-2"/>
    <n v="2.9260000000000001E-4"/>
    <n v="1.3266013759684112"/>
    <n v="1.3173189780599055"/>
    <n v="3"/>
  </r>
  <r>
    <n v="556"/>
    <s v="Activated_Carbon"/>
    <n v="4"/>
    <n v="240"/>
    <n v="50"/>
    <n v="11"/>
    <n v="25"/>
    <n v="150"/>
    <n v="100"/>
    <n v="3.96"/>
    <n v="34.161000000000001"/>
    <n v="31.68"/>
    <n v="60.2"/>
    <n v="4.8349999999999997E-2"/>
    <n v="2.9460000000000001E-4"/>
    <n v="0.86622060909578635"/>
    <n v="1.1293934473799887"/>
    <n v="1"/>
  </r>
  <r>
    <n v="557"/>
    <s v="Activated_Carbon"/>
    <n v="4"/>
    <n v="240"/>
    <n v="50"/>
    <n v="11"/>
    <n v="25"/>
    <n v="150"/>
    <n v="100"/>
    <n v="3.8650000000000002"/>
    <n v="34.54"/>
    <n v="30.92"/>
    <n v="79.900000000000006"/>
    <n v="5.1389999999999998E-2"/>
    <n v="2.8200000000000002E-4"/>
    <n v="0.80138913390730016"/>
    <n v="1.1195942418849472"/>
    <n v="2"/>
  </r>
  <r>
    <n v="558"/>
    <s v="Activated_Carbon"/>
    <n v="4"/>
    <n v="240"/>
    <n v="50"/>
    <n v="11"/>
    <n v="25"/>
    <n v="150"/>
    <n v="100"/>
    <n v="3.468"/>
    <n v="36.128"/>
    <n v="27.74"/>
    <n v="76.7"/>
    <n v="4.1919999999999999E-2"/>
    <n v="3.2370000000000001E-4"/>
    <n v="0.73604794330708545"/>
    <n v="1.0050163927598745"/>
    <n v="3"/>
  </r>
  <r>
    <n v="559"/>
    <s v="Activated_Carbon"/>
    <n v="4"/>
    <n v="240"/>
    <n v="100"/>
    <n v="3"/>
    <n v="25"/>
    <n v="150"/>
    <n v="100"/>
    <n v="8.0359999999999996"/>
    <n v="67.855999999999995"/>
    <n v="32.14"/>
    <n v="75.599999999999994"/>
    <n v="3.9550000000000002E-2"/>
    <n v="3.2190000000000002E-4"/>
    <n v="3.0780439607870442"/>
    <n v="1.6009935669365289"/>
    <n v="1"/>
  </r>
  <r>
    <n v="560"/>
    <s v="Activated_Carbon"/>
    <n v="4"/>
    <n v="240"/>
    <n v="100"/>
    <n v="3"/>
    <n v="25"/>
    <n v="150"/>
    <n v="100"/>
    <n v="9.5500000000000007"/>
    <n v="61.798999999999999"/>
    <n v="38.200000000000003"/>
    <n v="57.1"/>
    <n v="4.317E-2"/>
    <n v="3.2059999999999999E-4"/>
    <n v="4.0450908892197868"/>
    <n v="1.7056402597350251"/>
    <n v="2"/>
  </r>
  <r>
    <n v="561"/>
    <s v="Activated_Carbon"/>
    <n v="4"/>
    <n v="240"/>
    <n v="100"/>
    <n v="3"/>
    <n v="25"/>
    <n v="150"/>
    <n v="100"/>
    <n v="9.6199999999999992"/>
    <n v="61.518999999999998"/>
    <n v="38.479999999999997"/>
    <n v="72.5"/>
    <n v="5.389E-2"/>
    <n v="2.5310000000000003E-4"/>
    <n v="3.5481372191504681"/>
    <n v="1.8036654411636552"/>
    <n v="3"/>
  </r>
  <r>
    <n v="562"/>
    <s v="Activated_Carbon"/>
    <n v="4"/>
    <n v="240"/>
    <n v="100"/>
    <n v="7"/>
    <n v="25"/>
    <n v="150"/>
    <n v="100"/>
    <n v="16.082999999999998"/>
    <n v="35.667999999999999"/>
    <n v="64.33"/>
    <n v="67.7"/>
    <n v="4.0960000000000003E-2"/>
    <n v="2.6009999999999998E-4"/>
    <n v="8.0574114996584214"/>
    <n v="2.0826349997032163"/>
    <n v="1"/>
  </r>
  <r>
    <n v="563"/>
    <s v="Activated_Carbon"/>
    <n v="4"/>
    <n v="240"/>
    <n v="100"/>
    <n v="7"/>
    <n v="25"/>
    <n v="150"/>
    <n v="100"/>
    <n v="14.025"/>
    <n v="43.899000000000001"/>
    <n v="56.1"/>
    <n v="75.900000000000006"/>
    <n v="4.4429999999999997E-2"/>
    <n v="3.4529999999999999E-4"/>
    <n v="7.5387903984488975"/>
    <n v="1.869678323359137"/>
    <n v="2"/>
  </r>
  <r>
    <n v="564"/>
    <s v="Activated_Carbon"/>
    <n v="4"/>
    <n v="240"/>
    <n v="100"/>
    <n v="7"/>
    <n v="25"/>
    <n v="150"/>
    <n v="100"/>
    <n v="12.587"/>
    <n v="49.651000000000003"/>
    <n v="50.35"/>
    <n v="66.5"/>
    <n v="3.9359999999999999E-2"/>
    <n v="3.1090000000000002E-4"/>
    <n v="6.096150899825064"/>
    <n v="1.8703933542344902"/>
    <n v="3"/>
  </r>
  <r>
    <n v="565"/>
    <s v="Activated_Carbon"/>
    <n v="4"/>
    <n v="240"/>
    <n v="100"/>
    <n v="11"/>
    <n v="25"/>
    <n v="150"/>
    <n v="100"/>
    <n v="12.191000000000001"/>
    <n v="51.234999999999999"/>
    <n v="48.77"/>
    <n v="62.5"/>
    <n v="3.3279999999999997E-2"/>
    <n v="3.0600000000000001E-4"/>
    <n v="5.7587968040471171"/>
    <n v="1.8613171227882523"/>
    <n v="1"/>
  </r>
  <r>
    <n v="566"/>
    <s v="Activated_Carbon"/>
    <n v="4"/>
    <n v="240"/>
    <n v="100"/>
    <n v="11"/>
    <n v="25"/>
    <n v="150"/>
    <n v="100"/>
    <n v="11.781000000000001"/>
    <n v="52.874000000000002"/>
    <n v="47.13"/>
    <n v="70.7"/>
    <n v="5.0560000000000001E-2"/>
    <n v="2.6790000000000001E-4"/>
    <n v="5.0776183679817013"/>
    <n v="1.9026121202647801"/>
    <n v="2"/>
  </r>
  <r>
    <n v="567"/>
    <s v="Activated_Carbon"/>
    <n v="4"/>
    <n v="240"/>
    <n v="100"/>
    <n v="11"/>
    <n v="25"/>
    <n v="150"/>
    <n v="100"/>
    <n v="12.003"/>
    <n v="51.988"/>
    <n v="48.01"/>
    <n v="78.599999999999994"/>
    <n v="3.6999999999999998E-2"/>
    <n v="3.0959999999999999E-4"/>
    <n v="5.6584867861935813"/>
    <n v="1.8475903785709893"/>
    <n v="3"/>
  </r>
  <r>
    <n v="568"/>
    <s v="Activated_Carbon"/>
    <n v="4"/>
    <n v="240"/>
    <n v="200"/>
    <n v="3"/>
    <n v="25"/>
    <n v="150"/>
    <n v="100"/>
    <n v="23.257999999999999"/>
    <n v="106.97"/>
    <n v="46.52"/>
    <n v="65.900000000000006"/>
    <n v="4.6559999999999997E-2"/>
    <n v="2.854E-4"/>
    <n v="14.288743252419431"/>
    <n v="2.1938028128361444"/>
    <n v="1"/>
  </r>
  <r>
    <n v="569"/>
    <s v="Activated_Carbon"/>
    <n v="4"/>
    <n v="240"/>
    <n v="200"/>
    <n v="3"/>
    <n v="25"/>
    <n v="150"/>
    <n v="100"/>
    <n v="22.925000000000001"/>
    <n v="108.3"/>
    <n v="45.85"/>
    <n v="67"/>
    <n v="4.011E-2"/>
    <n v="2.6739999999999999E-4"/>
    <n v="13.648261100078392"/>
    <n v="2.2275100733921893"/>
    <n v="2"/>
  </r>
  <r>
    <n v="570"/>
    <s v="Activated_Carbon"/>
    <n v="4"/>
    <n v="240"/>
    <n v="200"/>
    <n v="3"/>
    <n v="25"/>
    <n v="150"/>
    <n v="100"/>
    <n v="25.552"/>
    <n v="97.790999999999997"/>
    <n v="51.1"/>
    <n v="55.2"/>
    <n v="4.8000000000000001E-2"/>
    <n v="3.1389999999999999E-4"/>
    <n v="16.816230115123119"/>
    <n v="2.1674260776387779"/>
    <n v="3"/>
  </r>
  <r>
    <n v="571"/>
    <s v="Activated_Carbon"/>
    <n v="4"/>
    <n v="240"/>
    <n v="200"/>
    <n v="7"/>
    <n v="25"/>
    <n v="150"/>
    <n v="100"/>
    <n v="29.882999999999999"/>
    <n v="80.465999999999994"/>
    <n v="59.77"/>
    <n v="59.9"/>
    <n v="5.0369999999999998E-2"/>
    <n v="2.7060000000000002E-4"/>
    <n v="19.721208252094989"/>
    <n v="2.3186347797422058"/>
    <n v="1"/>
  </r>
  <r>
    <n v="572"/>
    <s v="Activated_Carbon"/>
    <n v="4"/>
    <n v="240"/>
    <n v="200"/>
    <n v="7"/>
    <n v="25"/>
    <n v="150"/>
    <n v="100"/>
    <n v="33.381999999999998"/>
    <n v="66.471000000000004"/>
    <n v="66.760000000000005"/>
    <n v="71.3"/>
    <n v="4.8529999999999997E-2"/>
    <n v="2.9250000000000001E-4"/>
    <n v="23.397602005182481"/>
    <n v="2.3010236740955254"/>
    <n v="2"/>
  </r>
  <r>
    <n v="573"/>
    <s v="Activated_Carbon"/>
    <n v="4"/>
    <n v="240"/>
    <n v="200"/>
    <n v="7"/>
    <n v="25"/>
    <n v="150"/>
    <n v="100"/>
    <n v="33.012999999999998"/>
    <n v="67.947999999999993"/>
    <n v="66.03"/>
    <n v="80.900000000000006"/>
    <n v="5.2830000000000002E-2"/>
    <n v="3.2939999999999998E-4"/>
    <n v="23.867809836268137"/>
    <n v="2.2132280759111427"/>
    <n v="3"/>
  </r>
  <r>
    <n v="574"/>
    <s v="Activated_Carbon"/>
    <n v="4"/>
    <n v="240"/>
    <n v="200"/>
    <n v="11"/>
    <n v="25"/>
    <n v="150"/>
    <n v="100"/>
    <n v="28.568000000000001"/>
    <n v="85.728999999999999"/>
    <n v="57.14"/>
    <n v="58.6"/>
    <n v="4.1259999999999998E-2"/>
    <n v="3.1569999999999998E-4"/>
    <n v="19.540464251413479"/>
    <n v="2.2002794341269105"/>
    <n v="1"/>
  </r>
  <r>
    <n v="575"/>
    <s v="Activated_Carbon"/>
    <n v="4"/>
    <n v="240"/>
    <n v="200"/>
    <n v="11"/>
    <n v="25"/>
    <n v="150"/>
    <n v="100"/>
    <n v="29.324000000000002"/>
    <n v="82.704999999999998"/>
    <n v="58.65"/>
    <n v="80.7"/>
    <n v="4.793E-2"/>
    <n v="2.5490000000000002E-4"/>
    <n v="18.828371181007043"/>
    <n v="2.3509588675322948"/>
    <n v="2"/>
  </r>
  <r>
    <n v="576"/>
    <s v="Activated_Carbon"/>
    <n v="4"/>
    <n v="240"/>
    <n v="200"/>
    <n v="11"/>
    <n v="25"/>
    <n v="150"/>
    <n v="100"/>
    <n v="30.762"/>
    <n v="76.951999999999998"/>
    <n v="61.52"/>
    <n v="56.7"/>
    <n v="4.3270000000000003E-2"/>
    <n v="3.0749999999999999E-4"/>
    <n v="21.355338290366607"/>
    <n v="2.241418130786192"/>
    <n v="3"/>
  </r>
  <r>
    <n v="577"/>
    <s v="Biochar"/>
    <n v="0.5"/>
    <n v="30"/>
    <n v="25"/>
    <n v="3"/>
    <n v="25"/>
    <n v="150"/>
    <n v="100"/>
    <n v="6.4349999999999996"/>
    <n v="21.782"/>
    <n v="12.87"/>
    <n v="125.7"/>
    <n v="3.712E-2"/>
    <n v="1.963E-4"/>
    <n v="0.23495513325729453"/>
    <n v="1.8245565285962662"/>
    <n v="1"/>
  </r>
  <r>
    <n v="578"/>
    <s v="Biochar"/>
    <n v="0.5"/>
    <n v="30"/>
    <n v="25"/>
    <n v="3"/>
    <n v="25"/>
    <n v="150"/>
    <n v="100"/>
    <n v="5.6520000000000001"/>
    <n v="22.173999999999999"/>
    <n v="11.3"/>
    <n v="97.1"/>
    <n v="3.388E-2"/>
    <n v="2.3589999999999999E-4"/>
    <n v="0.21738045581042581"/>
    <n v="1.692789517053908"/>
    <n v="2"/>
  </r>
  <r>
    <n v="579"/>
    <s v="Biochar"/>
    <n v="0.5"/>
    <n v="30"/>
    <n v="25"/>
    <n v="3"/>
    <n v="25"/>
    <n v="150"/>
    <n v="100"/>
    <n v="5.4880000000000004"/>
    <n v="22.256"/>
    <n v="10.98"/>
    <n v="92.1"/>
    <n v="3.7330000000000002E-2"/>
    <n v="2.084E-4"/>
    <n v="0.18205224604326353"/>
    <n v="1.6688284090701488"/>
    <n v="3"/>
  </r>
  <r>
    <n v="580"/>
    <s v="Biochar"/>
    <n v="0.5"/>
    <n v="30"/>
    <n v="25"/>
    <n v="7"/>
    <n v="25"/>
    <n v="150"/>
    <n v="100"/>
    <n v="9.8019999999999996"/>
    <n v="20.099"/>
    <n v="19.600000000000001"/>
    <n v="77.8"/>
    <n v="3.3050000000000003E-2"/>
    <n v="1.7799999999999999E-4"/>
    <n v="0.48754361018598985"/>
    <n v="2.2315676437691967"/>
    <n v="1"/>
  </r>
  <r>
    <n v="581"/>
    <s v="Biochar"/>
    <n v="0.5"/>
    <n v="30"/>
    <n v="25"/>
    <n v="7"/>
    <n v="25"/>
    <n v="150"/>
    <n v="100"/>
    <n v="9.44"/>
    <n v="20.28"/>
    <n v="18.88"/>
    <n v="95.7"/>
    <n v="3.6600000000000001E-2"/>
    <n v="2.3350000000000001E-4"/>
    <n v="0.58552184767446136"/>
    <n v="2.1809233369545065"/>
    <n v="2"/>
  </r>
  <r>
    <n v="582"/>
    <s v="Biochar"/>
    <n v="0.5"/>
    <n v="30"/>
    <n v="25"/>
    <n v="7"/>
    <n v="25"/>
    <n v="150"/>
    <n v="100"/>
    <n v="9.0380000000000003"/>
    <n v="20.481000000000002"/>
    <n v="18.079999999999998"/>
    <n v="94.3"/>
    <n v="3.1179999999999999E-2"/>
    <n v="1.9230000000000001E-4"/>
    <n v="0.44789023039174342"/>
    <n v="2.1506115146814846"/>
    <n v="3"/>
  </r>
  <r>
    <n v="583"/>
    <s v="Biochar"/>
    <n v="0.5"/>
    <n v="30"/>
    <n v="25"/>
    <n v="11"/>
    <n v="25"/>
    <n v="150"/>
    <n v="100"/>
    <n v="7.2119999999999997"/>
    <n v="21.393999999999998"/>
    <n v="14.42"/>
    <n v="96.6"/>
    <n v="3.397E-2"/>
    <n v="1.986E-4"/>
    <n v="0.29712588948273111"/>
    <n v="1.9336747596751205"/>
    <n v="1"/>
  </r>
  <r>
    <n v="584"/>
    <s v="Biochar"/>
    <n v="0.5"/>
    <n v="30"/>
    <n v="25"/>
    <n v="11"/>
    <n v="25"/>
    <n v="150"/>
    <n v="100"/>
    <n v="5.72"/>
    <n v="22.14"/>
    <n v="11.44"/>
    <n v="81.099999999999994"/>
    <n v="3.8120000000000001E-2"/>
    <n v="2.1149999999999999E-4"/>
    <n v="0.20032767554053704"/>
    <n v="1.7083184970160727"/>
    <n v="2"/>
  </r>
  <r>
    <n v="585"/>
    <s v="Biochar"/>
    <n v="0.5"/>
    <n v="30"/>
    <n v="25"/>
    <n v="11"/>
    <n v="25"/>
    <n v="150"/>
    <n v="100"/>
    <n v="7.0810000000000004"/>
    <n v="21.46"/>
    <n v="14.16"/>
    <n v="86.4"/>
    <n v="3.5020000000000003E-2"/>
    <n v="1.8679999999999999E-4"/>
    <n v="0.27026314236853083"/>
    <n v="1.9185003166033447"/>
    <n v="3"/>
  </r>
  <r>
    <n v="586"/>
    <s v="Biochar"/>
    <n v="0.5"/>
    <n v="30"/>
    <n v="50"/>
    <n v="3"/>
    <n v="25"/>
    <n v="150"/>
    <n v="100"/>
    <n v="18.079999999999998"/>
    <n v="40.96"/>
    <n v="18.079999999999998"/>
    <n v="91.1"/>
    <n v="3.6720000000000003E-2"/>
    <n v="1.895E-4"/>
    <n v="1.6851421818654007"/>
    <n v="2.7969677379890832"/>
    <n v="1"/>
  </r>
  <r>
    <n v="587"/>
    <s v="Biochar"/>
    <n v="0.5"/>
    <n v="30"/>
    <n v="50"/>
    <n v="3"/>
    <n v="25"/>
    <n v="150"/>
    <n v="100"/>
    <n v="13.26"/>
    <n v="43.37"/>
    <n v="13.26"/>
    <n v="99.8"/>
    <n v="3.3320000000000002E-2"/>
    <n v="1.827E-4"/>
    <n v="0.8984159474651694"/>
    <n v="2.5145936034080028"/>
    <n v="2"/>
  </r>
  <r>
    <n v="588"/>
    <s v="Biochar"/>
    <n v="0.5"/>
    <n v="30"/>
    <n v="50"/>
    <n v="3"/>
    <n v="25"/>
    <n v="150"/>
    <n v="100"/>
    <n v="18.071000000000002"/>
    <n v="40.965000000000003"/>
    <n v="18.07"/>
    <n v="80.7"/>
    <n v="3.8710000000000001E-2"/>
    <n v="2.1230000000000001E-4"/>
    <n v="1.8651942338093004"/>
    <n v="2.7853695586643954"/>
    <n v="3"/>
  </r>
  <r>
    <n v="589"/>
    <s v="Biochar"/>
    <n v="0.5"/>
    <n v="30"/>
    <n v="50"/>
    <n v="7"/>
    <n v="25"/>
    <n v="150"/>
    <n v="100"/>
    <n v="29.43"/>
    <n v="35.284999999999997"/>
    <n v="29.43"/>
    <n v="68.2"/>
    <n v="3.9239999999999997E-2"/>
    <n v="2.052E-4"/>
    <n v="4.5140496365691583"/>
    <n v="3.2155081752335031"/>
    <n v="1"/>
  </r>
  <r>
    <n v="590"/>
    <s v="Biochar"/>
    <n v="0.5"/>
    <n v="30"/>
    <n v="50"/>
    <n v="7"/>
    <n v="25"/>
    <n v="150"/>
    <n v="100"/>
    <n v="26.53"/>
    <n v="36.734999999999999"/>
    <n v="26.53"/>
    <n v="87.6"/>
    <n v="2.878E-2"/>
    <n v="2.0819999999999999E-4"/>
    <n v="3.7712672220254984"/>
    <n v="3.1249489301146878"/>
    <n v="2"/>
  </r>
  <r>
    <n v="591"/>
    <s v="Biochar"/>
    <n v="0.5"/>
    <n v="30"/>
    <n v="50"/>
    <n v="7"/>
    <n v="25"/>
    <n v="150"/>
    <n v="100"/>
    <n v="24.712"/>
    <n v="37.643999999999998"/>
    <n v="24.71"/>
    <n v="68.3"/>
    <n v="2.9669999999999998E-2"/>
    <n v="2.2230000000000001E-4"/>
    <n v="3.496419489210552"/>
    <n v="3.0547358415035584"/>
    <n v="3"/>
  </r>
  <r>
    <n v="592"/>
    <s v="Biochar"/>
    <n v="0.5"/>
    <n v="30"/>
    <n v="50"/>
    <n v="11"/>
    <n v="25"/>
    <n v="150"/>
    <n v="100"/>
    <n v="19.629000000000001"/>
    <n v="40.186"/>
    <n v="19.63"/>
    <n v="105.4"/>
    <n v="3.3119999999999997E-2"/>
    <n v="1.6589999999999999E-4"/>
    <n v="1.746959694675545"/>
    <n v="2.8837968742712423"/>
    <n v="1"/>
  </r>
  <r>
    <n v="593"/>
    <s v="Biochar"/>
    <n v="0.5"/>
    <n v="30"/>
    <n v="50"/>
    <n v="11"/>
    <n v="25"/>
    <n v="150"/>
    <n v="100"/>
    <n v="18.608000000000001"/>
    <n v="40.695999999999998"/>
    <n v="18.61"/>
    <n v="101.6"/>
    <n v="3.4450000000000001E-2"/>
    <n v="1.8900000000000001E-4"/>
    <n v="1.7759094384319614"/>
    <n v="2.8232872168621204"/>
    <n v="2"/>
  </r>
  <r>
    <n v="594"/>
    <s v="Biochar"/>
    <n v="0.5"/>
    <n v="30"/>
    <n v="50"/>
    <n v="11"/>
    <n v="25"/>
    <n v="150"/>
    <n v="100"/>
    <n v="21.282"/>
    <n v="39.359000000000002"/>
    <n v="21.28"/>
    <n v="92.2"/>
    <n v="3.891E-2"/>
    <n v="2.2900000000000001E-4"/>
    <n v="2.7146786635304565"/>
    <n v="2.9214031181355682"/>
    <n v="3"/>
  </r>
  <r>
    <n v="595"/>
    <s v="Biochar"/>
    <n v="0.5"/>
    <n v="30"/>
    <n v="100"/>
    <n v="3"/>
    <n v="25"/>
    <n v="150"/>
    <n v="100"/>
    <n v="37.667000000000002"/>
    <n v="81.165999999999997"/>
    <n v="18.829999999999998"/>
    <n v="68.7"/>
    <n v="3.3550000000000003E-2"/>
    <n v="2.052E-4"/>
    <n v="7.0901097478794934"/>
    <n v="3.4202445031167179"/>
    <n v="1"/>
  </r>
  <r>
    <n v="596"/>
    <s v="Biochar"/>
    <n v="0.5"/>
    <n v="30"/>
    <n v="100"/>
    <n v="3"/>
    <n v="25"/>
    <n v="150"/>
    <n v="100"/>
    <n v="35.307000000000002"/>
    <n v="82.346000000000004"/>
    <n v="17.649999999999999"/>
    <n v="73.400000000000006"/>
    <n v="3.6200000000000003E-2"/>
    <n v="1.9900000000000001E-4"/>
    <n v="6.1465260557015364"/>
    <n v="3.3728141602422044"/>
    <n v="2"/>
  </r>
  <r>
    <n v="597"/>
    <s v="Biochar"/>
    <n v="0.5"/>
    <n v="30"/>
    <n v="100"/>
    <n v="3"/>
    <n v="25"/>
    <n v="150"/>
    <n v="100"/>
    <n v="39.201000000000001"/>
    <n v="80.399000000000001"/>
    <n v="19.600000000000001"/>
    <n v="76"/>
    <n v="3.4189999999999998E-2"/>
    <n v="1.8149999999999999E-4"/>
    <n v="6.8955750302766026"/>
    <n v="3.4752351718446186"/>
    <n v="3"/>
  </r>
  <r>
    <n v="598"/>
    <s v="Biochar"/>
    <n v="0.5"/>
    <n v="30"/>
    <n v="100"/>
    <n v="7"/>
    <n v="25"/>
    <n v="150"/>
    <n v="100"/>
    <n v="67.123000000000005"/>
    <n v="66.438000000000002"/>
    <n v="33.56"/>
    <n v="99"/>
    <n v="2.8539999999999999E-2"/>
    <n v="1.8139999999999999E-4"/>
    <n v="17.95884721561751"/>
    <n v="3.8951647559954221"/>
    <n v="1"/>
  </r>
  <r>
    <n v="599"/>
    <s v="Biochar"/>
    <n v="0.5"/>
    <n v="30"/>
    <n v="100"/>
    <n v="7"/>
    <n v="25"/>
    <n v="150"/>
    <n v="100"/>
    <n v="52.411999999999999"/>
    <n v="73.793999999999997"/>
    <n v="26.21"/>
    <n v="77.400000000000006"/>
    <n v="3.4709999999999998E-2"/>
    <n v="1.7100000000000001E-4"/>
    <n v="11.106071929436371"/>
    <n v="3.7210060264840847"/>
    <n v="2"/>
  </r>
  <r>
    <n v="600"/>
    <s v="Biochar"/>
    <n v="0.5"/>
    <n v="30"/>
    <n v="100"/>
    <n v="7"/>
    <n v="25"/>
    <n v="150"/>
    <n v="100"/>
    <n v="55.954000000000001"/>
    <n v="72.022999999999996"/>
    <n v="27.98"/>
    <n v="72.8"/>
    <n v="3.5729999999999998E-2"/>
    <n v="2.0139999999999999E-4"/>
    <n v="14.13718182966236"/>
    <n v="3.7332986071828991"/>
    <n v="3"/>
  </r>
  <r>
    <n v="601"/>
    <s v="Biochar"/>
    <n v="0.5"/>
    <n v="30"/>
    <n v="100"/>
    <n v="11"/>
    <n v="25"/>
    <n v="150"/>
    <n v="100"/>
    <n v="44.314"/>
    <n v="77.843000000000004"/>
    <n v="22.16"/>
    <n v="88"/>
    <n v="3.3090000000000001E-2"/>
    <n v="1.9459999999999999E-4"/>
    <n v="9.1079784518174183"/>
    <n v="3.5612171346835426"/>
    <n v="1"/>
  </r>
  <r>
    <n v="602"/>
    <s v="Biochar"/>
    <n v="0.5"/>
    <n v="30"/>
    <n v="100"/>
    <n v="11"/>
    <n v="25"/>
    <n v="150"/>
    <n v="100"/>
    <n v="55.753999999999998"/>
    <n v="72.123000000000005"/>
    <n v="27.88"/>
    <n v="102.9"/>
    <n v="3.0450000000000001E-2"/>
    <n v="2.1660000000000001E-4"/>
    <n v="14.827309801320849"/>
    <n v="3.7117824223110185"/>
    <n v="2"/>
  </r>
  <r>
    <n v="603"/>
    <s v="Biochar"/>
    <n v="0.5"/>
    <n v="30"/>
    <n v="100"/>
    <n v="11"/>
    <n v="25"/>
    <n v="150"/>
    <n v="100"/>
    <n v="51.637"/>
    <n v="74.182000000000002"/>
    <n v="25.82"/>
    <n v="71"/>
    <n v="3.7870000000000001E-2"/>
    <n v="2.308E-4"/>
    <n v="13.599663451489162"/>
    <n v="3.6385682180994521"/>
    <n v="3"/>
  </r>
  <r>
    <n v="604"/>
    <s v="Biochar"/>
    <n v="0.5"/>
    <n v="30"/>
    <n v="200"/>
    <n v="3"/>
    <n v="25"/>
    <n v="150"/>
    <n v="100"/>
    <n v="47.186"/>
    <n v="176.40700000000001"/>
    <n v="11.8"/>
    <n v="73.900000000000006"/>
    <n v="3.8559999999999997E-2"/>
    <n v="2.0540000000000001E-4"/>
    <n v="10.629246479199436"/>
    <n v="3.598865943977922"/>
    <n v="1"/>
  </r>
  <r>
    <n v="605"/>
    <s v="Biochar"/>
    <n v="0.5"/>
    <n v="30"/>
    <n v="200"/>
    <n v="3"/>
    <n v="25"/>
    <n v="150"/>
    <n v="100"/>
    <n v="56.082999999999998"/>
    <n v="171.958"/>
    <n v="14.02"/>
    <n v="90.1"/>
    <n v="3.637E-2"/>
    <n v="1.7349999999999999E-4"/>
    <n v="12.672148990924121"/>
    <n v="3.7707094331063513"/>
    <n v="2"/>
  </r>
  <r>
    <n v="606"/>
    <s v="Biochar"/>
    <n v="0.5"/>
    <n v="30"/>
    <n v="200"/>
    <n v="3"/>
    <n v="25"/>
    <n v="150"/>
    <n v="100"/>
    <n v="58.719000000000001"/>
    <n v="170.64099999999999"/>
    <n v="14.68"/>
    <n v="100.8"/>
    <n v="3.4200000000000001E-2"/>
    <n v="1.9909999999999999E-4"/>
    <n v="15.246906075922864"/>
    <n v="3.7721192132465533"/>
    <n v="3"/>
  </r>
  <r>
    <n v="607"/>
    <s v="Biochar"/>
    <n v="0.5"/>
    <n v="30"/>
    <n v="200"/>
    <n v="7"/>
    <n v="25"/>
    <n v="150"/>
    <n v="100"/>
    <n v="70.046999999999997"/>
    <n v="164.977"/>
    <n v="17.510000000000002"/>
    <n v="92.3"/>
    <n v="3.6999999999999998E-2"/>
    <n v="1.9880000000000001E-4"/>
    <n v="20.640199989627583"/>
    <n v="3.9000880667525353"/>
    <n v="1"/>
  </r>
  <r>
    <n v="608"/>
    <s v="Biochar"/>
    <n v="0.5"/>
    <n v="30"/>
    <n v="200"/>
    <n v="7"/>
    <n v="25"/>
    <n v="150"/>
    <n v="100"/>
    <n v="92.01"/>
    <n v="153.995"/>
    <n v="23"/>
    <n v="81.400000000000006"/>
    <n v="3.6979999999999999E-2"/>
    <n v="1.796E-4"/>
    <n v="30.495704575152637"/>
    <n v="4.1192695937335797"/>
    <n v="2"/>
  </r>
  <r>
    <n v="609"/>
    <s v="Biochar"/>
    <n v="0.5"/>
    <n v="30"/>
    <n v="200"/>
    <n v="7"/>
    <n v="25"/>
    <n v="150"/>
    <n v="100"/>
    <n v="82.516000000000005"/>
    <n v="158.74199999999999"/>
    <n v="20.63"/>
    <n v="83.5"/>
    <n v="3.5790000000000002E-2"/>
    <n v="1.9259999999999999E-4"/>
    <n v="26.640282157916598"/>
    <n v="4.0231299001368166"/>
    <n v="3"/>
  </r>
  <r>
    <n v="610"/>
    <s v="Biochar"/>
    <n v="0.5"/>
    <n v="30"/>
    <n v="200"/>
    <n v="11"/>
    <n v="25"/>
    <n v="150"/>
    <n v="100"/>
    <n v="63.741999999999997"/>
    <n v="168.12899999999999"/>
    <n v="15.94"/>
    <n v="96.3"/>
    <n v="3.347E-2"/>
    <n v="1.6789999999999999E-4"/>
    <n v="15.491661565985739"/>
    <n v="3.8764028419368572"/>
    <n v="1"/>
  </r>
  <r>
    <n v="611"/>
    <s v="Biochar"/>
    <n v="0.5"/>
    <n v="30"/>
    <n v="200"/>
    <n v="11"/>
    <n v="25"/>
    <n v="150"/>
    <n v="100"/>
    <n v="75.891000000000005"/>
    <n v="162.054"/>
    <n v="18.97"/>
    <n v="103.5"/>
    <n v="3.048E-2"/>
    <n v="2.1379999999999999E-4"/>
    <n v="24.846614080508608"/>
    <n v="3.9326955663691936"/>
    <n v="2"/>
  </r>
  <r>
    <n v="612"/>
    <s v="Biochar"/>
    <n v="0.5"/>
    <n v="30"/>
    <n v="200"/>
    <n v="11"/>
    <n v="25"/>
    <n v="150"/>
    <n v="100"/>
    <n v="61.341999999999999"/>
    <n v="169.32900000000001"/>
    <n v="15.34"/>
    <n v="89.1"/>
    <n v="3.603E-2"/>
    <n v="1.953E-4"/>
    <n v="16.217772660808851"/>
    <n v="3.8094192938292459"/>
    <n v="3"/>
  </r>
  <r>
    <n v="613"/>
    <s v="Biochar"/>
    <n v="0.5"/>
    <n v="60"/>
    <n v="25"/>
    <n v="3"/>
    <n v="25"/>
    <n v="150"/>
    <n v="100"/>
    <n v="8.4949999999999992"/>
    <n v="20.751999999999999"/>
    <n v="16.989999999999998"/>
    <n v="76.8"/>
    <n v="3.1789999999999999E-2"/>
    <n v="1.8340000000000001E-4"/>
    <n v="0.72621783282930585"/>
    <n v="2.0501134168534376"/>
    <n v="1"/>
  </r>
  <r>
    <n v="614"/>
    <s v="Biochar"/>
    <n v="0.5"/>
    <n v="60"/>
    <n v="25"/>
    <n v="3"/>
    <n v="25"/>
    <n v="150"/>
    <n v="100"/>
    <n v="9.1560000000000006"/>
    <n v="20.422000000000001"/>
    <n v="18.309999999999999"/>
    <n v="76.5"/>
    <n v="3.739E-2"/>
    <n v="2.297E-4"/>
    <n v="1.0259186414340671"/>
    <n v="2.0955709307133294"/>
    <n v="2"/>
  </r>
  <r>
    <n v="615"/>
    <s v="Biochar"/>
    <n v="0.5"/>
    <n v="60"/>
    <n v="25"/>
    <n v="3"/>
    <n v="25"/>
    <n v="150"/>
    <n v="100"/>
    <n v="8.6829999999999998"/>
    <n v="20.658999999999999"/>
    <n v="17.37"/>
    <n v="88.8"/>
    <n v="3.6749999999999998E-2"/>
    <n v="2.0939999999999999E-4"/>
    <n v="0.85408182968484347"/>
    <n v="2.057824335746381"/>
    <n v="3"/>
  </r>
  <r>
    <n v="616"/>
    <s v="Biochar"/>
    <n v="0.5"/>
    <n v="60"/>
    <n v="25"/>
    <n v="7"/>
    <n v="25"/>
    <n v="150"/>
    <n v="100"/>
    <n v="15.093"/>
    <n v="17.452999999999999"/>
    <n v="30.19"/>
    <n v="95.3"/>
    <n v="3.669E-2"/>
    <n v="1.752E-4"/>
    <n v="2.0667187314185838"/>
    <n v="2.5669689527500936"/>
    <n v="1"/>
  </r>
  <r>
    <n v="617"/>
    <s v="Biochar"/>
    <n v="0.5"/>
    <n v="60"/>
    <n v="25"/>
    <n v="7"/>
    <n v="25"/>
    <n v="150"/>
    <n v="100"/>
    <n v="16.280999999999999"/>
    <n v="16.859000000000002"/>
    <n v="32.56"/>
    <n v="97.1"/>
    <n v="3.2329999999999998E-2"/>
    <n v="2.008E-4"/>
    <n v="2.6698705226097199"/>
    <n v="2.6108878020069377"/>
    <n v="2"/>
  </r>
  <r>
    <n v="618"/>
    <s v="Biochar"/>
    <n v="0.5"/>
    <n v="60"/>
    <n v="25"/>
    <n v="7"/>
    <n v="25"/>
    <n v="150"/>
    <n v="100"/>
    <n v="16.003"/>
    <n v="16.998999999999999"/>
    <n v="32.01"/>
    <n v="83"/>
    <n v="3.8760000000000003E-2"/>
    <n v="2.4729999999999999E-4"/>
    <n v="3.0707865865970509"/>
    <n v="2.5597213624646415"/>
    <n v="3"/>
  </r>
  <r>
    <n v="619"/>
    <s v="Biochar"/>
    <n v="0.5"/>
    <n v="60"/>
    <n v="25"/>
    <n v="11"/>
    <n v="25"/>
    <n v="150"/>
    <n v="100"/>
    <n v="10.513999999999999"/>
    <n v="19.742999999999999"/>
    <n v="21.03"/>
    <n v="68"/>
    <n v="3.6060000000000002E-2"/>
    <n v="2.1440000000000001E-4"/>
    <n v="1.2526209309407874"/>
    <n v="2.2258529651136736"/>
    <n v="1"/>
  </r>
  <r>
    <n v="620"/>
    <s v="Biochar"/>
    <n v="0.5"/>
    <n v="60"/>
    <n v="25"/>
    <n v="11"/>
    <n v="25"/>
    <n v="150"/>
    <n v="100"/>
    <n v="11.147"/>
    <n v="19.425999999999998"/>
    <n v="22.29"/>
    <n v="104.4"/>
    <n v="3.031E-2"/>
    <n v="2.139E-4"/>
    <n v="1.3951110629622105"/>
    <n v="2.2774610033772222"/>
    <n v="2"/>
  </r>
  <r>
    <n v="621"/>
    <s v="Biochar"/>
    <n v="0.5"/>
    <n v="60"/>
    <n v="25"/>
    <n v="11"/>
    <n v="25"/>
    <n v="150"/>
    <n v="100"/>
    <n v="10.718999999999999"/>
    <n v="19.64"/>
    <n v="21.44"/>
    <n v="107.8"/>
    <n v="4.197E-2"/>
    <n v="1.8469999999999999E-4"/>
    <n v="1.1380960196230498"/>
    <n v="2.2597719487394801"/>
    <n v="3"/>
  </r>
  <r>
    <n v="622"/>
    <s v="Biochar"/>
    <n v="0.5"/>
    <n v="60"/>
    <n v="50"/>
    <n v="3"/>
    <n v="25"/>
    <n v="150"/>
    <n v="100"/>
    <n v="25.116"/>
    <n v="37.442"/>
    <n v="25.12"/>
    <n v="96.8"/>
    <n v="3.3649999999999999E-2"/>
    <n v="1.9909999999999999E-4"/>
    <n v="5.7965310773395542"/>
    <n v="2.9611133399314244"/>
    <n v="1"/>
  </r>
  <r>
    <n v="623"/>
    <s v="Biochar"/>
    <n v="0.5"/>
    <n v="60"/>
    <n v="50"/>
    <n v="3"/>
    <n v="25"/>
    <n v="150"/>
    <n v="100"/>
    <n v="26.643999999999998"/>
    <n v="36.677999999999997"/>
    <n v="26.64"/>
    <n v="61"/>
    <n v="3.4950000000000002E-2"/>
    <n v="1.862E-4"/>
    <n v="6.111764254251133"/>
    <n v="3.0219961265018496"/>
    <n v="2"/>
  </r>
  <r>
    <n v="624"/>
    <s v="Biochar"/>
    <n v="0.5"/>
    <n v="60"/>
    <n v="50"/>
    <n v="3"/>
    <n v="25"/>
    <n v="150"/>
    <n v="100"/>
    <n v="25.265999999999998"/>
    <n v="37.366999999999997"/>
    <n v="25.27"/>
    <n v="104.3"/>
    <n v="3.0599999999999999E-2"/>
    <n v="2.163E-4"/>
    <n v="6.2389956096132462"/>
    <n v="2.9458592538033228"/>
    <n v="3"/>
  </r>
  <r>
    <n v="625"/>
    <s v="Biochar"/>
    <n v="0.5"/>
    <n v="60"/>
    <n v="50"/>
    <n v="7"/>
    <n v="25"/>
    <n v="150"/>
    <n v="100"/>
    <n v="40.201999999999998"/>
    <n v="29.899000000000001"/>
    <n v="40.200000000000003"/>
    <n v="82.1"/>
    <n v="3.7769999999999998E-2"/>
    <n v="2.0680000000000001E-4"/>
    <n v="13.379681170519214"/>
    <n v="3.2892343330826437"/>
    <n v="1"/>
  </r>
  <r>
    <n v="626"/>
    <s v="Biochar"/>
    <n v="0.5"/>
    <n v="60"/>
    <n v="50"/>
    <n v="7"/>
    <n v="25"/>
    <n v="150"/>
    <n v="100"/>
    <n v="43.715000000000003"/>
    <n v="28.141999999999999"/>
    <n v="43.72"/>
    <n v="98.2"/>
    <n v="3.3840000000000002E-2"/>
    <n v="1.8780000000000001E-4"/>
    <n v="14.426799808843828"/>
    <n v="3.3771847110566675"/>
    <n v="2"/>
  </r>
  <r>
    <n v="627"/>
    <s v="Biochar"/>
    <n v="0.5"/>
    <n v="60"/>
    <n v="50"/>
    <n v="7"/>
    <n v="25"/>
    <n v="150"/>
    <n v="100"/>
    <n v="36.868000000000002"/>
    <n v="31.565999999999999"/>
    <n v="36.869999999999997"/>
    <n v="75.099999999999994"/>
    <n v="4.5319999999999999E-2"/>
    <n v="2.2489999999999999E-4"/>
    <n v="12.248247759489024"/>
    <n v="3.2035490573633068"/>
    <n v="3"/>
  </r>
  <r>
    <n v="628"/>
    <s v="Biochar"/>
    <n v="0.5"/>
    <n v="60"/>
    <n v="50"/>
    <n v="11"/>
    <n v="25"/>
    <n v="150"/>
    <n v="100"/>
    <n v="27.931999999999999"/>
    <n v="36.033999999999999"/>
    <n v="27.93"/>
    <n v="68.7"/>
    <n v="3.669E-2"/>
    <n v="2.109E-4"/>
    <n v="7.2943935381895697"/>
    <n v="3.027114967891229"/>
    <n v="1"/>
  </r>
  <r>
    <n v="629"/>
    <s v="Biochar"/>
    <n v="0.5"/>
    <n v="60"/>
    <n v="50"/>
    <n v="11"/>
    <n v="25"/>
    <n v="150"/>
    <n v="100"/>
    <n v="34.067999999999998"/>
    <n v="32.966000000000001"/>
    <n v="34.07"/>
    <n v="82.4"/>
    <n v="3.456E-2"/>
    <n v="2.0660000000000001E-4"/>
    <n v="10.115364089054061"/>
    <n v="3.1760783767130341"/>
    <n v="2"/>
  </r>
  <r>
    <n v="630"/>
    <s v="Biochar"/>
    <n v="0.5"/>
    <n v="60"/>
    <n v="50"/>
    <n v="11"/>
    <n v="25"/>
    <n v="150"/>
    <n v="100"/>
    <n v="32.573"/>
    <n v="33.713999999999999"/>
    <n v="32.57"/>
    <n v="57.2"/>
    <n v="3.4200000000000001E-2"/>
    <n v="1.83E-4"/>
    <n v="8.5808348233597549"/>
    <n v="3.1777273260779042"/>
    <n v="3"/>
  </r>
  <r>
    <n v="631"/>
    <s v="Biochar"/>
    <n v="0.5"/>
    <n v="60"/>
    <n v="100"/>
    <n v="3"/>
    <n v="25"/>
    <n v="150"/>
    <n v="100"/>
    <n v="57.58"/>
    <n v="71.209999999999994"/>
    <n v="28.79"/>
    <n v="124.1"/>
    <n v="3.6290000000000003E-2"/>
    <n v="1.9369999999999999E-4"/>
    <n v="23.084324971640822"/>
    <n v="3.5408339546820695"/>
    <n v="1"/>
  </r>
  <r>
    <n v="632"/>
    <s v="Biochar"/>
    <n v="0.5"/>
    <n v="60"/>
    <n v="100"/>
    <n v="3"/>
    <n v="25"/>
    <n v="150"/>
    <n v="100"/>
    <n v="61.805"/>
    <n v="69.097999999999999"/>
    <n v="30.9"/>
    <n v="91.9"/>
    <n v="3.6470000000000002E-2"/>
    <n v="2.1210000000000001E-4"/>
    <n v="27.210011321301703"/>
    <n v="3.5437088356981787"/>
    <n v="2"/>
  </r>
  <r>
    <n v="633"/>
    <s v="Biochar"/>
    <n v="0.5"/>
    <n v="60"/>
    <n v="100"/>
    <n v="3"/>
    <n v="25"/>
    <n v="150"/>
    <n v="100"/>
    <n v="68.225999999999999"/>
    <n v="65.887"/>
    <n v="34.11"/>
    <n v="71.2"/>
    <n v="3.6659999999999998E-2"/>
    <n v="1.8149999999999999E-4"/>
    <n v="29.082719310227304"/>
    <n v="3.6672287778158537"/>
    <n v="3"/>
  </r>
  <r>
    <n v="634"/>
    <s v="Biochar"/>
    <n v="0.5"/>
    <n v="60"/>
    <n v="100"/>
    <n v="7"/>
    <n v="25"/>
    <n v="150"/>
    <n v="100"/>
    <n v="89.694999999999993"/>
    <n v="55.152999999999999"/>
    <n v="44.85"/>
    <n v="73.900000000000006"/>
    <n v="3.354E-2"/>
    <n v="1.941E-4"/>
    <n v="45.825525408500752"/>
    <n v="3.7812187386190375"/>
    <n v="1"/>
  </r>
  <r>
    <n v="635"/>
    <s v="Biochar"/>
    <n v="0.5"/>
    <n v="60"/>
    <n v="100"/>
    <n v="7"/>
    <n v="25"/>
    <n v="150"/>
    <n v="100"/>
    <n v="93.266000000000005"/>
    <n v="53.366999999999997"/>
    <n v="46.63"/>
    <n v="97.5"/>
    <n v="3.0640000000000001E-2"/>
    <n v="2.0110000000000001E-4"/>
    <n v="49.383294916446133"/>
    <n v="3.7815202808075936"/>
    <n v="2"/>
  </r>
  <r>
    <n v="636"/>
    <s v="Biochar"/>
    <n v="0.5"/>
    <n v="60"/>
    <n v="100"/>
    <n v="7"/>
    <n v="25"/>
    <n v="150"/>
    <n v="100"/>
    <n v="78.944999999999993"/>
    <n v="60.527999999999999"/>
    <n v="39.47"/>
    <n v="69.5"/>
    <n v="3.424E-2"/>
    <n v="1.9379999999999999E-4"/>
    <n v="37.784346421063823"/>
    <n v="3.7174827898226792"/>
    <n v="3"/>
  </r>
  <r>
    <n v="637"/>
    <s v="Biochar"/>
    <n v="0.5"/>
    <n v="60"/>
    <n v="100"/>
    <n v="11"/>
    <n v="25"/>
    <n v="150"/>
    <n v="100"/>
    <n v="84.134"/>
    <n v="57.933"/>
    <n v="42.07"/>
    <n v="91.3"/>
    <n v="3.0179999999999998E-2"/>
    <n v="1.8870000000000001E-4"/>
    <n v="41.045040798726788"/>
    <n v="3.7632667972695022"/>
    <n v="1"/>
  </r>
  <r>
    <n v="638"/>
    <s v="Biochar"/>
    <n v="0.5"/>
    <n v="60"/>
    <n v="100"/>
    <n v="11"/>
    <n v="25"/>
    <n v="150"/>
    <n v="100"/>
    <n v="74.619"/>
    <n v="62.69"/>
    <n v="37.31"/>
    <n v="112.6"/>
    <n v="2.945E-2"/>
    <n v="1.6239999999999999E-4"/>
    <n v="31.413894037148559"/>
    <n v="3.7659586818502775"/>
    <n v="2"/>
  </r>
  <r>
    <n v="639"/>
    <s v="Biochar"/>
    <n v="0.5"/>
    <n v="60"/>
    <n v="100"/>
    <n v="11"/>
    <n v="25"/>
    <n v="150"/>
    <n v="100"/>
    <n v="80.370999999999995"/>
    <n v="59.814"/>
    <n v="40.19"/>
    <n v="90.7"/>
    <n v="3.1960000000000002E-2"/>
    <n v="2.107E-4"/>
    <n v="40.505424868200031"/>
    <n v="3.6855131728364681"/>
    <n v="3"/>
  </r>
  <r>
    <n v="640"/>
    <s v="Biochar"/>
    <n v="0.5"/>
    <n v="60"/>
    <n v="200"/>
    <n v="3"/>
    <n v="25"/>
    <n v="150"/>
    <n v="100"/>
    <n v="54.847000000000001"/>
    <n v="172.577"/>
    <n v="13.71"/>
    <n v="85.8"/>
    <n v="3.6150000000000002E-2"/>
    <n v="2.185E-4"/>
    <n v="22.941478921969761"/>
    <n v="3.4627790693615301"/>
    <n v="1"/>
  </r>
  <r>
    <n v="641"/>
    <s v="Biochar"/>
    <n v="0.5"/>
    <n v="60"/>
    <n v="200"/>
    <n v="3"/>
    <n v="25"/>
    <n v="150"/>
    <n v="100"/>
    <n v="66.926000000000002"/>
    <n v="166.53700000000001"/>
    <n v="16.73"/>
    <n v="86.8"/>
    <n v="3.1759999999999997E-2"/>
    <n v="2.051E-4"/>
    <n v="30.225891842654686"/>
    <n v="3.6027797021228118"/>
    <n v="2"/>
  </r>
  <r>
    <n v="642"/>
    <s v="Biochar"/>
    <n v="0.5"/>
    <n v="60"/>
    <n v="200"/>
    <n v="3"/>
    <n v="25"/>
    <n v="150"/>
    <n v="100"/>
    <n v="67.808999999999997"/>
    <n v="166.096"/>
    <n v="16.95"/>
    <n v="80.5"/>
    <n v="3.1510000000000003E-2"/>
    <n v="2.13E-4"/>
    <n v="31.481433514938839"/>
    <n v="3.5925768603689403"/>
    <n v="3"/>
  </r>
  <r>
    <n v="643"/>
    <s v="Biochar"/>
    <n v="0.5"/>
    <n v="60"/>
    <n v="200"/>
    <n v="7"/>
    <n v="25"/>
    <n v="150"/>
    <n v="100"/>
    <n v="119.848"/>
    <n v="140.07599999999999"/>
    <n v="29.96"/>
    <n v="82.7"/>
    <n v="3.5130000000000002E-2"/>
    <n v="1.7100000000000001E-4"/>
    <n v="66.095836332788508"/>
    <n v="3.9843839204712928"/>
    <n v="1"/>
  </r>
  <r>
    <n v="644"/>
    <s v="Biochar"/>
    <n v="0.5"/>
    <n v="60"/>
    <n v="200"/>
    <n v="7"/>
    <n v="25"/>
    <n v="150"/>
    <n v="100"/>
    <n v="107.065"/>
    <n v="146.46700000000001"/>
    <n v="26.77"/>
    <n v="85.1"/>
    <n v="4.4170000000000001E-2"/>
    <n v="1.7780000000000001E-4"/>
    <n v="57.08529297944137"/>
    <n v="3.9116170634560241"/>
    <n v="2"/>
  </r>
  <r>
    <n v="645"/>
    <s v="Biochar"/>
    <n v="0.5"/>
    <n v="60"/>
    <n v="200"/>
    <n v="7"/>
    <n v="25"/>
    <n v="150"/>
    <n v="100"/>
    <n v="126.53400000000001"/>
    <n v="136.733"/>
    <n v="31.63"/>
    <n v="98.5"/>
    <n v="3.5979999999999998E-2"/>
    <n v="2.352E-4"/>
    <n v="81.110454483365899"/>
    <n v="3.8160305943229114"/>
    <n v="3"/>
  </r>
  <r>
    <n v="646"/>
    <s v="Biochar"/>
    <n v="0.5"/>
    <n v="60"/>
    <n v="200"/>
    <n v="11"/>
    <n v="25"/>
    <n v="150"/>
    <n v="100"/>
    <n v="91.885000000000005"/>
    <n v="154.05799999999999"/>
    <n v="22.97"/>
    <n v="90.7"/>
    <n v="3.4810000000000001E-2"/>
    <n v="2.2450000000000001E-4"/>
    <n v="50.822582511114867"/>
    <n v="3.7150932868397089"/>
    <n v="1"/>
  </r>
  <r>
    <n v="647"/>
    <s v="Biochar"/>
    <n v="0.5"/>
    <n v="60"/>
    <n v="200"/>
    <n v="11"/>
    <n v="25"/>
    <n v="150"/>
    <n v="100"/>
    <n v="98.302000000000007"/>
    <n v="150.84899999999999"/>
    <n v="24.58"/>
    <n v="77.7"/>
    <n v="3.0380000000000001E-2"/>
    <n v="1.9589999999999999E-4"/>
    <n v="52.695570637912141"/>
    <n v="3.8200487013641387"/>
    <n v="2"/>
  </r>
  <r>
    <n v="648"/>
    <s v="Biochar"/>
    <n v="0.5"/>
    <n v="60"/>
    <n v="200"/>
    <n v="11"/>
    <n v="25"/>
    <n v="150"/>
    <n v="100"/>
    <n v="81.501000000000005"/>
    <n v="159.249"/>
    <n v="20.38"/>
    <n v="84.9"/>
    <n v="3.9329999999999997E-2"/>
    <n v="1.9090000000000001E-4"/>
    <n v="39.349215649507272"/>
    <n v="3.741277016896857"/>
    <n v="3"/>
  </r>
  <r>
    <n v="649"/>
    <s v="Biochar"/>
    <n v="0.5"/>
    <n v="120"/>
    <n v="25"/>
    <n v="3"/>
    <n v="25"/>
    <n v="150"/>
    <n v="100"/>
    <n v="14.32"/>
    <n v="17.84"/>
    <n v="28.64"/>
    <n v="86.5"/>
    <n v="3.7969999999999997E-2"/>
    <n v="1.551E-4"/>
    <n v="3.0134619406769314"/>
    <n v="2.4253811477206555"/>
    <n v="1"/>
  </r>
  <r>
    <n v="650"/>
    <s v="Biochar"/>
    <n v="0.5"/>
    <n v="120"/>
    <n v="25"/>
    <n v="3"/>
    <n v="25"/>
    <n v="150"/>
    <n v="100"/>
    <n v="13.509"/>
    <n v="18.245000000000001"/>
    <n v="27.02"/>
    <n v="88.4"/>
    <n v="3.9199999999999999E-2"/>
    <n v="1.9019999999999999E-4"/>
    <n v="3.1836187658903792"/>
    <n v="2.3346050615658922"/>
    <n v="2"/>
  </r>
  <r>
    <n v="651"/>
    <s v="Biochar"/>
    <n v="0.5"/>
    <n v="120"/>
    <n v="25"/>
    <n v="3"/>
    <n v="25"/>
    <n v="150"/>
    <n v="100"/>
    <n v="11.683"/>
    <n v="19.158999999999999"/>
    <n v="23.37"/>
    <n v="93.7"/>
    <n v="3.2779999999999997E-2"/>
    <n v="1.762E-4"/>
    <n v="2.3143051444683058"/>
    <n v="2.2373737968508283"/>
    <n v="3"/>
  </r>
  <r>
    <n v="652"/>
    <s v="Biochar"/>
    <n v="0.5"/>
    <n v="120"/>
    <n v="25"/>
    <n v="7"/>
    <n v="25"/>
    <n v="150"/>
    <n v="100"/>
    <n v="20.907"/>
    <n v="14.547000000000001"/>
    <n v="41.81"/>
    <n v="83.3"/>
    <n v="3.288E-2"/>
    <n v="1.5589999999999999E-4"/>
    <n v="5.878190533505383"/>
    <n v="2.7099689901481674"/>
    <n v="1"/>
  </r>
  <r>
    <n v="653"/>
    <s v="Biochar"/>
    <n v="0.5"/>
    <n v="120"/>
    <n v="25"/>
    <n v="7"/>
    <n v="25"/>
    <n v="150"/>
    <n v="100"/>
    <n v="24.298999999999999"/>
    <n v="12.85"/>
    <n v="48.6"/>
    <n v="102.1"/>
    <n v="3.7280000000000001E-2"/>
    <n v="1.772E-4"/>
    <n v="8.2779693732908797"/>
    <n v="2.7739022733230159"/>
    <n v="2"/>
  </r>
  <r>
    <n v="654"/>
    <s v="Biochar"/>
    <n v="0.5"/>
    <n v="120"/>
    <n v="25"/>
    <n v="7"/>
    <n v="25"/>
    <n v="150"/>
    <n v="100"/>
    <n v="21.849"/>
    <n v="14.074999999999999"/>
    <n v="43.7"/>
    <n v="85.6"/>
    <n v="3.7100000000000001E-2"/>
    <n v="2.1340000000000001E-4"/>
    <n v="7.8388228801206061"/>
    <n v="2.6397840026586796"/>
    <n v="3"/>
  </r>
  <r>
    <n v="655"/>
    <s v="Biochar"/>
    <n v="0.5"/>
    <n v="120"/>
    <n v="25"/>
    <n v="11"/>
    <n v="25"/>
    <n v="150"/>
    <n v="100"/>
    <n v="16.167999999999999"/>
    <n v="16.916"/>
    <n v="32.340000000000003"/>
    <n v="86.8"/>
    <n v="3.6600000000000001E-2"/>
    <n v="2.2910000000000001E-4"/>
    <n v="4.9751273200399302"/>
    <n v="2.4152772078723705"/>
    <n v="1"/>
  </r>
  <r>
    <n v="656"/>
    <s v="Biochar"/>
    <n v="0.5"/>
    <n v="120"/>
    <n v="25"/>
    <n v="11"/>
    <n v="25"/>
    <n v="150"/>
    <n v="100"/>
    <n v="18.678999999999998"/>
    <n v="15.661"/>
    <n v="37.36"/>
    <n v="95.9"/>
    <n v="3.5290000000000002E-2"/>
    <n v="2.2819999999999999E-4"/>
    <n v="6.3211243035229856"/>
    <n v="2.5142935680412681"/>
    <n v="2"/>
  </r>
  <r>
    <n v="657"/>
    <s v="Biochar"/>
    <n v="0.5"/>
    <n v="120"/>
    <n v="25"/>
    <n v="11"/>
    <n v="25"/>
    <n v="150"/>
    <n v="100"/>
    <n v="18.164000000000001"/>
    <n v="15.917999999999999"/>
    <n v="36.33"/>
    <n v="74.599999999999994"/>
    <n v="3.9910000000000001E-2"/>
    <n v="2.14E-4"/>
    <n v="5.7776375786906353"/>
    <n v="2.5165960626488535"/>
    <n v="3"/>
  </r>
  <r>
    <n v="658"/>
    <s v="Biochar"/>
    <n v="0.5"/>
    <n v="120"/>
    <n v="50"/>
    <n v="3"/>
    <n v="25"/>
    <n v="150"/>
    <n v="100"/>
    <n v="35.588999999999999"/>
    <n v="32.206000000000003"/>
    <n v="35.590000000000003"/>
    <n v="79.5"/>
    <n v="3.6040000000000003E-2"/>
    <n v="2.0929999999999999E-4"/>
    <n v="16.797154005911807"/>
    <n v="2.9334230520318525"/>
    <n v="1"/>
  </r>
  <r>
    <n v="659"/>
    <s v="Biochar"/>
    <n v="0.5"/>
    <n v="120"/>
    <n v="50"/>
    <n v="3"/>
    <n v="25"/>
    <n v="150"/>
    <n v="100"/>
    <n v="37.972999999999999"/>
    <n v="31.013000000000002"/>
    <n v="37.97"/>
    <n v="89.7"/>
    <n v="4.095E-2"/>
    <n v="2.2139999999999999E-4"/>
    <n v="19.070301936212523"/>
    <n v="2.9393046665748646"/>
    <n v="2"/>
  </r>
  <r>
    <n v="660"/>
    <s v="Biochar"/>
    <n v="0.5"/>
    <n v="120"/>
    <n v="50"/>
    <n v="3"/>
    <n v="25"/>
    <n v="150"/>
    <n v="100"/>
    <n v="37.948"/>
    <n v="31.026"/>
    <n v="37.950000000000003"/>
    <n v="97.8"/>
    <n v="3.1390000000000001E-2"/>
    <n v="2.0799999999999999E-4"/>
    <n v="18.459324344151728"/>
    <n v="2.969833561279946"/>
    <n v="3"/>
  </r>
  <r>
    <n v="661"/>
    <s v="Biochar"/>
    <n v="0.5"/>
    <n v="120"/>
    <n v="50"/>
    <n v="7"/>
    <n v="25"/>
    <n v="150"/>
    <n v="100"/>
    <n v="65.171000000000006"/>
    <n v="17.414000000000001"/>
    <n v="65.17"/>
    <n v="82.9"/>
    <n v="3.2030000000000003E-2"/>
    <n v="1.8699999999999999E-4"/>
    <n v="38.704944767664422"/>
    <n v="3.2758629772653123"/>
    <n v="1"/>
  </r>
  <r>
    <n v="662"/>
    <s v="Biochar"/>
    <n v="0.5"/>
    <n v="120"/>
    <n v="50"/>
    <n v="7"/>
    <n v="25"/>
    <n v="150"/>
    <n v="100"/>
    <n v="49.173000000000002"/>
    <n v="25.413"/>
    <n v="49.17"/>
    <n v="75.599999999999994"/>
    <n v="3.3700000000000001E-2"/>
    <n v="1.719E-4"/>
    <n v="24.761538042724421"/>
    <n v="3.1950527743474231"/>
    <n v="2"/>
  </r>
  <r>
    <n v="663"/>
    <s v="Biochar"/>
    <n v="0.5"/>
    <n v="120"/>
    <n v="50"/>
    <n v="7"/>
    <n v="25"/>
    <n v="150"/>
    <n v="100"/>
    <n v="55.273000000000003"/>
    <n v="22.364000000000001"/>
    <n v="55.27"/>
    <n v="97.3"/>
    <n v="3.1820000000000001E-2"/>
    <n v="2.3039999999999999E-4"/>
    <n v="33.410305414463366"/>
    <n v="3.0847817407298868"/>
    <n v="3"/>
  </r>
  <r>
    <n v="664"/>
    <s v="Biochar"/>
    <n v="0.5"/>
    <n v="120"/>
    <n v="50"/>
    <n v="11"/>
    <n v="25"/>
    <n v="150"/>
    <n v="100"/>
    <n v="46.557000000000002"/>
    <n v="26.722000000000001"/>
    <n v="46.56"/>
    <n v="99"/>
    <n v="3.27E-2"/>
    <n v="2.1709999999999999E-4"/>
    <n v="25.518119959889937"/>
    <n v="3.0463721564199489"/>
    <n v="1"/>
  </r>
  <r>
    <n v="665"/>
    <s v="Biochar"/>
    <n v="0.5"/>
    <n v="120"/>
    <n v="50"/>
    <n v="11"/>
    <n v="25"/>
    <n v="150"/>
    <n v="100"/>
    <n v="39.457999999999998"/>
    <n v="30.271000000000001"/>
    <n v="39.46"/>
    <n v="97.2"/>
    <n v="3.56E-2"/>
    <n v="2.1110000000000001E-4"/>
    <n v="19.724560528655253"/>
    <n v="2.9823146318228289"/>
    <n v="2"/>
  </r>
  <r>
    <n v="666"/>
    <s v="Biochar"/>
    <n v="0.5"/>
    <n v="120"/>
    <n v="50"/>
    <n v="11"/>
    <n v="25"/>
    <n v="150"/>
    <n v="100"/>
    <n v="39.087000000000003"/>
    <n v="30.456"/>
    <n v="39.090000000000003"/>
    <n v="74.2"/>
    <n v="3.7089999999999998E-2"/>
    <n v="1.8100000000000001E-4"/>
    <n v="17.947118006047951"/>
    <n v="3.0511613983050379"/>
    <n v="3"/>
  </r>
  <r>
    <n v="667"/>
    <s v="Biochar"/>
    <n v="0.5"/>
    <n v="120"/>
    <n v="100"/>
    <n v="3"/>
    <n v="25"/>
    <n v="150"/>
    <n v="100"/>
    <n v="76.314999999999998"/>
    <n v="61.843000000000004"/>
    <n v="38.159999999999997"/>
    <n v="68.099999999999994"/>
    <n v="3.7969999999999997E-2"/>
    <n v="1.7530000000000001E-4"/>
    <n v="47.023488862244008"/>
    <n v="3.3772977517845315"/>
    <n v="1"/>
  </r>
  <r>
    <n v="668"/>
    <s v="Biochar"/>
    <n v="0.5"/>
    <n v="120"/>
    <n v="100"/>
    <n v="3"/>
    <n v="25"/>
    <n v="150"/>
    <n v="100"/>
    <n v="76.963999999999999"/>
    <n v="61.518000000000001"/>
    <n v="38.479999999999997"/>
    <n v="93.8"/>
    <n v="3.2559999999999999E-2"/>
    <n v="2.1159999999999999E-4"/>
    <n v="50.912216338452552"/>
    <n v="3.2600862365481653"/>
    <n v="2"/>
  </r>
  <r>
    <n v="669"/>
    <s v="Biochar"/>
    <n v="0.5"/>
    <n v="120"/>
    <n v="100"/>
    <n v="3"/>
    <n v="25"/>
    <n v="150"/>
    <n v="100"/>
    <n v="74.835999999999999"/>
    <n v="62.582000000000001"/>
    <n v="37.42"/>
    <n v="78.8"/>
    <n v="3.1469999999999998E-2"/>
    <n v="1.607E-4"/>
    <n v="44.204894575944252"/>
    <n v="3.422016009780664"/>
    <n v="3"/>
  </r>
  <r>
    <n v="670"/>
    <s v="Biochar"/>
    <n v="0.5"/>
    <n v="120"/>
    <n v="100"/>
    <n v="7"/>
    <n v="25"/>
    <n v="150"/>
    <n v="100"/>
    <n v="108.483"/>
    <n v="45.758000000000003"/>
    <n v="54.24"/>
    <n v="65.599999999999994"/>
    <n v="3.533E-2"/>
    <n v="1.9469999999999999E-4"/>
    <n v="77.791239165582084"/>
    <n v="3.4239942418446145"/>
    <n v="1"/>
  </r>
  <r>
    <n v="671"/>
    <s v="Biochar"/>
    <n v="0.5"/>
    <n v="120"/>
    <n v="100"/>
    <n v="7"/>
    <n v="25"/>
    <n v="150"/>
    <n v="100"/>
    <n v="111.937"/>
    <n v="44.031999999999996"/>
    <n v="55.97"/>
    <n v="81.8"/>
    <n v="3.3849999999999998E-2"/>
    <n v="2.1460000000000001E-4"/>
    <n v="83.106589146599504"/>
    <n v="3.3614307624471547"/>
    <n v="2"/>
  </r>
  <r>
    <n v="672"/>
    <s v="Biochar"/>
    <n v="0.5"/>
    <n v="120"/>
    <n v="100"/>
    <n v="7"/>
    <n v="25"/>
    <n v="150"/>
    <n v="100"/>
    <n v="108.33"/>
    <n v="45.835000000000001"/>
    <n v="54.17"/>
    <n v="89.8"/>
    <n v="3.6639999999999999E-2"/>
    <n v="1.693E-4"/>
    <n v="74.48567748523206"/>
    <n v="3.5217712604686855"/>
    <n v="3"/>
  </r>
  <r>
    <n v="673"/>
    <s v="Biochar"/>
    <n v="0.5"/>
    <n v="120"/>
    <n v="100"/>
    <n v="11"/>
    <n v="25"/>
    <n v="150"/>
    <n v="100"/>
    <n v="92.045000000000002"/>
    <n v="53.978000000000002"/>
    <n v="46.02"/>
    <n v="93.6"/>
    <n v="3.1440000000000003E-2"/>
    <n v="1.951E-4"/>
    <n v="62.870280900610794"/>
    <n v="3.3733025499990781"/>
    <n v="1"/>
  </r>
  <r>
    <n v="674"/>
    <s v="Biochar"/>
    <n v="0.5"/>
    <n v="120"/>
    <n v="100"/>
    <n v="11"/>
    <n v="25"/>
    <n v="150"/>
    <n v="100"/>
    <n v="85.233000000000004"/>
    <n v="57.384"/>
    <n v="42.62"/>
    <n v="84"/>
    <n v="3.6170000000000001E-2"/>
    <n v="2.286E-4"/>
    <n v="59.699701901118196"/>
    <n v="3.2399834081381291"/>
    <n v="2"/>
  </r>
  <r>
    <n v="675"/>
    <s v="Biochar"/>
    <n v="0.5"/>
    <n v="120"/>
    <n v="100"/>
    <n v="11"/>
    <n v="25"/>
    <n v="150"/>
    <n v="100"/>
    <n v="94.825999999999993"/>
    <n v="52.587000000000003"/>
    <n v="47.41"/>
    <n v="68.8"/>
    <n v="3.7179999999999998E-2"/>
    <n v="2.2660000000000001E-4"/>
    <n v="68.327251272110956"/>
    <n v="3.2770975140618726"/>
    <n v="3"/>
  </r>
  <r>
    <n v="676"/>
    <s v="Biochar"/>
    <n v="0.5"/>
    <n v="120"/>
    <n v="200"/>
    <n v="3"/>
    <n v="25"/>
    <n v="150"/>
    <n v="100"/>
    <n v="96.77"/>
    <n v="151.61500000000001"/>
    <n v="24.19"/>
    <n v="99.7"/>
    <n v="4.2040000000000001E-2"/>
    <n v="2.2049999999999999E-4"/>
    <n v="69.591494033114472"/>
    <n v="3.3024264391064388"/>
    <n v="1"/>
  </r>
  <r>
    <n v="677"/>
    <s v="Biochar"/>
    <n v="0.5"/>
    <n v="120"/>
    <n v="200"/>
    <n v="3"/>
    <n v="25"/>
    <n v="150"/>
    <n v="100"/>
    <n v="95.489000000000004"/>
    <n v="152.256"/>
    <n v="23.87"/>
    <n v="99.2"/>
    <n v="3.551E-2"/>
    <n v="2.0049999999999999E-4"/>
    <n v="66.530697135776407"/>
    <n v="3.365856963045597"/>
    <n v="2"/>
  </r>
  <r>
    <n v="678"/>
    <s v="Biochar"/>
    <n v="0.5"/>
    <n v="120"/>
    <n v="200"/>
    <n v="3"/>
    <n v="25"/>
    <n v="150"/>
    <n v="100"/>
    <n v="89.891999999999996"/>
    <n v="155.054"/>
    <n v="22.47"/>
    <n v="105.8"/>
    <n v="3.2140000000000002E-2"/>
    <n v="2.3059999999999999E-4"/>
    <n v="64.116452745206232"/>
    <n v="3.2494262616773861"/>
    <n v="3"/>
  </r>
  <r>
    <n v="679"/>
    <s v="Biochar"/>
    <n v="0.5"/>
    <n v="120"/>
    <n v="200"/>
    <n v="7"/>
    <n v="25"/>
    <n v="150"/>
    <n v="100"/>
    <n v="139.161"/>
    <n v="130.41999999999999"/>
    <n v="34.79"/>
    <n v="67.7"/>
    <n v="3.6290000000000003E-2"/>
    <n v="1.5799999999999999E-4"/>
    <n v="100.91411679076239"/>
    <n v="3.6440620722266699"/>
    <n v="1"/>
  </r>
  <r>
    <n v="680"/>
    <s v="Biochar"/>
    <n v="0.5"/>
    <n v="120"/>
    <n v="200"/>
    <n v="7"/>
    <n v="25"/>
    <n v="150"/>
    <n v="100"/>
    <n v="140.82599999999999"/>
    <n v="129.58699999999999"/>
    <n v="35.21"/>
    <n v="97.1"/>
    <n v="3.2930000000000001E-2"/>
    <n v="2.0249999999999999E-4"/>
    <n v="108.97984137362944"/>
    <n v="3.4609167664671894"/>
    <n v="2"/>
  </r>
  <r>
    <n v="681"/>
    <s v="Biochar"/>
    <n v="0.5"/>
    <n v="120"/>
    <n v="200"/>
    <n v="7"/>
    <n v="25"/>
    <n v="150"/>
    <n v="100"/>
    <n v="158.43600000000001"/>
    <n v="120.782"/>
    <n v="39.61"/>
    <n v="79.2"/>
    <n v="3.1289999999999998E-2"/>
    <n v="2.296E-4"/>
    <n v="128.90585139201167"/>
    <n v="3.3854117281843585"/>
    <n v="3"/>
  </r>
  <r>
    <n v="682"/>
    <s v="Biochar"/>
    <n v="0.5"/>
    <n v="120"/>
    <n v="200"/>
    <n v="11"/>
    <n v="25"/>
    <n v="150"/>
    <n v="100"/>
    <n v="130.15299999999999"/>
    <n v="134.923"/>
    <n v="32.54"/>
    <n v="85.8"/>
    <n v="3.8539999999999998E-2"/>
    <n v="2.2680000000000001E-4"/>
    <n v="101.4991014809832"/>
    <n v="3.3552895078657183"/>
    <n v="1"/>
  </r>
  <r>
    <n v="683"/>
    <s v="Biochar"/>
    <n v="0.5"/>
    <n v="120"/>
    <n v="200"/>
    <n v="11"/>
    <n v="25"/>
    <n v="150"/>
    <n v="100"/>
    <n v="100.72199999999999"/>
    <n v="149.63900000000001"/>
    <n v="25.18"/>
    <n v="79.5"/>
    <n v="3.9309999999999998E-2"/>
    <n v="2.3369999999999999E-4"/>
    <n v="74.387025876965922"/>
    <n v="3.270897870327468"/>
    <n v="2"/>
  </r>
  <r>
    <n v="684"/>
    <s v="Biochar"/>
    <n v="0.5"/>
    <n v="120"/>
    <n v="200"/>
    <n v="11"/>
    <n v="25"/>
    <n v="150"/>
    <n v="100"/>
    <n v="114.92400000000001"/>
    <n v="142.53800000000001"/>
    <n v="28.73"/>
    <n v="74.400000000000006"/>
    <n v="4.1950000000000001E-2"/>
    <n v="1.894E-4"/>
    <n v="83.106659701697211"/>
    <n v="3.4600114335677139"/>
    <n v="3"/>
  </r>
  <r>
    <n v="685"/>
    <s v="Biochar"/>
    <n v="0.5"/>
    <n v="240"/>
    <n v="25"/>
    <n v="3"/>
    <n v="25"/>
    <n v="150"/>
    <n v="100"/>
    <n v="19.308"/>
    <n v="15.346"/>
    <n v="38.619999999999997"/>
    <n v="90.1"/>
    <n v="4.0439999999999997E-2"/>
    <n v="2.1709999999999999E-4"/>
    <n v="9.6829906820657659"/>
    <n v="2.2643648482704424"/>
    <n v="1"/>
  </r>
  <r>
    <n v="686"/>
    <s v="Biochar"/>
    <n v="0.5"/>
    <n v="240"/>
    <n v="25"/>
    <n v="3"/>
    <n v="25"/>
    <n v="150"/>
    <n v="100"/>
    <n v="20.806999999999999"/>
    <n v="14.597"/>
    <n v="41.61"/>
    <n v="91.7"/>
    <n v="3.5150000000000001E-2"/>
    <n v="2.1120000000000001E-4"/>
    <n v="10.680289410862347"/>
    <n v="2.3151765457979767"/>
    <n v="2"/>
  </r>
  <r>
    <n v="687"/>
    <s v="Biochar"/>
    <n v="0.5"/>
    <n v="240"/>
    <n v="25"/>
    <n v="3"/>
    <n v="25"/>
    <n v="150"/>
    <n v="100"/>
    <n v="14.923999999999999"/>
    <n v="17.538"/>
    <n v="29.85"/>
    <n v="81.900000000000006"/>
    <n v="3.5839999999999997E-2"/>
    <n v="1.7699999999999999E-4"/>
    <n v="5.7904258725880364"/>
    <n v="2.2119570886935609"/>
    <n v="3"/>
  </r>
  <r>
    <n v="688"/>
    <s v="Biochar"/>
    <n v="0.5"/>
    <n v="240"/>
    <n v="25"/>
    <n v="7"/>
    <n v="25"/>
    <n v="150"/>
    <n v="100"/>
    <n v="30.648"/>
    <n v="9.6760000000000002"/>
    <n v="61.3"/>
    <n v="83.1"/>
    <n v="4.1140000000000003E-2"/>
    <n v="2.3149999999999999E-4"/>
    <n v="19.308660299429601"/>
    <n v="2.4282780691413937"/>
    <n v="1"/>
  </r>
  <r>
    <n v="689"/>
    <s v="Biochar"/>
    <n v="0.5"/>
    <n v="240"/>
    <n v="25"/>
    <n v="7"/>
    <n v="25"/>
    <n v="150"/>
    <n v="100"/>
    <n v="28.134"/>
    <n v="10.933"/>
    <n v="56.27"/>
    <n v="83.8"/>
    <n v="3.474E-2"/>
    <n v="1.9100000000000001E-4"/>
    <n v="15.846599886334344"/>
    <n v="2.5085743563387712"/>
    <n v="2"/>
  </r>
  <r>
    <n v="690"/>
    <s v="Biochar"/>
    <n v="0.5"/>
    <n v="240"/>
    <n v="25"/>
    <n v="7"/>
    <n v="25"/>
    <n v="150"/>
    <n v="100"/>
    <n v="30.084"/>
    <n v="9.9580000000000002"/>
    <n v="60.17"/>
    <n v="76"/>
    <n v="3.1040000000000002E-2"/>
    <n v="2.1249999999999999E-4"/>
    <n v="18.213191519182537"/>
    <n v="2.4740823175756947"/>
    <n v="3"/>
  </r>
  <r>
    <n v="691"/>
    <s v="Biochar"/>
    <n v="0.5"/>
    <n v="240"/>
    <n v="25"/>
    <n v="11"/>
    <n v="25"/>
    <n v="150"/>
    <n v="100"/>
    <n v="25.222000000000001"/>
    <n v="12.388999999999999"/>
    <n v="50.44"/>
    <n v="75.400000000000006"/>
    <n v="3.8129999999999997E-2"/>
    <n v="1.874E-4"/>
    <n v="13.405011089389983"/>
    <n v="2.4695382342295971"/>
    <n v="1"/>
  </r>
  <r>
    <n v="692"/>
    <s v="Biochar"/>
    <n v="0.5"/>
    <n v="240"/>
    <n v="25"/>
    <n v="11"/>
    <n v="25"/>
    <n v="150"/>
    <n v="100"/>
    <n v="24.329000000000001"/>
    <n v="12.836"/>
    <n v="48.66"/>
    <n v="96.3"/>
    <n v="3.4880000000000001E-2"/>
    <n v="2.0909999999999999E-4"/>
    <n v="13.374562919060914"/>
    <n v="2.3937445870570953"/>
    <n v="2"/>
  </r>
  <r>
    <n v="693"/>
    <s v="Biochar"/>
    <n v="0.5"/>
    <n v="240"/>
    <n v="25"/>
    <n v="11"/>
    <n v="25"/>
    <n v="150"/>
    <n v="100"/>
    <n v="22.503"/>
    <n v="13.749000000000001"/>
    <n v="45.01"/>
    <n v="83.2"/>
    <n v="3.4279999999999998E-2"/>
    <n v="1.851E-4"/>
    <n v="11.249661609627195"/>
    <n v="2.4206648304410154"/>
    <n v="3"/>
  </r>
  <r>
    <n v="694"/>
    <s v="Biochar"/>
    <n v="0.5"/>
    <n v="240"/>
    <n v="50"/>
    <n v="3"/>
    <n v="25"/>
    <n v="150"/>
    <n v="100"/>
    <n v="45.76"/>
    <n v="27.12"/>
    <n v="45.76"/>
    <n v="65.8"/>
    <n v="3.3279999999999997E-2"/>
    <n v="1.9430000000000001E-4"/>
    <n v="31.15829370382593"/>
    <n v="2.6811383914865345"/>
    <n v="1"/>
  </r>
  <r>
    <n v="695"/>
    <s v="Biochar"/>
    <n v="0.5"/>
    <n v="240"/>
    <n v="50"/>
    <n v="3"/>
    <n v="25"/>
    <n v="150"/>
    <n v="100"/>
    <n v="45.39"/>
    <n v="27.305"/>
    <n v="45.39"/>
    <n v="82.6"/>
    <n v="3.4779999999999998E-2"/>
    <n v="2.096E-4"/>
    <n v="31.565488104255742"/>
    <n v="2.6264432408715139"/>
    <n v="2"/>
  </r>
  <r>
    <n v="696"/>
    <s v="Biochar"/>
    <n v="0.5"/>
    <n v="240"/>
    <n v="50"/>
    <n v="3"/>
    <n v="25"/>
    <n v="150"/>
    <n v="100"/>
    <n v="50.656999999999996"/>
    <n v="24.672000000000001"/>
    <n v="50.66"/>
    <n v="77.400000000000006"/>
    <n v="3.0790000000000001E-2"/>
    <n v="1.7919999999999999E-4"/>
    <n v="34.720391596879857"/>
    <n v="2.7686188780201197"/>
    <n v="3"/>
  </r>
  <r>
    <n v="697"/>
    <s v="Biochar"/>
    <n v="0.5"/>
    <n v="240"/>
    <n v="50"/>
    <n v="7"/>
    <n v="25"/>
    <n v="150"/>
    <n v="100"/>
    <n v="63.039000000000001"/>
    <n v="18.48"/>
    <n v="63.04"/>
    <n v="81.2"/>
    <n v="3.2309999999999998E-2"/>
    <n v="1.741E-4"/>
    <n v="45.6921024426697"/>
    <n v="2.8534136752640711"/>
    <n v="1"/>
  </r>
  <r>
    <n v="698"/>
    <s v="Biochar"/>
    <n v="0.5"/>
    <n v="240"/>
    <n v="50"/>
    <n v="7"/>
    <n v="25"/>
    <n v="150"/>
    <n v="100"/>
    <n v="63.244999999999997"/>
    <n v="18.376999999999999"/>
    <n v="63.25"/>
    <n v="88"/>
    <n v="3.7080000000000002E-2"/>
    <n v="1.8890000000000001E-4"/>
    <n v="46.891108754418859"/>
    <n v="2.7944658656981765"/>
    <n v="2"/>
  </r>
  <r>
    <n v="699"/>
    <s v="Biochar"/>
    <n v="0.5"/>
    <n v="240"/>
    <n v="50"/>
    <n v="7"/>
    <n v="25"/>
    <n v="150"/>
    <n v="100"/>
    <n v="63.530999999999999"/>
    <n v="18.234000000000002"/>
    <n v="63.53"/>
    <n v="73.8"/>
    <n v="3.4889999999999997E-2"/>
    <n v="1.83E-4"/>
    <n v="46.769448208986859"/>
    <n v="2.8190876797304414"/>
    <n v="3"/>
  </r>
  <r>
    <n v="700"/>
    <s v="Biochar"/>
    <n v="0.5"/>
    <n v="240"/>
    <n v="50"/>
    <n v="11"/>
    <n v="25"/>
    <n v="150"/>
    <n v="100"/>
    <n v="57.518000000000001"/>
    <n v="21.241"/>
    <n v="57.52"/>
    <n v="62.8"/>
    <n v="3.3739999999999999E-2"/>
    <n v="2.0599999999999999E-4"/>
    <n v="42.553733579674407"/>
    <n v="2.7056651204122519"/>
    <n v="1"/>
  </r>
  <r>
    <n v="701"/>
    <s v="Biochar"/>
    <n v="0.5"/>
    <n v="240"/>
    <n v="50"/>
    <n v="11"/>
    <n v="25"/>
    <n v="150"/>
    <n v="100"/>
    <n v="55.4"/>
    <n v="22.3"/>
    <n v="55.4"/>
    <n v="120.3"/>
    <n v="3.6220000000000002E-2"/>
    <n v="1.7990000000000001E-4"/>
    <n v="39.067214001714163"/>
    <n v="2.7931744985720033"/>
    <n v="2"/>
  </r>
  <r>
    <n v="702"/>
    <s v="Biochar"/>
    <n v="0.5"/>
    <n v="240"/>
    <n v="50"/>
    <n v="11"/>
    <n v="25"/>
    <n v="150"/>
    <n v="100"/>
    <n v="53.881"/>
    <n v="23.06"/>
    <n v="53.88"/>
    <n v="62.9"/>
    <n v="3.4720000000000001E-2"/>
    <n v="1.8330000000000001E-4"/>
    <n v="37.89415218188568"/>
    <n v="2.7717663728353226"/>
    <n v="3"/>
  </r>
  <r>
    <n v="703"/>
    <s v="Biochar"/>
    <n v="0.5"/>
    <n v="240"/>
    <n v="100"/>
    <n v="3"/>
    <n v="25"/>
    <n v="150"/>
    <n v="100"/>
    <n v="93.052999999999997"/>
    <n v="53.472999999999999"/>
    <n v="46.53"/>
    <n v="78.599999999999994"/>
    <n v="3.4590000000000003E-2"/>
    <n v="1.873E-4"/>
    <n v="75.099215700677803"/>
    <n v="2.8878009171887054"/>
    <n v="1"/>
  </r>
  <r>
    <n v="704"/>
    <s v="Biochar"/>
    <n v="0.5"/>
    <n v="240"/>
    <n v="100"/>
    <n v="3"/>
    <n v="25"/>
    <n v="150"/>
    <n v="100"/>
    <n v="100.07299999999999"/>
    <n v="49.963000000000001"/>
    <n v="50.04"/>
    <n v="81.599999999999994"/>
    <n v="4.1410000000000002E-2"/>
    <n v="2.163E-4"/>
    <n v="83.919139081865012"/>
    <n v="2.782159087235299"/>
    <n v="2"/>
  </r>
  <r>
    <n v="705"/>
    <s v="Biochar"/>
    <n v="0.5"/>
    <n v="240"/>
    <n v="100"/>
    <n v="3"/>
    <n v="25"/>
    <n v="150"/>
    <n v="100"/>
    <n v="89.358999999999995"/>
    <n v="55.32"/>
    <n v="44.68"/>
    <n v="90.5"/>
    <n v="3.6380000000000003E-2"/>
    <n v="1.6139999999999999E-4"/>
    <n v="69.329682920100822"/>
    <n v="2.9971970542337365"/>
    <n v="3"/>
  </r>
  <r>
    <n v="706"/>
    <s v="Biochar"/>
    <n v="0.5"/>
    <n v="240"/>
    <n v="100"/>
    <n v="7"/>
    <n v="25"/>
    <n v="150"/>
    <n v="100"/>
    <n v="115.366"/>
    <n v="42.317"/>
    <n v="57.68"/>
    <n v="96.6"/>
    <n v="3.483E-2"/>
    <n v="1.719E-4"/>
    <n v="95.335579846785038"/>
    <n v="2.9972521256541831"/>
    <n v="1"/>
  </r>
  <r>
    <n v="707"/>
    <s v="Biochar"/>
    <n v="0.5"/>
    <n v="240"/>
    <n v="100"/>
    <n v="7"/>
    <n v="25"/>
    <n v="150"/>
    <n v="100"/>
    <n v="118.053"/>
    <n v="40.972999999999999"/>
    <n v="59.03"/>
    <n v="107.6"/>
    <n v="3.9359999999999999E-2"/>
    <n v="1.9880000000000001E-4"/>
    <n v="100.25394930393243"/>
    <n v="2.8791451241942574"/>
    <n v="2"/>
  </r>
  <r>
    <n v="708"/>
    <s v="Biochar"/>
    <n v="0.5"/>
    <n v="240"/>
    <n v="100"/>
    <n v="7"/>
    <n v="25"/>
    <n v="150"/>
    <n v="100"/>
    <n v="129.96700000000001"/>
    <n v="35.017000000000003"/>
    <n v="64.98"/>
    <n v="81"/>
    <n v="2.904E-2"/>
    <n v="1.8149999999999999E-4"/>
    <n v="110.45642695885587"/>
    <n v="2.9709565258666304"/>
    <n v="3"/>
  </r>
  <r>
    <n v="709"/>
    <s v="Biochar"/>
    <n v="0.5"/>
    <n v="240"/>
    <n v="100"/>
    <n v="11"/>
    <n v="25"/>
    <n v="150"/>
    <n v="100"/>
    <n v="113.98"/>
    <n v="43.01"/>
    <n v="56.99"/>
    <n v="82.2"/>
    <n v="3.415E-2"/>
    <n v="1.94E-4"/>
    <n v="95.907755162719326"/>
    <n v="2.8943773269535606"/>
    <n v="1"/>
  </r>
  <r>
    <n v="710"/>
    <s v="Biochar"/>
    <n v="0.5"/>
    <n v="240"/>
    <n v="100"/>
    <n v="11"/>
    <n v="25"/>
    <n v="150"/>
    <n v="100"/>
    <n v="117.34399999999999"/>
    <n v="41.328000000000003"/>
    <n v="58.67"/>
    <n v="106.6"/>
    <n v="4.2770000000000002E-2"/>
    <n v="1.9680000000000001E-4"/>
    <n v="99.408051887489776"/>
    <n v="2.8868069734013453"/>
    <n v="2"/>
  </r>
  <r>
    <n v="711"/>
    <s v="Biochar"/>
    <n v="0.5"/>
    <n v="240"/>
    <n v="100"/>
    <n v="11"/>
    <n v="25"/>
    <n v="150"/>
    <n v="100"/>
    <n v="101.488"/>
    <n v="49.256"/>
    <n v="50.74"/>
    <n v="66.2"/>
    <n v="4.0169999999999997E-2"/>
    <n v="1.7660000000000001E-4"/>
    <n v="82.344620913457462"/>
    <n v="2.951956916238804"/>
    <n v="3"/>
  </r>
  <r>
    <n v="712"/>
    <s v="Biochar"/>
    <n v="0.5"/>
    <n v="240"/>
    <n v="200"/>
    <n v="3"/>
    <n v="25"/>
    <n v="150"/>
    <n v="100"/>
    <n v="108.842"/>
    <n v="145.57900000000001"/>
    <n v="27.21"/>
    <n v="71.599999999999994"/>
    <n v="3.2939999999999997E-2"/>
    <n v="1.8330000000000001E-4"/>
    <n v="90.037807412991484"/>
    <n v="2.9340798549201432"/>
    <n v="1"/>
  </r>
  <r>
    <n v="713"/>
    <s v="Biochar"/>
    <n v="0.5"/>
    <n v="240"/>
    <n v="200"/>
    <n v="3"/>
    <n v="25"/>
    <n v="150"/>
    <n v="100"/>
    <n v="100.057"/>
    <n v="149.97200000000001"/>
    <n v="25.01"/>
    <n v="78.8"/>
    <n v="3.3079999999999998E-2"/>
    <n v="2.1670000000000001E-4"/>
    <n v="83.928566899476749"/>
    <n v="2.7805837454794919"/>
    <n v="2"/>
  </r>
  <r>
    <n v="714"/>
    <s v="Biochar"/>
    <n v="0.5"/>
    <n v="240"/>
    <n v="200"/>
    <n v="3"/>
    <n v="25"/>
    <n v="150"/>
    <n v="100"/>
    <n v="94.762"/>
    <n v="152.619"/>
    <n v="23.69"/>
    <n v="88.5"/>
    <n v="3.9260000000000003E-2"/>
    <n v="1.897E-4"/>
    <n v="76.930570450608641"/>
    <n v="2.8809626052954749"/>
    <n v="3"/>
  </r>
  <r>
    <n v="715"/>
    <s v="Biochar"/>
    <n v="0.5"/>
    <n v="240"/>
    <n v="200"/>
    <n v="7"/>
    <n v="25"/>
    <n v="150"/>
    <n v="100"/>
    <n v="136.751"/>
    <n v="131.625"/>
    <n v="34.19"/>
    <n v="82.8"/>
    <n v="3.9129999999999998E-2"/>
    <n v="2.039E-4"/>
    <n v="118.97276734778052"/>
    <n v="2.87797482425762"/>
    <n v="1"/>
  </r>
  <r>
    <n v="716"/>
    <s v="Biochar"/>
    <n v="0.5"/>
    <n v="240"/>
    <n v="200"/>
    <n v="7"/>
    <n v="25"/>
    <n v="150"/>
    <n v="100"/>
    <n v="139.501"/>
    <n v="130.249"/>
    <n v="34.880000000000003"/>
    <n v="91.9"/>
    <n v="3.1140000000000001E-2"/>
    <n v="2.1359999999999999E-4"/>
    <n v="122.38720913320813"/>
    <n v="2.8398846219137117"/>
    <n v="2"/>
  </r>
  <r>
    <n v="717"/>
    <s v="Biochar"/>
    <n v="0.5"/>
    <n v="240"/>
    <n v="200"/>
    <n v="7"/>
    <n v="25"/>
    <n v="150"/>
    <n v="100"/>
    <n v="153.34800000000001"/>
    <n v="123.32599999999999"/>
    <n v="38.340000000000003"/>
    <n v="81.8"/>
    <n v="3.2059999999999998E-2"/>
    <n v="1.8230000000000001E-4"/>
    <n v="133.45665265442756"/>
    <n v="2.9902848304194265"/>
    <n v="3"/>
  </r>
  <r>
    <n v="718"/>
    <s v="Biochar"/>
    <n v="0.5"/>
    <n v="240"/>
    <n v="200"/>
    <n v="11"/>
    <n v="25"/>
    <n v="150"/>
    <n v="100"/>
    <n v="129.37799999999999"/>
    <n v="135.31100000000001"/>
    <n v="32.340000000000003"/>
    <n v="101.5"/>
    <n v="3.2770000000000001E-2"/>
    <n v="2.0919999999999999E-4"/>
    <n v="112.11795882636639"/>
    <n v="2.8483940711468514"/>
    <n v="1"/>
  </r>
  <r>
    <n v="719"/>
    <s v="Biochar"/>
    <n v="0.5"/>
    <n v="240"/>
    <n v="200"/>
    <n v="11"/>
    <n v="25"/>
    <n v="150"/>
    <n v="100"/>
    <n v="97.179000000000002"/>
    <n v="151.41"/>
    <n v="24.29"/>
    <n v="78.2"/>
    <n v="3.4889999999999997E-2"/>
    <n v="1.818E-4"/>
    <n v="78.633793230411868"/>
    <n v="2.9202113604932092"/>
    <n v="2"/>
  </r>
  <r>
    <n v="720"/>
    <s v="Biochar"/>
    <n v="0.5"/>
    <n v="240"/>
    <n v="200"/>
    <n v="11"/>
    <n v="25"/>
    <n v="150"/>
    <n v="100"/>
    <n v="111.309"/>
    <n v="144.346"/>
    <n v="27.83"/>
    <n v="77.099999999999994"/>
    <n v="3.6020000000000003E-2"/>
    <n v="1.963E-4"/>
    <n v="93.482416839549629"/>
    <n v="2.8806907792119367"/>
    <n v="3"/>
  </r>
  <r>
    <n v="721"/>
    <s v="Biochar"/>
    <n v="1"/>
    <n v="30"/>
    <n v="25"/>
    <n v="3"/>
    <n v="25"/>
    <n v="150"/>
    <n v="100"/>
    <n v="1.2889999999999999"/>
    <n v="23.710999999999999"/>
    <n v="5.15"/>
    <n v="58.4"/>
    <n v="3.288E-2"/>
    <n v="2.0919999999999999E-4"/>
    <n v="1.0344025074338518E-2"/>
    <n v="0.24580950668542903"/>
    <n v="1"/>
  </r>
  <r>
    <n v="722"/>
    <s v="Biochar"/>
    <n v="1"/>
    <n v="30"/>
    <n v="25"/>
    <n v="3"/>
    <n v="25"/>
    <n v="150"/>
    <n v="100"/>
    <n v="1.204"/>
    <n v="23.795999999999999"/>
    <n v="4.82"/>
    <n v="79.3"/>
    <n v="3.3160000000000002E-2"/>
    <n v="2.2780000000000001E-4"/>
    <n v="9.8258274990254777E-3"/>
    <n v="0.17745487744835589"/>
    <n v="2"/>
  </r>
  <r>
    <n v="723"/>
    <s v="Biochar"/>
    <n v="1"/>
    <n v="30"/>
    <n v="25"/>
    <n v="3"/>
    <n v="25"/>
    <n v="150"/>
    <n v="100"/>
    <n v="1.5960000000000001"/>
    <n v="23.404"/>
    <n v="6.38"/>
    <n v="90.6"/>
    <n v="3.5490000000000001E-2"/>
    <n v="1.574E-4"/>
    <n v="1.1937985568107249E-2"/>
    <n v="0.4599924431510572"/>
    <n v="3"/>
  </r>
  <r>
    <n v="724"/>
    <s v="Biochar"/>
    <n v="1"/>
    <n v="30"/>
    <n v="25"/>
    <n v="7"/>
    <n v="25"/>
    <n v="150"/>
    <n v="100"/>
    <n v="3.08"/>
    <n v="21.92"/>
    <n v="12.32"/>
    <n v="88.5"/>
    <n v="3.678E-2"/>
    <n v="2.7849999999999999E-4"/>
    <n v="7.7270440837745938E-2"/>
    <n v="1.0995217280568019"/>
    <n v="1"/>
  </r>
  <r>
    <n v="725"/>
    <s v="Biochar"/>
    <n v="1"/>
    <n v="30"/>
    <n v="25"/>
    <n v="7"/>
    <n v="25"/>
    <n v="150"/>
    <n v="100"/>
    <n v="2.2639999999999998"/>
    <n v="22.736000000000001"/>
    <n v="9.06"/>
    <n v="107.9"/>
    <n v="3.3989999999999999E-2"/>
    <n v="2.0570000000000001E-4"/>
    <n v="3.1194842381037216E-2"/>
    <n v="0.80325871317055841"/>
    <n v="2"/>
  </r>
  <r>
    <n v="726"/>
    <s v="Biochar"/>
    <n v="1"/>
    <n v="30"/>
    <n v="25"/>
    <n v="7"/>
    <n v="25"/>
    <n v="150"/>
    <n v="100"/>
    <n v="2.847"/>
    <n v="22.152999999999999"/>
    <n v="11.39"/>
    <n v="80.3"/>
    <n v="3.3009999999999998E-2"/>
    <n v="2.0660000000000001E-4"/>
    <n v="4.9366223122450835E-2"/>
    <n v="1.0287739802134288"/>
    <n v="3"/>
  </r>
  <r>
    <n v="727"/>
    <s v="Biochar"/>
    <n v="1"/>
    <n v="30"/>
    <n v="25"/>
    <n v="11"/>
    <n v="25"/>
    <n v="150"/>
    <n v="100"/>
    <n v="1.786"/>
    <n v="23.213999999999999"/>
    <n v="7.14"/>
    <n v="95.4"/>
    <n v="3.354E-2"/>
    <n v="1.774E-4"/>
    <n v="1.6816254268086448E-2"/>
    <n v="0.5705182796150452"/>
    <n v="1"/>
  </r>
  <r>
    <n v="728"/>
    <s v="Biochar"/>
    <n v="1"/>
    <n v="30"/>
    <n v="25"/>
    <n v="11"/>
    <n v="25"/>
    <n v="150"/>
    <n v="100"/>
    <n v="2.0110000000000001"/>
    <n v="22.989000000000001"/>
    <n v="8.0399999999999991"/>
    <n v="101.9"/>
    <n v="3.313E-2"/>
    <n v="2.0719999999999999E-4"/>
    <n v="2.4827898074775635E-2"/>
    <n v="0.68620921943400215"/>
    <n v="2"/>
  </r>
  <r>
    <n v="729"/>
    <s v="Biochar"/>
    <n v="1"/>
    <n v="30"/>
    <n v="25"/>
    <n v="11"/>
    <n v="25"/>
    <n v="150"/>
    <n v="100"/>
    <n v="1.952"/>
    <n v="23.047999999999998"/>
    <n v="7.81"/>
    <n v="95.5"/>
    <n v="3.7400000000000003E-2"/>
    <n v="2.3699999999999999E-4"/>
    <n v="2.6720416264383182E-2"/>
    <n v="0.6550711954979026"/>
    <n v="3"/>
  </r>
  <r>
    <n v="730"/>
    <s v="Biochar"/>
    <n v="1"/>
    <n v="30"/>
    <n v="50"/>
    <n v="3"/>
    <n v="25"/>
    <n v="150"/>
    <n v="100"/>
    <n v="5.843"/>
    <n v="44.156999999999996"/>
    <n v="11.69"/>
    <n v="94.3"/>
    <n v="3.5340000000000003E-2"/>
    <n v="2.2589999999999999E-4"/>
    <n v="0.22255831179442295"/>
    <n v="1.726410253024792"/>
    <n v="1"/>
  </r>
  <r>
    <n v="731"/>
    <s v="Biochar"/>
    <n v="1"/>
    <n v="30"/>
    <n v="50"/>
    <n v="3"/>
    <n v="25"/>
    <n v="150"/>
    <n v="100"/>
    <n v="5.52"/>
    <n v="44.48"/>
    <n v="11.04"/>
    <n v="95.3"/>
    <n v="3.4320000000000003E-2"/>
    <n v="1.9870000000000001E-4"/>
    <n v="0.17584783076603619"/>
    <n v="1.6760029106107501"/>
    <n v="2"/>
  </r>
  <r>
    <n v="732"/>
    <s v="Biochar"/>
    <n v="1"/>
    <n v="30"/>
    <n v="50"/>
    <n v="3"/>
    <n v="25"/>
    <n v="150"/>
    <n v="100"/>
    <n v="6.0019999999999998"/>
    <n v="43.997999999999998"/>
    <n v="12"/>
    <n v="89"/>
    <n v="3.4590000000000003E-2"/>
    <n v="2.0430000000000001E-4"/>
    <n v="0.21295722123276828"/>
    <n v="1.7559669547339676"/>
    <n v="3"/>
  </r>
  <r>
    <n v="733"/>
    <s v="Biochar"/>
    <n v="1"/>
    <n v="30"/>
    <n v="50"/>
    <n v="7"/>
    <n v="25"/>
    <n v="150"/>
    <n v="100"/>
    <n v="11.574999999999999"/>
    <n v="38.424999999999997"/>
    <n v="23.15"/>
    <n v="98.4"/>
    <n v="3.8039999999999997E-2"/>
    <n v="1.9090000000000001E-4"/>
    <n v="0.71960444286722069"/>
    <n v="2.3846622427522624"/>
    <n v="1"/>
  </r>
  <r>
    <n v="734"/>
    <s v="Biochar"/>
    <n v="1"/>
    <n v="30"/>
    <n v="50"/>
    <n v="7"/>
    <n v="25"/>
    <n v="150"/>
    <n v="100"/>
    <n v="9.1080000000000005"/>
    <n v="40.892000000000003"/>
    <n v="18.22"/>
    <n v="98"/>
    <n v="3.807E-2"/>
    <n v="2.2949999999999999E-4"/>
    <n v="0.53744719614477943"/>
    <n v="2.1483322350632252"/>
    <n v="2"/>
  </r>
  <r>
    <n v="735"/>
    <s v="Biochar"/>
    <n v="1"/>
    <n v="30"/>
    <n v="50"/>
    <n v="7"/>
    <n v="25"/>
    <n v="150"/>
    <n v="100"/>
    <n v="9.3930000000000007"/>
    <n v="40.606999999999999"/>
    <n v="18.79"/>
    <n v="82.8"/>
    <n v="2.9260000000000001E-2"/>
    <n v="1.9220000000000001E-4"/>
    <n v="0.48258823954204955"/>
    <n v="2.1872204537098603"/>
    <n v="3"/>
  </r>
  <r>
    <n v="736"/>
    <s v="Biochar"/>
    <n v="1"/>
    <n v="30"/>
    <n v="50"/>
    <n v="11"/>
    <n v="25"/>
    <n v="150"/>
    <n v="100"/>
    <n v="8.2119999999999997"/>
    <n v="41.787999999999997"/>
    <n v="16.420000000000002"/>
    <n v="79.7"/>
    <n v="3.7240000000000002E-2"/>
    <n v="1.962E-4"/>
    <n v="0.37863234306008148"/>
    <n v="2.0583925142094146"/>
    <n v="1"/>
  </r>
  <r>
    <n v="737"/>
    <s v="Biochar"/>
    <n v="1"/>
    <n v="30"/>
    <n v="50"/>
    <n v="11"/>
    <n v="25"/>
    <n v="150"/>
    <n v="100"/>
    <n v="7.7089999999999996"/>
    <n v="42.290999999999997"/>
    <n v="15.42"/>
    <n v="71"/>
    <n v="3.5299999999999998E-2"/>
    <n v="1.4019999999999999E-4"/>
    <n v="0.24210694367064792"/>
    <n v="2.0104789897773507"/>
    <n v="2"/>
  </r>
  <r>
    <n v="738"/>
    <s v="Biochar"/>
    <n v="1"/>
    <n v="30"/>
    <n v="50"/>
    <n v="11"/>
    <n v="25"/>
    <n v="150"/>
    <n v="100"/>
    <n v="7.3280000000000003"/>
    <n v="42.671999999999997"/>
    <n v="14.66"/>
    <n v="64.8"/>
    <n v="3.9219999999999998E-2"/>
    <n v="2.1550000000000001E-4"/>
    <n v="0.33146450717121972"/>
    <n v="1.9454150969413455"/>
    <n v="3"/>
  </r>
  <r>
    <n v="739"/>
    <s v="Biochar"/>
    <n v="1"/>
    <n v="30"/>
    <n v="100"/>
    <n v="3"/>
    <n v="25"/>
    <n v="150"/>
    <n v="100"/>
    <n v="20.059999999999999"/>
    <n v="79.94"/>
    <n v="20.059999999999999"/>
    <n v="105.3"/>
    <n v="3.168E-2"/>
    <n v="2.3489999999999999E-4"/>
    <n v="2.484519488027479"/>
    <n v="2.8665047779757544"/>
    <n v="1"/>
  </r>
  <r>
    <n v="740"/>
    <s v="Biochar"/>
    <n v="1"/>
    <n v="30"/>
    <n v="100"/>
    <n v="3"/>
    <n v="25"/>
    <n v="150"/>
    <n v="100"/>
    <n v="20.952000000000002"/>
    <n v="79.048000000000002"/>
    <n v="20.95"/>
    <n v="82.7"/>
    <n v="3.8969999999999998E-2"/>
    <n v="1.7789999999999999E-4"/>
    <n v="2.107236934112326"/>
    <n v="2.936235053856175"/>
    <n v="2"/>
  </r>
  <r>
    <n v="741"/>
    <s v="Biochar"/>
    <n v="1"/>
    <n v="30"/>
    <n v="100"/>
    <n v="3"/>
    <n v="25"/>
    <n v="150"/>
    <n v="100"/>
    <n v="17.585000000000001"/>
    <n v="82.415000000000006"/>
    <n v="17.59"/>
    <n v="77.900000000000006"/>
    <n v="3.3149999999999999E-2"/>
    <n v="1.7890000000000001E-4"/>
    <n v="1.5165219856322221"/>
    <n v="2.7768594655172985"/>
    <n v="3"/>
  </r>
  <r>
    <n v="742"/>
    <s v="Biochar"/>
    <n v="1"/>
    <n v="30"/>
    <n v="100"/>
    <n v="7"/>
    <n v="25"/>
    <n v="150"/>
    <n v="100"/>
    <n v="34.887"/>
    <n v="65.113"/>
    <n v="34.89"/>
    <n v="82.4"/>
    <n v="3.6229999999999998E-2"/>
    <n v="1.886E-4"/>
    <n v="5.7511452006131671"/>
    <n v="3.3719695394262539"/>
    <n v="1"/>
  </r>
  <r>
    <n v="743"/>
    <s v="Biochar"/>
    <n v="1"/>
    <n v="30"/>
    <n v="100"/>
    <n v="7"/>
    <n v="25"/>
    <n v="150"/>
    <n v="100"/>
    <n v="25.425999999999998"/>
    <n v="74.573999999999998"/>
    <n v="25.43"/>
    <n v="89.2"/>
    <n v="2.8309999999999998E-2"/>
    <n v="1.986E-4"/>
    <n v="3.3450077401997786"/>
    <n v="3.0947171597017005"/>
    <n v="2"/>
  </r>
  <r>
    <n v="744"/>
    <s v="Biochar"/>
    <n v="1"/>
    <n v="30"/>
    <n v="100"/>
    <n v="7"/>
    <n v="25"/>
    <n v="150"/>
    <n v="100"/>
    <n v="26.832000000000001"/>
    <n v="73.168000000000006"/>
    <n v="26.83"/>
    <n v="111.3"/>
    <n v="3.8190000000000002E-2"/>
    <n v="2.0210000000000001E-4"/>
    <n v="3.7543309557646221"/>
    <n v="3.1388654419224142"/>
    <n v="3"/>
  </r>
  <r>
    <n v="745"/>
    <s v="Biochar"/>
    <n v="1"/>
    <n v="30"/>
    <n v="100"/>
    <n v="11"/>
    <n v="25"/>
    <n v="150"/>
    <n v="100"/>
    <n v="26.702000000000002"/>
    <n v="73.298000000000002"/>
    <n v="26.7"/>
    <n v="74.8"/>
    <n v="3.6900000000000002E-2"/>
    <n v="2.04E-4"/>
    <n v="3.7506270674715698"/>
    <n v="3.1333777574853672"/>
    <n v="1"/>
  </r>
  <r>
    <n v="746"/>
    <s v="Biochar"/>
    <n v="1"/>
    <n v="30"/>
    <n v="100"/>
    <n v="11"/>
    <n v="25"/>
    <n v="150"/>
    <n v="100"/>
    <n v="24.332000000000001"/>
    <n v="75.668000000000006"/>
    <n v="24.33"/>
    <n v="102.1"/>
    <n v="3.7560000000000003E-2"/>
    <n v="2.0579999999999999E-4"/>
    <n v="3.177892104896749"/>
    <n v="3.0518341133515499"/>
    <n v="2"/>
  </r>
  <r>
    <n v="747"/>
    <s v="Biochar"/>
    <n v="1"/>
    <n v="30"/>
    <n v="100"/>
    <n v="11"/>
    <n v="25"/>
    <n v="150"/>
    <n v="100"/>
    <n v="19.783000000000001"/>
    <n v="80.216999999999999"/>
    <n v="19.78"/>
    <n v="73.400000000000006"/>
    <n v="3.4569999999999997E-2"/>
    <n v="2.019E-4"/>
    <n v="2.1168567609549558"/>
    <n v="2.8716499964665125"/>
    <n v="3"/>
  </r>
  <r>
    <n v="748"/>
    <s v="Biochar"/>
    <n v="1"/>
    <n v="30"/>
    <n v="200"/>
    <n v="3"/>
    <n v="25"/>
    <n v="150"/>
    <n v="100"/>
    <n v="39.609000000000002"/>
    <n v="160.39099999999999"/>
    <n v="19.8"/>
    <n v="116.7"/>
    <n v="4.0309999999999999E-2"/>
    <n v="2.12E-4"/>
    <n v="7.9702260542911123"/>
    <n v="3.4543833920130242"/>
    <n v="1"/>
  </r>
  <r>
    <n v="749"/>
    <s v="Biochar"/>
    <n v="1"/>
    <n v="30"/>
    <n v="200"/>
    <n v="3"/>
    <n v="25"/>
    <n v="150"/>
    <n v="100"/>
    <n v="44.976999999999997"/>
    <n v="155.023"/>
    <n v="22.49"/>
    <n v="83"/>
    <n v="3.1669999999999997E-2"/>
    <n v="2.0149999999999999E-4"/>
    <n v="9.6145530215084953"/>
    <n v="3.5656504372555187"/>
    <n v="2"/>
  </r>
  <r>
    <n v="750"/>
    <s v="Biochar"/>
    <n v="1"/>
    <n v="30"/>
    <n v="200"/>
    <n v="3"/>
    <n v="25"/>
    <n v="150"/>
    <n v="100"/>
    <n v="45.807000000000002"/>
    <n v="154.19300000000001"/>
    <n v="22.9"/>
    <n v="69.7"/>
    <n v="3.6170000000000001E-2"/>
    <n v="1.9689999999999999E-4"/>
    <n v="9.7550160755849067"/>
    <n v="3.5849618947941164"/>
    <n v="3"/>
  </r>
  <r>
    <n v="751"/>
    <s v="Biochar"/>
    <n v="1"/>
    <n v="30"/>
    <n v="200"/>
    <n v="7"/>
    <n v="25"/>
    <n v="150"/>
    <n v="100"/>
    <n v="56.634999999999998"/>
    <n v="143.36500000000001"/>
    <n v="28.32"/>
    <n v="74.7"/>
    <n v="3.3550000000000003E-2"/>
    <n v="2.3780000000000001E-4"/>
    <n v="16.297660327570821"/>
    <n v="3.6972775827170468"/>
    <n v="1"/>
  </r>
  <r>
    <n v="752"/>
    <s v="Biochar"/>
    <n v="1"/>
    <n v="30"/>
    <n v="200"/>
    <n v="7"/>
    <n v="25"/>
    <n v="150"/>
    <n v="100"/>
    <n v="73.882000000000005"/>
    <n v="126.11799999999999"/>
    <n v="36.94"/>
    <n v="68.5"/>
    <n v="3.6700000000000003E-2"/>
    <n v="1.6909999999999999E-4"/>
    <n v="20.141951966687987"/>
    <n v="3.9841584969962502"/>
    <n v="2"/>
  </r>
  <r>
    <n v="753"/>
    <s v="Biochar"/>
    <n v="1"/>
    <n v="30"/>
    <n v="200"/>
    <n v="7"/>
    <n v="25"/>
    <n v="150"/>
    <n v="100"/>
    <n v="77.563999999999993"/>
    <n v="122.43600000000001"/>
    <n v="38.78"/>
    <n v="79.7"/>
    <n v="3.4669999999999999E-2"/>
    <n v="2.265E-4"/>
    <n v="26.770553106426856"/>
    <n v="3.9277673481054491"/>
    <n v="3"/>
  </r>
  <r>
    <n v="754"/>
    <s v="Biochar"/>
    <n v="1"/>
    <n v="30"/>
    <n v="200"/>
    <n v="11"/>
    <n v="25"/>
    <n v="150"/>
    <n v="100"/>
    <n v="47.427"/>
    <n v="152.57300000000001"/>
    <n v="23.71"/>
    <n v="67.8"/>
    <n v="3.2960000000000003E-2"/>
    <n v="2.208E-4"/>
    <n v="11.337689574153352"/>
    <n v="3.5859967114022364"/>
    <n v="1"/>
  </r>
  <r>
    <n v="755"/>
    <s v="Biochar"/>
    <n v="1"/>
    <n v="30"/>
    <n v="200"/>
    <n v="11"/>
    <n v="25"/>
    <n v="150"/>
    <n v="100"/>
    <n v="46.162999999999997"/>
    <n v="153.83699999999999"/>
    <n v="23.08"/>
    <n v="49.3"/>
    <n v="3.3419999999999998E-2"/>
    <n v="2.1100000000000001E-4"/>
    <n v="10.43897986859414"/>
    <n v="3.5758232953475657"/>
    <n v="2"/>
  </r>
  <r>
    <n v="756"/>
    <s v="Biochar"/>
    <n v="1"/>
    <n v="30"/>
    <n v="200"/>
    <n v="11"/>
    <n v="25"/>
    <n v="150"/>
    <n v="100"/>
    <n v="60.966999999999999"/>
    <n v="139.03299999999999"/>
    <n v="30.48"/>
    <n v="79.8"/>
    <n v="3.356E-2"/>
    <n v="2.231E-4"/>
    <n v="17.66817699640767"/>
    <n v="3.768125452273924"/>
    <n v="3"/>
  </r>
  <r>
    <n v="757"/>
    <s v="Biochar"/>
    <n v="1"/>
    <n v="60"/>
    <n v="25"/>
    <n v="3"/>
    <n v="25"/>
    <n v="150"/>
    <n v="100"/>
    <n v="2.464"/>
    <n v="22.536000000000001"/>
    <n v="9.86"/>
    <n v="80.7"/>
    <n v="3.567E-2"/>
    <n v="2.0900000000000001E-4"/>
    <n v="7.3852127448892746E-2"/>
    <n v="0.87135523538976156"/>
    <n v="1"/>
  </r>
  <r>
    <n v="758"/>
    <s v="Biochar"/>
    <n v="1"/>
    <n v="60"/>
    <n v="25"/>
    <n v="3"/>
    <n v="25"/>
    <n v="150"/>
    <n v="100"/>
    <n v="2.8759999999999999"/>
    <n v="22.123999999999999"/>
    <n v="11.5"/>
    <n v="86.2"/>
    <n v="2.6290000000000001E-2"/>
    <n v="1.8679999999999999E-4"/>
    <n v="8.9810608376970205E-2"/>
    <n v="1.0246748528112832"/>
    <n v="2"/>
  </r>
  <r>
    <n v="759"/>
    <s v="Biochar"/>
    <n v="1"/>
    <n v="60"/>
    <n v="25"/>
    <n v="3"/>
    <n v="25"/>
    <n v="150"/>
    <n v="100"/>
    <n v="3.1680000000000001"/>
    <n v="21.832000000000001"/>
    <n v="12.67"/>
    <n v="73.099999999999994"/>
    <n v="3.5209999999999998E-2"/>
    <n v="2.0890000000000001E-4"/>
    <n v="0.12098980334965526"/>
    <n v="1.1141608464536159"/>
    <n v="3"/>
  </r>
  <r>
    <n v="760"/>
    <s v="Biochar"/>
    <n v="1"/>
    <n v="60"/>
    <n v="25"/>
    <n v="7"/>
    <n v="25"/>
    <n v="150"/>
    <n v="100"/>
    <n v="4.9169999999999998"/>
    <n v="20.082999999999998"/>
    <n v="19.670000000000002"/>
    <n v="87.9"/>
    <n v="3.1629999999999998E-2"/>
    <n v="1.9589999999999999E-4"/>
    <n v="0.26864875487176182"/>
    <n v="1.5365125857839623"/>
    <n v="1"/>
  </r>
  <r>
    <n v="761"/>
    <s v="Biochar"/>
    <n v="1"/>
    <n v="60"/>
    <n v="25"/>
    <n v="7"/>
    <n v="25"/>
    <n v="150"/>
    <n v="100"/>
    <n v="5.4020000000000001"/>
    <n v="19.597999999999999"/>
    <n v="21.61"/>
    <n v="87.7"/>
    <n v="3.295E-2"/>
    <n v="2.0450000000000001E-4"/>
    <n v="0.33580056659279073"/>
    <n v="1.6225909178411815"/>
    <n v="2"/>
  </r>
  <r>
    <n v="762"/>
    <s v="Biochar"/>
    <n v="1"/>
    <n v="60"/>
    <n v="25"/>
    <n v="7"/>
    <n v="25"/>
    <n v="150"/>
    <n v="100"/>
    <n v="5.4550000000000001"/>
    <n v="19.545000000000002"/>
    <n v="21.82"/>
    <n v="59.4"/>
    <n v="3.9059999999999997E-2"/>
    <n v="1.9330000000000001E-4"/>
    <n v="0.32458634259995767"/>
    <n v="1.6351862909026222"/>
    <n v="3"/>
  </r>
  <r>
    <n v="763"/>
    <s v="Biochar"/>
    <n v="1"/>
    <n v="60"/>
    <n v="25"/>
    <n v="11"/>
    <n v="25"/>
    <n v="150"/>
    <n v="100"/>
    <n v="3.9660000000000002"/>
    <n v="21.033999999999999"/>
    <n v="15.86"/>
    <n v="101.1"/>
    <n v="3.0200000000000001E-2"/>
    <n v="1.8579999999999999E-4"/>
    <n v="0.1679242036457835"/>
    <n v="1.3344945691036003"/>
    <n v="1"/>
  </r>
  <r>
    <n v="764"/>
    <s v="Biochar"/>
    <n v="1"/>
    <n v="60"/>
    <n v="25"/>
    <n v="11"/>
    <n v="25"/>
    <n v="150"/>
    <n v="100"/>
    <n v="3.694"/>
    <n v="21.306000000000001"/>
    <n v="14.78"/>
    <n v="75.599999999999994"/>
    <n v="4.1070000000000002E-2"/>
    <n v="1.829E-4"/>
    <n v="0.14391326005987617"/>
    <n v="1.2669720369747748"/>
    <n v="2"/>
  </r>
  <r>
    <n v="765"/>
    <s v="Biochar"/>
    <n v="1"/>
    <n v="60"/>
    <n v="25"/>
    <n v="11"/>
    <n v="25"/>
    <n v="150"/>
    <n v="100"/>
    <n v="3.593"/>
    <n v="21.407"/>
    <n v="14.37"/>
    <n v="88.3"/>
    <n v="3.0790000000000001E-2"/>
    <n v="1.9210000000000001E-4"/>
    <n v="0.1428795550757706"/>
    <n v="1.2384091420061141"/>
    <n v="3"/>
  </r>
  <r>
    <n v="766"/>
    <s v="Biochar"/>
    <n v="1"/>
    <n v="60"/>
    <n v="50"/>
    <n v="3"/>
    <n v="25"/>
    <n v="150"/>
    <n v="100"/>
    <n v="10.462"/>
    <n v="39.537999999999997"/>
    <n v="20.92"/>
    <n v="81.400000000000006"/>
    <n v="3.4669999999999999E-2"/>
    <n v="1.894E-4"/>
    <n v="1.1116631222520492"/>
    <n v="2.2354123723572048"/>
    <n v="1"/>
  </r>
  <r>
    <n v="767"/>
    <s v="Biochar"/>
    <n v="1"/>
    <n v="60"/>
    <n v="50"/>
    <n v="3"/>
    <n v="25"/>
    <n v="150"/>
    <n v="100"/>
    <n v="8.6050000000000004"/>
    <n v="41.395000000000003"/>
    <n v="17.21"/>
    <n v="89.8"/>
    <n v="4.1140000000000003E-2"/>
    <n v="2.0039999999999999E-4"/>
    <n v="0.80684768270087637"/>
    <n v="2.0538868232369309"/>
    <n v="2"/>
  </r>
  <r>
    <n v="768"/>
    <s v="Biochar"/>
    <n v="1"/>
    <n v="60"/>
    <n v="50"/>
    <n v="3"/>
    <n v="25"/>
    <n v="150"/>
    <n v="100"/>
    <n v="10.369"/>
    <n v="39.631"/>
    <n v="20.74"/>
    <n v="94.6"/>
    <n v="3.056E-2"/>
    <n v="2.341E-4"/>
    <n v="1.3181872814470732"/>
    <n v="2.2028545568347924"/>
    <n v="3"/>
  </r>
  <r>
    <n v="769"/>
    <s v="Biochar"/>
    <n v="1"/>
    <n v="60"/>
    <n v="50"/>
    <n v="7"/>
    <n v="25"/>
    <n v="150"/>
    <n v="100"/>
    <n v="16.745000000000001"/>
    <n v="33.255000000000003"/>
    <n v="33.49"/>
    <n v="106.7"/>
    <n v="3.243E-2"/>
    <n v="2.364E-4"/>
    <n v="3.2138080206926314"/>
    <n v="2.6049975372901888"/>
    <n v="1"/>
  </r>
  <r>
    <n v="770"/>
    <s v="Biochar"/>
    <n v="1"/>
    <n v="60"/>
    <n v="50"/>
    <n v="7"/>
    <n v="25"/>
    <n v="150"/>
    <n v="100"/>
    <n v="17.684999999999999"/>
    <n v="32.314999999999998"/>
    <n v="35.369999999999997"/>
    <n v="92.8"/>
    <n v="3.5819999999999998E-2"/>
    <n v="1.95E-4"/>
    <n v="3.031932197765459"/>
    <n v="2.6846497198365116"/>
    <n v="2"/>
  </r>
  <r>
    <n v="771"/>
    <s v="Biochar"/>
    <n v="1"/>
    <n v="60"/>
    <n v="50"/>
    <n v="7"/>
    <n v="25"/>
    <n v="150"/>
    <n v="100"/>
    <n v="18.384"/>
    <n v="31.616"/>
    <n v="36.770000000000003"/>
    <n v="87.5"/>
    <n v="2.8119999999999999E-2"/>
    <n v="1.7770000000000001E-4"/>
    <n v="3.0128937359972769"/>
    <n v="2.7324895304973267"/>
    <n v="3"/>
  </r>
  <r>
    <n v="772"/>
    <s v="Biochar"/>
    <n v="1"/>
    <n v="60"/>
    <n v="50"/>
    <n v="11"/>
    <n v="25"/>
    <n v="150"/>
    <n v="100"/>
    <n v="12.298999999999999"/>
    <n v="37.701000000000001"/>
    <n v="24.6"/>
    <n v="89.7"/>
    <n v="3.4799999999999998E-2"/>
    <n v="2.2440000000000001E-4"/>
    <n v="1.7472960742335357"/>
    <n v="2.3562873564321358"/>
    <n v="1"/>
  </r>
  <r>
    <n v="773"/>
    <s v="Biochar"/>
    <n v="1"/>
    <n v="60"/>
    <n v="50"/>
    <n v="11"/>
    <n v="25"/>
    <n v="150"/>
    <n v="100"/>
    <n v="10.087"/>
    <n v="39.912999999999997"/>
    <n v="20.170000000000002"/>
    <n v="87.6"/>
    <n v="2.8639999999999999E-2"/>
    <n v="2.152E-4"/>
    <n v="1.1623732339608452"/>
    <n v="2.1888145078600796"/>
    <n v="2"/>
  </r>
  <r>
    <n v="774"/>
    <s v="Biochar"/>
    <n v="1"/>
    <n v="60"/>
    <n v="50"/>
    <n v="11"/>
    <n v="25"/>
    <n v="150"/>
    <n v="100"/>
    <n v="12.413"/>
    <n v="37.587000000000003"/>
    <n v="24.83"/>
    <n v="91.1"/>
    <n v="3.1980000000000001E-2"/>
    <n v="2.2560000000000001E-4"/>
    <n v="1.785635028167543"/>
    <n v="2.3634322756262161"/>
    <n v="3"/>
  </r>
  <r>
    <n v="775"/>
    <s v="Biochar"/>
    <n v="1"/>
    <n v="60"/>
    <n v="100"/>
    <n v="3"/>
    <n v="25"/>
    <n v="150"/>
    <n v="100"/>
    <n v="32.853999999999999"/>
    <n v="67.146000000000001"/>
    <n v="32.85"/>
    <n v="93.2"/>
    <n v="3.4549999999999997E-2"/>
    <n v="2.1159999999999999E-4"/>
    <n v="9.6702680649214248"/>
    <n v="3.1434508230148697"/>
    <n v="1"/>
  </r>
  <r>
    <n v="776"/>
    <s v="Biochar"/>
    <n v="1"/>
    <n v="60"/>
    <n v="100"/>
    <n v="3"/>
    <n v="25"/>
    <n v="150"/>
    <n v="100"/>
    <n v="27.651"/>
    <n v="72.349000000000004"/>
    <n v="27.65"/>
    <n v="96.7"/>
    <n v="4.0770000000000001E-2"/>
    <n v="2.2139999999999999E-4"/>
    <n v="7.4281675707381751"/>
    <n v="3.0068122843587046"/>
    <n v="2"/>
  </r>
  <r>
    <n v="777"/>
    <s v="Biochar"/>
    <n v="1"/>
    <n v="60"/>
    <n v="100"/>
    <n v="3"/>
    <n v="25"/>
    <n v="150"/>
    <n v="100"/>
    <n v="27.582999999999998"/>
    <n v="72.417000000000002"/>
    <n v="27.58"/>
    <n v="90.4"/>
    <n v="3.0470000000000001E-2"/>
    <n v="2.1139999999999999E-4"/>
    <n v="7.1490710317003971"/>
    <n v="3.0171967040106797"/>
    <n v="3"/>
  </r>
  <r>
    <n v="778"/>
    <s v="Biochar"/>
    <n v="1"/>
    <n v="60"/>
    <n v="100"/>
    <n v="7"/>
    <n v="25"/>
    <n v="150"/>
    <n v="100"/>
    <n v="48.103999999999999"/>
    <n v="51.896000000000001"/>
    <n v="48.1"/>
    <n v="61.7"/>
    <n v="3.0929999999999999E-2"/>
    <n v="1.9430000000000001E-4"/>
    <n v="17.283837284507577"/>
    <n v="3.428169109420292"/>
    <n v="1"/>
  </r>
  <r>
    <n v="779"/>
    <s v="Biochar"/>
    <n v="1"/>
    <n v="60"/>
    <n v="100"/>
    <n v="7"/>
    <n v="25"/>
    <n v="150"/>
    <n v="100"/>
    <n v="44.645000000000003"/>
    <n v="55.354999999999997"/>
    <n v="44.64"/>
    <n v="70.2"/>
    <n v="3.6360000000000003E-2"/>
    <n v="2.05E-4"/>
    <n v="15.825663254651717"/>
    <n v="3.3610465766128819"/>
    <n v="2"/>
  </r>
  <r>
    <n v="780"/>
    <s v="Biochar"/>
    <n v="1"/>
    <n v="60"/>
    <n v="100"/>
    <n v="7"/>
    <n v="25"/>
    <n v="150"/>
    <n v="100"/>
    <n v="45.136000000000003"/>
    <n v="54.863999999999997"/>
    <n v="45.14"/>
    <n v="76"/>
    <n v="3.8670000000000003E-2"/>
    <n v="2.331E-4"/>
    <n v="17.466796247494937"/>
    <n v="3.3203200168218996"/>
    <n v="3"/>
  </r>
  <r>
    <n v="781"/>
    <s v="Biochar"/>
    <n v="1"/>
    <n v="60"/>
    <n v="100"/>
    <n v="11"/>
    <n v="25"/>
    <n v="150"/>
    <n v="100"/>
    <n v="34.320999999999998"/>
    <n v="65.679000000000002"/>
    <n v="34.32"/>
    <n v="77.8"/>
    <n v="3.6720000000000003E-2"/>
    <n v="1.928E-4"/>
    <n v="9.7538004567144103"/>
    <n v="3.2014122013347666"/>
    <n v="1"/>
  </r>
  <r>
    <n v="782"/>
    <s v="Biochar"/>
    <n v="1"/>
    <n v="60"/>
    <n v="100"/>
    <n v="11"/>
    <n v="25"/>
    <n v="150"/>
    <n v="100"/>
    <n v="35.563000000000002"/>
    <n v="64.436999999999998"/>
    <n v="35.56"/>
    <n v="95.2"/>
    <n v="2.8320000000000001E-2"/>
    <n v="2.264E-4"/>
    <n v="11.583974488609373"/>
    <n v="3.1771795112169525"/>
    <n v="2"/>
  </r>
  <r>
    <n v="783"/>
    <s v="Biochar"/>
    <n v="1"/>
    <n v="60"/>
    <n v="100"/>
    <n v="11"/>
    <n v="25"/>
    <n v="150"/>
    <n v="100"/>
    <n v="36.328000000000003"/>
    <n v="63.671999999999997"/>
    <n v="36.33"/>
    <n v="80.400000000000006"/>
    <n v="3.4689999999999999E-2"/>
    <n v="1.9919999999999999E-4"/>
    <n v="10.998062644655644"/>
    <n v="3.2319869908697583"/>
    <n v="3"/>
  </r>
  <r>
    <n v="784"/>
    <s v="Biochar"/>
    <n v="1"/>
    <n v="60"/>
    <n v="200"/>
    <n v="3"/>
    <n v="25"/>
    <n v="150"/>
    <n v="100"/>
    <n v="52.637999999999998"/>
    <n v="147.36199999999999"/>
    <n v="26.32"/>
    <n v="104.9"/>
    <n v="3.5139999999999998E-2"/>
    <n v="2.0890000000000001E-4"/>
    <n v="20.923865909961169"/>
    <n v="3.4567624518608158"/>
    <n v="1"/>
  </r>
  <r>
    <n v="785"/>
    <s v="Biochar"/>
    <n v="1"/>
    <n v="60"/>
    <n v="200"/>
    <n v="3"/>
    <n v="25"/>
    <n v="150"/>
    <n v="100"/>
    <n v="69.715999999999994"/>
    <n v="130.28399999999999"/>
    <n v="34.86"/>
    <n v="72.599999999999994"/>
    <n v="3.6659999999999998E-2"/>
    <n v="1.9459999999999999E-4"/>
    <n v="31.283891038230195"/>
    <n v="3.6488932810769894"/>
    <n v="2"/>
  </r>
  <r>
    <n v="786"/>
    <s v="Biochar"/>
    <n v="1"/>
    <n v="60"/>
    <n v="200"/>
    <n v="3"/>
    <n v="25"/>
    <n v="150"/>
    <n v="100"/>
    <n v="69.049000000000007"/>
    <n v="130.95099999999999"/>
    <n v="34.520000000000003"/>
    <n v="58.4"/>
    <n v="3.465E-2"/>
    <n v="1.8789999999999999E-4"/>
    <n v="30.223802294759974"/>
    <n v="3.6590694612365962"/>
    <n v="3"/>
  </r>
  <r>
    <n v="787"/>
    <s v="Biochar"/>
    <n v="1"/>
    <n v="60"/>
    <n v="200"/>
    <n v="7"/>
    <n v="25"/>
    <n v="150"/>
    <n v="100"/>
    <n v="99.087999999999994"/>
    <n v="100.91200000000001"/>
    <n v="49.54"/>
    <n v="91.8"/>
    <n v="3.252E-2"/>
    <n v="1.8579999999999999E-4"/>
    <n v="52.007108048738857"/>
    <n v="3.8518672276514652"/>
    <n v="1"/>
  </r>
  <r>
    <n v="788"/>
    <s v="Biochar"/>
    <n v="1"/>
    <n v="60"/>
    <n v="200"/>
    <n v="7"/>
    <n v="25"/>
    <n v="150"/>
    <n v="100"/>
    <n v="93.930999999999997"/>
    <n v="106.069"/>
    <n v="46.97"/>
    <n v="74.2"/>
    <n v="3.7949999999999998E-2"/>
    <n v="1.9259999999999999E-4"/>
    <n v="48.890241074140121"/>
    <n v="3.8075678337307686"/>
    <n v="2"/>
  </r>
  <r>
    <n v="789"/>
    <s v="Biochar"/>
    <n v="1"/>
    <n v="60"/>
    <n v="200"/>
    <n v="7"/>
    <n v="25"/>
    <n v="150"/>
    <n v="100"/>
    <n v="67.370999999999995"/>
    <n v="132.62899999999999"/>
    <n v="33.69"/>
    <n v="80.900000000000006"/>
    <n v="3.1370000000000002E-2"/>
    <n v="1.674E-4"/>
    <n v="27.189672573648835"/>
    <n v="3.6934023958333926"/>
    <n v="3"/>
  </r>
  <r>
    <n v="790"/>
    <s v="Biochar"/>
    <n v="1"/>
    <n v="60"/>
    <n v="200"/>
    <n v="11"/>
    <n v="25"/>
    <n v="150"/>
    <n v="100"/>
    <n v="66.55"/>
    <n v="133.44999999999999"/>
    <n v="33.28"/>
    <n v="87.1"/>
    <n v="3.9649999999999998E-2"/>
    <n v="2.063E-4"/>
    <n v="30.059370963515452"/>
    <n v="3.5970554888989663"/>
    <n v="1"/>
  </r>
  <r>
    <n v="791"/>
    <s v="Biochar"/>
    <n v="1"/>
    <n v="60"/>
    <n v="200"/>
    <n v="11"/>
    <n v="25"/>
    <n v="150"/>
    <n v="100"/>
    <n v="71.341999999999999"/>
    <n v="128.65799999999999"/>
    <n v="35.67"/>
    <n v="91.6"/>
    <n v="3.3390000000000003E-2"/>
    <n v="1.861E-4"/>
    <n v="31.632654287541882"/>
    <n v="3.6815865683632012"/>
    <n v="2"/>
  </r>
  <r>
    <n v="792"/>
    <s v="Biochar"/>
    <n v="1"/>
    <n v="60"/>
    <n v="200"/>
    <n v="11"/>
    <n v="25"/>
    <n v="150"/>
    <n v="100"/>
    <n v="67.180999999999997"/>
    <n v="132.81899999999999"/>
    <n v="33.590000000000003"/>
    <n v="63.2"/>
    <n v="3.3640000000000003E-2"/>
    <n v="2.0320000000000001E-4"/>
    <n v="30.249506309533579"/>
    <n v="3.6090646745796069"/>
    <n v="3"/>
  </r>
  <r>
    <n v="793"/>
    <s v="Biochar"/>
    <n v="1"/>
    <n v="120"/>
    <n v="25"/>
    <n v="3"/>
    <n v="25"/>
    <n v="150"/>
    <n v="100"/>
    <n v="5.1100000000000003"/>
    <n v="19.89"/>
    <n v="20.440000000000001"/>
    <n v="80.400000000000006"/>
    <n v="3.1690000000000003E-2"/>
    <n v="2.1220000000000001E-4"/>
    <n v="0.58836044181603764"/>
    <n v="1.508874662183523"/>
    <n v="1"/>
  </r>
  <r>
    <n v="794"/>
    <s v="Biochar"/>
    <n v="1"/>
    <n v="120"/>
    <n v="25"/>
    <n v="3"/>
    <n v="25"/>
    <n v="150"/>
    <n v="100"/>
    <n v="4.4800000000000004"/>
    <n v="20.52"/>
    <n v="17.920000000000002"/>
    <n v="95.7"/>
    <n v="3.1489999999999997E-2"/>
    <n v="1.85E-4"/>
    <n v="0.40525758193142802"/>
    <n v="1.4048075344050506"/>
    <n v="2"/>
  </r>
  <r>
    <n v="795"/>
    <s v="Biochar"/>
    <n v="1"/>
    <n v="120"/>
    <n v="25"/>
    <n v="3"/>
    <n v="25"/>
    <n v="150"/>
    <n v="100"/>
    <n v="4.4029999999999996"/>
    <n v="20.597000000000001"/>
    <n v="17.61"/>
    <n v="79.3"/>
    <n v="3.841E-2"/>
    <n v="2.1029999999999999E-4"/>
    <n v="0.44031068816561181"/>
    <n v="1.3769229139194279"/>
    <n v="3"/>
  </r>
  <r>
    <n v="796"/>
    <s v="Biochar"/>
    <n v="1"/>
    <n v="120"/>
    <n v="25"/>
    <n v="7"/>
    <n v="25"/>
    <n v="150"/>
    <n v="100"/>
    <n v="9.1630000000000003"/>
    <n v="15.837"/>
    <n v="36.65"/>
    <n v="92.4"/>
    <n v="3.1140000000000001E-2"/>
    <n v="1.9340000000000001E-4"/>
    <n v="1.606851940254884"/>
    <n v="2.022361544437373"/>
    <n v="1"/>
  </r>
  <r>
    <n v="797"/>
    <s v="Biochar"/>
    <n v="1"/>
    <n v="120"/>
    <n v="25"/>
    <n v="7"/>
    <n v="25"/>
    <n v="150"/>
    <n v="100"/>
    <n v="7.6950000000000003"/>
    <n v="17.305"/>
    <n v="30.78"/>
    <n v="102.8"/>
    <n v="3.0810000000000001E-2"/>
    <n v="2.1790000000000001E-4"/>
    <n v="1.2889533446331725"/>
    <n v="1.8572423342336306"/>
    <n v="2"/>
  </r>
  <r>
    <n v="798"/>
    <s v="Biochar"/>
    <n v="1"/>
    <n v="120"/>
    <n v="25"/>
    <n v="7"/>
    <n v="25"/>
    <n v="150"/>
    <n v="100"/>
    <n v="9.0920000000000005"/>
    <n v="15.907999999999999"/>
    <n v="36.369999999999997"/>
    <n v="109.2"/>
    <n v="3.3570000000000003E-2"/>
    <n v="2.142E-4"/>
    <n v="1.7223036880333693"/>
    <n v="1.9973764993775789"/>
    <n v="3"/>
  </r>
  <r>
    <n v="799"/>
    <s v="Biochar"/>
    <n v="1"/>
    <n v="120"/>
    <n v="25"/>
    <n v="11"/>
    <n v="25"/>
    <n v="150"/>
    <n v="100"/>
    <n v="7.83"/>
    <n v="17.170000000000002"/>
    <n v="31.32"/>
    <n v="77.8"/>
    <n v="2.963E-2"/>
    <n v="1.6239999999999999E-4"/>
    <n v="1.0366103862823712"/>
    <n v="1.9159500237414591"/>
    <n v="1"/>
  </r>
  <r>
    <n v="800"/>
    <s v="Biochar"/>
    <n v="1"/>
    <n v="120"/>
    <n v="25"/>
    <n v="11"/>
    <n v="25"/>
    <n v="150"/>
    <n v="100"/>
    <n v="6.8289999999999997"/>
    <n v="18.170999999999999"/>
    <n v="27.32"/>
    <n v="61.5"/>
    <n v="3.3700000000000001E-2"/>
    <n v="2.087E-4"/>
    <n v="0.99735915190627311"/>
    <n v="1.7632984098357212"/>
    <n v="2"/>
  </r>
  <r>
    <n v="801"/>
    <s v="Biochar"/>
    <n v="1"/>
    <n v="120"/>
    <n v="25"/>
    <n v="11"/>
    <n v="25"/>
    <n v="150"/>
    <n v="100"/>
    <n v="6.4930000000000003"/>
    <n v="18.507000000000001"/>
    <n v="25.97"/>
    <n v="91.2"/>
    <n v="3.5779999999999999E-2"/>
    <n v="2.2560000000000001E-4"/>
    <n v="0.9707013509864364"/>
    <n v="1.7087941955322048"/>
    <n v="3"/>
  </r>
  <r>
    <n v="802"/>
    <s v="Biochar"/>
    <n v="1"/>
    <n v="120"/>
    <n v="50"/>
    <n v="3"/>
    <n v="25"/>
    <n v="150"/>
    <n v="100"/>
    <n v="14.169"/>
    <n v="35.831000000000003"/>
    <n v="28.34"/>
    <n v="77"/>
    <n v="3.2300000000000002E-2"/>
    <n v="2.1660000000000001E-4"/>
    <n v="3.8136682771471904"/>
    <n v="2.3375015293757508"/>
    <n v="1"/>
  </r>
  <r>
    <n v="803"/>
    <s v="Biochar"/>
    <n v="1"/>
    <n v="120"/>
    <n v="50"/>
    <n v="3"/>
    <n v="25"/>
    <n v="150"/>
    <n v="100"/>
    <n v="17.07"/>
    <n v="32.93"/>
    <n v="34.14"/>
    <n v="91.5"/>
    <n v="3.9140000000000001E-2"/>
    <n v="1.7640000000000001E-4"/>
    <n v="4.5308634965065542"/>
    <n v="2.5288546734633206"/>
    <n v="2"/>
  </r>
  <r>
    <n v="804"/>
    <s v="Biochar"/>
    <n v="1"/>
    <n v="120"/>
    <n v="50"/>
    <n v="3"/>
    <n v="25"/>
    <n v="150"/>
    <n v="100"/>
    <n v="18.271000000000001"/>
    <n v="31.728999999999999"/>
    <n v="36.54"/>
    <n v="105.3"/>
    <n v="3.7569999999999999E-2"/>
    <n v="2.3560000000000001E-4"/>
    <n v="6.2233213291338307"/>
    <n v="2.4888719999570275"/>
    <n v="3"/>
  </r>
  <r>
    <n v="805"/>
    <s v="Biochar"/>
    <n v="1"/>
    <n v="120"/>
    <n v="50"/>
    <n v="7"/>
    <n v="25"/>
    <n v="150"/>
    <n v="100"/>
    <n v="20.164999999999999"/>
    <n v="29.835000000000001"/>
    <n v="40.33"/>
    <n v="79"/>
    <n v="3.243E-2"/>
    <n v="2.1440000000000001E-4"/>
    <n v="6.8881156028760282"/>
    <n v="2.5860245078730699"/>
    <n v="1"/>
  </r>
  <r>
    <n v="806"/>
    <s v="Biochar"/>
    <n v="1"/>
    <n v="120"/>
    <n v="50"/>
    <n v="7"/>
    <n v="25"/>
    <n v="150"/>
    <n v="100"/>
    <n v="21.63"/>
    <n v="28.37"/>
    <n v="43.26"/>
    <n v="95.5"/>
    <n v="3.9800000000000002E-2"/>
    <n v="2.139E-4"/>
    <n v="7.7218106137476266"/>
    <n v="2.6324778311259815"/>
    <n v="2"/>
  </r>
  <r>
    <n v="807"/>
    <s v="Biochar"/>
    <n v="1"/>
    <n v="120"/>
    <n v="50"/>
    <n v="7"/>
    <n v="25"/>
    <n v="150"/>
    <n v="100"/>
    <n v="24.853999999999999"/>
    <n v="25.146000000000001"/>
    <n v="49.71"/>
    <n v="73"/>
    <n v="3.2039999999999999E-2"/>
    <n v="2.2499999999999999E-4"/>
    <n v="9.9807879391379597"/>
    <n v="2.699561746618278"/>
    <n v="3"/>
  </r>
  <r>
    <n v="808"/>
    <s v="Biochar"/>
    <n v="1"/>
    <n v="120"/>
    <n v="50"/>
    <n v="11"/>
    <n v="25"/>
    <n v="150"/>
    <n v="100"/>
    <n v="20.440000000000001"/>
    <n v="29.56"/>
    <n v="40.880000000000003"/>
    <n v="85.2"/>
    <n v="3.354E-2"/>
    <n v="1.595E-4"/>
    <n v="5.7478761859361587"/>
    <n v="2.6873115552336349"/>
    <n v="1"/>
  </r>
  <r>
    <n v="809"/>
    <s v="Biochar"/>
    <n v="1"/>
    <n v="120"/>
    <n v="50"/>
    <n v="11"/>
    <n v="25"/>
    <n v="150"/>
    <n v="100"/>
    <n v="16.931000000000001"/>
    <n v="33.069000000000003"/>
    <n v="33.86"/>
    <n v="110.3"/>
    <n v="3.0519999999999999E-2"/>
    <n v="2.0379999999999999E-4"/>
    <n v="4.9577133720126056"/>
    <n v="2.4826780539777182"/>
    <n v="2"/>
  </r>
  <r>
    <n v="810"/>
    <s v="Biochar"/>
    <n v="1"/>
    <n v="120"/>
    <n v="50"/>
    <n v="11"/>
    <n v="25"/>
    <n v="150"/>
    <n v="100"/>
    <n v="20.872"/>
    <n v="29.128"/>
    <n v="41.74"/>
    <n v="69.599999999999994"/>
    <n v="3.5650000000000001E-2"/>
    <n v="2.1880000000000001E-4"/>
    <n v="7.3889285362690806"/>
    <n v="2.6014349329220208"/>
    <n v="3"/>
  </r>
  <r>
    <n v="811"/>
    <s v="Biochar"/>
    <n v="1"/>
    <n v="120"/>
    <n v="100"/>
    <n v="3"/>
    <n v="25"/>
    <n v="150"/>
    <n v="100"/>
    <n v="41.161999999999999"/>
    <n v="58.838000000000001"/>
    <n v="41.16"/>
    <n v="122.6"/>
    <n v="2.9159999999999998E-2"/>
    <n v="2.2120000000000001E-4"/>
    <n v="21.491772148858153"/>
    <n v="2.9791062160218207"/>
    <n v="1"/>
  </r>
  <r>
    <n v="812"/>
    <s v="Biochar"/>
    <n v="1"/>
    <n v="120"/>
    <n v="100"/>
    <n v="3"/>
    <n v="25"/>
    <n v="150"/>
    <n v="100"/>
    <n v="40.4"/>
    <n v="59.6"/>
    <n v="40.4"/>
    <n v="95.6"/>
    <n v="3.6540000000000003E-2"/>
    <n v="1.853E-4"/>
    <n v="19.11818579487365"/>
    <n v="3.0578529148398261"/>
    <n v="2"/>
  </r>
  <r>
    <n v="813"/>
    <s v="Biochar"/>
    <n v="1"/>
    <n v="120"/>
    <n v="100"/>
    <n v="3"/>
    <n v="25"/>
    <n v="150"/>
    <n v="100"/>
    <n v="42.052"/>
    <n v="57.948"/>
    <n v="42.05"/>
    <n v="61.8"/>
    <n v="3.7109999999999997E-2"/>
    <n v="2.0599999999999999E-4"/>
    <n v="21.433478075605663"/>
    <n v="3.0261897943704024"/>
    <n v="3"/>
  </r>
  <r>
    <n v="814"/>
    <s v="Biochar"/>
    <n v="1"/>
    <n v="120"/>
    <n v="100"/>
    <n v="7"/>
    <n v="25"/>
    <n v="150"/>
    <n v="100"/>
    <n v="64.465999999999994"/>
    <n v="35.533999999999999"/>
    <n v="64.47"/>
    <n v="99.3"/>
    <n v="3.6290000000000003E-2"/>
    <n v="2.03E-4"/>
    <n v="39.385776431278316"/>
    <n v="3.222079629948341"/>
    <n v="1"/>
  </r>
  <r>
    <n v="815"/>
    <s v="Biochar"/>
    <n v="1"/>
    <n v="120"/>
    <n v="100"/>
    <n v="7"/>
    <n v="25"/>
    <n v="150"/>
    <n v="100"/>
    <n v="55.256999999999998"/>
    <n v="44.743000000000002"/>
    <n v="55.26"/>
    <n v="76.599999999999994"/>
    <n v="3.9149999999999997E-2"/>
    <n v="2.287E-4"/>
    <n v="33.298887344500081"/>
    <n v="3.0891366682985106"/>
    <n v="2"/>
  </r>
  <r>
    <n v="816"/>
    <s v="Biochar"/>
    <n v="1"/>
    <n v="120"/>
    <n v="100"/>
    <n v="7"/>
    <n v="25"/>
    <n v="150"/>
    <n v="100"/>
    <n v="59.152999999999999"/>
    <n v="40.847000000000001"/>
    <n v="59.15"/>
    <n v="86.3"/>
    <n v="3.1829999999999997E-2"/>
    <n v="2.2350000000000001E-4"/>
    <n v="36.28295234077391"/>
    <n v="3.1298280919514552"/>
    <n v="3"/>
  </r>
  <r>
    <n v="817"/>
    <s v="Biochar"/>
    <n v="1"/>
    <n v="120"/>
    <n v="100"/>
    <n v="11"/>
    <n v="25"/>
    <n v="150"/>
    <n v="100"/>
    <n v="52.029000000000003"/>
    <n v="47.970999999999997"/>
    <n v="52.03"/>
    <n v="110.7"/>
    <n v="3.193E-2"/>
    <n v="1.9239999999999999E-4"/>
    <n v="28.392836395840678"/>
    <n v="3.1627778952803949"/>
    <n v="1"/>
  </r>
  <r>
    <n v="818"/>
    <s v="Biochar"/>
    <n v="1"/>
    <n v="120"/>
    <n v="100"/>
    <n v="11"/>
    <n v="25"/>
    <n v="150"/>
    <n v="100"/>
    <n v="49.911999999999999"/>
    <n v="50.088000000000001"/>
    <n v="49.91"/>
    <n v="94"/>
    <n v="3.4250000000000003E-2"/>
    <n v="1.8249999999999999E-4"/>
    <n v="26.065720023498468"/>
    <n v="3.1716282293408278"/>
    <n v="2"/>
  </r>
  <r>
    <n v="819"/>
    <s v="Biochar"/>
    <n v="1"/>
    <n v="120"/>
    <n v="100"/>
    <n v="11"/>
    <n v="25"/>
    <n v="150"/>
    <n v="100"/>
    <n v="53.082000000000001"/>
    <n v="46.917999999999999"/>
    <n v="53.08"/>
    <n v="95"/>
    <n v="3.1789999999999999E-2"/>
    <n v="2.2709999999999999E-4"/>
    <n v="31.385685703919613"/>
    <n v="3.077142398013696"/>
    <n v="3"/>
  </r>
  <r>
    <n v="820"/>
    <s v="Biochar"/>
    <n v="1"/>
    <n v="120"/>
    <n v="200"/>
    <n v="3"/>
    <n v="25"/>
    <n v="150"/>
    <n v="100"/>
    <n v="90.325999999999993"/>
    <n v="109.67400000000001"/>
    <n v="45.16"/>
    <n v="87.4"/>
    <n v="3.5279999999999999E-2"/>
    <n v="2.1110000000000001E-4"/>
    <n v="62.855743694790021"/>
    <n v="3.3131038304316918"/>
    <n v="1"/>
  </r>
  <r>
    <n v="821"/>
    <s v="Biochar"/>
    <n v="1"/>
    <n v="120"/>
    <n v="200"/>
    <n v="3"/>
    <n v="25"/>
    <n v="150"/>
    <n v="100"/>
    <n v="73.894999999999996"/>
    <n v="126.105"/>
    <n v="36.950000000000003"/>
    <n v="86.1"/>
    <n v="2.7470000000000001E-2"/>
    <n v="2.175E-4"/>
    <n v="48.663319772237088"/>
    <n v="3.2281003568589437"/>
    <n v="2"/>
  </r>
  <r>
    <n v="822"/>
    <s v="Biochar"/>
    <n v="1"/>
    <n v="120"/>
    <n v="200"/>
    <n v="3"/>
    <n v="25"/>
    <n v="150"/>
    <n v="100"/>
    <n v="68.236000000000004"/>
    <n v="131.76400000000001"/>
    <n v="34.119999999999997"/>
    <n v="105"/>
    <n v="3.3840000000000002E-2"/>
    <n v="1.9579999999999999E-4"/>
    <n v="42.024381574982975"/>
    <n v="3.2662027638080935"/>
    <n v="3"/>
  </r>
  <r>
    <n v="823"/>
    <s v="Biochar"/>
    <n v="1"/>
    <n v="120"/>
    <n v="200"/>
    <n v="7"/>
    <n v="25"/>
    <n v="150"/>
    <n v="100"/>
    <n v="108.372"/>
    <n v="91.628"/>
    <n v="54.19"/>
    <n v="82"/>
    <n v="3.9960000000000002E-2"/>
    <n v="1.5019999999999999E-4"/>
    <n v="71.676739536166266"/>
    <n v="3.6026476040460613"/>
    <n v="1"/>
  </r>
  <r>
    <n v="824"/>
    <s v="Biochar"/>
    <n v="1"/>
    <n v="120"/>
    <n v="200"/>
    <n v="7"/>
    <n v="25"/>
    <n v="150"/>
    <n v="100"/>
    <n v="130.39599999999999"/>
    <n v="69.603999999999999"/>
    <n v="65.2"/>
    <n v="90.1"/>
    <n v="3.0779999999999998E-2"/>
    <n v="1.785E-4"/>
    <n v="96.018681239356795"/>
    <n v="3.5373970085668338"/>
    <n v="2"/>
  </r>
  <r>
    <n v="825"/>
    <s v="Biochar"/>
    <n v="1"/>
    <n v="120"/>
    <n v="200"/>
    <n v="7"/>
    <n v="25"/>
    <n v="150"/>
    <n v="100"/>
    <n v="135.01499999999999"/>
    <n v="64.984999999999999"/>
    <n v="67.510000000000005"/>
    <n v="73.599999999999994"/>
    <n v="3.0960000000000001E-2"/>
    <n v="2.2269999999999999E-4"/>
    <n v="105.71576542755679"/>
    <n v="3.3775613918743894"/>
    <n v="3"/>
  </r>
  <r>
    <n v="826"/>
    <s v="Biochar"/>
    <n v="1"/>
    <n v="120"/>
    <n v="200"/>
    <n v="11"/>
    <n v="25"/>
    <n v="150"/>
    <n v="100"/>
    <n v="97.858999999999995"/>
    <n v="102.14100000000001"/>
    <n v="48.93"/>
    <n v="73.7"/>
    <n v="3.576E-2"/>
    <n v="1.795E-4"/>
    <n v="66.371648510825793"/>
    <n v="3.4495859251665881"/>
    <n v="1"/>
  </r>
  <r>
    <n v="827"/>
    <s v="Biochar"/>
    <n v="1"/>
    <n v="120"/>
    <n v="200"/>
    <n v="11"/>
    <n v="25"/>
    <n v="150"/>
    <n v="100"/>
    <n v="105.074"/>
    <n v="94.926000000000002"/>
    <n v="52.54"/>
    <n v="99.4"/>
    <n v="3.6859999999999997E-2"/>
    <n v="2.0719999999999999E-4"/>
    <n v="75.988254196058278"/>
    <n v="3.3702482192530412"/>
    <n v="2"/>
  </r>
  <r>
    <n v="828"/>
    <s v="Biochar"/>
    <n v="1"/>
    <n v="120"/>
    <n v="200"/>
    <n v="11"/>
    <n v="25"/>
    <n v="150"/>
    <n v="100"/>
    <n v="111.325"/>
    <n v="88.674999999999997"/>
    <n v="55.66"/>
    <n v="85.7"/>
    <n v="3.0859999999999999E-2"/>
    <n v="2.0900000000000001E-4"/>
    <n v="81.967381351840217"/>
    <n v="3.3795520917429216"/>
    <n v="3"/>
  </r>
  <r>
    <n v="829"/>
    <s v="Biochar"/>
    <n v="1"/>
    <n v="240"/>
    <n v="25"/>
    <n v="3"/>
    <n v="25"/>
    <n v="150"/>
    <n v="100"/>
    <n v="9.6150000000000002"/>
    <n v="15.385"/>
    <n v="38.46"/>
    <n v="72.7"/>
    <n v="3.3730000000000003E-2"/>
    <n v="2.0829999999999999E-4"/>
    <n v="3.1213315934669397"/>
    <n v="1.8708276108637372"/>
    <n v="1"/>
  </r>
  <r>
    <n v="830"/>
    <s v="Biochar"/>
    <n v="1"/>
    <n v="240"/>
    <n v="25"/>
    <n v="3"/>
    <n v="25"/>
    <n v="150"/>
    <n v="100"/>
    <n v="7.9130000000000003"/>
    <n v="17.087"/>
    <n v="31.65"/>
    <n v="73.099999999999994"/>
    <n v="3.8929999999999999E-2"/>
    <n v="2.4640000000000003E-4"/>
    <n v="2.5224643358836083"/>
    <n v="1.6846447610805926"/>
    <n v="2"/>
  </r>
  <r>
    <n v="831"/>
    <s v="Biochar"/>
    <n v="1"/>
    <n v="240"/>
    <n v="25"/>
    <n v="3"/>
    <n v="25"/>
    <n v="150"/>
    <n v="100"/>
    <n v="8.1110000000000007"/>
    <n v="16.888999999999999"/>
    <n v="32.450000000000003"/>
    <n v="74.099999999999994"/>
    <n v="2.9579999999999999E-2"/>
    <n v="2.052E-4"/>
    <n v="2.3151538177189503"/>
    <n v="1.7571414855074283"/>
    <n v="3"/>
  </r>
  <r>
    <n v="832"/>
    <s v="Biochar"/>
    <n v="1"/>
    <n v="240"/>
    <n v="25"/>
    <n v="7"/>
    <n v="25"/>
    <n v="150"/>
    <n v="100"/>
    <n v="13.622999999999999"/>
    <n v="11.377000000000001"/>
    <n v="54.49"/>
    <n v="91.8"/>
    <n v="3.499E-2"/>
    <n v="1.8819999999999999E-4"/>
    <n v="5.18939607057722"/>
    <n v="2.1322241930434243"/>
    <n v="1"/>
  </r>
  <r>
    <n v="833"/>
    <s v="Biochar"/>
    <n v="1"/>
    <n v="240"/>
    <n v="25"/>
    <n v="7"/>
    <n v="25"/>
    <n v="150"/>
    <n v="100"/>
    <n v="10.929"/>
    <n v="14.071"/>
    <n v="43.72"/>
    <n v="96.4"/>
    <n v="3.8199999999999998E-2"/>
    <n v="1.6909999999999999E-4"/>
    <n v="3.358041938532804"/>
    <n v="2.0243196197407758"/>
    <n v="2"/>
  </r>
  <r>
    <n v="834"/>
    <s v="Biochar"/>
    <n v="1"/>
    <n v="240"/>
    <n v="25"/>
    <n v="7"/>
    <n v="25"/>
    <n v="150"/>
    <n v="100"/>
    <n v="14.218999999999999"/>
    <n v="10.781000000000001"/>
    <n v="56.88"/>
    <n v="93.1"/>
    <n v="3.9899999999999998E-2"/>
    <n v="1.7320000000000001E-4"/>
    <n v="5.2821646946456537"/>
    <n v="2.1901815338255499"/>
    <n v="3"/>
  </r>
  <r>
    <n v="835"/>
    <s v="Biochar"/>
    <n v="1"/>
    <n v="240"/>
    <n v="25"/>
    <n v="11"/>
    <n v="25"/>
    <n v="150"/>
    <n v="100"/>
    <n v="8.3149999999999995"/>
    <n v="16.684999999999999"/>
    <n v="33.26"/>
    <n v="83.8"/>
    <n v="3.6760000000000001E-2"/>
    <n v="2.3589999999999999E-4"/>
    <n v="2.6614681750964961"/>
    <n v="1.7322804516164632"/>
    <n v="1"/>
  </r>
  <r>
    <n v="836"/>
    <s v="Biochar"/>
    <n v="1"/>
    <n v="240"/>
    <n v="25"/>
    <n v="11"/>
    <n v="25"/>
    <n v="150"/>
    <n v="100"/>
    <n v="10.31"/>
    <n v="14.69"/>
    <n v="41.24"/>
    <n v="82.6"/>
    <n v="3.141E-2"/>
    <n v="2.2460000000000001E-4"/>
    <n v="3.6829722580663078"/>
    <n v="1.8911563992952594"/>
    <n v="2"/>
  </r>
  <r>
    <n v="837"/>
    <s v="Biochar"/>
    <n v="1"/>
    <n v="240"/>
    <n v="25"/>
    <n v="11"/>
    <n v="25"/>
    <n v="150"/>
    <n v="100"/>
    <n v="8.7010000000000005"/>
    <n v="16.298999999999999"/>
    <n v="34.799999999999997"/>
    <n v="106.7"/>
    <n v="3.4000000000000002E-2"/>
    <n v="2.318E-4"/>
    <n v="2.8380059227061891"/>
    <n v="1.7686604077980117"/>
    <n v="3"/>
  </r>
  <r>
    <n v="838"/>
    <s v="Biochar"/>
    <n v="1"/>
    <n v="240"/>
    <n v="50"/>
    <n v="3"/>
    <n v="25"/>
    <n v="150"/>
    <n v="100"/>
    <n v="22.975999999999999"/>
    <n v="27.024000000000001"/>
    <n v="45.95"/>
    <n v="84"/>
    <n v="3.3180000000000001E-2"/>
    <n v="1.9320000000000001E-4"/>
    <n v="11.851499548946435"/>
    <n v="2.4091499237680374"/>
    <n v="1"/>
  </r>
  <r>
    <n v="839"/>
    <s v="Biochar"/>
    <n v="1"/>
    <n v="240"/>
    <n v="50"/>
    <n v="3"/>
    <n v="25"/>
    <n v="150"/>
    <n v="100"/>
    <n v="22.436"/>
    <n v="27.564"/>
    <n v="44.87"/>
    <n v="86.7"/>
    <n v="3.2919999999999998E-2"/>
    <n v="1.9670000000000001E-4"/>
    <n v="11.54028801298873"/>
    <n v="2.3883693161476751"/>
    <n v="2"/>
  </r>
  <r>
    <n v="840"/>
    <s v="Biochar"/>
    <n v="1"/>
    <n v="240"/>
    <n v="50"/>
    <n v="3"/>
    <n v="25"/>
    <n v="150"/>
    <n v="100"/>
    <n v="21.684000000000001"/>
    <n v="28.315999999999999"/>
    <n v="43.37"/>
    <n v="58.3"/>
    <n v="3.6600000000000001E-2"/>
    <n v="1.8039999999999999E-4"/>
    <n v="10.499938060275911"/>
    <n v="2.4144897237204042"/>
    <n v="3"/>
  </r>
  <r>
    <n v="841"/>
    <s v="Biochar"/>
    <n v="1"/>
    <n v="240"/>
    <n v="50"/>
    <n v="7"/>
    <n v="25"/>
    <n v="150"/>
    <n v="100"/>
    <n v="27.995000000000001"/>
    <n v="22.004999999999999"/>
    <n v="55.99"/>
    <n v="64"/>
    <n v="2.8719999999999999E-2"/>
    <n v="1.729E-4"/>
    <n v="15.0444276369757"/>
    <n v="2.5611399850857821"/>
    <n v="1"/>
  </r>
  <r>
    <n v="842"/>
    <s v="Biochar"/>
    <n v="1"/>
    <n v="240"/>
    <n v="50"/>
    <n v="7"/>
    <n v="25"/>
    <n v="150"/>
    <n v="100"/>
    <n v="29.401"/>
    <n v="20.599"/>
    <n v="58.8"/>
    <n v="110.8"/>
    <n v="3.3160000000000002E-2"/>
    <n v="2.0359999999999999E-4"/>
    <n v="17.334845894443397"/>
    <n v="2.490404351821363"/>
    <n v="2"/>
  </r>
  <r>
    <n v="843"/>
    <s v="Biochar"/>
    <n v="1"/>
    <n v="240"/>
    <n v="50"/>
    <n v="7"/>
    <n v="25"/>
    <n v="150"/>
    <n v="100"/>
    <n v="32.911999999999999"/>
    <n v="17.088000000000001"/>
    <n v="65.819999999999993"/>
    <n v="87.4"/>
    <n v="3.4729999999999997E-2"/>
    <n v="1.761E-4"/>
    <n v="19.147006462386752"/>
    <n v="2.622128669114856"/>
    <n v="3"/>
  </r>
  <r>
    <n v="844"/>
    <s v="Biochar"/>
    <n v="1"/>
    <n v="240"/>
    <n v="50"/>
    <n v="11"/>
    <n v="25"/>
    <n v="150"/>
    <n v="100"/>
    <n v="29.206"/>
    <n v="20.794"/>
    <n v="58.41"/>
    <n v="108.9"/>
    <n v="2.911E-2"/>
    <n v="1.795E-4"/>
    <n v="16.272658669717408"/>
    <n v="2.5598085762817457"/>
    <n v="1"/>
  </r>
  <r>
    <n v="845"/>
    <s v="Biochar"/>
    <n v="1"/>
    <n v="240"/>
    <n v="50"/>
    <n v="11"/>
    <n v="25"/>
    <n v="150"/>
    <n v="100"/>
    <n v="24.792000000000002"/>
    <n v="25.207999999999998"/>
    <n v="49.58"/>
    <n v="73.3"/>
    <n v="3.6769999999999997E-2"/>
    <n v="1.8540000000000001E-4"/>
    <n v="13.003938796234078"/>
    <n v="2.4670872569018343"/>
    <n v="2"/>
  </r>
  <r>
    <n v="846"/>
    <s v="Biochar"/>
    <n v="1"/>
    <n v="240"/>
    <n v="50"/>
    <n v="11"/>
    <n v="25"/>
    <n v="150"/>
    <n v="100"/>
    <n v="31.027999999999999"/>
    <n v="18.972000000000001"/>
    <n v="62.06"/>
    <n v="101"/>
    <n v="3.5740000000000001E-2"/>
    <n v="2.2049999999999999E-4"/>
    <n v="19.283874591090353"/>
    <n v="2.4633531503667152"/>
    <n v="3"/>
  </r>
  <r>
    <n v="847"/>
    <s v="Biochar"/>
    <n v="1"/>
    <n v="240"/>
    <n v="100"/>
    <n v="3"/>
    <n v="25"/>
    <n v="150"/>
    <n v="100"/>
    <n v="56.424999999999997"/>
    <n v="43.575000000000003"/>
    <n v="56.43"/>
    <n v="78.5"/>
    <n v="3.2140000000000002E-2"/>
    <n v="2.0159999999999999E-4"/>
    <n v="41.297926686146553"/>
    <n v="2.7164860731243725"/>
    <n v="1"/>
  </r>
  <r>
    <n v="848"/>
    <s v="Biochar"/>
    <n v="1"/>
    <n v="240"/>
    <n v="100"/>
    <n v="3"/>
    <n v="25"/>
    <n v="150"/>
    <n v="100"/>
    <n v="55.183999999999997"/>
    <n v="44.816000000000003"/>
    <n v="55.18"/>
    <n v="87.5"/>
    <n v="2.9479999999999999E-2"/>
    <n v="1.839E-4"/>
    <n v="39.121599385230596"/>
    <n v="2.7764811752289442"/>
    <n v="2"/>
  </r>
  <r>
    <n v="849"/>
    <s v="Biochar"/>
    <n v="1"/>
    <n v="240"/>
    <n v="100"/>
    <n v="3"/>
    <n v="25"/>
    <n v="150"/>
    <n v="100"/>
    <n v="50.430999999999997"/>
    <n v="49.569000000000003"/>
    <n v="50.43"/>
    <n v="84.7"/>
    <n v="4.19E-2"/>
    <n v="1.7229999999999999E-4"/>
    <n v="34.086075914278808"/>
    <n v="2.7939173956698964"/>
    <n v="3"/>
  </r>
  <r>
    <n v="850"/>
    <s v="Biochar"/>
    <n v="1"/>
    <n v="240"/>
    <n v="100"/>
    <n v="7"/>
    <n v="25"/>
    <n v="150"/>
    <n v="100"/>
    <n v="75.626000000000005"/>
    <n v="24.373999999999999"/>
    <n v="75.63"/>
    <n v="104.9"/>
    <n v="4.2950000000000002E-2"/>
    <n v="1.919E-4"/>
    <n v="58.7566098362215"/>
    <n v="2.825500746750865"/>
    <n v="1"/>
  </r>
  <r>
    <n v="851"/>
    <s v="Biochar"/>
    <n v="1"/>
    <n v="240"/>
    <n v="100"/>
    <n v="7"/>
    <n v="25"/>
    <n v="150"/>
    <n v="100"/>
    <n v="75.524000000000001"/>
    <n v="24.475999999999999"/>
    <n v="75.52"/>
    <n v="93"/>
    <n v="3.5680000000000003E-2"/>
    <n v="1.9799999999999999E-4"/>
    <n v="59.066027043480361"/>
    <n v="2.8008100380007179"/>
    <n v="2"/>
  </r>
  <r>
    <n v="852"/>
    <s v="Biochar"/>
    <n v="1"/>
    <n v="240"/>
    <n v="100"/>
    <n v="7"/>
    <n v="25"/>
    <n v="150"/>
    <n v="100"/>
    <n v="75.125"/>
    <n v="24.875"/>
    <n v="75.12"/>
    <n v="53.2"/>
    <n v="3.739E-2"/>
    <n v="2.0249999999999999E-4"/>
    <n v="58.972820127604905"/>
    <n v="2.7820550171790326"/>
    <n v="3"/>
  </r>
  <r>
    <n v="853"/>
    <s v="Biochar"/>
    <n v="1"/>
    <n v="240"/>
    <n v="100"/>
    <n v="11"/>
    <n v="25"/>
    <n v="150"/>
    <n v="100"/>
    <n v="57.905999999999999"/>
    <n v="42.094000000000001"/>
    <n v="57.91"/>
    <n v="112"/>
    <n v="3.2640000000000002E-2"/>
    <n v="1.919E-4"/>
    <n v="42.114540148024702"/>
    <n v="2.7594692782038854"/>
    <n v="1"/>
  </r>
  <r>
    <n v="854"/>
    <s v="Biochar"/>
    <n v="1"/>
    <n v="240"/>
    <n v="100"/>
    <n v="11"/>
    <n v="25"/>
    <n v="150"/>
    <n v="100"/>
    <n v="71.019000000000005"/>
    <n v="28.981000000000002"/>
    <n v="71.02"/>
    <n v="75"/>
    <n v="3.3070000000000002E-2"/>
    <n v="1.9709999999999999E-4"/>
    <n v="54.728305977540124"/>
    <n v="2.7905940259089914"/>
    <n v="2"/>
  </r>
  <r>
    <n v="855"/>
    <s v="Biochar"/>
    <n v="1"/>
    <n v="240"/>
    <n v="100"/>
    <n v="11"/>
    <n v="25"/>
    <n v="150"/>
    <n v="100"/>
    <n v="64.203000000000003"/>
    <n v="35.796999999999997"/>
    <n v="64.2"/>
    <n v="88.4"/>
    <n v="3.048E-2"/>
    <n v="1.894E-4"/>
    <n v="47.818044288783092"/>
    <n v="2.7963635791393071"/>
    <n v="3"/>
  </r>
  <r>
    <n v="856"/>
    <s v="Biochar"/>
    <n v="1"/>
    <n v="240"/>
    <n v="200"/>
    <n v="3"/>
    <n v="25"/>
    <n v="150"/>
    <n v="100"/>
    <n v="87.819000000000003"/>
    <n v="112.181"/>
    <n v="43.91"/>
    <n v="84.7"/>
    <n v="3.6490000000000002E-2"/>
    <n v="2.084E-4"/>
    <n v="71.533166017208956"/>
    <n v="2.7902956491326751"/>
    <n v="1"/>
  </r>
  <r>
    <n v="857"/>
    <s v="Biochar"/>
    <n v="1"/>
    <n v="240"/>
    <n v="200"/>
    <n v="3"/>
    <n v="25"/>
    <n v="150"/>
    <n v="100"/>
    <n v="76.893000000000001"/>
    <n v="123.107"/>
    <n v="38.450000000000003"/>
    <n v="99.4"/>
    <n v="3.5880000000000002E-2"/>
    <n v="2.2770000000000001E-4"/>
    <n v="62.111708057822199"/>
    <n v="2.6933623232139516"/>
    <n v="2"/>
  </r>
  <r>
    <n v="858"/>
    <s v="Biochar"/>
    <n v="1"/>
    <n v="240"/>
    <n v="200"/>
    <n v="3"/>
    <n v="25"/>
    <n v="150"/>
    <n v="100"/>
    <n v="97.650999999999996"/>
    <n v="102.349"/>
    <n v="48.83"/>
    <n v="99.9"/>
    <n v="3.6630000000000003E-2"/>
    <n v="2.2690000000000001E-4"/>
    <n v="82.194225384088497"/>
    <n v="2.7380473937034209"/>
    <n v="3"/>
  </r>
  <r>
    <n v="859"/>
    <s v="Biochar"/>
    <n v="1"/>
    <n v="240"/>
    <n v="200"/>
    <n v="7"/>
    <n v="25"/>
    <n v="150"/>
    <n v="100"/>
    <n v="136.50700000000001"/>
    <n v="63.493000000000002"/>
    <n v="68.25"/>
    <n v="84.5"/>
    <n v="4.2950000000000002E-2"/>
    <n v="2.1780000000000001E-4"/>
    <n v="119.72780974913113"/>
    <n v="2.8201394430730469"/>
    <n v="1"/>
  </r>
  <r>
    <n v="860"/>
    <s v="Biochar"/>
    <n v="1"/>
    <n v="240"/>
    <n v="200"/>
    <n v="7"/>
    <n v="25"/>
    <n v="150"/>
    <n v="100"/>
    <n v="137.17500000000001"/>
    <n v="62.825000000000003"/>
    <n v="68.59"/>
    <n v="69.3"/>
    <n v="3.049E-2"/>
    <n v="2.0589999999999999E-4"/>
    <n v="119.5401687792511"/>
    <n v="2.8698759929446775"/>
    <n v="2"/>
  </r>
  <r>
    <n v="861"/>
    <s v="Biochar"/>
    <n v="1"/>
    <n v="240"/>
    <n v="200"/>
    <n v="7"/>
    <n v="25"/>
    <n v="150"/>
    <n v="100"/>
    <n v="131.62"/>
    <n v="68.38"/>
    <n v="65.81"/>
    <n v="77.8"/>
    <n v="3.5490000000000001E-2"/>
    <n v="2.318E-4"/>
    <n v="115.80462978066366"/>
    <n v="2.7609822658630887"/>
    <n v="3"/>
  </r>
  <r>
    <n v="862"/>
    <s v="Biochar"/>
    <n v="1"/>
    <n v="240"/>
    <n v="200"/>
    <n v="11"/>
    <n v="25"/>
    <n v="150"/>
    <n v="100"/>
    <n v="115.456"/>
    <n v="84.543999999999997"/>
    <n v="57.73"/>
    <n v="71"/>
    <n v="3.4610000000000002E-2"/>
    <n v="1.839E-4"/>
    <n v="96.515640462420265"/>
    <n v="2.9412950705545127"/>
    <n v="1"/>
  </r>
  <r>
    <n v="863"/>
    <s v="Biochar"/>
    <n v="1"/>
    <n v="240"/>
    <n v="200"/>
    <n v="11"/>
    <n v="25"/>
    <n v="150"/>
    <n v="100"/>
    <n v="103.764"/>
    <n v="96.236000000000004"/>
    <n v="51.88"/>
    <n v="80.400000000000006"/>
    <n v="3.3329999999999999E-2"/>
    <n v="1.749E-4"/>
    <n v="84.389131589421794"/>
    <n v="2.9639767835042541"/>
    <n v="2"/>
  </r>
  <r>
    <n v="864"/>
    <s v="Biochar"/>
    <n v="1"/>
    <n v="240"/>
    <n v="200"/>
    <n v="11"/>
    <n v="25"/>
    <n v="150"/>
    <n v="100"/>
    <n v="106.571"/>
    <n v="93.429000000000002"/>
    <n v="53.29"/>
    <n v="78.5"/>
    <n v="2.4750000000000001E-2"/>
    <n v="2.4110000000000001E-4"/>
    <n v="91.700540089648641"/>
    <n v="2.6993766887329436"/>
    <n v="3"/>
  </r>
  <r>
    <n v="865"/>
    <s v="Biochar"/>
    <n v="2"/>
    <n v="30"/>
    <n v="25"/>
    <n v="3"/>
    <n v="25"/>
    <n v="150"/>
    <n v="100"/>
    <n v="0.499"/>
    <n v="24.001000000000001"/>
    <n v="3.99"/>
    <n v="80.900000000000006"/>
    <n v="3.5069999999999997E-2"/>
    <n v="1.7660000000000001E-4"/>
    <n v="1.3157289028680299E-3"/>
    <n v="-0.69778939679738528"/>
    <n v="1"/>
  </r>
  <r>
    <n v="866"/>
    <s v="Biochar"/>
    <n v="2"/>
    <n v="30"/>
    <n v="25"/>
    <n v="3"/>
    <n v="25"/>
    <n v="150"/>
    <n v="100"/>
    <n v="0.52700000000000002"/>
    <n v="23.946999999999999"/>
    <n v="4.21"/>
    <n v="110.1"/>
    <n v="3.5549999999999998E-2"/>
    <n v="2.2049999999999999E-4"/>
    <n v="1.8307949914264136E-3"/>
    <n v="-0.64403477306204626"/>
    <n v="2"/>
  </r>
  <r>
    <n v="867"/>
    <s v="Biochar"/>
    <n v="2"/>
    <n v="30"/>
    <n v="25"/>
    <n v="3"/>
    <n v="25"/>
    <n v="150"/>
    <n v="100"/>
    <n v="0.45800000000000002"/>
    <n v="24.084"/>
    <n v="3.67"/>
    <n v="68.5"/>
    <n v="3.356E-2"/>
    <n v="2.0259999999999999E-4"/>
    <n v="1.2714063476363326E-3"/>
    <n v="-0.78366595148378893"/>
    <n v="3"/>
  </r>
  <r>
    <n v="868"/>
    <s v="Biochar"/>
    <n v="2"/>
    <n v="30"/>
    <n v="25"/>
    <n v="7"/>
    <n v="25"/>
    <n v="150"/>
    <n v="100"/>
    <n v="0.751"/>
    <n v="23.498000000000001"/>
    <n v="6.01"/>
    <n v="82.9"/>
    <n v="3.4680000000000002E-2"/>
    <n v="1.984E-4"/>
    <n v="3.341995393009028E-3"/>
    <n v="-0.29080961865369387"/>
    <n v="1"/>
  </r>
  <r>
    <n v="869"/>
    <s v="Biochar"/>
    <n v="2"/>
    <n v="30"/>
    <n v="25"/>
    <n v="7"/>
    <n v="25"/>
    <n v="150"/>
    <n v="100"/>
    <n v="0.79100000000000004"/>
    <n v="23.417999999999999"/>
    <n v="6.33"/>
    <n v="72.099999999999994"/>
    <n v="3.2489999999999998E-2"/>
    <n v="1.7430000000000001E-4"/>
    <n v="3.2582095414454555E-3"/>
    <n v="-0.2385849199051765"/>
    <n v="2"/>
  </r>
  <r>
    <n v="870"/>
    <s v="Biochar"/>
    <n v="2"/>
    <n v="30"/>
    <n v="25"/>
    <n v="7"/>
    <n v="25"/>
    <n v="150"/>
    <n v="100"/>
    <n v="0.86399999999999999"/>
    <n v="23.271999999999998"/>
    <n v="6.91"/>
    <n v="58.6"/>
    <n v="3.9039999999999998E-2"/>
    <n v="2.2770000000000001E-4"/>
    <n v="5.0693946896519888E-3"/>
    <n v="-0.15206714569734975"/>
    <n v="3"/>
  </r>
  <r>
    <n v="871"/>
    <s v="Biochar"/>
    <n v="2"/>
    <n v="30"/>
    <n v="25"/>
    <n v="11"/>
    <n v="25"/>
    <n v="150"/>
    <n v="100"/>
    <n v="0.55700000000000005"/>
    <n v="23.885999999999999"/>
    <n v="4.46"/>
    <n v="52.2"/>
    <n v="3.3739999999999999E-2"/>
    <n v="1.9870000000000001E-4"/>
    <n v="1.843274108373273E-3"/>
    <n v="-0.58850481610604766"/>
    <n v="1"/>
  </r>
  <r>
    <n v="872"/>
    <s v="Biochar"/>
    <n v="2"/>
    <n v="30"/>
    <n v="25"/>
    <n v="11"/>
    <n v="25"/>
    <n v="150"/>
    <n v="100"/>
    <n v="0.51600000000000001"/>
    <n v="23.966999999999999"/>
    <n v="4.13"/>
    <n v="79.099999999999994"/>
    <n v="4.036E-2"/>
    <n v="2.1330000000000001E-4"/>
    <n v="1.6981650001566227E-3"/>
    <n v="-0.66494495825149058"/>
    <n v="2"/>
  </r>
  <r>
    <n v="873"/>
    <s v="Biochar"/>
    <n v="2"/>
    <n v="30"/>
    <n v="25"/>
    <n v="11"/>
    <n v="25"/>
    <n v="150"/>
    <n v="100"/>
    <n v="0.52100000000000002"/>
    <n v="23.957000000000001"/>
    <n v="4.17"/>
    <n v="65.2"/>
    <n v="3.3860000000000001E-2"/>
    <n v="1.9570000000000001E-4"/>
    <n v="1.5887703944164929E-3"/>
    <n v="-0.65505935964530393"/>
    <n v="3"/>
  </r>
  <r>
    <n v="874"/>
    <s v="Biochar"/>
    <n v="2"/>
    <n v="30"/>
    <n v="50"/>
    <n v="3"/>
    <n v="25"/>
    <n v="150"/>
    <n v="100"/>
    <n v="1.79"/>
    <n v="46.42"/>
    <n v="7.16"/>
    <n v="78.8"/>
    <n v="3.6790000000000003E-2"/>
    <n v="2.387E-4"/>
    <n v="2.265417458586521E-2"/>
    <n v="0.56947888749558528"/>
    <n v="1"/>
  </r>
  <r>
    <n v="875"/>
    <s v="Biochar"/>
    <n v="2"/>
    <n v="30"/>
    <n v="50"/>
    <n v="3"/>
    <n v="25"/>
    <n v="150"/>
    <n v="100"/>
    <n v="1.8440000000000001"/>
    <n v="46.311"/>
    <n v="7.38"/>
    <n v="85.1"/>
    <n v="3.4360000000000002E-2"/>
    <n v="1.929E-4"/>
    <n v="1.9469975880227589E-2"/>
    <n v="0.60132243283995879"/>
    <n v="2"/>
  </r>
  <r>
    <n v="876"/>
    <s v="Biochar"/>
    <n v="2"/>
    <n v="30"/>
    <n v="50"/>
    <n v="3"/>
    <n v="25"/>
    <n v="150"/>
    <n v="100"/>
    <n v="1.907"/>
    <n v="46.186999999999998"/>
    <n v="7.63"/>
    <n v="77.599999999999994"/>
    <n v="3.5159999999999997E-2"/>
    <n v="2.0100000000000001E-4"/>
    <n v="2.1679694114639995E-2"/>
    <n v="0.63409773001121361"/>
    <n v="3"/>
  </r>
  <r>
    <n v="877"/>
    <s v="Biochar"/>
    <n v="2"/>
    <n v="30"/>
    <n v="50"/>
    <n v="7"/>
    <n v="25"/>
    <n v="150"/>
    <n v="100"/>
    <n v="2.7879999999999998"/>
    <n v="44.423999999999999"/>
    <n v="11.15"/>
    <n v="68.099999999999994"/>
    <n v="3.6130000000000002E-2"/>
    <n v="1.9880000000000001E-4"/>
    <n v="4.5599624244720506E-2"/>
    <n v="1.0088335864382627"/>
    <n v="1"/>
  </r>
  <r>
    <n v="878"/>
    <s v="Biochar"/>
    <n v="2"/>
    <n v="30"/>
    <n v="50"/>
    <n v="7"/>
    <n v="25"/>
    <n v="150"/>
    <n v="100"/>
    <n v="3.0819999999999999"/>
    <n v="43.835999999999999"/>
    <n v="12.33"/>
    <n v="78.900000000000006"/>
    <n v="3.9269999999999999E-2"/>
    <n v="1.8249999999999999E-4"/>
    <n v="5.1142537283013295E-2"/>
    <n v="1.1088455704825839"/>
    <n v="2"/>
  </r>
  <r>
    <n v="879"/>
    <s v="Biochar"/>
    <n v="2"/>
    <n v="30"/>
    <n v="50"/>
    <n v="7"/>
    <n v="25"/>
    <n v="150"/>
    <n v="100"/>
    <n v="3.4380000000000002"/>
    <n v="43.124000000000002"/>
    <n v="13.75"/>
    <n v="63.2"/>
    <n v="3.6519999999999997E-2"/>
    <n v="2.095E-4"/>
    <n v="7.2716474324594799E-2"/>
    <n v="1.213512216805912"/>
    <n v="3"/>
  </r>
  <r>
    <n v="880"/>
    <s v="Biochar"/>
    <n v="2"/>
    <n v="30"/>
    <n v="50"/>
    <n v="11"/>
    <n v="25"/>
    <n v="150"/>
    <n v="100"/>
    <n v="1.99"/>
    <n v="46.02"/>
    <n v="7.96"/>
    <n v="91.2"/>
    <n v="3.9480000000000001E-2"/>
    <n v="1.5569999999999999E-4"/>
    <n v="1.832726981218747E-2"/>
    <n v="0.67888228408522722"/>
    <n v="1"/>
  </r>
  <r>
    <n v="881"/>
    <s v="Biochar"/>
    <n v="2"/>
    <n v="30"/>
    <n v="50"/>
    <n v="11"/>
    <n v="25"/>
    <n v="150"/>
    <n v="100"/>
    <n v="2.2709999999999999"/>
    <n v="45.459000000000003"/>
    <n v="9.08"/>
    <n v="53.7"/>
    <n v="3.1620000000000002E-2"/>
    <n v="2.3259999999999999E-4"/>
    <n v="3.5427207002399111E-2"/>
    <n v="0.80449747845100061"/>
    <n v="2"/>
  </r>
  <r>
    <n v="882"/>
    <s v="Biochar"/>
    <n v="2"/>
    <n v="30"/>
    <n v="50"/>
    <n v="11"/>
    <n v="25"/>
    <n v="150"/>
    <n v="100"/>
    <n v="2.036"/>
    <n v="45.927999999999997"/>
    <n v="8.14"/>
    <n v="70.599999999999994"/>
    <n v="3.431E-2"/>
    <n v="2.4140000000000001E-4"/>
    <n v="2.9584025693350943E-2"/>
    <n v="0.69635003310073207"/>
    <n v="3"/>
  </r>
  <r>
    <n v="883"/>
    <s v="Biochar"/>
    <n v="2"/>
    <n v="30"/>
    <n v="100"/>
    <n v="3"/>
    <n v="25"/>
    <n v="150"/>
    <n v="100"/>
    <n v="5.0209999999999999"/>
    <n v="89.957999999999998"/>
    <n v="10.039999999999999"/>
    <n v="72.2"/>
    <n v="4.0239999999999998E-2"/>
    <n v="2.3719999999999999E-4"/>
    <n v="0.17320884385485399"/>
    <n v="1.5785231694862154"/>
    <n v="1"/>
  </r>
  <r>
    <n v="884"/>
    <s v="Biochar"/>
    <n v="2"/>
    <n v="30"/>
    <n v="100"/>
    <n v="3"/>
    <n v="25"/>
    <n v="150"/>
    <n v="100"/>
    <n v="6.0839999999999996"/>
    <n v="87.832999999999998"/>
    <n v="12.17"/>
    <n v="69.8"/>
    <n v="4.2340000000000003E-2"/>
    <n v="2.319E-4"/>
    <n v="0.247056725759494"/>
    <n v="1.764207247867168"/>
    <n v="2"/>
  </r>
  <r>
    <n v="885"/>
    <s v="Biochar"/>
    <n v="2"/>
    <n v="30"/>
    <n v="100"/>
    <n v="3"/>
    <n v="25"/>
    <n v="150"/>
    <n v="100"/>
    <n v="6.5640000000000001"/>
    <n v="86.870999999999995"/>
    <n v="13.13"/>
    <n v="75.3"/>
    <n v="3.483E-2"/>
    <n v="1.9680000000000001E-4"/>
    <n v="0.24488988350287291"/>
    <n v="1.8435783938931822"/>
    <n v="3"/>
  </r>
  <r>
    <n v="886"/>
    <s v="Biochar"/>
    <n v="2"/>
    <n v="30"/>
    <n v="100"/>
    <n v="7"/>
    <n v="25"/>
    <n v="150"/>
    <n v="100"/>
    <n v="10.657"/>
    <n v="78.686000000000007"/>
    <n v="21.31"/>
    <n v="104.4"/>
    <n v="3.8080000000000003E-2"/>
    <n v="1.785E-4"/>
    <n v="0.57534240483065879"/>
    <n v="2.3107176930890083"/>
    <n v="1"/>
  </r>
  <r>
    <n v="887"/>
    <s v="Biochar"/>
    <n v="2"/>
    <n v="30"/>
    <n v="100"/>
    <n v="7"/>
    <n v="25"/>
    <n v="150"/>
    <n v="100"/>
    <n v="11.736000000000001"/>
    <n v="76.528999999999996"/>
    <n v="23.47"/>
    <n v="89.7"/>
    <n v="3.7400000000000003E-2"/>
    <n v="2.2929999999999999E-4"/>
    <n v="0.87669296724701973"/>
    <n v="2.3850225033311316"/>
    <n v="2"/>
  </r>
  <r>
    <n v="888"/>
    <s v="Biochar"/>
    <n v="2"/>
    <n v="30"/>
    <n v="100"/>
    <n v="7"/>
    <n v="25"/>
    <n v="150"/>
    <n v="100"/>
    <n v="9.1690000000000005"/>
    <n v="81.662000000000006"/>
    <n v="18.34"/>
    <n v="85.3"/>
    <n v="3.3140000000000003E-2"/>
    <n v="1.6860000000000001E-4"/>
    <n v="0.40638219112391993"/>
    <n v="2.1704946969352177"/>
    <n v="3"/>
  </r>
  <r>
    <n v="889"/>
    <s v="Biochar"/>
    <n v="2"/>
    <n v="30"/>
    <n v="100"/>
    <n v="11"/>
    <n v="25"/>
    <n v="150"/>
    <n v="100"/>
    <n v="7.98"/>
    <n v="84.04"/>
    <n v="15.96"/>
    <n v="118"/>
    <n v="2.8559999999999999E-2"/>
    <n v="1.994E-4"/>
    <n v="0.36358015942102073"/>
    <n v="2.0303064220961167"/>
    <n v="1"/>
  </r>
  <r>
    <n v="890"/>
    <s v="Biochar"/>
    <n v="2"/>
    <n v="30"/>
    <n v="100"/>
    <n v="11"/>
    <n v="25"/>
    <n v="150"/>
    <n v="100"/>
    <n v="8.2059999999999995"/>
    <n v="83.587000000000003"/>
    <n v="16.41"/>
    <n v="87.3"/>
    <n v="3.4599999999999999E-2"/>
    <n v="1.74E-4"/>
    <n v="0.3370682112301297"/>
    <n v="2.0629223211673118"/>
    <n v="2"/>
  </r>
  <r>
    <n v="891"/>
    <s v="Biochar"/>
    <n v="2"/>
    <n v="30"/>
    <n v="100"/>
    <n v="11"/>
    <n v="25"/>
    <n v="150"/>
    <n v="100"/>
    <n v="7.8920000000000003"/>
    <n v="84.215999999999994"/>
    <n v="15.78"/>
    <n v="76"/>
    <n v="2.734E-2"/>
    <n v="2.2389999999999999E-4"/>
    <n v="0.39729836090039455"/>
    <n v="2.0141963227701547"/>
    <n v="3"/>
  </r>
  <r>
    <n v="892"/>
    <s v="Biochar"/>
    <n v="2"/>
    <n v="30"/>
    <n v="200"/>
    <n v="3"/>
    <n v="25"/>
    <n v="150"/>
    <n v="100"/>
    <n v="22.120999999999999"/>
    <n v="155.75700000000001"/>
    <n v="22.12"/>
    <n v="86.4"/>
    <n v="3.5799999999999998E-2"/>
    <n v="2.2149999999999999E-4"/>
    <n v="2.8349364877870831"/>
    <n v="2.9593827372598374"/>
    <n v="1"/>
  </r>
  <r>
    <n v="893"/>
    <s v="Biochar"/>
    <n v="2"/>
    <n v="30"/>
    <n v="200"/>
    <n v="3"/>
    <n v="25"/>
    <n v="150"/>
    <n v="100"/>
    <n v="20.64"/>
    <n v="158.721"/>
    <n v="20.64"/>
    <n v="97.3"/>
    <n v="3.3959999999999997E-2"/>
    <n v="2.262E-4"/>
    <n v="2.5357379760333254"/>
    <n v="2.8961473814902354"/>
    <n v="2"/>
  </r>
  <r>
    <n v="894"/>
    <s v="Biochar"/>
    <n v="2"/>
    <n v="30"/>
    <n v="200"/>
    <n v="3"/>
    <n v="25"/>
    <n v="150"/>
    <n v="100"/>
    <n v="20.834"/>
    <n v="158.33099999999999"/>
    <n v="20.83"/>
    <n v="88.2"/>
    <n v="3.0550000000000001E-2"/>
    <n v="2.0570000000000001E-4"/>
    <n v="2.3734149166280405"/>
    <n v="2.9156379232296437"/>
    <n v="3"/>
  </r>
  <r>
    <n v="895"/>
    <s v="Biochar"/>
    <n v="2"/>
    <n v="30"/>
    <n v="200"/>
    <n v="7"/>
    <n v="25"/>
    <n v="150"/>
    <n v="100"/>
    <n v="29.925999999999998"/>
    <n v="140.148"/>
    <n v="29.93"/>
    <n v="77.5"/>
    <n v="3.2149999999999998E-2"/>
    <n v="1.7870000000000001E-4"/>
    <n v="4.1373567741971851"/>
    <n v="3.249934209971292"/>
    <n v="1"/>
  </r>
  <r>
    <n v="896"/>
    <s v="Biochar"/>
    <n v="2"/>
    <n v="30"/>
    <n v="200"/>
    <n v="7"/>
    <n v="25"/>
    <n v="150"/>
    <n v="100"/>
    <n v="39.576999999999998"/>
    <n v="120.845"/>
    <n v="39.58"/>
    <n v="102.8"/>
    <n v="4.172E-2"/>
    <n v="1.7550000000000001E-4"/>
    <n v="6.8246932938181031"/>
    <n v="3.4889733933774654"/>
    <n v="2"/>
  </r>
  <r>
    <n v="897"/>
    <s v="Biochar"/>
    <n v="2"/>
    <n v="30"/>
    <n v="200"/>
    <n v="7"/>
    <n v="25"/>
    <n v="150"/>
    <n v="100"/>
    <n v="32.874000000000002"/>
    <n v="134.251"/>
    <n v="32.869999999999997"/>
    <n v="69.099999999999994"/>
    <n v="3.2570000000000002E-2"/>
    <n v="1.816E-4"/>
    <n v="4.9933552270219623"/>
    <n v="3.3279327123457811"/>
    <n v="3"/>
  </r>
  <r>
    <n v="898"/>
    <s v="Biochar"/>
    <n v="2"/>
    <n v="30"/>
    <n v="200"/>
    <n v="11"/>
    <n v="25"/>
    <n v="150"/>
    <n v="100"/>
    <n v="28.027999999999999"/>
    <n v="143.94399999999999"/>
    <n v="28.03"/>
    <n v="80.599999999999994"/>
    <n v="3.8739999999999997E-2"/>
    <n v="2.1210000000000001E-4"/>
    <n v="4.2420396429029079"/>
    <n v="3.1690955056550938"/>
    <n v="1"/>
  </r>
  <r>
    <n v="899"/>
    <s v="Biochar"/>
    <n v="2"/>
    <n v="30"/>
    <n v="200"/>
    <n v="11"/>
    <n v="25"/>
    <n v="150"/>
    <n v="100"/>
    <n v="30.681000000000001"/>
    <n v="138.637"/>
    <n v="30.68"/>
    <n v="66.7"/>
    <n v="3.9410000000000001E-2"/>
    <n v="2.229E-4"/>
    <n v="5.2230507955214156"/>
    <n v="3.2370280401786973"/>
    <n v="2"/>
  </r>
  <r>
    <n v="900"/>
    <s v="Biochar"/>
    <n v="2"/>
    <n v="30"/>
    <n v="200"/>
    <n v="11"/>
    <n v="25"/>
    <n v="150"/>
    <n v="100"/>
    <n v="22.51"/>
    <n v="154.98099999999999"/>
    <n v="22.51"/>
    <n v="98.7"/>
    <n v="3.6179999999999997E-2"/>
    <n v="1.9550000000000001E-4"/>
    <n v="2.625212511709698"/>
    <n v="2.9899549915666057"/>
    <n v="3"/>
  </r>
  <r>
    <n v="901"/>
    <s v="Biochar"/>
    <n v="2"/>
    <n v="60"/>
    <n v="25"/>
    <n v="3"/>
    <n v="25"/>
    <n v="150"/>
    <n v="100"/>
    <n v="0.78600000000000003"/>
    <n v="23.428999999999998"/>
    <n v="6.29"/>
    <n v="76.5"/>
    <n v="4.2169999999999999E-2"/>
    <n v="2.0000000000000001E-4"/>
    <n v="7.3442807440223801E-3"/>
    <n v="-0.25018628297564643"/>
    <n v="1"/>
  </r>
  <r>
    <n v="902"/>
    <s v="Biochar"/>
    <n v="2"/>
    <n v="60"/>
    <n v="25"/>
    <n v="3"/>
    <n v="25"/>
    <n v="150"/>
    <n v="100"/>
    <n v="0.92300000000000004"/>
    <n v="23.154"/>
    <n v="7.39"/>
    <n v="75.5"/>
    <n v="3.227E-2"/>
    <n v="2.2159999999999999E-4"/>
    <n v="1.1189922922392433E-2"/>
    <n v="-9.2323559413014414E-2"/>
    <n v="2"/>
  </r>
  <r>
    <n v="903"/>
    <s v="Biochar"/>
    <n v="2"/>
    <n v="60"/>
    <n v="25"/>
    <n v="3"/>
    <n v="25"/>
    <n v="150"/>
    <n v="100"/>
    <n v="0.74099999999999999"/>
    <n v="23.518999999999998"/>
    <n v="5.93"/>
    <n v="80.400000000000006"/>
    <n v="3.5119999999999998E-2"/>
    <n v="2.0220000000000001E-4"/>
    <n v="6.6020990626216554E-3"/>
    <n v="-0.30870429788067855"/>
    <n v="3"/>
  </r>
  <r>
    <n v="904"/>
    <s v="Biochar"/>
    <n v="2"/>
    <n v="60"/>
    <n v="25"/>
    <n v="7"/>
    <n v="25"/>
    <n v="150"/>
    <n v="100"/>
    <n v="1.4470000000000001"/>
    <n v="22.105"/>
    <n v="11.58"/>
    <n v="90.8"/>
    <n v="3.7420000000000002E-2"/>
    <n v="2.1469999999999999E-4"/>
    <n v="2.6478874590008108E-2"/>
    <n v="0.35102379401425754"/>
    <n v="1"/>
  </r>
  <r>
    <n v="905"/>
    <s v="Biochar"/>
    <n v="2"/>
    <n v="60"/>
    <n v="25"/>
    <n v="7"/>
    <n v="25"/>
    <n v="150"/>
    <n v="100"/>
    <n v="1.329"/>
    <n v="22.343"/>
    <n v="10.63"/>
    <n v="82.1"/>
    <n v="3.918E-2"/>
    <n v="2.1790000000000001E-4"/>
    <n v="2.2697458636863805E-2"/>
    <n v="0.26720065897517736"/>
    <n v="2"/>
  </r>
  <r>
    <n v="906"/>
    <s v="Biochar"/>
    <n v="2"/>
    <n v="60"/>
    <n v="25"/>
    <n v="7"/>
    <n v="25"/>
    <n v="150"/>
    <n v="100"/>
    <n v="1.272"/>
    <n v="22.457000000000001"/>
    <n v="10.17"/>
    <n v="90.2"/>
    <n v="2.8080000000000001E-2"/>
    <n v="2.009E-4"/>
    <n v="1.9208658764268999E-2"/>
    <n v="0.22537413470092796"/>
    <n v="3"/>
  </r>
  <r>
    <n v="907"/>
    <s v="Biochar"/>
    <n v="2"/>
    <n v="60"/>
    <n v="25"/>
    <n v="11"/>
    <n v="25"/>
    <n v="150"/>
    <n v="100"/>
    <n v="1.292"/>
    <n v="22.417000000000002"/>
    <n v="10.33"/>
    <n v="73.5"/>
    <n v="3.2079999999999997E-2"/>
    <n v="2.153E-4"/>
    <n v="2.1209563548637678E-2"/>
    <n v="0.239639097772192"/>
    <n v="1"/>
  </r>
  <r>
    <n v="908"/>
    <s v="Biochar"/>
    <n v="2"/>
    <n v="60"/>
    <n v="25"/>
    <n v="11"/>
    <n v="25"/>
    <n v="150"/>
    <n v="100"/>
    <n v="0.91800000000000004"/>
    <n v="23.164000000000001"/>
    <n v="7.34"/>
    <n v="77.599999999999994"/>
    <n v="3.7089999999999998E-2"/>
    <n v="1.873E-4"/>
    <n v="9.3738273718990423E-3"/>
    <n v="-9.5821520625851184E-2"/>
    <n v="2"/>
  </r>
  <r>
    <n v="909"/>
    <s v="Biochar"/>
    <n v="2"/>
    <n v="60"/>
    <n v="25"/>
    <n v="11"/>
    <n v="25"/>
    <n v="150"/>
    <n v="100"/>
    <n v="1.06"/>
    <n v="22.88"/>
    <n v="8.48"/>
    <n v="95.3"/>
    <n v="3.6479999999999999E-2"/>
    <n v="2.053E-4"/>
    <n v="1.3662117439621469E-2"/>
    <n v="4.5296336962164729E-2"/>
    <n v="3"/>
  </r>
  <r>
    <n v="910"/>
    <s v="Biochar"/>
    <n v="2"/>
    <n v="60"/>
    <n v="50"/>
    <n v="3"/>
    <n v="25"/>
    <n v="150"/>
    <n v="100"/>
    <n v="3"/>
    <n v="44"/>
    <n v="12"/>
    <n v="90.5"/>
    <n v="3.4569999999999997E-2"/>
    <n v="2.0919999999999999E-4"/>
    <n v="0.10886844965961744"/>
    <n v="1.0616479654027595"/>
    <n v="1"/>
  </r>
  <r>
    <n v="911"/>
    <s v="Biochar"/>
    <n v="2"/>
    <n v="60"/>
    <n v="50"/>
    <n v="3"/>
    <n v="25"/>
    <n v="150"/>
    <n v="100"/>
    <n v="2.9510000000000001"/>
    <n v="44.097999999999999"/>
    <n v="11.8"/>
    <n v="83.4"/>
    <n v="3.1539999999999999E-2"/>
    <n v="1.9929999999999999E-4"/>
    <n v="0.10058558905737906"/>
    <n v="1.0474643910582235"/>
    <n v="2"/>
  </r>
  <r>
    <n v="912"/>
    <s v="Biochar"/>
    <n v="2"/>
    <n v="60"/>
    <n v="50"/>
    <n v="3"/>
    <n v="25"/>
    <n v="150"/>
    <n v="100"/>
    <n v="2.8530000000000002"/>
    <n v="44.292999999999999"/>
    <n v="11.41"/>
    <n v="71.400000000000006"/>
    <n v="3.5909999999999997E-2"/>
    <n v="2.0430000000000001E-4"/>
    <n v="9.6403883378596386E-2"/>
    <n v="1.0139966275205536"/>
    <n v="3"/>
  </r>
  <r>
    <n v="913"/>
    <s v="Biochar"/>
    <n v="2"/>
    <n v="60"/>
    <n v="50"/>
    <n v="7"/>
    <n v="25"/>
    <n v="150"/>
    <n v="100"/>
    <n v="5.617"/>
    <n v="38.765000000000001"/>
    <n v="22.47"/>
    <n v="80.2"/>
    <n v="3.6429999999999997E-2"/>
    <n v="2.1100000000000001E-4"/>
    <n v="0.37291339618307801"/>
    <n v="1.6571010806043149"/>
    <n v="1"/>
  </r>
  <r>
    <n v="914"/>
    <s v="Biochar"/>
    <n v="2"/>
    <n v="60"/>
    <n v="50"/>
    <n v="7"/>
    <n v="25"/>
    <n v="150"/>
    <n v="100"/>
    <n v="5.4409999999999998"/>
    <n v="39.116999999999997"/>
    <n v="21.77"/>
    <n v="75.099999999999994"/>
    <n v="3.5520000000000003E-2"/>
    <n v="2.073E-4"/>
    <n v="0.34488068015721313"/>
    <n v="1.628479332407599"/>
    <n v="2"/>
  </r>
  <r>
    <n v="915"/>
    <s v="Biochar"/>
    <n v="2"/>
    <n v="60"/>
    <n v="50"/>
    <n v="7"/>
    <n v="25"/>
    <n v="150"/>
    <n v="100"/>
    <n v="5.2130000000000001"/>
    <n v="39.573"/>
    <n v="20.85"/>
    <n v="58.9"/>
    <n v="3.5560000000000001E-2"/>
    <n v="2.4429999999999998E-4"/>
    <n v="0.37005951421280586"/>
    <n v="1.5775220746375931"/>
    <n v="3"/>
  </r>
  <r>
    <n v="916"/>
    <s v="Biochar"/>
    <n v="2"/>
    <n v="60"/>
    <n v="50"/>
    <n v="11"/>
    <n v="25"/>
    <n v="150"/>
    <n v="100"/>
    <n v="3.7549999999999999"/>
    <n v="42.488999999999997"/>
    <n v="15.02"/>
    <n v="76.400000000000006"/>
    <n v="3.6310000000000002E-2"/>
    <n v="2.062E-4"/>
    <n v="0.16670109965163779"/>
    <n v="1.2776782462865783"/>
    <n v="1"/>
  </r>
  <r>
    <n v="917"/>
    <s v="Biochar"/>
    <n v="2"/>
    <n v="60"/>
    <n v="50"/>
    <n v="11"/>
    <n v="25"/>
    <n v="150"/>
    <n v="100"/>
    <n v="4.3600000000000003"/>
    <n v="41.28"/>
    <n v="17.440000000000001"/>
    <n v="69.5"/>
    <n v="3.7560000000000003E-2"/>
    <n v="2.118E-4"/>
    <n v="0.22889181544846479"/>
    <n v="1.41854569653735"/>
    <n v="2"/>
  </r>
  <r>
    <n v="918"/>
    <s v="Biochar"/>
    <n v="2"/>
    <n v="60"/>
    <n v="50"/>
    <n v="11"/>
    <n v="25"/>
    <n v="150"/>
    <n v="100"/>
    <n v="3.84"/>
    <n v="42.32"/>
    <n v="15.36"/>
    <n v="90.1"/>
    <n v="3.8600000000000002E-2"/>
    <n v="2.174E-4"/>
    <n v="0.18316696368277216"/>
    <n v="1.296597482209539"/>
    <n v="3"/>
  </r>
  <r>
    <n v="919"/>
    <s v="Biochar"/>
    <n v="2"/>
    <n v="60"/>
    <n v="100"/>
    <n v="3"/>
    <n v="25"/>
    <n v="150"/>
    <n v="100"/>
    <n v="9.2420000000000009"/>
    <n v="81.515000000000001"/>
    <n v="18.48"/>
    <n v="96.3"/>
    <n v="3.4770000000000002E-2"/>
    <n v="2.0149999999999999E-4"/>
    <n v="0.92887365625670537"/>
    <n v="2.1178357527665859"/>
    <n v="1"/>
  </r>
  <r>
    <n v="920"/>
    <s v="Biochar"/>
    <n v="2"/>
    <n v="60"/>
    <n v="100"/>
    <n v="3"/>
    <n v="25"/>
    <n v="150"/>
    <n v="100"/>
    <n v="10.512"/>
    <n v="78.977000000000004"/>
    <n v="21.02"/>
    <n v="83.8"/>
    <n v="3.9170000000000003E-2"/>
    <n v="1.983E-4"/>
    <n v="1.1685961174729533"/>
    <n v="2.2346706272321724"/>
    <n v="2"/>
  </r>
  <r>
    <n v="921"/>
    <s v="Biochar"/>
    <n v="2"/>
    <n v="60"/>
    <n v="100"/>
    <n v="3"/>
    <n v="25"/>
    <n v="150"/>
    <n v="100"/>
    <n v="9.2669999999999995"/>
    <n v="81.465999999999994"/>
    <n v="18.53"/>
    <n v="80.7"/>
    <n v="3.5630000000000002E-2"/>
    <n v="2.2460000000000001E-4"/>
    <n v="1.0288032450640168"/>
    <n v="2.1087814795519311"/>
    <n v="3"/>
  </r>
  <r>
    <n v="922"/>
    <s v="Biochar"/>
    <n v="2"/>
    <n v="60"/>
    <n v="100"/>
    <n v="7"/>
    <n v="25"/>
    <n v="150"/>
    <n v="100"/>
    <n v="17.869"/>
    <n v="64.262"/>
    <n v="35.74"/>
    <n v="74.8"/>
    <n v="4.3700000000000003E-2"/>
    <n v="2.053E-4"/>
    <n v="3.2236032806268931"/>
    <n v="2.6841260689788995"/>
    <n v="1"/>
  </r>
  <r>
    <n v="923"/>
    <s v="Biochar"/>
    <n v="2"/>
    <n v="60"/>
    <n v="100"/>
    <n v="7"/>
    <n v="25"/>
    <n v="150"/>
    <n v="100"/>
    <n v="19.001999999999999"/>
    <n v="61.996000000000002"/>
    <n v="38"/>
    <n v="83.8"/>
    <n v="3.687E-2"/>
    <n v="2.1680000000000001E-4"/>
    <n v="3.7660034091171792"/>
    <n v="2.7236608248622516"/>
    <n v="2"/>
  </r>
  <r>
    <n v="924"/>
    <s v="Biochar"/>
    <n v="2"/>
    <n v="60"/>
    <n v="100"/>
    <n v="7"/>
    <n v="25"/>
    <n v="150"/>
    <n v="100"/>
    <n v="18.905000000000001"/>
    <n v="62.189"/>
    <n v="37.81"/>
    <n v="99.3"/>
    <n v="3.805E-2"/>
    <n v="1.9369999999999999E-4"/>
    <n v="3.4054637193979369"/>
    <n v="2.7408101060971553"/>
    <n v="3"/>
  </r>
  <r>
    <n v="925"/>
    <s v="Biochar"/>
    <n v="2"/>
    <n v="60"/>
    <n v="100"/>
    <n v="11"/>
    <n v="25"/>
    <n v="150"/>
    <n v="100"/>
    <n v="12.147"/>
    <n v="75.706000000000003"/>
    <n v="24.29"/>
    <n v="90"/>
    <n v="3.8269999999999998E-2"/>
    <n v="1.9550000000000001E-4"/>
    <n v="1.5149065054293833"/>
    <n v="2.3638771150677855"/>
    <n v="1"/>
  </r>
  <r>
    <n v="926"/>
    <s v="Biochar"/>
    <n v="2"/>
    <n v="60"/>
    <n v="100"/>
    <n v="11"/>
    <n v="25"/>
    <n v="150"/>
    <n v="100"/>
    <n v="14.256"/>
    <n v="71.488"/>
    <n v="28.51"/>
    <n v="104.4"/>
    <n v="3.1789999999999999E-2"/>
    <n v="1.8330000000000001E-4"/>
    <n v="1.9322152531165695"/>
    <n v="2.5115311144088444"/>
    <n v="2"/>
  </r>
  <r>
    <n v="927"/>
    <s v="Biochar"/>
    <n v="2"/>
    <n v="60"/>
    <n v="100"/>
    <n v="11"/>
    <n v="25"/>
    <n v="150"/>
    <n v="100"/>
    <n v="12.702999999999999"/>
    <n v="74.593999999999994"/>
    <n v="25.41"/>
    <n v="89.7"/>
    <n v="3.3160000000000002E-2"/>
    <n v="2.2699999999999999E-4"/>
    <n v="1.8736401741577258"/>
    <n v="2.3822609480785317"/>
    <n v="3"/>
  </r>
  <r>
    <n v="928"/>
    <s v="Biochar"/>
    <n v="2"/>
    <n v="60"/>
    <n v="200"/>
    <n v="3"/>
    <n v="25"/>
    <n v="150"/>
    <n v="100"/>
    <n v="32.415999999999997"/>
    <n v="135.16900000000001"/>
    <n v="32.42"/>
    <n v="86.2"/>
    <n v="2.997E-2"/>
    <n v="1.7369999999999999E-4"/>
    <n v="8.1858896317276759"/>
    <n v="3.1875960898437441"/>
    <n v="1"/>
  </r>
  <r>
    <n v="929"/>
    <s v="Biochar"/>
    <n v="2"/>
    <n v="60"/>
    <n v="200"/>
    <n v="3"/>
    <n v="25"/>
    <n v="150"/>
    <n v="100"/>
    <n v="31.971"/>
    <n v="136.059"/>
    <n v="31.97"/>
    <n v="58.3"/>
    <n v="3.8539999999999998E-2"/>
    <n v="1.9680000000000001E-4"/>
    <n v="8.7617912178183364"/>
    <n v="3.1445491301827366"/>
    <n v="2"/>
  </r>
  <r>
    <n v="930"/>
    <s v="Biochar"/>
    <n v="2"/>
    <n v="60"/>
    <n v="200"/>
    <n v="3"/>
    <n v="25"/>
    <n v="150"/>
    <n v="100"/>
    <n v="41.182000000000002"/>
    <n v="117.636"/>
    <n v="41.18"/>
    <n v="115.4"/>
    <n v="3.4360000000000002E-2"/>
    <n v="1.9790000000000001E-4"/>
    <n v="13.524420142925553"/>
    <n v="3.3198998262796962"/>
    <n v="3"/>
  </r>
  <r>
    <n v="931"/>
    <s v="Biochar"/>
    <n v="2"/>
    <n v="60"/>
    <n v="200"/>
    <n v="7"/>
    <n v="25"/>
    <n v="150"/>
    <n v="100"/>
    <n v="52.713000000000001"/>
    <n v="94.575000000000003"/>
    <n v="52.71"/>
    <n v="107.6"/>
    <n v="2.9270000000000001E-2"/>
    <n v="1.6430000000000001E-4"/>
    <n v="18.02528771642244"/>
    <n v="3.5463855113748477"/>
    <n v="1"/>
  </r>
  <r>
    <n v="932"/>
    <s v="Biochar"/>
    <n v="2"/>
    <n v="60"/>
    <n v="200"/>
    <n v="7"/>
    <n v="25"/>
    <n v="150"/>
    <n v="100"/>
    <n v="44.957999999999998"/>
    <n v="110.08499999999999"/>
    <n v="44.96"/>
    <n v="93.2"/>
    <n v="3.6740000000000002E-2"/>
    <n v="2.2139999999999999E-4"/>
    <n v="16.810379961350794"/>
    <n v="3.3374628053152122"/>
    <n v="2"/>
  </r>
  <r>
    <n v="933"/>
    <s v="Biochar"/>
    <n v="2"/>
    <n v="60"/>
    <n v="200"/>
    <n v="7"/>
    <n v="25"/>
    <n v="150"/>
    <n v="100"/>
    <n v="42.188000000000002"/>
    <n v="115.623"/>
    <n v="42.19"/>
    <n v="55.9"/>
    <n v="3.7999999999999999E-2"/>
    <n v="1.8340000000000001E-4"/>
    <n v="13.375719511632639"/>
    <n v="3.3608017021028513"/>
    <n v="3"/>
  </r>
  <r>
    <n v="934"/>
    <s v="Biochar"/>
    <n v="2"/>
    <n v="60"/>
    <n v="200"/>
    <n v="11"/>
    <n v="25"/>
    <n v="150"/>
    <n v="100"/>
    <n v="30.039000000000001"/>
    <n v="139.92099999999999"/>
    <n v="30.04"/>
    <n v="87.6"/>
    <n v="3.7780000000000001E-2"/>
    <n v="1.9760000000000001E-4"/>
    <n v="7.8886709826303916"/>
    <n v="3.097852350438143"/>
    <n v="1"/>
  </r>
  <r>
    <n v="935"/>
    <s v="Biochar"/>
    <n v="2"/>
    <n v="60"/>
    <n v="200"/>
    <n v="11"/>
    <n v="25"/>
    <n v="150"/>
    <n v="100"/>
    <n v="35.912999999999997"/>
    <n v="128.17400000000001"/>
    <n v="35.909999999999997"/>
    <n v="83.7"/>
    <n v="3.3700000000000001E-2"/>
    <n v="1.73E-4"/>
    <n v="9.7521584578919267"/>
    <n v="3.264263695112414"/>
    <n v="2"/>
  </r>
  <r>
    <n v="936"/>
    <s v="Biochar"/>
    <n v="2"/>
    <n v="60"/>
    <n v="200"/>
    <n v="11"/>
    <n v="25"/>
    <n v="150"/>
    <n v="100"/>
    <n v="34.945999999999998"/>
    <n v="130.107"/>
    <n v="34.950000000000003"/>
    <n v="92.4"/>
    <n v="3.6130000000000002E-2"/>
    <n v="2.0340000000000001E-4"/>
    <n v="10.447951731590697"/>
    <n v="3.1985934518635486"/>
    <n v="3"/>
  </r>
  <r>
    <n v="937"/>
    <s v="Biochar"/>
    <n v="2"/>
    <n v="120"/>
    <n v="25"/>
    <n v="3"/>
    <n v="25"/>
    <n v="150"/>
    <n v="100"/>
    <n v="1.4039999999999999"/>
    <n v="22.192"/>
    <n v="11.23"/>
    <n v="83.4"/>
    <n v="2.7380000000000002E-2"/>
    <n v="2.0359999999999999E-4"/>
    <n v="4.6563503431754145E-2"/>
    <n v="0.3055979920398495"/>
    <n v="1"/>
  </r>
  <r>
    <n v="938"/>
    <s v="Biochar"/>
    <n v="2"/>
    <n v="120"/>
    <n v="25"/>
    <n v="3"/>
    <n v="25"/>
    <n v="150"/>
    <n v="100"/>
    <n v="1.782"/>
    <n v="21.437000000000001"/>
    <n v="14.25"/>
    <n v="66.8"/>
    <n v="3.295E-2"/>
    <n v="2.0660000000000001E-4"/>
    <n v="7.5396617889809558E-2"/>
    <n v="0.53450506890098681"/>
    <n v="2"/>
  </r>
  <r>
    <n v="939"/>
    <s v="Biochar"/>
    <n v="2"/>
    <n v="120"/>
    <n v="25"/>
    <n v="3"/>
    <n v="25"/>
    <n v="150"/>
    <n v="100"/>
    <n v="1.754"/>
    <n v="21.491"/>
    <n v="14.03"/>
    <n v="80"/>
    <n v="3.2579999999999998E-2"/>
    <n v="1.606E-4"/>
    <n v="5.7351943556972616E-2"/>
    <n v="0.52865457313653874"/>
    <n v="3"/>
  </r>
  <r>
    <n v="940"/>
    <s v="Biochar"/>
    <n v="2"/>
    <n v="120"/>
    <n v="25"/>
    <n v="7"/>
    <n v="25"/>
    <n v="150"/>
    <n v="100"/>
    <n v="2.6419999999999999"/>
    <n v="19.715"/>
    <n v="21.14"/>
    <n v="112"/>
    <n v="3.5970000000000002E-2"/>
    <n v="1.996E-4"/>
    <n v="0.15723864076955205"/>
    <n v="0.91017662243433817"/>
    <n v="1"/>
  </r>
  <r>
    <n v="941"/>
    <s v="Biochar"/>
    <n v="2"/>
    <n v="120"/>
    <n v="25"/>
    <n v="7"/>
    <n v="25"/>
    <n v="150"/>
    <n v="100"/>
    <n v="2.6989999999999998"/>
    <n v="19.600999999999999"/>
    <n v="21.6"/>
    <n v="85.6"/>
    <n v="3.2149999999999998E-2"/>
    <n v="2.165E-4"/>
    <n v="0.17685299820855604"/>
    <n v="0.92511052362813861"/>
    <n v="2"/>
  </r>
  <r>
    <n v="942"/>
    <s v="Biochar"/>
    <n v="2"/>
    <n v="120"/>
    <n v="25"/>
    <n v="7"/>
    <n v="25"/>
    <n v="150"/>
    <n v="100"/>
    <n v="2.6739999999999999"/>
    <n v="19.652000000000001"/>
    <n v="21.39"/>
    <n v="85.9"/>
    <n v="3.159E-2"/>
    <n v="2.2609999999999999E-4"/>
    <n v="0.1808783864078336"/>
    <n v="0.91353558537815727"/>
    <n v="3"/>
  </r>
  <r>
    <n v="943"/>
    <s v="Biochar"/>
    <n v="2"/>
    <n v="120"/>
    <n v="25"/>
    <n v="11"/>
    <n v="25"/>
    <n v="150"/>
    <n v="100"/>
    <n v="2.0859999999999999"/>
    <n v="20.829000000000001"/>
    <n v="16.690000000000001"/>
    <n v="78.599999999999994"/>
    <n v="3.8510000000000003E-2"/>
    <n v="1.9000000000000001E-4"/>
    <n v="9.47074659532888E-2"/>
    <n v="0.68878394248942509"/>
    <n v="1"/>
  </r>
  <r>
    <n v="944"/>
    <s v="Biochar"/>
    <n v="2"/>
    <n v="120"/>
    <n v="25"/>
    <n v="11"/>
    <n v="25"/>
    <n v="150"/>
    <n v="100"/>
    <n v="1.8029999999999999"/>
    <n v="21.395"/>
    <n v="14.42"/>
    <n v="75.900000000000006"/>
    <n v="2.8799999999999999E-2"/>
    <n v="2.0939999999999999E-4"/>
    <n v="7.8145868704004029E-2"/>
    <n v="0.54514248534025356"/>
    <n v="2"/>
  </r>
  <r>
    <n v="945"/>
    <s v="Biochar"/>
    <n v="2"/>
    <n v="120"/>
    <n v="25"/>
    <n v="11"/>
    <n v="25"/>
    <n v="150"/>
    <n v="100"/>
    <n v="1.5980000000000001"/>
    <n v="21.805"/>
    <n v="12.78"/>
    <n v="69.900000000000006"/>
    <n v="2.7740000000000001E-2"/>
    <n v="1.983E-4"/>
    <n v="5.8539535922687597E-2"/>
    <n v="0.43143200703759332"/>
    <n v="3"/>
  </r>
  <r>
    <n v="946"/>
    <s v="Biochar"/>
    <n v="2"/>
    <n v="120"/>
    <n v="50"/>
    <n v="3"/>
    <n v="25"/>
    <n v="150"/>
    <n v="100"/>
    <n v="5.1890000000000001"/>
    <n v="39.622999999999998"/>
    <n v="20.75"/>
    <n v="81.5"/>
    <n v="3.1350000000000003E-2"/>
    <n v="1.7660000000000001E-4"/>
    <n v="0.51407903075974393"/>
    <n v="1.5422122576224133"/>
    <n v="1"/>
  </r>
  <r>
    <n v="947"/>
    <s v="Biochar"/>
    <n v="2"/>
    <n v="120"/>
    <n v="50"/>
    <n v="3"/>
    <n v="25"/>
    <n v="150"/>
    <n v="100"/>
    <n v="5.5119999999999996"/>
    <n v="38.975000000000001"/>
    <n v="22.05"/>
    <n v="78.599999999999994"/>
    <n v="3.6110000000000003E-2"/>
    <n v="1.8230000000000001E-4"/>
    <n v="0.59312095385074837"/>
    <n v="1.5930806683970924"/>
    <n v="2"/>
  </r>
  <r>
    <n v="948"/>
    <s v="Biochar"/>
    <n v="2"/>
    <n v="120"/>
    <n v="50"/>
    <n v="3"/>
    <n v="25"/>
    <n v="150"/>
    <n v="100"/>
    <n v="5.3630000000000004"/>
    <n v="39.274000000000001"/>
    <n v="21.45"/>
    <n v="102.5"/>
    <n v="3.705E-2"/>
    <n v="1.918E-4"/>
    <n v="0.58924725368131925"/>
    <n v="1.563132734853298"/>
    <n v="3"/>
  </r>
  <r>
    <n v="949"/>
    <s v="Biochar"/>
    <n v="2"/>
    <n v="120"/>
    <n v="50"/>
    <n v="7"/>
    <n v="25"/>
    <n v="150"/>
    <n v="100"/>
    <n v="8.7230000000000008"/>
    <n v="32.554000000000002"/>
    <n v="34.89"/>
    <n v="82.6"/>
    <n v="3.5029999999999999E-2"/>
    <n v="1.9349999999999999E-4"/>
    <n v="1.4692358552222853"/>
    <n v="1.9815205265159843"/>
    <n v="1"/>
  </r>
  <r>
    <n v="950"/>
    <s v="Biochar"/>
    <n v="2"/>
    <n v="120"/>
    <n v="50"/>
    <n v="7"/>
    <n v="25"/>
    <n v="150"/>
    <n v="100"/>
    <n v="8.3640000000000008"/>
    <n v="33.271000000000001"/>
    <n v="33.46"/>
    <n v="88.4"/>
    <n v="3.1519999999999999E-2"/>
    <n v="1.797E-4"/>
    <n v="1.2780340094648446"/>
    <n v="1.9581162069024309"/>
    <n v="2"/>
  </r>
  <r>
    <n v="951"/>
    <s v="Biochar"/>
    <n v="2"/>
    <n v="120"/>
    <n v="50"/>
    <n v="7"/>
    <n v="25"/>
    <n v="150"/>
    <n v="100"/>
    <n v="7.3230000000000004"/>
    <n v="35.353000000000002"/>
    <n v="29.29"/>
    <n v="65.099999999999994"/>
    <n v="3.074E-2"/>
    <n v="2.0320000000000001E-4"/>
    <n v="1.1095064594131447"/>
    <n v="1.8267233046861377"/>
    <n v="3"/>
  </r>
  <r>
    <n v="952"/>
    <s v="Biochar"/>
    <n v="2"/>
    <n v="120"/>
    <n v="50"/>
    <n v="11"/>
    <n v="25"/>
    <n v="150"/>
    <n v="100"/>
    <n v="5.9219999999999997"/>
    <n v="38.155999999999999"/>
    <n v="23.69"/>
    <n v="92.3"/>
    <n v="3.5119999999999998E-2"/>
    <n v="1.606E-4"/>
    <n v="0.60663602678090389"/>
    <n v="1.6706014898291235"/>
    <n v="1"/>
  </r>
  <r>
    <n v="953"/>
    <s v="Biochar"/>
    <n v="2"/>
    <n v="120"/>
    <n v="50"/>
    <n v="11"/>
    <n v="25"/>
    <n v="150"/>
    <n v="100"/>
    <n v="6.9290000000000003"/>
    <n v="36.143000000000001"/>
    <n v="27.71"/>
    <n v="96.1"/>
    <n v="3.1519999999999999E-2"/>
    <n v="2.084E-4"/>
    <n v="1.0233360078130069"/>
    <n v="1.7759118890834054"/>
    <n v="2"/>
  </r>
  <r>
    <n v="954"/>
    <s v="Biochar"/>
    <n v="2"/>
    <n v="120"/>
    <n v="50"/>
    <n v="11"/>
    <n v="25"/>
    <n v="150"/>
    <n v="100"/>
    <n v="5.9459999999999997"/>
    <n v="38.107999999999997"/>
    <n v="23.78"/>
    <n v="87"/>
    <n v="3.057E-2"/>
    <n v="1.641E-4"/>
    <n v="0.6232352437653309"/>
    <n v="1.671992859382496"/>
    <n v="3"/>
  </r>
  <r>
    <n v="955"/>
    <s v="Biochar"/>
    <n v="2"/>
    <n v="120"/>
    <n v="100"/>
    <n v="3"/>
    <n v="25"/>
    <n v="150"/>
    <n v="100"/>
    <n v="15.411"/>
    <n v="69.179000000000002"/>
    <n v="30.82"/>
    <n v="84.1"/>
    <n v="3.3610000000000001E-2"/>
    <n v="1.763E-4"/>
    <n v="3.7891358321132129"/>
    <n v="2.4528881660856285"/>
    <n v="1"/>
  </r>
  <r>
    <n v="956"/>
    <s v="Biochar"/>
    <n v="2"/>
    <n v="120"/>
    <n v="100"/>
    <n v="3"/>
    <n v="25"/>
    <n v="150"/>
    <n v="100"/>
    <n v="15.382999999999999"/>
    <n v="69.233999999999995"/>
    <n v="30.77"/>
    <n v="89.2"/>
    <n v="3.4840000000000003E-2"/>
    <n v="2.0369999999999999E-4"/>
    <n v="4.2036733477553305"/>
    <n v="2.4140662380280888"/>
    <n v="2"/>
  </r>
  <r>
    <n v="957"/>
    <s v="Biochar"/>
    <n v="2"/>
    <n v="120"/>
    <n v="100"/>
    <n v="3"/>
    <n v="25"/>
    <n v="150"/>
    <n v="100"/>
    <n v="14.95"/>
    <n v="70.099999999999994"/>
    <n v="29.9"/>
    <n v="100.8"/>
    <n v="3.0880000000000001E-2"/>
    <n v="2.098E-4"/>
    <n v="4.0881835206700003"/>
    <n v="2.3852535638089001"/>
    <n v="3"/>
  </r>
  <r>
    <n v="958"/>
    <s v="Biochar"/>
    <n v="2"/>
    <n v="120"/>
    <n v="100"/>
    <n v="7"/>
    <n v="25"/>
    <n v="150"/>
    <n v="100"/>
    <n v="27.584"/>
    <n v="44.832000000000001"/>
    <n v="55.17"/>
    <n v="91.9"/>
    <n v="3.4290000000000001E-2"/>
    <n v="1.894E-4"/>
    <n v="10.629358818427514"/>
    <n v="2.8305416123676697"/>
    <n v="1"/>
  </r>
  <r>
    <n v="959"/>
    <s v="Biochar"/>
    <n v="2"/>
    <n v="120"/>
    <n v="100"/>
    <n v="7"/>
    <n v="25"/>
    <n v="150"/>
    <n v="100"/>
    <n v="27.224"/>
    <n v="45.551000000000002"/>
    <n v="54.45"/>
    <n v="67.400000000000006"/>
    <n v="3.1600000000000003E-2"/>
    <n v="1.92E-4"/>
    <n v="10.493840995152924"/>
    <n v="2.8172130191285278"/>
    <n v="2"/>
  </r>
  <r>
    <n v="960"/>
    <s v="Biochar"/>
    <n v="2"/>
    <n v="120"/>
    <n v="100"/>
    <n v="7"/>
    <n v="25"/>
    <n v="150"/>
    <n v="100"/>
    <n v="27.721"/>
    <n v="44.557000000000002"/>
    <n v="55.44"/>
    <n v="90.6"/>
    <n v="3.1609999999999999E-2"/>
    <n v="1.9379999999999999E-4"/>
    <n v="10.866045147687782"/>
    <n v="2.8246446700892727"/>
    <n v="3"/>
  </r>
  <r>
    <n v="961"/>
    <s v="Biochar"/>
    <n v="2"/>
    <n v="120"/>
    <n v="100"/>
    <n v="11"/>
    <n v="25"/>
    <n v="150"/>
    <n v="100"/>
    <n v="18.190999999999999"/>
    <n v="63.618000000000002"/>
    <n v="36.380000000000003"/>
    <n v="76.599999999999994"/>
    <n v="3.8429999999999999E-2"/>
    <n v="1.7259999999999999E-4"/>
    <n v="4.9782094248704025"/>
    <n v="2.5811853433957439"/>
    <n v="1"/>
  </r>
  <r>
    <n v="962"/>
    <s v="Biochar"/>
    <n v="2"/>
    <n v="120"/>
    <n v="100"/>
    <n v="11"/>
    <n v="25"/>
    <n v="150"/>
    <n v="100"/>
    <n v="22.5"/>
    <n v="55"/>
    <n v="45"/>
    <n v="96.4"/>
    <n v="3.882E-2"/>
    <n v="1.907E-4"/>
    <n v="7.6474364475308443"/>
    <n v="2.6981724801458027"/>
    <n v="2"/>
  </r>
  <r>
    <n v="963"/>
    <s v="Biochar"/>
    <n v="2"/>
    <n v="120"/>
    <n v="100"/>
    <n v="11"/>
    <n v="25"/>
    <n v="150"/>
    <n v="100"/>
    <n v="19.091000000000001"/>
    <n v="61.817999999999998"/>
    <n v="38.18"/>
    <n v="67.3"/>
    <n v="3.3160000000000002E-2"/>
    <n v="2.0990000000000001E-4"/>
    <n v="6.1992026386718271"/>
    <n v="2.5565912456577835"/>
    <n v="3"/>
  </r>
  <r>
    <n v="964"/>
    <s v="Biochar"/>
    <n v="2"/>
    <n v="120"/>
    <n v="200"/>
    <n v="3"/>
    <n v="25"/>
    <n v="150"/>
    <n v="100"/>
    <n v="48.134"/>
    <n v="103.73099999999999"/>
    <n v="48.13"/>
    <n v="71.5"/>
    <n v="3.372E-2"/>
    <n v="1.9699999999999999E-4"/>
    <n v="25.619253949908014"/>
    <n v="3.1141704745467753"/>
    <n v="1"/>
  </r>
  <r>
    <n v="965"/>
    <s v="Biochar"/>
    <n v="2"/>
    <n v="120"/>
    <n v="200"/>
    <n v="3"/>
    <n v="25"/>
    <n v="150"/>
    <n v="100"/>
    <n v="36.664000000000001"/>
    <n v="126.672"/>
    <n v="36.659999999999997"/>
    <n v="93.3"/>
    <n v="3.2469999999999999E-2"/>
    <n v="1.961E-4"/>
    <n v="16.981560760759304"/>
    <n v="2.979726829026919"/>
    <n v="2"/>
  </r>
  <r>
    <n v="966"/>
    <s v="Biochar"/>
    <n v="2"/>
    <n v="120"/>
    <n v="200"/>
    <n v="3"/>
    <n v="25"/>
    <n v="150"/>
    <n v="100"/>
    <n v="40.686"/>
    <n v="118.628"/>
    <n v="40.69"/>
    <n v="75.599999999999994"/>
    <n v="3.4979999999999997E-2"/>
    <n v="1.9570000000000001E-4"/>
    <n v="19.879749072780466"/>
    <n v="3.0352534669056683"/>
    <n v="3"/>
  </r>
  <r>
    <n v="967"/>
    <s v="Biochar"/>
    <n v="2"/>
    <n v="120"/>
    <n v="200"/>
    <n v="7"/>
    <n v="25"/>
    <n v="150"/>
    <n v="100"/>
    <n v="60.283000000000001"/>
    <n v="79.433000000000007"/>
    <n v="60.28"/>
    <n v="76.3"/>
    <n v="3.6119999999999999E-2"/>
    <n v="2.331E-4"/>
    <n v="37.841562131379845"/>
    <n v="3.1109091547434256"/>
    <n v="1"/>
  </r>
  <r>
    <n v="968"/>
    <s v="Biochar"/>
    <n v="2"/>
    <n v="120"/>
    <n v="200"/>
    <n v="7"/>
    <n v="25"/>
    <n v="150"/>
    <n v="100"/>
    <n v="63.488"/>
    <n v="73.025000000000006"/>
    <n v="63.49"/>
    <n v="98.5"/>
    <n v="3.0130000000000001E-2"/>
    <n v="2.0320000000000001E-4"/>
    <n v="38.572096198697096"/>
    <n v="3.2155063064638689"/>
    <n v="2"/>
  </r>
  <r>
    <n v="969"/>
    <s v="Biochar"/>
    <n v="2"/>
    <n v="120"/>
    <n v="200"/>
    <n v="7"/>
    <n v="25"/>
    <n v="150"/>
    <n v="100"/>
    <n v="55.741"/>
    <n v="88.518000000000001"/>
    <n v="55.74"/>
    <n v="66.7"/>
    <n v="3.2410000000000001E-2"/>
    <n v="2.2379999999999999E-4"/>
    <n v="33.417636019397719"/>
    <n v="3.1056338421334031"/>
    <n v="3"/>
  </r>
  <r>
    <n v="970"/>
    <s v="Biochar"/>
    <n v="2"/>
    <n v="120"/>
    <n v="200"/>
    <n v="11"/>
    <n v="25"/>
    <n v="150"/>
    <n v="100"/>
    <n v="55.29"/>
    <n v="89.42"/>
    <n v="55.29"/>
    <n v="88.8"/>
    <n v="2.964E-2"/>
    <n v="1.961E-4"/>
    <n v="31.262196898411737"/>
    <n v="3.1792116224141473"/>
    <n v="1"/>
  </r>
  <r>
    <n v="971"/>
    <s v="Biochar"/>
    <n v="2"/>
    <n v="120"/>
    <n v="200"/>
    <n v="11"/>
    <n v="25"/>
    <n v="150"/>
    <n v="100"/>
    <n v="52.015999999999998"/>
    <n v="95.966999999999999"/>
    <n v="52.02"/>
    <n v="88"/>
    <n v="2.8549999999999999E-2"/>
    <n v="1.8220000000000001E-4"/>
    <n v="27.678499551579126"/>
    <n v="3.192018389123418"/>
    <n v="2"/>
  </r>
  <r>
    <n v="972"/>
    <s v="Biochar"/>
    <n v="2"/>
    <n v="120"/>
    <n v="200"/>
    <n v="11"/>
    <n v="25"/>
    <n v="150"/>
    <n v="100"/>
    <n v="50.168999999999997"/>
    <n v="99.661000000000001"/>
    <n v="50.17"/>
    <n v="92.6"/>
    <n v="2.7310000000000001E-2"/>
    <n v="1.9680000000000001E-4"/>
    <n v="27.206163915511802"/>
    <n v="3.1338770866666099"/>
    <n v="3"/>
  </r>
  <r>
    <n v="973"/>
    <s v="Biochar"/>
    <n v="2"/>
    <n v="240"/>
    <n v="25"/>
    <n v="3"/>
    <n v="25"/>
    <n v="150"/>
    <n v="100"/>
    <n v="2.6819999999999999"/>
    <n v="19.637"/>
    <n v="21.45"/>
    <n v="96.6"/>
    <n v="3.7429999999999998E-2"/>
    <n v="2.117E-4"/>
    <n v="0.32163939125240293"/>
    <n v="0.85881440768151784"/>
    <n v="1"/>
  </r>
  <r>
    <n v="974"/>
    <s v="Biochar"/>
    <n v="2"/>
    <n v="240"/>
    <n v="25"/>
    <n v="3"/>
    <n v="25"/>
    <n v="150"/>
    <n v="100"/>
    <n v="2.4319999999999999"/>
    <n v="20.135000000000002"/>
    <n v="19.46"/>
    <n v="61.2"/>
    <n v="3.3619999999999997E-2"/>
    <n v="2.2000000000000001E-4"/>
    <n v="0.2767542452669669"/>
    <n v="0.76790475637299527"/>
    <n v="2"/>
  </r>
  <r>
    <n v="975"/>
    <s v="Biochar"/>
    <n v="2"/>
    <n v="240"/>
    <n v="25"/>
    <n v="3"/>
    <n v="25"/>
    <n v="150"/>
    <n v="100"/>
    <n v="3.012"/>
    <n v="18.975000000000001"/>
    <n v="24.1"/>
    <n v="94.8"/>
    <n v="3.6499999999999998E-2"/>
    <n v="2.076E-4"/>
    <n v="0.39302872579514059"/>
    <n v="0.96278159723512913"/>
    <n v="3"/>
  </r>
  <r>
    <n v="976"/>
    <s v="Biochar"/>
    <n v="2"/>
    <n v="240"/>
    <n v="25"/>
    <n v="7"/>
    <n v="25"/>
    <n v="150"/>
    <n v="100"/>
    <n v="4.03"/>
    <n v="16.939"/>
    <n v="32.24"/>
    <n v="84"/>
    <n v="4.0840000000000001E-2"/>
    <n v="1.8110000000000001E-4"/>
    <n v="0.60067950377341006"/>
    <n v="1.232362135495864"/>
    <n v="1"/>
  </r>
  <r>
    <n v="977"/>
    <s v="Biochar"/>
    <n v="2"/>
    <n v="240"/>
    <n v="25"/>
    <n v="7"/>
    <n v="25"/>
    <n v="150"/>
    <n v="100"/>
    <n v="4.9569999999999999"/>
    <n v="15.086"/>
    <n v="39.65"/>
    <n v="81.599999999999994"/>
    <n v="3.9640000000000002E-2"/>
    <n v="1.719E-4"/>
    <n v="0.84161989153807371"/>
    <n v="1.4147312012997317"/>
    <n v="2"/>
  </r>
  <r>
    <n v="978"/>
    <s v="Biochar"/>
    <n v="2"/>
    <n v="240"/>
    <n v="25"/>
    <n v="7"/>
    <n v="25"/>
    <n v="150"/>
    <n v="100"/>
    <n v="4.5179999999999998"/>
    <n v="15.965"/>
    <n v="36.14"/>
    <n v="76.2"/>
    <n v="3.005E-2"/>
    <n v="2.0440000000000001E-4"/>
    <n v="0.81967769389922396"/>
    <n v="1.3078792860357813"/>
    <n v="3"/>
  </r>
  <r>
    <n v="979"/>
    <s v="Biochar"/>
    <n v="2"/>
    <n v="240"/>
    <n v="25"/>
    <n v="11"/>
    <n v="25"/>
    <n v="150"/>
    <n v="100"/>
    <n v="3.593"/>
    <n v="17.814"/>
    <n v="28.74"/>
    <n v="74.900000000000006"/>
    <n v="2.9749999999999999E-2"/>
    <n v="1.9819999999999999E-4"/>
    <n v="0.52445126186717872"/>
    <n v="1.1212047260947782"/>
    <n v="1"/>
  </r>
  <r>
    <n v="980"/>
    <s v="Biochar"/>
    <n v="2"/>
    <n v="240"/>
    <n v="25"/>
    <n v="11"/>
    <n v="25"/>
    <n v="150"/>
    <n v="100"/>
    <n v="3.2349999999999999"/>
    <n v="18.53"/>
    <n v="25.88"/>
    <n v="92.8"/>
    <n v="3.832E-2"/>
    <n v="1.9880000000000001E-4"/>
    <n v="0.43255298816565174"/>
    <n v="1.0304929683222175"/>
    <n v="2"/>
  </r>
  <r>
    <n v="981"/>
    <s v="Biochar"/>
    <n v="2"/>
    <n v="240"/>
    <n v="25"/>
    <n v="11"/>
    <n v="25"/>
    <n v="150"/>
    <n v="100"/>
    <n v="3.8690000000000002"/>
    <n v="17.262"/>
    <n v="30.95"/>
    <n v="88.6"/>
    <n v="3.3790000000000001E-2"/>
    <n v="1.6780000000000001E-4"/>
    <n v="0.52157086087869242"/>
    <n v="1.2081926300607992"/>
    <n v="3"/>
  </r>
  <r>
    <n v="982"/>
    <s v="Biochar"/>
    <n v="2"/>
    <n v="240"/>
    <n v="50"/>
    <n v="3"/>
    <n v="25"/>
    <n v="150"/>
    <n v="100"/>
    <n v="7.8689999999999998"/>
    <n v="34.261000000000003"/>
    <n v="31.48"/>
    <n v="81.400000000000006"/>
    <n v="3.8359999999999998E-2"/>
    <n v="2.0919999999999999E-4"/>
    <n v="2.2284905558962684"/>
    <n v="1.7299743883994791"/>
    <n v="1"/>
  </r>
  <r>
    <n v="983"/>
    <s v="Biochar"/>
    <n v="2"/>
    <n v="240"/>
    <n v="50"/>
    <n v="3"/>
    <n v="25"/>
    <n v="150"/>
    <n v="100"/>
    <n v="7.1280000000000001"/>
    <n v="35.743000000000002"/>
    <n v="28.51"/>
    <n v="87.9"/>
    <n v="3.7350000000000001E-2"/>
    <n v="2.3059999999999999E-4"/>
    <n v="2.0164612916884708"/>
    <n v="1.6315004759753671"/>
    <n v="2"/>
  </r>
  <r>
    <n v="984"/>
    <s v="Biochar"/>
    <n v="2"/>
    <n v="240"/>
    <n v="50"/>
    <n v="3"/>
    <n v="25"/>
    <n v="150"/>
    <n v="100"/>
    <n v="8.7989999999999995"/>
    <n v="32.402000000000001"/>
    <n v="35.200000000000003"/>
    <n v="95.5"/>
    <n v="3.5209999999999998E-2"/>
    <n v="2.0780000000000001E-4"/>
    <n v="2.6835879250053618"/>
    <n v="1.8108121544393638"/>
    <n v="3"/>
  </r>
  <r>
    <n v="985"/>
    <s v="Biochar"/>
    <n v="2"/>
    <n v="240"/>
    <n v="50"/>
    <n v="7"/>
    <n v="25"/>
    <n v="150"/>
    <n v="100"/>
    <n v="13.99"/>
    <n v="22.02"/>
    <n v="55.96"/>
    <n v="68.599999999999994"/>
    <n v="3.3779999999999998E-2"/>
    <n v="1.8450000000000001E-4"/>
    <n v="5.3514097191365213"/>
    <n v="2.1562394075665101"/>
    <n v="1"/>
  </r>
  <r>
    <n v="986"/>
    <s v="Biochar"/>
    <n v="2"/>
    <n v="240"/>
    <n v="50"/>
    <n v="7"/>
    <n v="25"/>
    <n v="150"/>
    <n v="100"/>
    <n v="12.907999999999999"/>
    <n v="24.184000000000001"/>
    <n v="51.63"/>
    <n v="101.5"/>
    <n v="3.2910000000000002E-2"/>
    <n v="1.5220000000000001E-4"/>
    <n v="4.1360190521663371"/>
    <n v="2.1715626586236958"/>
    <n v="2"/>
  </r>
  <r>
    <n v="987"/>
    <s v="Biochar"/>
    <n v="2"/>
    <n v="240"/>
    <n v="50"/>
    <n v="7"/>
    <n v="25"/>
    <n v="150"/>
    <n v="100"/>
    <n v="11.923999999999999"/>
    <n v="26.152999999999999"/>
    <n v="47.69"/>
    <n v="97.5"/>
    <n v="3.6880000000000003E-2"/>
    <n v="2.086E-4"/>
    <n v="4.4573279577970171"/>
    <n v="2.0104493901305247"/>
    <n v="3"/>
  </r>
  <r>
    <n v="988"/>
    <s v="Biochar"/>
    <n v="2"/>
    <n v="240"/>
    <n v="50"/>
    <n v="11"/>
    <n v="25"/>
    <n v="150"/>
    <n v="100"/>
    <n v="9.5"/>
    <n v="31.001000000000001"/>
    <n v="38"/>
    <n v="69.3"/>
    <n v="3.6799999999999999E-2"/>
    <n v="1.8330000000000001E-4"/>
    <n v="2.8000640372826755"/>
    <n v="1.9020979685478598"/>
    <n v="1"/>
  </r>
  <r>
    <n v="989"/>
    <s v="Biochar"/>
    <n v="2"/>
    <n v="240"/>
    <n v="50"/>
    <n v="11"/>
    <n v="25"/>
    <n v="150"/>
    <n v="100"/>
    <n v="11.907999999999999"/>
    <n v="26.184000000000001"/>
    <n v="47.63"/>
    <n v="93"/>
    <n v="3.2969999999999999E-2"/>
    <n v="1.8780000000000001E-4"/>
    <n v="4.1590149322343573"/>
    <n v="2.0475618757913958"/>
    <n v="2"/>
  </r>
  <r>
    <n v="990"/>
    <s v="Biochar"/>
    <n v="2"/>
    <n v="240"/>
    <n v="50"/>
    <n v="11"/>
    <n v="25"/>
    <n v="150"/>
    <n v="100"/>
    <n v="9.6829999999999998"/>
    <n v="30.635000000000002"/>
    <n v="38.729999999999997"/>
    <n v="82.6"/>
    <n v="3.891E-2"/>
    <n v="2.0369999999999999E-4"/>
    <n v="3.1110473850393978"/>
    <n v="1.8828109900091323"/>
    <n v="3"/>
  </r>
  <r>
    <n v="991"/>
    <s v="Biochar"/>
    <n v="2"/>
    <n v="240"/>
    <n v="100"/>
    <n v="3"/>
    <n v="25"/>
    <n v="150"/>
    <n v="100"/>
    <n v="20.283000000000001"/>
    <n v="59.433"/>
    <n v="40.57"/>
    <n v="110"/>
    <n v="3.517E-2"/>
    <n v="2.154E-4"/>
    <n v="10.381850251721074"/>
    <n v="2.2926508865870496"/>
    <n v="1"/>
  </r>
  <r>
    <n v="992"/>
    <s v="Biochar"/>
    <n v="2"/>
    <n v="240"/>
    <n v="100"/>
    <n v="3"/>
    <n v="25"/>
    <n v="150"/>
    <n v="100"/>
    <n v="20.553999999999998"/>
    <n v="58.893000000000001"/>
    <n v="41.11"/>
    <n v="90.4"/>
    <n v="3.6089999999999997E-2"/>
    <n v="1.6220000000000001E-4"/>
    <n v="9.135911087793831"/>
    <n v="2.435198844532783"/>
    <n v="2"/>
  </r>
  <r>
    <n v="993"/>
    <s v="Biochar"/>
    <n v="2"/>
    <n v="240"/>
    <n v="100"/>
    <n v="3"/>
    <n v="25"/>
    <n v="150"/>
    <n v="100"/>
    <n v="26.295000000000002"/>
    <n v="47.41"/>
    <n v="52.59"/>
    <n v="102.3"/>
    <n v="3.3610000000000001E-2"/>
    <n v="1.7799999999999999E-4"/>
    <n v="13.911105778378261"/>
    <n v="2.5163967752751799"/>
    <n v="3"/>
  </r>
  <r>
    <n v="994"/>
    <s v="Biochar"/>
    <n v="2"/>
    <n v="240"/>
    <n v="100"/>
    <n v="7"/>
    <n v="25"/>
    <n v="150"/>
    <n v="100"/>
    <n v="33.231999999999999"/>
    <n v="33.536000000000001"/>
    <n v="66.459999999999994"/>
    <n v="86.8"/>
    <n v="3.6240000000000001E-2"/>
    <n v="2.0379999999999999E-4"/>
    <n v="20.57432942481692"/>
    <n v="2.5382634009854694"/>
    <n v="1"/>
  </r>
  <r>
    <n v="995"/>
    <s v="Biochar"/>
    <n v="2"/>
    <n v="240"/>
    <n v="100"/>
    <n v="7"/>
    <n v="25"/>
    <n v="150"/>
    <n v="100"/>
    <n v="33.741999999999997"/>
    <n v="32.515999999999998"/>
    <n v="67.48"/>
    <n v="104.3"/>
    <n v="3.6990000000000002E-2"/>
    <n v="1.7899999999999999E-4"/>
    <n v="19.967260581067187"/>
    <n v="2.6228364379041746"/>
    <n v="2"/>
  </r>
  <r>
    <n v="996"/>
    <s v="Biochar"/>
    <n v="2"/>
    <n v="240"/>
    <n v="100"/>
    <n v="7"/>
    <n v="25"/>
    <n v="150"/>
    <n v="100"/>
    <n v="36.491999999999997"/>
    <n v="27.015999999999998"/>
    <n v="72.98"/>
    <n v="106.8"/>
    <n v="4.6030000000000001E-2"/>
    <n v="1.775E-4"/>
    <n v="22.206952309580451"/>
    <n v="2.6592133741734565"/>
    <n v="3"/>
  </r>
  <r>
    <n v="997"/>
    <s v="Biochar"/>
    <n v="2"/>
    <n v="240"/>
    <n v="100"/>
    <n v="11"/>
    <n v="25"/>
    <n v="150"/>
    <n v="100"/>
    <n v="26.547000000000001"/>
    <n v="46.905999999999999"/>
    <n v="53.09"/>
    <n v="58.9"/>
    <n v="3.6940000000000001E-2"/>
    <n v="1.8900000000000001E-4"/>
    <n v="14.503021143759058"/>
    <n v="2.4885648550750159"/>
    <n v="1"/>
  </r>
  <r>
    <n v="998"/>
    <s v="Biochar"/>
    <n v="2"/>
    <n v="240"/>
    <n v="100"/>
    <n v="11"/>
    <n v="25"/>
    <n v="150"/>
    <n v="100"/>
    <n v="30.902999999999999"/>
    <n v="38.194000000000003"/>
    <n v="61.81"/>
    <n v="75.8"/>
    <n v="2.9090000000000001E-2"/>
    <n v="1.906E-4"/>
    <n v="18.099446612920318"/>
    <n v="2.5497227407650991"/>
    <n v="2"/>
  </r>
  <r>
    <n v="999"/>
    <s v="Biochar"/>
    <n v="2"/>
    <n v="240"/>
    <n v="100"/>
    <n v="11"/>
    <n v="25"/>
    <n v="150"/>
    <n v="100"/>
    <n v="20.797999999999998"/>
    <n v="58.405000000000001"/>
    <n v="41.6"/>
    <n v="95.4"/>
    <n v="2.777E-2"/>
    <n v="2.006E-4"/>
    <n v="10.405749309564404"/>
    <n v="2.3410604024833761"/>
    <n v="3"/>
  </r>
  <r>
    <n v="1000"/>
    <s v="Biochar"/>
    <n v="2"/>
    <n v="240"/>
    <n v="200"/>
    <n v="3"/>
    <n v="25"/>
    <n v="150"/>
    <n v="100"/>
    <n v="41.427999999999997"/>
    <n v="117.14400000000001"/>
    <n v="41.43"/>
    <n v="81.599999999999994"/>
    <n v="4.0750000000000001E-2"/>
    <n v="2.0719999999999999E-4"/>
    <n v="27.890020059330887"/>
    <n v="2.6054990643796829"/>
    <n v="1"/>
  </r>
  <r>
    <n v="1001"/>
    <s v="Biochar"/>
    <n v="2"/>
    <n v="240"/>
    <n v="200"/>
    <n v="3"/>
    <n v="25"/>
    <n v="150"/>
    <n v="100"/>
    <n v="47.777999999999999"/>
    <n v="104.444"/>
    <n v="47.78"/>
    <n v="85.3"/>
    <n v="3.5060000000000001E-2"/>
    <n v="2.095E-4"/>
    <n v="33.735055171014487"/>
    <n v="2.6421201222583592"/>
    <n v="2"/>
  </r>
  <r>
    <n v="1002"/>
    <s v="Biochar"/>
    <n v="2"/>
    <n v="240"/>
    <n v="200"/>
    <n v="3"/>
    <n v="25"/>
    <n v="150"/>
    <n v="100"/>
    <n v="45.146000000000001"/>
    <n v="109.708"/>
    <n v="45.15"/>
    <n v="93.3"/>
    <n v="2.5530000000000001E-2"/>
    <n v="1.874E-4"/>
    <n v="30.248721936035981"/>
    <n v="2.7011785159924693"/>
    <n v="3"/>
  </r>
  <r>
    <n v="1003"/>
    <s v="Biochar"/>
    <n v="2"/>
    <n v="240"/>
    <n v="200"/>
    <n v="7"/>
    <n v="25"/>
    <n v="150"/>
    <n v="100"/>
    <n v="70.313999999999993"/>
    <n v="59.371000000000002"/>
    <n v="70.31"/>
    <n v="93.9"/>
    <n v="3.508E-2"/>
    <n v="1.719E-4"/>
    <n v="52.288810496743231"/>
    <n v="2.8917701964725722"/>
    <n v="1"/>
  </r>
  <r>
    <n v="1004"/>
    <s v="Biochar"/>
    <n v="2"/>
    <n v="240"/>
    <n v="200"/>
    <n v="7"/>
    <n v="25"/>
    <n v="150"/>
    <n v="100"/>
    <n v="66.641999999999996"/>
    <n v="66.715000000000003"/>
    <n v="66.64"/>
    <n v="88.3"/>
    <n v="3.4720000000000001E-2"/>
    <n v="1.884E-4"/>
    <n v="50.036649159839115"/>
    <n v="2.8097249831909235"/>
    <n v="2"/>
  </r>
  <r>
    <n v="1005"/>
    <s v="Biochar"/>
    <n v="2"/>
    <n v="240"/>
    <n v="200"/>
    <n v="7"/>
    <n v="25"/>
    <n v="150"/>
    <n v="100"/>
    <n v="70.369"/>
    <n v="59.261000000000003"/>
    <n v="70.37"/>
    <n v="94.7"/>
    <n v="3.3189999999999997E-2"/>
    <n v="1.9819999999999999E-4"/>
    <n v="54.182218278921503"/>
    <n v="2.7841949660322434"/>
    <n v="3"/>
  </r>
  <r>
    <n v="1006"/>
    <s v="Biochar"/>
    <n v="2"/>
    <n v="240"/>
    <n v="200"/>
    <n v="11"/>
    <n v="25"/>
    <n v="150"/>
    <n v="100"/>
    <n v="74.106999999999999"/>
    <n v="51.784999999999997"/>
    <n v="74.11"/>
    <n v="67.400000000000006"/>
    <n v="2.852E-2"/>
    <n v="2.1570000000000001E-4"/>
    <n v="58.784147947670256"/>
    <n v="2.7293453122815121"/>
    <n v="1"/>
  </r>
  <r>
    <n v="1007"/>
    <s v="Biochar"/>
    <n v="2"/>
    <n v="240"/>
    <n v="200"/>
    <n v="11"/>
    <n v="25"/>
    <n v="150"/>
    <n v="100"/>
    <n v="56.761000000000003"/>
    <n v="86.477000000000004"/>
    <n v="56.76"/>
    <n v="81.599999999999994"/>
    <n v="3.227E-2"/>
    <n v="1.9479999999999999E-4"/>
    <n v="41.225747755170417"/>
    <n v="2.7431117799085274"/>
    <n v="2"/>
  </r>
  <r>
    <n v="1008"/>
    <s v="Biochar"/>
    <n v="2"/>
    <n v="240"/>
    <n v="200"/>
    <n v="11"/>
    <n v="25"/>
    <n v="150"/>
    <n v="100"/>
    <n v="70.628"/>
    <n v="58.744"/>
    <n v="70.63"/>
    <n v="96"/>
    <n v="3.8019999999999998E-2"/>
    <n v="1.717E-4"/>
    <n v="52.566599018911496"/>
    <n v="2.8937771186838375"/>
    <n v="3"/>
  </r>
  <r>
    <n v="1009"/>
    <s v="Biochar"/>
    <n v="4"/>
    <n v="30"/>
    <n v="25"/>
    <n v="3"/>
    <n v="25"/>
    <n v="150"/>
    <n v="100"/>
    <n v="9.9000000000000005E-2"/>
    <n v="24.605"/>
    <n v="1.58"/>
    <n v="49.2"/>
    <n v="3.2169999999999997E-2"/>
    <n v="2.1910000000000001E-4"/>
    <n v="6.4380079144238719E-5"/>
    <n v="-2.313285944216537"/>
    <n v="1"/>
  </r>
  <r>
    <n v="1010"/>
    <s v="Biochar"/>
    <n v="4"/>
    <n v="30"/>
    <n v="25"/>
    <n v="3"/>
    <n v="25"/>
    <n v="150"/>
    <n v="100"/>
    <n v="0.11700000000000001"/>
    <n v="24.530999999999999"/>
    <n v="1.88"/>
    <n v="82.9"/>
    <n v="3.492E-2"/>
    <n v="1.862E-4"/>
    <n v="7.6416810876250092E-5"/>
    <n v="-2.1462346927057463"/>
    <n v="2"/>
  </r>
  <r>
    <n v="1011"/>
    <s v="Biochar"/>
    <n v="4"/>
    <n v="30"/>
    <n v="25"/>
    <n v="3"/>
    <n v="25"/>
    <n v="150"/>
    <n v="100"/>
    <n v="0.114"/>
    <n v="24.545000000000002"/>
    <n v="1.82"/>
    <n v="95.6"/>
    <n v="2.9340000000000001E-2"/>
    <n v="2.0599999999999999E-4"/>
    <n v="8.02587361152321E-5"/>
    <n v="-2.1722611025299274"/>
    <n v="3"/>
  </r>
  <r>
    <n v="1012"/>
    <s v="Biochar"/>
    <n v="4"/>
    <n v="30"/>
    <n v="25"/>
    <n v="7"/>
    <n v="25"/>
    <n v="150"/>
    <n v="100"/>
    <n v="0.215"/>
    <n v="24.14"/>
    <n v="3.44"/>
    <n v="80.400000000000006"/>
    <n v="3.7449999999999997E-2"/>
    <n v="2.563E-4"/>
    <n v="3.5483743082379509E-4"/>
    <n v="-1.5387690209308718"/>
    <n v="1"/>
  </r>
  <r>
    <n v="1013"/>
    <s v="Biochar"/>
    <n v="4"/>
    <n v="30"/>
    <n v="25"/>
    <n v="7"/>
    <n v="25"/>
    <n v="150"/>
    <n v="100"/>
    <n v="0.19500000000000001"/>
    <n v="24.222000000000001"/>
    <n v="3.11"/>
    <n v="90.8"/>
    <n v="3.2419999999999997E-2"/>
    <n v="2.0359999999999999E-4"/>
    <n v="2.3198039742783962E-4"/>
    <n v="-1.6359460716691478"/>
    <n v="2"/>
  </r>
  <r>
    <n v="1014"/>
    <s v="Biochar"/>
    <n v="4"/>
    <n v="30"/>
    <n v="25"/>
    <n v="7"/>
    <n v="25"/>
    <n v="150"/>
    <n v="100"/>
    <n v="0.20599999999999999"/>
    <n v="24.177"/>
    <n v="3.29"/>
    <n v="88.2"/>
    <n v="3.143E-2"/>
    <n v="2.041E-4"/>
    <n v="2.5950830031949159E-4"/>
    <n v="-1.5811396533740671"/>
    <n v="3"/>
  </r>
  <r>
    <n v="1015"/>
    <s v="Biochar"/>
    <n v="4"/>
    <n v="30"/>
    <n v="25"/>
    <n v="11"/>
    <n v="25"/>
    <n v="150"/>
    <n v="100"/>
    <n v="0.16400000000000001"/>
    <n v="24.344999999999999"/>
    <n v="2.62"/>
    <n v="91.5"/>
    <n v="3.8370000000000001E-2"/>
    <n v="1.953E-4"/>
    <n v="1.5743239099387141E-4"/>
    <n v="-1.808849265812102"/>
    <n v="1"/>
  </r>
  <r>
    <n v="1016"/>
    <s v="Biochar"/>
    <n v="4"/>
    <n v="30"/>
    <n v="25"/>
    <n v="11"/>
    <n v="25"/>
    <n v="150"/>
    <n v="100"/>
    <n v="0.154"/>
    <n v="24.385999999999999"/>
    <n v="2.46"/>
    <n v="89.3"/>
    <n v="3.1669999999999997E-2"/>
    <n v="2.064E-4"/>
    <n v="1.4670957444451612E-4"/>
    <n v="-1.87175579021136"/>
    <n v="2"/>
  </r>
  <r>
    <n v="1017"/>
    <s v="Biochar"/>
    <n v="4"/>
    <n v="30"/>
    <n v="25"/>
    <n v="11"/>
    <n v="25"/>
    <n v="150"/>
    <n v="100"/>
    <n v="0.129"/>
    <n v="24.484999999999999"/>
    <n v="2.06"/>
    <n v="77.599999999999994"/>
    <n v="3.5659999999999997E-2"/>
    <n v="2.0589999999999999E-4"/>
    <n v="1.0270961458967765E-4"/>
    <n v="-2.0487393903175972"/>
    <n v="3"/>
  </r>
  <r>
    <n v="1018"/>
    <s v="Biochar"/>
    <n v="4"/>
    <n v="30"/>
    <n v="50"/>
    <n v="3"/>
    <n v="25"/>
    <n v="150"/>
    <n v="100"/>
    <n v="0.38300000000000001"/>
    <n v="48.47"/>
    <n v="3.06"/>
    <n v="99.3"/>
    <n v="3.6999999999999998E-2"/>
    <n v="1.8589999999999999E-4"/>
    <n v="8.1634085627805772E-4"/>
    <n v="-0.96185400281597599"/>
    <n v="1"/>
  </r>
  <r>
    <n v="1019"/>
    <s v="Biochar"/>
    <n v="4"/>
    <n v="30"/>
    <n v="50"/>
    <n v="3"/>
    <n v="25"/>
    <n v="150"/>
    <n v="100"/>
    <n v="0.36699999999999999"/>
    <n v="48.53"/>
    <n v="2.94"/>
    <n v="83.9"/>
    <n v="3.3439999999999998E-2"/>
    <n v="2.0230000000000001E-4"/>
    <n v="8.1561091205652561E-4"/>
    <n v="-1.0046182771207777"/>
    <n v="2"/>
  </r>
  <r>
    <n v="1020"/>
    <s v="Biochar"/>
    <n v="4"/>
    <n v="30"/>
    <n v="50"/>
    <n v="3"/>
    <n v="25"/>
    <n v="150"/>
    <n v="100"/>
    <n v="0.41799999999999998"/>
    <n v="48.326000000000001"/>
    <n v="3.35"/>
    <n v="59.9"/>
    <n v="3.3640000000000003E-2"/>
    <n v="1.939E-4"/>
    <n v="1.0139041938691819E-3"/>
    <n v="-0.87470240112981246"/>
    <n v="3"/>
  </r>
  <r>
    <n v="1021"/>
    <s v="Biochar"/>
    <n v="4"/>
    <n v="30"/>
    <n v="50"/>
    <n v="7"/>
    <n v="25"/>
    <n v="150"/>
    <n v="100"/>
    <n v="0.80700000000000005"/>
    <n v="46.774000000000001"/>
    <n v="6.45"/>
    <n v="76.7"/>
    <n v="4.088E-2"/>
    <n v="1.618E-4"/>
    <n v="3.14882812574007E-3"/>
    <n v="-0.21834113654719828"/>
    <n v="1"/>
  </r>
  <r>
    <n v="1022"/>
    <s v="Biochar"/>
    <n v="4"/>
    <n v="30"/>
    <n v="50"/>
    <n v="7"/>
    <n v="25"/>
    <n v="150"/>
    <n v="100"/>
    <n v="0.85799999999999998"/>
    <n v="46.567999999999998"/>
    <n v="6.86"/>
    <n v="82.8"/>
    <n v="3.8010000000000002E-2"/>
    <n v="2.0159999999999999E-4"/>
    <n v="4.4293352364603231E-3"/>
    <n v="-0.15832694607583336"/>
    <n v="2"/>
  </r>
  <r>
    <n v="1023"/>
    <s v="Biochar"/>
    <n v="4"/>
    <n v="30"/>
    <n v="50"/>
    <n v="7"/>
    <n v="25"/>
    <n v="150"/>
    <n v="100"/>
    <n v="0.84499999999999997"/>
    <n v="46.62"/>
    <n v="6.76"/>
    <n v="80.7"/>
    <n v="3.1150000000000001E-2"/>
    <n v="2.284E-4"/>
    <n v="4.8643350916792814E-3"/>
    <n v="-0.17419189434220345"/>
    <n v="3"/>
  </r>
  <r>
    <n v="1024"/>
    <s v="Biochar"/>
    <n v="4"/>
    <n v="30"/>
    <n v="50"/>
    <n v="11"/>
    <n v="25"/>
    <n v="150"/>
    <n v="100"/>
    <n v="0.54700000000000004"/>
    <n v="47.81"/>
    <n v="4.38"/>
    <n v="88.6"/>
    <n v="3.9320000000000001E-2"/>
    <n v="1.794E-4"/>
    <n v="1.6056159784178729E-3"/>
    <n v="-0.60624610561379499"/>
    <n v="1"/>
  </r>
  <r>
    <n v="1025"/>
    <s v="Biochar"/>
    <n v="4"/>
    <n v="30"/>
    <n v="50"/>
    <n v="11"/>
    <n v="25"/>
    <n v="150"/>
    <n v="100"/>
    <n v="0.58699999999999997"/>
    <n v="47.652999999999999"/>
    <n v="4.6900000000000004"/>
    <n v="78.099999999999994"/>
    <n v="3.4540000000000001E-2"/>
    <n v="2.0139999999999999E-4"/>
    <n v="2.0745282640342497E-3"/>
    <n v="-0.53627083860812841"/>
    <n v="2"/>
  </r>
  <r>
    <n v="1026"/>
    <s v="Biochar"/>
    <n v="4"/>
    <n v="30"/>
    <n v="50"/>
    <n v="11"/>
    <n v="25"/>
    <n v="150"/>
    <n v="100"/>
    <n v="0.47099999999999997"/>
    <n v="48.116999999999997"/>
    <n v="3.77"/>
    <n v="75.7"/>
    <n v="3.9730000000000001E-2"/>
    <n v="2.1770000000000001E-4"/>
    <n v="1.4444004493334049E-3"/>
    <n v="-0.755968564447139"/>
    <n v="3"/>
  </r>
  <r>
    <n v="1027"/>
    <s v="Biochar"/>
    <n v="4"/>
    <n v="30"/>
    <n v="100"/>
    <n v="3"/>
    <n v="25"/>
    <n v="150"/>
    <n v="100"/>
    <n v="1.6359999999999999"/>
    <n v="93.456000000000003"/>
    <n v="6.54"/>
    <n v="88.8"/>
    <n v="3.397E-2"/>
    <n v="2.2709999999999999E-4"/>
    <n v="1.8033959509003401E-2"/>
    <n v="0.4811698298443412"/>
    <n v="1"/>
  </r>
  <r>
    <n v="1028"/>
    <s v="Biochar"/>
    <n v="4"/>
    <n v="30"/>
    <n v="100"/>
    <n v="3"/>
    <n v="25"/>
    <n v="150"/>
    <n v="100"/>
    <n v="1.613"/>
    <n v="93.546999999999997"/>
    <n v="6.45"/>
    <n v="88.7"/>
    <n v="3.9010000000000003E-2"/>
    <n v="1.8450000000000001E-4"/>
    <n v="1.4273359503652565E-2"/>
    <n v="0.46920746269946373"/>
    <n v="2"/>
  </r>
  <r>
    <n v="1029"/>
    <s v="Biochar"/>
    <n v="4"/>
    <n v="30"/>
    <n v="100"/>
    <n v="3"/>
    <n v="25"/>
    <n v="150"/>
    <n v="100"/>
    <n v="1.903"/>
    <n v="92.388000000000005"/>
    <n v="7.61"/>
    <n v="66"/>
    <n v="4.07E-2"/>
    <n v="1.9249999999999999E-4"/>
    <n v="2.0686298178124587E-2"/>
    <n v="0.63250171261910282"/>
    <n v="3"/>
  </r>
  <r>
    <n v="1030"/>
    <s v="Biochar"/>
    <n v="4"/>
    <n v="30"/>
    <n v="100"/>
    <n v="7"/>
    <n v="25"/>
    <n v="150"/>
    <n v="100"/>
    <n v="2.7639999999999998"/>
    <n v="88.944000000000003"/>
    <n v="11.06"/>
    <n v="61.4"/>
    <n v="3.3410000000000002E-2"/>
    <n v="1.7919999999999999E-4"/>
    <n v="4.0469656387745204E-2"/>
    <n v="1.0019289591829619"/>
    <n v="1"/>
  </r>
  <r>
    <n v="1031"/>
    <s v="Biochar"/>
    <n v="4"/>
    <n v="30"/>
    <n v="100"/>
    <n v="7"/>
    <n v="25"/>
    <n v="150"/>
    <n v="100"/>
    <n v="2.661"/>
    <n v="89.358000000000004"/>
    <n v="10.64"/>
    <n v="83.9"/>
    <n v="3.8350000000000002E-2"/>
    <n v="2.042E-4"/>
    <n v="4.2681951350005479E-2"/>
    <n v="0.96253214546037169"/>
    <n v="2"/>
  </r>
  <r>
    <n v="1032"/>
    <s v="Biochar"/>
    <n v="4"/>
    <n v="30"/>
    <n v="100"/>
    <n v="7"/>
    <n v="25"/>
    <n v="150"/>
    <n v="100"/>
    <n v="2.92"/>
    <n v="88.320999999999998"/>
    <n v="11.68"/>
    <n v="71.599999999999994"/>
    <n v="3.1919999999999997E-2"/>
    <n v="2.3599999999999999E-4"/>
    <n v="5.9144188700481708E-2"/>
    <n v="1.051120814790093"/>
    <n v="3"/>
  </r>
  <r>
    <n v="1033"/>
    <s v="Biochar"/>
    <n v="4"/>
    <n v="30"/>
    <n v="100"/>
    <n v="11"/>
    <n v="25"/>
    <n v="150"/>
    <n v="100"/>
    <n v="1.9330000000000001"/>
    <n v="92.266000000000005"/>
    <n v="7.73"/>
    <n v="107"/>
    <n v="3.415E-2"/>
    <n v="2.0000000000000001E-4"/>
    <n v="2.2161900280546227E-2"/>
    <n v="0.64754194148050925"/>
    <n v="1"/>
  </r>
  <r>
    <n v="1034"/>
    <s v="Biochar"/>
    <n v="4"/>
    <n v="30"/>
    <n v="100"/>
    <n v="11"/>
    <n v="25"/>
    <n v="150"/>
    <n v="100"/>
    <n v="2.31"/>
    <n v="90.759"/>
    <n v="9.24"/>
    <n v="102.1"/>
    <n v="3.4610000000000002E-2"/>
    <n v="1.9220000000000001E-4"/>
    <n v="3.0363526819074414E-2"/>
    <n v="0.82401598866687487"/>
    <n v="2"/>
  </r>
  <r>
    <n v="1035"/>
    <s v="Biochar"/>
    <n v="4"/>
    <n v="30"/>
    <n v="100"/>
    <n v="11"/>
    <n v="25"/>
    <n v="150"/>
    <n v="100"/>
    <n v="2.0750000000000002"/>
    <n v="91.698999999999998"/>
    <n v="8.3000000000000007"/>
    <n v="90.1"/>
    <n v="3.8120000000000001E-2"/>
    <n v="2.0010000000000001E-4"/>
    <n v="2.5528675943495737E-2"/>
    <n v="0.71758186918664657"/>
    <n v="3"/>
  </r>
  <r>
    <n v="1036"/>
    <s v="Biochar"/>
    <n v="4"/>
    <n v="30"/>
    <n v="200"/>
    <n v="3"/>
    <n v="25"/>
    <n v="150"/>
    <n v="100"/>
    <n v="6.3250000000000002"/>
    <n v="174.70099999999999"/>
    <n v="12.65"/>
    <n v="106.8"/>
    <n v="3.6330000000000001E-2"/>
    <n v="2.062E-4"/>
    <n v="0.23815657492887415"/>
    <n v="1.8061296263406548"/>
    <n v="1"/>
  </r>
  <r>
    <n v="1037"/>
    <s v="Biochar"/>
    <n v="4"/>
    <n v="30"/>
    <n v="200"/>
    <n v="3"/>
    <n v="25"/>
    <n v="150"/>
    <n v="100"/>
    <n v="5.0519999999999996"/>
    <n v="179.79400000000001"/>
    <n v="10.1"/>
    <n v="51.9"/>
    <n v="3.6360000000000003E-2"/>
    <n v="1.9809999999999999E-4"/>
    <n v="0.14726008769760396"/>
    <n v="1.5902020665966485"/>
    <n v="2"/>
  </r>
  <r>
    <n v="1038"/>
    <s v="Biochar"/>
    <n v="4"/>
    <n v="30"/>
    <n v="200"/>
    <n v="3"/>
    <n v="25"/>
    <n v="150"/>
    <n v="100"/>
    <n v="5.65"/>
    <n v="177.40199999999999"/>
    <n v="11.3"/>
    <n v="88.8"/>
    <n v="3.4790000000000001E-2"/>
    <n v="2.2259999999999999E-4"/>
    <n v="0.20542753047587395"/>
    <n v="1.6946192353084921"/>
    <n v="3"/>
  </r>
  <r>
    <n v="1039"/>
    <s v="Biochar"/>
    <n v="4"/>
    <n v="30"/>
    <n v="200"/>
    <n v="7"/>
    <n v="25"/>
    <n v="150"/>
    <n v="100"/>
    <n v="10.073"/>
    <n v="159.709"/>
    <n v="20.149999999999999"/>
    <n v="76.099999999999994"/>
    <n v="3.8469999999999997E-2"/>
    <n v="1.9570000000000001E-4"/>
    <n v="0.56244098375840224"/>
    <n v="2.2524026567688882"/>
    <n v="1"/>
  </r>
  <r>
    <n v="1040"/>
    <s v="Biochar"/>
    <n v="4"/>
    <n v="30"/>
    <n v="200"/>
    <n v="7"/>
    <n v="25"/>
    <n v="150"/>
    <n v="100"/>
    <n v="10.513"/>
    <n v="157.94999999999999"/>
    <n v="21.03"/>
    <n v="79.599999999999994"/>
    <n v="3.2730000000000002E-2"/>
    <n v="2.017E-4"/>
    <n v="0.62877659858596668"/>
    <n v="2.2909398901993479"/>
    <n v="2"/>
  </r>
  <r>
    <n v="1041"/>
    <s v="Biochar"/>
    <n v="4"/>
    <n v="30"/>
    <n v="200"/>
    <n v="7"/>
    <n v="25"/>
    <n v="150"/>
    <n v="100"/>
    <n v="10"/>
    <n v="160.00200000000001"/>
    <n v="20"/>
    <n v="91.9"/>
    <n v="3.406E-2"/>
    <n v="1.6330000000000001E-4"/>
    <n v="0.46702065796623421"/>
    <n v="2.2547572965137892"/>
    <n v="3"/>
  </r>
  <r>
    <n v="1042"/>
    <s v="Biochar"/>
    <n v="4"/>
    <n v="30"/>
    <n v="200"/>
    <n v="11"/>
    <n v="25"/>
    <n v="150"/>
    <n v="100"/>
    <n v="7.1470000000000002"/>
    <n v="171.41200000000001"/>
    <n v="14.29"/>
    <n v="95.9"/>
    <n v="3.3959999999999997E-2"/>
    <n v="1.951E-4"/>
    <n v="0.28696481413372965"/>
    <n v="1.9257125708596647"/>
    <n v="1"/>
  </r>
  <r>
    <n v="1043"/>
    <s v="Biochar"/>
    <n v="4"/>
    <n v="30"/>
    <n v="200"/>
    <n v="11"/>
    <n v="25"/>
    <n v="150"/>
    <n v="100"/>
    <n v="8.2070000000000007"/>
    <n v="167.17099999999999"/>
    <n v="16.41"/>
    <n v="76.599999999999994"/>
    <n v="2.9600000000000001E-2"/>
    <n v="1.9680000000000001E-4"/>
    <n v="0.37928509972541224"/>
    <n v="2.0576706283640194"/>
    <n v="2"/>
  </r>
  <r>
    <n v="1044"/>
    <s v="Biochar"/>
    <n v="4"/>
    <n v="30"/>
    <n v="200"/>
    <n v="11"/>
    <n v="25"/>
    <n v="150"/>
    <n v="100"/>
    <n v="7.109"/>
    <n v="171.566"/>
    <n v="14.22"/>
    <n v="73.3"/>
    <n v="3.4389999999999997E-2"/>
    <n v="2.098E-4"/>
    <n v="0.30446253724235156"/>
    <n v="1.9175896635887431"/>
    <n v="3"/>
  </r>
  <r>
    <n v="1045"/>
    <s v="Biochar"/>
    <n v="4"/>
    <n v="60"/>
    <n v="25"/>
    <n v="3"/>
    <n v="25"/>
    <n v="150"/>
    <n v="100"/>
    <n v="0.217"/>
    <n v="24.132000000000001"/>
    <n v="3.47"/>
    <n v="89.7"/>
    <n v="4.1349999999999998E-2"/>
    <n v="1.931E-4"/>
    <n v="5.44204934633133E-4"/>
    <n v="-1.5303689322237759"/>
    <n v="1"/>
  </r>
  <r>
    <n v="1046"/>
    <s v="Biochar"/>
    <n v="4"/>
    <n v="60"/>
    <n v="25"/>
    <n v="3"/>
    <n v="25"/>
    <n v="150"/>
    <n v="100"/>
    <n v="0.223"/>
    <n v="24.106999999999999"/>
    <n v="3.57"/>
    <n v="79.2"/>
    <n v="3.2039999999999999E-2"/>
    <n v="1.883E-4"/>
    <n v="5.6042627378281276E-4"/>
    <n v="-1.5030997930186056"/>
    <n v="2"/>
  </r>
  <r>
    <n v="1047"/>
    <s v="Biochar"/>
    <n v="4"/>
    <n v="60"/>
    <n v="25"/>
    <n v="3"/>
    <n v="25"/>
    <n v="150"/>
    <n v="100"/>
    <n v="0.20699999999999999"/>
    <n v="24.172000000000001"/>
    <n v="3.31"/>
    <n v="90.3"/>
    <n v="4.3220000000000001E-2"/>
    <n v="1.8569999999999999E-4"/>
    <n v="4.7632496495876879E-4"/>
    <n v="-1.5773402240726504"/>
    <n v="3"/>
  </r>
  <r>
    <n v="1048"/>
    <s v="Biochar"/>
    <n v="4"/>
    <n v="60"/>
    <n v="25"/>
    <n v="7"/>
    <n v="25"/>
    <n v="150"/>
    <n v="100"/>
    <n v="0.36399999999999999"/>
    <n v="23.545000000000002"/>
    <n v="5.82"/>
    <n v="84.9"/>
    <n v="3.6389999999999999E-2"/>
    <n v="2.053E-4"/>
    <n v="1.6248005253946605E-3"/>
    <n v="-1.0150751412758803"/>
    <n v="1"/>
  </r>
  <r>
    <n v="1049"/>
    <s v="Biochar"/>
    <n v="4"/>
    <n v="60"/>
    <n v="25"/>
    <n v="7"/>
    <n v="25"/>
    <n v="150"/>
    <n v="100"/>
    <n v="0.42799999999999999"/>
    <n v="23.286000000000001"/>
    <n v="6.85"/>
    <n v="54.5"/>
    <n v="2.665E-2"/>
    <n v="1.9010000000000001E-4"/>
    <n v="2.0792463059196437E-3"/>
    <n v="-0.85350197420971241"/>
    <n v="2"/>
  </r>
  <r>
    <n v="1050"/>
    <s v="Biochar"/>
    <n v="4"/>
    <n v="60"/>
    <n v="25"/>
    <n v="7"/>
    <n v="25"/>
    <n v="150"/>
    <n v="100"/>
    <n v="0.42099999999999999"/>
    <n v="23.315000000000001"/>
    <n v="6.74"/>
    <n v="65.599999999999994"/>
    <n v="2.4469999999999999E-2"/>
    <n v="2.1139999999999999E-4"/>
    <n v="2.236183703525785E-3"/>
    <n v="-0.87044820224632169"/>
    <n v="3"/>
  </r>
  <r>
    <n v="1051"/>
    <s v="Biochar"/>
    <n v="4"/>
    <n v="60"/>
    <n v="25"/>
    <n v="11"/>
    <n v="25"/>
    <n v="150"/>
    <n v="100"/>
    <n v="0.28399999999999997"/>
    <n v="23.864000000000001"/>
    <n v="4.54"/>
    <n v="71.7"/>
    <n v="3.1550000000000002E-2"/>
    <n v="1.806E-4"/>
    <n v="8.7130703481967697E-4"/>
    <n v="-1.2618537392442797"/>
    <n v="1"/>
  </r>
  <r>
    <n v="1052"/>
    <s v="Biochar"/>
    <n v="4"/>
    <n v="60"/>
    <n v="25"/>
    <n v="11"/>
    <n v="25"/>
    <n v="150"/>
    <n v="100"/>
    <n v="0.28000000000000003"/>
    <n v="23.879000000000001"/>
    <n v="4.4800000000000004"/>
    <n v="77.7"/>
    <n v="3.6729999999999999E-2"/>
    <n v="1.429E-4"/>
    <n v="6.705916971009359E-4"/>
    <n v="-1.2753635186884882"/>
    <n v="2"/>
  </r>
  <r>
    <n v="1053"/>
    <s v="Biochar"/>
    <n v="4"/>
    <n v="60"/>
    <n v="25"/>
    <n v="11"/>
    <n v="25"/>
    <n v="150"/>
    <n v="100"/>
    <n v="0.253"/>
    <n v="23.986000000000001"/>
    <n v="4.05"/>
    <n v="71.2"/>
    <n v="3.4099999999999998E-2"/>
    <n v="1.8919999999999999E-4"/>
    <n v="7.2454922205948864E-4"/>
    <n v="-1.3772337297817268"/>
    <n v="3"/>
  </r>
  <r>
    <n v="1054"/>
    <s v="Biochar"/>
    <n v="4"/>
    <n v="60"/>
    <n v="50"/>
    <n v="3"/>
    <n v="25"/>
    <n v="150"/>
    <n v="100"/>
    <n v="0.89100000000000001"/>
    <n v="46.436999999999998"/>
    <n v="7.13"/>
    <n v="61.8"/>
    <n v="3.5159999999999997E-2"/>
    <n v="2.1120000000000001E-4"/>
    <n v="9.9477425380431056E-3"/>
    <n v="-0.12663833873022037"/>
    <n v="1"/>
  </r>
  <r>
    <n v="1055"/>
    <s v="Biochar"/>
    <n v="4"/>
    <n v="60"/>
    <n v="50"/>
    <n v="3"/>
    <n v="25"/>
    <n v="150"/>
    <n v="100"/>
    <n v="0.97799999999999998"/>
    <n v="46.087000000000003"/>
    <n v="7.83"/>
    <n v="79.5"/>
    <n v="3.6139999999999999E-2"/>
    <n v="1.639E-4"/>
    <n v="9.3164611745516508E-3"/>
    <n v="-3.181730575142485E-2"/>
    <n v="2"/>
  </r>
  <r>
    <n v="1056"/>
    <s v="Biochar"/>
    <n v="4"/>
    <n v="60"/>
    <n v="50"/>
    <n v="3"/>
    <n v="25"/>
    <n v="150"/>
    <n v="100"/>
    <n v="0.628"/>
    <n v="47.488999999999997"/>
    <n v="5.0199999999999996"/>
    <n v="96.6"/>
    <n v="3.4979999999999997E-2"/>
    <n v="2.2359999999999999E-4"/>
    <n v="5.2468497337742181E-3"/>
    <n v="-0.47360506621558746"/>
    <n v="3"/>
  </r>
  <r>
    <n v="1057"/>
    <s v="Biochar"/>
    <n v="4"/>
    <n v="60"/>
    <n v="50"/>
    <n v="7"/>
    <n v="25"/>
    <n v="150"/>
    <n v="100"/>
    <n v="1.224"/>
    <n v="45.101999999999997"/>
    <n v="9.8000000000000007"/>
    <n v="92.4"/>
    <n v="4.1540000000000001E-2"/>
    <n v="2.084E-4"/>
    <n v="1.8450805051569454E-2"/>
    <n v="0.18693522655668771"/>
    <n v="1"/>
  </r>
  <r>
    <n v="1058"/>
    <s v="Biochar"/>
    <n v="4"/>
    <n v="60"/>
    <n v="50"/>
    <n v="7"/>
    <n v="25"/>
    <n v="150"/>
    <n v="100"/>
    <n v="1.4590000000000001"/>
    <n v="44.164999999999999"/>
    <n v="11.67"/>
    <n v="85.8"/>
    <n v="2.9499999999999998E-2"/>
    <n v="2.2709999999999999E-4"/>
    <n v="2.8440010400278985E-2"/>
    <n v="0.35806596873479563"/>
    <n v="2"/>
  </r>
  <r>
    <n v="1059"/>
    <s v="Biochar"/>
    <n v="4"/>
    <n v="60"/>
    <n v="50"/>
    <n v="7"/>
    <n v="25"/>
    <n v="150"/>
    <n v="100"/>
    <n v="1.333"/>
    <n v="44.668999999999997"/>
    <n v="10.66"/>
    <n v="92.2"/>
    <n v="2.9530000000000001E-2"/>
    <n v="1.7640000000000001E-4"/>
    <n v="1.8544952236628193E-2"/>
    <n v="0.27342216738995462"/>
    <n v="3"/>
  </r>
  <r>
    <n v="1060"/>
    <s v="Biochar"/>
    <n v="4"/>
    <n v="60"/>
    <n v="50"/>
    <n v="11"/>
    <n v="25"/>
    <n v="150"/>
    <n v="100"/>
    <n v="1.196"/>
    <n v="45.216999999999999"/>
    <n v="9.57"/>
    <n v="81.2"/>
    <n v="4.0090000000000001E-2"/>
    <n v="1.984E-4"/>
    <n v="1.6788648979369304E-2"/>
    <n v="0.1648458684417396"/>
    <n v="1"/>
  </r>
  <r>
    <n v="1061"/>
    <s v="Biochar"/>
    <n v="4"/>
    <n v="60"/>
    <n v="50"/>
    <n v="11"/>
    <n v="25"/>
    <n v="150"/>
    <n v="100"/>
    <n v="0.85299999999999998"/>
    <n v="46.588000000000001"/>
    <n v="6.82"/>
    <n v="97.2"/>
    <n v="3.2939999999999997E-2"/>
    <n v="2.14E-4"/>
    <n v="9.2412842098657608E-3"/>
    <n v="-0.16988870702340556"/>
    <n v="2"/>
  </r>
  <r>
    <n v="1062"/>
    <s v="Biochar"/>
    <n v="4"/>
    <n v="60"/>
    <n v="50"/>
    <n v="11"/>
    <n v="25"/>
    <n v="150"/>
    <n v="100"/>
    <n v="1.048"/>
    <n v="45.807000000000002"/>
    <n v="8.39"/>
    <n v="65.900000000000006"/>
    <n v="3.5580000000000001E-2"/>
    <n v="2.4389999999999999E-4"/>
    <n v="1.5829807962608401E-2"/>
    <n v="3.1663568227340337E-2"/>
    <n v="3"/>
  </r>
  <r>
    <n v="1063"/>
    <s v="Biochar"/>
    <n v="4"/>
    <n v="60"/>
    <n v="100"/>
    <n v="3"/>
    <n v="25"/>
    <n v="150"/>
    <n v="100"/>
    <n v="3.1419999999999999"/>
    <n v="87.433000000000007"/>
    <n v="12.57"/>
    <n v="85"/>
    <n v="3.8760000000000003E-2"/>
    <n v="2.042E-4"/>
    <n v="0.11647014382872065"/>
    <n v="1.1070862352091326"/>
    <n v="1"/>
  </r>
  <r>
    <n v="1064"/>
    <s v="Biochar"/>
    <n v="4"/>
    <n v="60"/>
    <n v="100"/>
    <n v="3"/>
    <n v="25"/>
    <n v="150"/>
    <n v="100"/>
    <n v="3.0569999999999999"/>
    <n v="87.772000000000006"/>
    <n v="12.23"/>
    <n v="71.7"/>
    <n v="3.5819999999999998E-2"/>
    <n v="2.207E-4"/>
    <n v="0.11893519608589719"/>
    <n v="1.0777511346609498"/>
    <n v="2"/>
  </r>
  <r>
    <n v="1065"/>
    <s v="Biochar"/>
    <n v="4"/>
    <n v="60"/>
    <n v="100"/>
    <n v="3"/>
    <n v="25"/>
    <n v="150"/>
    <n v="100"/>
    <n v="2.7440000000000002"/>
    <n v="89.025000000000006"/>
    <n v="10.98"/>
    <n v="104"/>
    <n v="3.4680000000000002E-2"/>
    <n v="1.8220000000000001E-4"/>
    <n v="7.9915625915827557E-2"/>
    <n v="0.97986042413011532"/>
    <n v="3"/>
  </r>
  <r>
    <n v="1066"/>
    <s v="Biochar"/>
    <n v="4"/>
    <n v="60"/>
    <n v="100"/>
    <n v="7"/>
    <n v="25"/>
    <n v="150"/>
    <n v="100"/>
    <n v="5.52"/>
    <n v="77.918999999999997"/>
    <n v="22.08"/>
    <n v="82"/>
    <n v="3.7659999999999999E-2"/>
    <n v="1.942E-4"/>
    <n v="0.33358521971005983"/>
    <n v="1.646042664691405"/>
    <n v="1"/>
  </r>
  <r>
    <n v="1067"/>
    <s v="Biochar"/>
    <n v="4"/>
    <n v="60"/>
    <n v="100"/>
    <n v="7"/>
    <n v="25"/>
    <n v="150"/>
    <n v="100"/>
    <n v="4.99"/>
    <n v="80.042000000000002"/>
    <n v="19.96"/>
    <n v="92.1"/>
    <n v="3.6020000000000003E-2"/>
    <n v="1.6009999999999999E-4"/>
    <n v="0.22824946446528871"/>
    <n v="1.5606153602024702"/>
    <n v="2"/>
  </r>
  <r>
    <n v="1068"/>
    <s v="Biochar"/>
    <n v="4"/>
    <n v="60"/>
    <n v="100"/>
    <n v="7"/>
    <n v="25"/>
    <n v="150"/>
    <n v="100"/>
    <n v="4.4569999999999999"/>
    <n v="82.173000000000002"/>
    <n v="17.829999999999998"/>
    <n v="97.7"/>
    <n v="3.4540000000000001E-2"/>
    <n v="1.895E-4"/>
    <n v="0.21496951846501045"/>
    <n v="1.4450420417684866"/>
    <n v="3"/>
  </r>
  <r>
    <n v="1069"/>
    <s v="Biochar"/>
    <n v="4"/>
    <n v="60"/>
    <n v="100"/>
    <n v="11"/>
    <n v="25"/>
    <n v="150"/>
    <n v="100"/>
    <n v="3.2450000000000001"/>
    <n v="87.02"/>
    <n v="12.98"/>
    <n v="71.8"/>
    <n v="2.792E-2"/>
    <n v="1.9799999999999999E-4"/>
    <n v="0.12045315558047918"/>
    <n v="1.1392892628876761"/>
    <n v="1"/>
  </r>
  <r>
    <n v="1070"/>
    <s v="Biochar"/>
    <n v="4"/>
    <n v="60"/>
    <n v="100"/>
    <n v="11"/>
    <n v="25"/>
    <n v="150"/>
    <n v="100"/>
    <n v="3.53"/>
    <n v="85.879000000000005"/>
    <n v="14.12"/>
    <n v="73.3"/>
    <n v="3.4759999999999999E-2"/>
    <n v="2.073E-4"/>
    <n v="0.14846993255543067"/>
    <n v="1.218328289740944"/>
    <n v="2"/>
  </r>
  <r>
    <n v="1071"/>
    <s v="Biochar"/>
    <n v="4"/>
    <n v="60"/>
    <n v="100"/>
    <n v="11"/>
    <n v="25"/>
    <n v="150"/>
    <n v="100"/>
    <n v="4.5410000000000004"/>
    <n v="81.835999999999999"/>
    <n v="18.16"/>
    <n v="66.3"/>
    <n v="3.9059999999999997E-2"/>
    <n v="2.195E-4"/>
    <n v="0.25624938215754928"/>
    <n v="1.4550623514862167"/>
    <n v="3"/>
  </r>
  <r>
    <n v="1072"/>
    <s v="Biochar"/>
    <n v="4"/>
    <n v="60"/>
    <n v="200"/>
    <n v="3"/>
    <n v="25"/>
    <n v="150"/>
    <n v="100"/>
    <n v="9.3019999999999996"/>
    <n v="162.792"/>
    <n v="18.600000000000001"/>
    <n v="88.3"/>
    <n v="3.3399999999999999E-2"/>
    <n v="2.0369999999999999E-4"/>
    <n v="0.94957878322092937"/>
    <n v="2.122551462912051"/>
    <n v="1"/>
  </r>
  <r>
    <n v="1073"/>
    <s v="Biochar"/>
    <n v="4"/>
    <n v="60"/>
    <n v="200"/>
    <n v="3"/>
    <n v="25"/>
    <n v="150"/>
    <n v="100"/>
    <n v="11.61"/>
    <n v="153.559"/>
    <n v="23.22"/>
    <n v="93.5"/>
    <n v="3.678E-2"/>
    <n v="1.9139999999999999E-4"/>
    <n v="1.3658453534649824"/>
    <n v="2.3267072645270224"/>
    <n v="2"/>
  </r>
  <r>
    <n v="1074"/>
    <s v="Biochar"/>
    <n v="4"/>
    <n v="60"/>
    <n v="200"/>
    <n v="3"/>
    <n v="25"/>
    <n v="150"/>
    <n v="100"/>
    <n v="8.5909999999999993"/>
    <n v="165.637"/>
    <n v="17.18"/>
    <n v="83"/>
    <n v="3.9219999999999998E-2"/>
    <n v="1.695E-4"/>
    <n v="0.69028884679018365"/>
    <n v="2.0669527748151211"/>
    <n v="3"/>
  </r>
  <r>
    <n v="1075"/>
    <s v="Biochar"/>
    <n v="4"/>
    <n v="60"/>
    <n v="200"/>
    <n v="7"/>
    <n v="25"/>
    <n v="150"/>
    <n v="100"/>
    <n v="14.555999999999999"/>
    <n v="141.77699999999999"/>
    <n v="29.11"/>
    <n v="87.3"/>
    <n v="3.1550000000000002E-2"/>
    <n v="1.841E-4"/>
    <n v="2.0162163388701515"/>
    <n v="2.528906283152438"/>
    <n v="1"/>
  </r>
  <r>
    <n v="1076"/>
    <s v="Biochar"/>
    <n v="4"/>
    <n v="60"/>
    <n v="200"/>
    <n v="7"/>
    <n v="25"/>
    <n v="150"/>
    <n v="100"/>
    <n v="15.583"/>
    <n v="137.667"/>
    <n v="31.17"/>
    <n v="68.2"/>
    <n v="3.159E-2"/>
    <n v="2.141E-4"/>
    <n v="2.5991057896271625"/>
    <n v="2.5637096824875414"/>
    <n v="2"/>
  </r>
  <r>
    <n v="1077"/>
    <s v="Biochar"/>
    <n v="4"/>
    <n v="60"/>
    <n v="200"/>
    <n v="7"/>
    <n v="25"/>
    <n v="150"/>
    <n v="100"/>
    <n v="14.145"/>
    <n v="143.41900000000001"/>
    <n v="28.29"/>
    <n v="65.2"/>
    <n v="3.279E-2"/>
    <n v="2.1460000000000001E-4"/>
    <n v="2.179321271765629"/>
    <n v="2.4820424458889021"/>
    <n v="3"/>
  </r>
  <r>
    <n v="1078"/>
    <s v="Biochar"/>
    <n v="4"/>
    <n v="60"/>
    <n v="200"/>
    <n v="11"/>
    <n v="25"/>
    <n v="150"/>
    <n v="100"/>
    <n v="12.204000000000001"/>
    <n v="151.185"/>
    <n v="24.41"/>
    <n v="79.7"/>
    <n v="3.5159999999999997E-2"/>
    <n v="1.651E-4"/>
    <n v="1.3162507534226127"/>
    <n v="2.3876382348283975"/>
    <n v="1"/>
  </r>
  <r>
    <n v="1079"/>
    <s v="Biochar"/>
    <n v="4"/>
    <n v="60"/>
    <n v="200"/>
    <n v="11"/>
    <n v="25"/>
    <n v="150"/>
    <n v="100"/>
    <n v="13.065"/>
    <n v="147.74100000000001"/>
    <n v="26.13"/>
    <n v="90.6"/>
    <n v="3.3570000000000003E-2"/>
    <n v="2.2010000000000001E-4"/>
    <n v="1.9224886788801496"/>
    <n v="2.4107676418685582"/>
    <n v="2"/>
  </r>
  <r>
    <n v="1080"/>
    <s v="Biochar"/>
    <n v="4"/>
    <n v="60"/>
    <n v="200"/>
    <n v="11"/>
    <n v="25"/>
    <n v="150"/>
    <n v="100"/>
    <n v="11.045"/>
    <n v="155.81800000000001"/>
    <n v="22.09"/>
    <n v="100.2"/>
    <n v="3.5540000000000002E-2"/>
    <n v="1.9330000000000001E-4"/>
    <n v="1.2542005308288697"/>
    <n v="2.2814431150235075"/>
    <n v="3"/>
  </r>
  <r>
    <n v="1081"/>
    <s v="Biochar"/>
    <n v="4"/>
    <n v="120"/>
    <n v="25"/>
    <n v="3"/>
    <n v="25"/>
    <n v="150"/>
    <n v="100"/>
    <n v="0.41199999999999998"/>
    <n v="23.352"/>
    <n v="6.59"/>
    <n v="84.3"/>
    <n v="3.9269999999999999E-2"/>
    <n v="1.785E-4"/>
    <n v="3.6041100645162411E-3"/>
    <n v="-0.89551825656331574"/>
    <n v="1"/>
  </r>
  <r>
    <n v="1082"/>
    <s v="Biochar"/>
    <n v="4"/>
    <n v="120"/>
    <n v="25"/>
    <n v="3"/>
    <n v="25"/>
    <n v="150"/>
    <n v="100"/>
    <n v="0.38100000000000001"/>
    <n v="23.474"/>
    <n v="6.1"/>
    <n v="99"/>
    <n v="3.2919999999999998E-2"/>
    <n v="2.1800000000000001E-4"/>
    <n v="3.7599366220851427E-3"/>
    <n v="-0.97487352130223937"/>
    <n v="2"/>
  </r>
  <r>
    <n v="1083"/>
    <s v="Biochar"/>
    <n v="4"/>
    <n v="120"/>
    <n v="25"/>
    <n v="3"/>
    <n v="25"/>
    <n v="150"/>
    <n v="100"/>
    <n v="0.48299999999999998"/>
    <n v="23.068000000000001"/>
    <n v="7.73"/>
    <n v="80.5"/>
    <n v="3.7379999999999997E-2"/>
    <n v="1.7689999999999999E-4"/>
    <n v="4.9019980976569601E-3"/>
    <n v="-0.73793954260511441"/>
    <n v="3"/>
  </r>
  <r>
    <n v="1084"/>
    <s v="Biochar"/>
    <n v="4"/>
    <n v="120"/>
    <n v="25"/>
    <n v="7"/>
    <n v="25"/>
    <n v="150"/>
    <n v="100"/>
    <n v="0.76400000000000001"/>
    <n v="21.943999999999999"/>
    <n v="12.22"/>
    <n v="88.3"/>
    <n v="3.6659999999999998E-2"/>
    <n v="1.8709999999999999E-4"/>
    <n v="1.2884136768021271E-2"/>
    <n v="-0.28619536051322331"/>
    <n v="1"/>
  </r>
  <r>
    <n v="1085"/>
    <s v="Biochar"/>
    <n v="4"/>
    <n v="120"/>
    <n v="25"/>
    <n v="7"/>
    <n v="25"/>
    <n v="150"/>
    <n v="100"/>
    <n v="0.59199999999999997"/>
    <n v="22.63"/>
    <n v="9.48"/>
    <n v="92.2"/>
    <n v="2.7779999999999999E-2"/>
    <n v="1.9369999999999999E-4"/>
    <n v="8.0356116004241668E-3"/>
    <n v="-0.53791527678104034"/>
    <n v="2"/>
  </r>
  <r>
    <n v="1086"/>
    <s v="Biochar"/>
    <n v="4"/>
    <n v="120"/>
    <n v="25"/>
    <n v="7"/>
    <n v="25"/>
    <n v="150"/>
    <n v="100"/>
    <n v="0.77700000000000002"/>
    <n v="21.890999999999998"/>
    <n v="12.44"/>
    <n v="88.2"/>
    <n v="4.1820000000000003E-2"/>
    <n v="2.2049999999999999E-4"/>
    <n v="1.5652855705354227E-2"/>
    <n v="-0.27266585654679099"/>
    <n v="3"/>
  </r>
  <r>
    <n v="1087"/>
    <s v="Biochar"/>
    <n v="4"/>
    <n v="120"/>
    <n v="25"/>
    <n v="11"/>
    <n v="25"/>
    <n v="150"/>
    <n v="100"/>
    <n v="0.48899999999999999"/>
    <n v="23.042999999999999"/>
    <n v="7.83"/>
    <n v="86.1"/>
    <n v="3.483E-2"/>
    <n v="1.684E-4"/>
    <n v="4.7848744170544992E-3"/>
    <n v="-0.72522599667003829"/>
    <n v="1"/>
  </r>
  <r>
    <n v="1088"/>
    <s v="Biochar"/>
    <n v="4"/>
    <n v="120"/>
    <n v="25"/>
    <n v="11"/>
    <n v="25"/>
    <n v="150"/>
    <n v="100"/>
    <n v="0.47399999999999998"/>
    <n v="23.103000000000002"/>
    <n v="7.59"/>
    <n v="78.5"/>
    <n v="2.7869999999999999E-2"/>
    <n v="2.009E-4"/>
    <n v="5.3552930461454318E-3"/>
    <n v="-0.75791035209463786"/>
    <n v="2"/>
  </r>
  <r>
    <n v="1089"/>
    <s v="Biochar"/>
    <n v="4"/>
    <n v="120"/>
    <n v="25"/>
    <n v="11"/>
    <n v="25"/>
    <n v="150"/>
    <n v="100"/>
    <n v="0.51"/>
    <n v="22.959"/>
    <n v="8.17"/>
    <n v="64.2"/>
    <n v="3.6409999999999998E-2"/>
    <n v="2.143E-4"/>
    <n v="6.6021434325392982E-3"/>
    <n v="-0.6863744542012683"/>
    <n v="3"/>
  </r>
  <r>
    <n v="1090"/>
    <s v="Biochar"/>
    <n v="4"/>
    <n v="120"/>
    <n v="50"/>
    <n v="3"/>
    <n v="25"/>
    <n v="150"/>
    <n v="100"/>
    <n v="1.534"/>
    <n v="43.863"/>
    <n v="12.27"/>
    <n v="81.5"/>
    <n v="3.7069999999999999E-2"/>
    <n v="2.1359999999999999E-4"/>
    <n v="5.8034218821460225E-2"/>
    <n v="0.38931254242616553"/>
    <n v="1"/>
  </r>
  <r>
    <n v="1091"/>
    <s v="Biochar"/>
    <n v="4"/>
    <n v="120"/>
    <n v="50"/>
    <n v="3"/>
    <n v="25"/>
    <n v="150"/>
    <n v="100"/>
    <n v="1.546"/>
    <n v="43.814999999999998"/>
    <n v="12.37"/>
    <n v="75.099999999999994"/>
    <n v="3.5970000000000002E-2"/>
    <n v="2.2389999999999999E-4"/>
    <n v="6.165655129939733E-2"/>
    <n v="0.39497255240273965"/>
    <n v="2"/>
  </r>
  <r>
    <n v="1092"/>
    <s v="Biochar"/>
    <n v="4"/>
    <n v="120"/>
    <n v="50"/>
    <n v="3"/>
    <n v="25"/>
    <n v="150"/>
    <n v="100"/>
    <n v="1.411"/>
    <n v="44.356999999999999"/>
    <n v="11.29"/>
    <n v="112.7"/>
    <n v="3.3160000000000002E-2"/>
    <n v="2.006E-4"/>
    <n v="4.6351107505712828E-2"/>
    <n v="0.31089717393386246"/>
    <n v="3"/>
  </r>
  <r>
    <n v="1093"/>
    <s v="Biochar"/>
    <n v="4"/>
    <n v="120"/>
    <n v="50"/>
    <n v="7"/>
    <n v="25"/>
    <n v="150"/>
    <n v="100"/>
    <n v="2.3460000000000001"/>
    <n v="40.616999999999997"/>
    <n v="18.77"/>
    <n v="88.6"/>
    <n v="2.8899999999999999E-2"/>
    <n v="1.8909999999999999E-4"/>
    <n v="0.11857778391944568"/>
    <n v="0.80084495992395965"/>
    <n v="1"/>
  </r>
  <r>
    <n v="1094"/>
    <s v="Biochar"/>
    <n v="4"/>
    <n v="120"/>
    <n v="50"/>
    <n v="7"/>
    <n v="25"/>
    <n v="150"/>
    <n v="100"/>
    <n v="2.2400000000000002"/>
    <n v="41.039000000000001"/>
    <n v="17.920000000000002"/>
    <n v="87.5"/>
    <n v="3.848E-2"/>
    <n v="2.129E-4"/>
    <n v="0.12125076426311719"/>
    <n v="0.75082593143240284"/>
    <n v="2"/>
  </r>
  <r>
    <n v="1095"/>
    <s v="Biochar"/>
    <n v="4"/>
    <n v="120"/>
    <n v="50"/>
    <n v="7"/>
    <n v="25"/>
    <n v="150"/>
    <n v="100"/>
    <n v="1.9179999999999999"/>
    <n v="42.326000000000001"/>
    <n v="15.35"/>
    <n v="112"/>
    <n v="3.603E-2"/>
    <n v="1.8450000000000001E-4"/>
    <n v="7.8129229146331039E-2"/>
    <n v="0.60969533592272362"/>
    <n v="3"/>
  </r>
  <r>
    <n v="1096"/>
    <s v="Biochar"/>
    <n v="4"/>
    <n v="120"/>
    <n v="50"/>
    <n v="11"/>
    <n v="25"/>
    <n v="150"/>
    <n v="100"/>
    <n v="1.911"/>
    <n v="42.356000000000002"/>
    <n v="15.29"/>
    <n v="88"/>
    <n v="3.2669999999999998E-2"/>
    <n v="2.04E-4"/>
    <n v="8.5403730261588165E-2"/>
    <n v="0.60190665681640643"/>
    <n v="1"/>
  </r>
  <r>
    <n v="1097"/>
    <s v="Biochar"/>
    <n v="4"/>
    <n v="120"/>
    <n v="50"/>
    <n v="11"/>
    <n v="25"/>
    <n v="150"/>
    <n v="100"/>
    <n v="1.7669999999999999"/>
    <n v="42.930999999999997"/>
    <n v="14.14"/>
    <n v="80.5"/>
    <n v="3.2599999999999997E-2"/>
    <n v="1.7129999999999999E-4"/>
    <n v="6.1932241803828052E-2"/>
    <n v="0.53360485082335252"/>
    <n v="2"/>
  </r>
  <r>
    <n v="1098"/>
    <s v="Biochar"/>
    <n v="4"/>
    <n v="120"/>
    <n v="50"/>
    <n v="11"/>
    <n v="25"/>
    <n v="150"/>
    <n v="100"/>
    <n v="1.909"/>
    <n v="42.363999999999997"/>
    <n v="15.27"/>
    <n v="93.2"/>
    <n v="3.6799999999999999E-2"/>
    <n v="2.164E-4"/>
    <n v="9.0164949882014497E-2"/>
    <n v="0.59819621379578258"/>
    <n v="3"/>
  </r>
  <r>
    <n v="1099"/>
    <s v="Biochar"/>
    <n v="4"/>
    <n v="120"/>
    <n v="100"/>
    <n v="3"/>
    <n v="25"/>
    <n v="150"/>
    <n v="100"/>
    <n v="5.234"/>
    <n v="79.064999999999998"/>
    <n v="20.93"/>
    <n v="78.900000000000006"/>
    <n v="3.7940000000000002E-2"/>
    <n v="1.728E-4"/>
    <n v="0.51244126974156423"/>
    <n v="1.5521389845419482"/>
    <n v="1"/>
  </r>
  <r>
    <n v="1100"/>
    <s v="Biochar"/>
    <n v="4"/>
    <n v="120"/>
    <n v="100"/>
    <n v="3"/>
    <n v="25"/>
    <n v="150"/>
    <n v="100"/>
    <n v="4.6130000000000004"/>
    <n v="81.549000000000007"/>
    <n v="18.45"/>
    <n v="73.3"/>
    <n v="3.8780000000000002E-2"/>
    <n v="2.1890000000000001E-4"/>
    <n v="0.49856385404929615"/>
    <n v="1.4145018006700749"/>
    <n v="2"/>
  </r>
  <r>
    <n v="1101"/>
    <s v="Biochar"/>
    <n v="4"/>
    <n v="120"/>
    <n v="100"/>
    <n v="3"/>
    <n v="25"/>
    <n v="150"/>
    <n v="100"/>
    <n v="5.3159999999999998"/>
    <n v="78.734999999999999"/>
    <n v="21.27"/>
    <n v="99.5"/>
    <n v="3.1919999999999997E-2"/>
    <n v="2.0699999999999999E-4"/>
    <n v="0.6200920191612832"/>
    <n v="1.5466914871120681"/>
    <n v="3"/>
  </r>
  <r>
    <n v="1102"/>
    <s v="Biochar"/>
    <n v="4"/>
    <n v="120"/>
    <n v="100"/>
    <n v="7"/>
    <n v="25"/>
    <n v="150"/>
    <n v="100"/>
    <n v="8.0730000000000004"/>
    <n v="67.706999999999994"/>
    <n v="32.29"/>
    <n v="96.6"/>
    <n v="3.4599999999999999E-2"/>
    <n v="1.9230000000000001E-4"/>
    <n v="1.2677646357464942"/>
    <n v="1.9176922224639485"/>
    <n v="1"/>
  </r>
  <r>
    <n v="1103"/>
    <s v="Biochar"/>
    <n v="4"/>
    <n v="120"/>
    <n v="100"/>
    <n v="7"/>
    <n v="25"/>
    <n v="150"/>
    <n v="100"/>
    <n v="8.6180000000000003"/>
    <n v="65.528999999999996"/>
    <n v="34.47"/>
    <n v="97"/>
    <n v="3.2660000000000002E-2"/>
    <n v="1.9880000000000001E-4"/>
    <n v="1.4696387872727068"/>
    <n v="1.9668831294181872"/>
    <n v="2"/>
  </r>
  <r>
    <n v="1104"/>
    <s v="Biochar"/>
    <n v="4"/>
    <n v="120"/>
    <n v="100"/>
    <n v="7"/>
    <n v="25"/>
    <n v="150"/>
    <n v="100"/>
    <n v="7.31"/>
    <n v="70.759"/>
    <n v="29.24"/>
    <n v="53.6"/>
    <n v="3.5700000000000003E-2"/>
    <n v="2.1220000000000001E-4"/>
    <n v="1.1471620041663819"/>
    <n v="1.8185373850588524"/>
    <n v="3"/>
  </r>
  <r>
    <n v="1105"/>
    <s v="Biochar"/>
    <n v="4"/>
    <n v="120"/>
    <n v="100"/>
    <n v="11"/>
    <n v="25"/>
    <n v="150"/>
    <n v="100"/>
    <n v="6.4189999999999996"/>
    <n v="74.322999999999993"/>
    <n v="25.68"/>
    <n v="60.6"/>
    <n v="3.3770000000000001E-2"/>
    <n v="1.5559999999999999E-4"/>
    <n v="0.68701081905233674"/>
    <n v="1.7460626224811822"/>
    <n v="1"/>
  </r>
  <r>
    <n v="1106"/>
    <s v="Biochar"/>
    <n v="4"/>
    <n v="120"/>
    <n v="100"/>
    <n v="11"/>
    <n v="25"/>
    <n v="150"/>
    <n v="100"/>
    <n v="7.1120000000000001"/>
    <n v="71.552000000000007"/>
    <n v="28.45"/>
    <n v="71.8"/>
    <n v="3.9390000000000001E-2"/>
    <n v="2.1890000000000001E-4"/>
    <n v="1.1195058651620604"/>
    <n v="1.7905077085754753"/>
    <n v="2"/>
  </r>
  <r>
    <n v="1107"/>
    <s v="Biochar"/>
    <n v="4"/>
    <n v="120"/>
    <n v="100"/>
    <n v="11"/>
    <n v="25"/>
    <n v="150"/>
    <n v="100"/>
    <n v="5.6920000000000002"/>
    <n v="77.233000000000004"/>
    <n v="22.77"/>
    <n v="71.099999999999994"/>
    <n v="3.6229999999999998E-2"/>
    <n v="1.8310000000000001E-4"/>
    <n v="0.63273506661071599"/>
    <n v="1.6212212026654846"/>
    <n v="3"/>
  </r>
  <r>
    <n v="1108"/>
    <s v="Biochar"/>
    <n v="4"/>
    <n v="120"/>
    <n v="200"/>
    <n v="3"/>
    <n v="25"/>
    <n v="150"/>
    <n v="100"/>
    <n v="15.603"/>
    <n v="137.58699999999999"/>
    <n v="31.21"/>
    <n v="79.5"/>
    <n v="2.877E-2"/>
    <n v="1.5540000000000001E-4"/>
    <n v="3.5166900736307021"/>
    <n v="2.492073401030181"/>
    <n v="1"/>
  </r>
  <r>
    <n v="1109"/>
    <s v="Biochar"/>
    <n v="4"/>
    <n v="120"/>
    <n v="200"/>
    <n v="3"/>
    <n v="25"/>
    <n v="150"/>
    <n v="100"/>
    <n v="15.795"/>
    <n v="136.82"/>
    <n v="31.59"/>
    <n v="78.5"/>
    <n v="3.3059999999999999E-2"/>
    <n v="2.139E-4"/>
    <n v="4.5564151682942322"/>
    <n v="2.4193529318863773"/>
    <n v="2"/>
  </r>
  <r>
    <n v="1110"/>
    <s v="Biochar"/>
    <n v="4"/>
    <n v="120"/>
    <n v="200"/>
    <n v="3"/>
    <n v="25"/>
    <n v="150"/>
    <n v="100"/>
    <n v="17.257000000000001"/>
    <n v="130.971"/>
    <n v="34.51"/>
    <n v="82.2"/>
    <n v="3.381E-2"/>
    <n v="2.1000000000000001E-4"/>
    <n v="5.2301801289644194"/>
    <n v="2.4871391451676472"/>
    <n v="3"/>
  </r>
  <r>
    <n v="1111"/>
    <s v="Biochar"/>
    <n v="4"/>
    <n v="120"/>
    <n v="200"/>
    <n v="7"/>
    <n v="25"/>
    <n v="150"/>
    <n v="100"/>
    <n v="20.524000000000001"/>
    <n v="117.90600000000001"/>
    <n v="41.05"/>
    <n v="88.6"/>
    <n v="3.6929999999999998E-2"/>
    <n v="2.1359999999999999E-4"/>
    <n v="7.0750859320553001"/>
    <n v="2.5988983643455512"/>
    <n v="1"/>
  </r>
  <r>
    <n v="1112"/>
    <s v="Biochar"/>
    <n v="4"/>
    <n v="120"/>
    <n v="200"/>
    <n v="7"/>
    <n v="25"/>
    <n v="150"/>
    <n v="100"/>
    <n v="19.146999999999998"/>
    <n v="123.413"/>
    <n v="38.29"/>
    <n v="75.900000000000006"/>
    <n v="3.193E-2"/>
    <n v="2.02E-4"/>
    <n v="6.0695493088259616"/>
    <n v="2.5708894257469401"/>
    <n v="2"/>
  </r>
  <r>
    <n v="1113"/>
    <s v="Biochar"/>
    <n v="4"/>
    <n v="120"/>
    <n v="200"/>
    <n v="7"/>
    <n v="25"/>
    <n v="150"/>
    <n v="100"/>
    <n v="24.887"/>
    <n v="100.45099999999999"/>
    <n v="49.77"/>
    <n v="105"/>
    <n v="3.3270000000000001E-2"/>
    <n v="1.9000000000000001E-4"/>
    <n v="9.00935211974606"/>
    <n v="2.7649123264764621"/>
    <n v="3"/>
  </r>
  <r>
    <n v="1114"/>
    <s v="Biochar"/>
    <n v="4"/>
    <n v="120"/>
    <n v="200"/>
    <n v="11"/>
    <n v="25"/>
    <n v="150"/>
    <n v="100"/>
    <n v="20.817"/>
    <n v="116.73099999999999"/>
    <n v="41.63"/>
    <n v="89.5"/>
    <n v="3.9440000000000003E-2"/>
    <n v="2.0579999999999999E-4"/>
    <n v="7.068207776281481"/>
    <n v="2.6209509819795564"/>
    <n v="1"/>
  </r>
  <r>
    <n v="1115"/>
    <s v="Biochar"/>
    <n v="4"/>
    <n v="120"/>
    <n v="200"/>
    <n v="11"/>
    <n v="25"/>
    <n v="150"/>
    <n v="100"/>
    <n v="16.510000000000002"/>
    <n v="133.959"/>
    <n v="33.020000000000003"/>
    <n v="68.599999999999994"/>
    <n v="2.9569999999999999E-2"/>
    <n v="2.1320000000000001E-4"/>
    <n v="4.9027905548164581"/>
    <n v="2.4516264089538908"/>
    <n v="2"/>
  </r>
  <r>
    <n v="1116"/>
    <s v="Biochar"/>
    <n v="4"/>
    <n v="120"/>
    <n v="200"/>
    <n v="11"/>
    <n v="25"/>
    <n v="150"/>
    <n v="100"/>
    <n v="20.89"/>
    <n v="116.44"/>
    <n v="41.78"/>
    <n v="109.5"/>
    <n v="3.7949999999999998E-2"/>
    <n v="2.2330000000000001E-4"/>
    <n v="7.4969863549745881"/>
    <n v="2.5947332012221627"/>
    <n v="3"/>
  </r>
  <r>
    <n v="1117"/>
    <s v="Biochar"/>
    <n v="4"/>
    <n v="240"/>
    <n v="25"/>
    <n v="3"/>
    <n v="25"/>
    <n v="150"/>
    <n v="100"/>
    <n v="0.70699999999999996"/>
    <n v="22.170999999999999"/>
    <n v="11.32"/>
    <n v="70.8"/>
    <n v="3.798E-2"/>
    <n v="2.084E-4"/>
    <n v="2.4146592396529488E-2"/>
    <n v="-0.38147507260366814"/>
    <n v="1"/>
  </r>
  <r>
    <n v="1118"/>
    <s v="Biochar"/>
    <n v="4"/>
    <n v="240"/>
    <n v="25"/>
    <n v="3"/>
    <n v="25"/>
    <n v="150"/>
    <n v="100"/>
    <n v="0.75900000000000001"/>
    <n v="21.963999999999999"/>
    <n v="12.14"/>
    <n v="90.7"/>
    <n v="3.6130000000000002E-2"/>
    <n v="2.2570000000000001E-4"/>
    <n v="2.9972865829062455E-2"/>
    <n v="-0.31604432658120396"/>
    <n v="2"/>
  </r>
  <r>
    <n v="1119"/>
    <s v="Biochar"/>
    <n v="4"/>
    <n v="240"/>
    <n v="25"/>
    <n v="3"/>
    <n v="25"/>
    <n v="150"/>
    <n v="100"/>
    <n v="0.84799999999999998"/>
    <n v="21.608000000000001"/>
    <n v="13.57"/>
    <n v="92.7"/>
    <n v="3.7960000000000001E-2"/>
    <n v="2.1029999999999999E-4"/>
    <n v="3.4804956058622216E-2"/>
    <n v="-0.20678429176031721"/>
    <n v="3"/>
  </r>
  <r>
    <n v="1120"/>
    <s v="Biochar"/>
    <n v="4"/>
    <n v="240"/>
    <n v="25"/>
    <n v="7"/>
    <n v="25"/>
    <n v="150"/>
    <n v="100"/>
    <n v="1.2010000000000001"/>
    <n v="20.198"/>
    <n v="19.21"/>
    <n v="95.4"/>
    <n v="3.0120000000000001E-2"/>
    <n v="2.2110000000000001E-4"/>
    <n v="7.1953951143370373E-2"/>
    <n v="0.12137307163125481"/>
    <n v="1"/>
  </r>
  <r>
    <n v="1121"/>
    <s v="Biochar"/>
    <n v="4"/>
    <n v="240"/>
    <n v="25"/>
    <n v="7"/>
    <n v="25"/>
    <n v="150"/>
    <n v="100"/>
    <n v="1.1080000000000001"/>
    <n v="20.567"/>
    <n v="17.73"/>
    <n v="89.4"/>
    <n v="3.2039999999999999E-2"/>
    <n v="2.1110000000000001E-4"/>
    <n v="5.8892401979491069E-2"/>
    <n v="4.7939896146871989E-2"/>
    <n v="2"/>
  </r>
  <r>
    <n v="1122"/>
    <s v="Biochar"/>
    <n v="4"/>
    <n v="240"/>
    <n v="25"/>
    <n v="7"/>
    <n v="25"/>
    <n v="150"/>
    <n v="100"/>
    <n v="1.254"/>
    <n v="19.983000000000001"/>
    <n v="20.07"/>
    <n v="65.2"/>
    <n v="3.6470000000000002E-2"/>
    <n v="1.884E-4"/>
    <n v="6.7287617412225373E-2"/>
    <n v="0.17118678010639304"/>
    <n v="3"/>
  </r>
  <r>
    <n v="1123"/>
    <s v="Biochar"/>
    <n v="4"/>
    <n v="240"/>
    <n v="25"/>
    <n v="11"/>
    <n v="25"/>
    <n v="150"/>
    <n v="100"/>
    <n v="1.0249999999999999"/>
    <n v="20.902000000000001"/>
    <n v="16.39"/>
    <n v="85.7"/>
    <n v="3.6380000000000003E-2"/>
    <n v="1.808E-4"/>
    <n v="4.3647422326661543E-2"/>
    <n v="-1.8823477592940913E-2"/>
    <n v="1"/>
  </r>
  <r>
    <n v="1124"/>
    <s v="Biochar"/>
    <n v="4"/>
    <n v="240"/>
    <n v="25"/>
    <n v="11"/>
    <n v="25"/>
    <n v="150"/>
    <n v="100"/>
    <n v="0.88600000000000001"/>
    <n v="21.456"/>
    <n v="14.18"/>
    <n v="79.8"/>
    <n v="3.7999999999999999E-2"/>
    <n v="2.3350000000000001E-4"/>
    <n v="4.1910270556100027E-2"/>
    <n v="-0.16949647553017605"/>
    <n v="2"/>
  </r>
  <r>
    <n v="1125"/>
    <s v="Biochar"/>
    <n v="4"/>
    <n v="240"/>
    <n v="25"/>
    <n v="11"/>
    <n v="25"/>
    <n v="150"/>
    <n v="100"/>
    <n v="0.86599999999999999"/>
    <n v="21.536999999999999"/>
    <n v="13.85"/>
    <n v="99.6"/>
    <n v="2.741E-2"/>
    <n v="1.761E-4"/>
    <n v="3.0577002994356672E-2"/>
    <n v="-0.17981709916096211"/>
    <n v="3"/>
  </r>
  <r>
    <n v="1126"/>
    <s v="Biochar"/>
    <n v="4"/>
    <n v="240"/>
    <n v="50"/>
    <n v="3"/>
    <n v="25"/>
    <n v="150"/>
    <n v="100"/>
    <n v="2.2959999999999998"/>
    <n v="40.814999999999998"/>
    <n v="18.37"/>
    <n v="68.3"/>
    <n v="2.946E-2"/>
    <n v="2.0829999999999999E-4"/>
    <n v="0.23640381174848776"/>
    <n v="0.72250993846542944"/>
    <n v="1"/>
  </r>
  <r>
    <n v="1127"/>
    <s v="Biochar"/>
    <n v="4"/>
    <n v="240"/>
    <n v="50"/>
    <n v="3"/>
    <n v="25"/>
    <n v="150"/>
    <n v="100"/>
    <n v="2.4849999999999999"/>
    <n v="40.058999999999997"/>
    <n v="19.88"/>
    <n v="90.6"/>
    <n v="3.7420000000000002E-2"/>
    <n v="2.053E-4"/>
    <n v="0.27107501230443376"/>
    <n v="0.79476695281616305"/>
    <n v="2"/>
  </r>
  <r>
    <n v="1128"/>
    <s v="Biochar"/>
    <n v="4"/>
    <n v="240"/>
    <n v="50"/>
    <n v="3"/>
    <n v="25"/>
    <n v="150"/>
    <n v="100"/>
    <n v="2.7069999999999999"/>
    <n v="39.173000000000002"/>
    <n v="21.65"/>
    <n v="84.8"/>
    <n v="3.0849999999999999E-2"/>
    <n v="2.2120000000000001E-4"/>
    <n v="0.34013964587306433"/>
    <n v="0.86156433180241332"/>
    <n v="3"/>
  </r>
  <r>
    <n v="1129"/>
    <s v="Biochar"/>
    <n v="4"/>
    <n v="240"/>
    <n v="50"/>
    <n v="7"/>
    <n v="25"/>
    <n v="150"/>
    <n v="100"/>
    <n v="3.8540000000000001"/>
    <n v="34.582999999999998"/>
    <n v="30.83"/>
    <n v="73.7"/>
    <n v="3.4380000000000001E-2"/>
    <n v="1.817E-4"/>
    <n v="0.55452673907513417"/>
    <n v="1.1937628378305858"/>
    <n v="1"/>
  </r>
  <r>
    <n v="1130"/>
    <s v="Biochar"/>
    <n v="4"/>
    <n v="240"/>
    <n v="50"/>
    <n v="7"/>
    <n v="25"/>
    <n v="150"/>
    <n v="100"/>
    <n v="3.9249999999999998"/>
    <n v="34.302"/>
    <n v="31.4"/>
    <n v="90.1"/>
    <n v="3.6220000000000002E-2"/>
    <n v="1.8200000000000001E-4"/>
    <n v="0.57443437330337599"/>
    <n v="1.2091291753745037"/>
    <n v="2"/>
  </r>
  <r>
    <n v="1131"/>
    <s v="Biochar"/>
    <n v="4"/>
    <n v="240"/>
    <n v="50"/>
    <n v="7"/>
    <n v="25"/>
    <n v="150"/>
    <n v="100"/>
    <n v="3.8959999999999999"/>
    <n v="34.417000000000002"/>
    <n v="31.17"/>
    <n v="99.5"/>
    <n v="3.6740000000000002E-2"/>
    <n v="2.4149999999999999E-4"/>
    <n v="0.71769901137218273"/>
    <n v="1.1563467737077868"/>
    <n v="3"/>
  </r>
  <r>
    <n v="1132"/>
    <s v="Biochar"/>
    <n v="4"/>
    <n v="240"/>
    <n v="50"/>
    <n v="11"/>
    <n v="25"/>
    <n v="150"/>
    <n v="100"/>
    <n v="3.5030000000000001"/>
    <n v="35.985999999999997"/>
    <n v="28.03"/>
    <n v="100.4"/>
    <n v="3.014E-2"/>
    <n v="2.153E-4"/>
    <n v="0.53688722290198487"/>
    <n v="1.0872522662895741"/>
    <n v="1"/>
  </r>
  <r>
    <n v="1133"/>
    <s v="Biochar"/>
    <n v="4"/>
    <n v="240"/>
    <n v="50"/>
    <n v="11"/>
    <n v="25"/>
    <n v="150"/>
    <n v="100"/>
    <n v="3.117"/>
    <n v="37.531999999999996"/>
    <n v="24.94"/>
    <n v="78.599999999999994"/>
    <n v="3.5589999999999997E-2"/>
    <n v="2.1890000000000001E-4"/>
    <n v="0.43860053329176119"/>
    <n v="0.98521940220466553"/>
    <n v="2"/>
  </r>
  <r>
    <n v="1134"/>
    <s v="Biochar"/>
    <n v="4"/>
    <n v="240"/>
    <n v="50"/>
    <n v="11"/>
    <n v="25"/>
    <n v="150"/>
    <n v="100"/>
    <n v="3.2909999999999999"/>
    <n v="36.838000000000001"/>
    <n v="26.32"/>
    <n v="74.400000000000006"/>
    <n v="3.7600000000000001E-2"/>
    <n v="1.872E-4"/>
    <n v="0.42392074247842881"/>
    <n v="1.0532938312772577"/>
    <n v="3"/>
  </r>
  <r>
    <n v="1135"/>
    <s v="Biochar"/>
    <n v="4"/>
    <n v="240"/>
    <n v="100"/>
    <n v="3"/>
    <n v="25"/>
    <n v="150"/>
    <n v="100"/>
    <n v="7.9260000000000002"/>
    <n v="68.298000000000002"/>
    <n v="31.7"/>
    <n v="81.8"/>
    <n v="3.4229999999999997E-2"/>
    <n v="2.153E-4"/>
    <n v="2.3029378706659274"/>
    <n v="1.726876378392554"/>
    <n v="1"/>
  </r>
  <r>
    <n v="1136"/>
    <s v="Biochar"/>
    <n v="4"/>
    <n v="240"/>
    <n v="100"/>
    <n v="3"/>
    <n v="25"/>
    <n v="150"/>
    <n v="100"/>
    <n v="6.9509999999999996"/>
    <n v="72.197999999999993"/>
    <n v="27.8"/>
    <n v="110.7"/>
    <n v="2.8629999999999999E-2"/>
    <n v="1.8799999999999999E-4"/>
    <n v="1.6595521368466617"/>
    <n v="1.6660919065603326"/>
    <n v="2"/>
  </r>
  <r>
    <n v="1137"/>
    <s v="Biochar"/>
    <n v="4"/>
    <n v="240"/>
    <n v="100"/>
    <n v="3"/>
    <n v="25"/>
    <n v="150"/>
    <n v="100"/>
    <n v="8.0449999999999999"/>
    <n v="67.820999999999998"/>
    <n v="32.18"/>
    <n v="93.2"/>
    <n v="3.465E-2"/>
    <n v="1.9890000000000001E-4"/>
    <n v="2.2322904299636344"/>
    <n v="1.7600468253235266"/>
    <n v="3"/>
  </r>
  <r>
    <n v="1138"/>
    <s v="Biochar"/>
    <n v="4"/>
    <n v="240"/>
    <n v="100"/>
    <n v="7"/>
    <n v="25"/>
    <n v="150"/>
    <n v="100"/>
    <n v="12.414"/>
    <n v="50.344999999999999"/>
    <n v="49.65"/>
    <n v="82.7"/>
    <n v="3.9879999999999999E-2"/>
    <n v="2.1680000000000001E-4"/>
    <n v="4.8717376675614368"/>
    <n v="2.0205221811056338"/>
    <n v="1"/>
  </r>
  <r>
    <n v="1139"/>
    <s v="Biochar"/>
    <n v="4"/>
    <n v="240"/>
    <n v="100"/>
    <n v="7"/>
    <n v="25"/>
    <n v="150"/>
    <n v="100"/>
    <n v="12.965"/>
    <n v="48.14"/>
    <n v="51.86"/>
    <n v="73.3"/>
    <n v="3.4720000000000001E-2"/>
    <n v="1.94E-4"/>
    <n v="4.8803201969706116"/>
    <n v="2.0899708884141917"/>
    <n v="2"/>
  </r>
  <r>
    <n v="1140"/>
    <s v="Biochar"/>
    <n v="4"/>
    <n v="240"/>
    <n v="100"/>
    <n v="7"/>
    <n v="25"/>
    <n v="150"/>
    <n v="100"/>
    <n v="10.725"/>
    <n v="57.1"/>
    <n v="42.9"/>
    <n v="90.3"/>
    <n v="3.3119999999999997E-2"/>
    <n v="2.131E-4"/>
    <n v="3.7990292953385021"/>
    <n v="1.9352782162082898"/>
    <n v="3"/>
  </r>
  <r>
    <n v="1141"/>
    <s v="Biochar"/>
    <n v="4"/>
    <n v="240"/>
    <n v="100"/>
    <n v="11"/>
    <n v="25"/>
    <n v="150"/>
    <n v="100"/>
    <n v="8.3729999999999993"/>
    <n v="66.507000000000005"/>
    <n v="33.49"/>
    <n v="107.8"/>
    <n v="3.1859999999999999E-2"/>
    <n v="2.0440000000000001E-4"/>
    <n v="2.4378418179192307"/>
    <n v="1.780893680121082"/>
    <n v="1"/>
  </r>
  <r>
    <n v="1142"/>
    <s v="Biochar"/>
    <n v="4"/>
    <n v="240"/>
    <n v="100"/>
    <n v="11"/>
    <n v="25"/>
    <n v="150"/>
    <n v="100"/>
    <n v="10.119"/>
    <n v="59.523000000000003"/>
    <n v="40.479999999999997"/>
    <n v="78.400000000000006"/>
    <n v="3.798E-2"/>
    <n v="1.7540000000000001E-4"/>
    <n v="3.0227749129184689"/>
    <n v="1.9595629647806287"/>
    <n v="2"/>
  </r>
  <r>
    <n v="1143"/>
    <s v="Biochar"/>
    <n v="4"/>
    <n v="240"/>
    <n v="100"/>
    <n v="11"/>
    <n v="25"/>
    <n v="150"/>
    <n v="100"/>
    <n v="10.738"/>
    <n v="57.045999999999999"/>
    <n v="42.95"/>
    <n v="85.9"/>
    <n v="3.2910000000000002E-2"/>
    <n v="1.94E-4"/>
    <n v="3.5791485395142995"/>
    <n v="1.9683495575587164"/>
    <n v="3"/>
  </r>
  <r>
    <n v="1144"/>
    <s v="Biochar"/>
    <n v="4"/>
    <n v="240"/>
    <n v="200"/>
    <n v="3"/>
    <n v="25"/>
    <n v="150"/>
    <n v="100"/>
    <n v="22.728999999999999"/>
    <n v="109.083"/>
    <n v="45.46"/>
    <n v="78.2"/>
    <n v="3.2379999999999999E-2"/>
    <n v="1.9560000000000001E-4"/>
    <n v="11.732818081039587"/>
    <n v="2.3975481142694948"/>
    <n v="1"/>
  </r>
  <r>
    <n v="1145"/>
    <s v="Biochar"/>
    <n v="4"/>
    <n v="240"/>
    <n v="200"/>
    <n v="3"/>
    <n v="25"/>
    <n v="150"/>
    <n v="100"/>
    <n v="18.553000000000001"/>
    <n v="125.78700000000001"/>
    <n v="37.11"/>
    <n v="109.1"/>
    <n v="3.3020000000000001E-2"/>
    <n v="2.1660000000000001E-4"/>
    <n v="9.1086702560542729"/>
    <n v="2.2454145343216614"/>
    <n v="2"/>
  </r>
  <r>
    <n v="1146"/>
    <s v="Biochar"/>
    <n v="4"/>
    <n v="240"/>
    <n v="200"/>
    <n v="3"/>
    <n v="25"/>
    <n v="150"/>
    <n v="100"/>
    <n v="21.469000000000001"/>
    <n v="114.125"/>
    <n v="42.94"/>
    <n v="73.099999999999994"/>
    <n v="3.4979999999999997E-2"/>
    <n v="2.1570000000000001E-4"/>
    <n v="11.30089974849721"/>
    <n v="2.3192553933490507"/>
    <n v="3"/>
  </r>
  <r>
    <n v="1147"/>
    <s v="Biochar"/>
    <n v="4"/>
    <n v="240"/>
    <n v="200"/>
    <n v="7"/>
    <n v="25"/>
    <n v="150"/>
    <n v="100"/>
    <n v="30.242999999999999"/>
    <n v="79.028000000000006"/>
    <n v="60.49"/>
    <n v="101.1"/>
    <n v="3.8580000000000003E-2"/>
    <n v="2.184E-4"/>
    <n v="18.544562704199485"/>
    <n v="2.459455268421689"/>
    <n v="1"/>
  </r>
  <r>
    <n v="1148"/>
    <s v="Biochar"/>
    <n v="4"/>
    <n v="240"/>
    <n v="200"/>
    <n v="7"/>
    <n v="25"/>
    <n v="150"/>
    <n v="100"/>
    <n v="29.407"/>
    <n v="82.373999999999995"/>
    <n v="58.81"/>
    <n v="71.8"/>
    <n v="3.2849999999999997E-2"/>
    <n v="2.039E-4"/>
    <n v="17.350310733630245"/>
    <n v="2.4896196317511285"/>
    <n v="2"/>
  </r>
  <r>
    <n v="1149"/>
    <s v="Biochar"/>
    <n v="4"/>
    <n v="240"/>
    <n v="200"/>
    <n v="7"/>
    <n v="25"/>
    <n v="150"/>
    <n v="100"/>
    <n v="32.506"/>
    <n v="69.977999999999994"/>
    <n v="65.010000000000005"/>
    <n v="57.8"/>
    <n v="3.4970000000000001E-2"/>
    <n v="2.0320000000000001E-4"/>
    <n v="19.932373771208663"/>
    <n v="2.5316014637986233"/>
    <n v="3"/>
  </r>
  <r>
    <n v="1150"/>
    <s v="Biochar"/>
    <n v="4"/>
    <n v="240"/>
    <n v="200"/>
    <n v="11"/>
    <n v="25"/>
    <n v="150"/>
    <n v="100"/>
    <n v="24.2"/>
    <n v="103.20099999999999"/>
    <n v="48.4"/>
    <n v="102.3"/>
    <n v="3.6479999999999999E-2"/>
    <n v="2.262E-4"/>
    <n v="13.740877363070204"/>
    <n v="2.3474745771962455"/>
    <n v="1"/>
  </r>
  <r>
    <n v="1151"/>
    <s v="Biochar"/>
    <n v="4"/>
    <n v="240"/>
    <n v="200"/>
    <n v="11"/>
    <n v="25"/>
    <n v="150"/>
    <n v="100"/>
    <n v="24.353000000000002"/>
    <n v="102.58799999999999"/>
    <n v="48.71"/>
    <n v="97.8"/>
    <n v="4.0719999999999999E-2"/>
    <n v="2.262E-4"/>
    <n v="13.865400315995906"/>
    <n v="2.3501935767783397"/>
    <n v="2"/>
  </r>
  <r>
    <n v="1152"/>
    <s v="Biochar"/>
    <n v="4"/>
    <n v="240"/>
    <n v="200"/>
    <n v="11"/>
    <n v="25"/>
    <n v="150"/>
    <n v="100"/>
    <n v="22.172000000000001"/>
    <n v="111.31100000000001"/>
    <n v="44.34"/>
    <n v="82.5"/>
    <n v="3.3790000000000001E-2"/>
    <n v="2.098E-4"/>
    <n v="11.69574201668696"/>
    <n v="2.3491115524698762"/>
    <n v="3"/>
  </r>
  <r>
    <n v="1153"/>
    <s v="Zeolite"/>
    <n v="0.5"/>
    <n v="30"/>
    <n v="25"/>
    <n v="3"/>
    <n v="25"/>
    <n v="150"/>
    <n v="100"/>
    <n v="5.4029999999999996"/>
    <n v="22.298999999999999"/>
    <n v="10.81"/>
    <n v="87.4"/>
    <n v="3.0200000000000001E-2"/>
    <n v="1.995E-4"/>
    <n v="0.16924374063989597"/>
    <n v="1.6551292343113517"/>
    <n v="1"/>
  </r>
  <r>
    <n v="1154"/>
    <s v="Zeolite"/>
    <n v="0.5"/>
    <n v="30"/>
    <n v="25"/>
    <n v="3"/>
    <n v="25"/>
    <n v="150"/>
    <n v="100"/>
    <n v="5.7489999999999997"/>
    <n v="22.126000000000001"/>
    <n v="11.5"/>
    <n v="92.3"/>
    <n v="3.0169999999999999E-2"/>
    <n v="2.4230000000000001E-4"/>
    <n v="0.23061062781934544"/>
    <n v="1.7080860373107649"/>
    <n v="2"/>
  </r>
  <r>
    <n v="1155"/>
    <s v="Zeolite"/>
    <n v="0.5"/>
    <n v="30"/>
    <n v="25"/>
    <n v="3"/>
    <n v="25"/>
    <n v="150"/>
    <n v="100"/>
    <n v="5.6130000000000004"/>
    <n v="22.193000000000001"/>
    <n v="11.23"/>
    <n v="57.4"/>
    <n v="2.9950000000000001E-2"/>
    <n v="2.474E-4"/>
    <n v="0.22448388918259435"/>
    <n v="1.6842700429022619"/>
    <n v="3"/>
  </r>
  <r>
    <n v="1156"/>
    <s v="Zeolite"/>
    <n v="0.5"/>
    <n v="30"/>
    <n v="25"/>
    <n v="7"/>
    <n v="25"/>
    <n v="150"/>
    <n v="100"/>
    <n v="8.1929999999999996"/>
    <n v="20.904"/>
    <n v="16.39"/>
    <n v="125.9"/>
    <n v="2.734E-2"/>
    <n v="2.6929999999999999E-4"/>
    <n v="0.50863753402301193"/>
    <n v="2.0391874153160212"/>
    <n v="1"/>
  </r>
  <r>
    <n v="1157"/>
    <s v="Zeolite"/>
    <n v="0.5"/>
    <n v="30"/>
    <n v="25"/>
    <n v="7"/>
    <n v="25"/>
    <n v="150"/>
    <n v="100"/>
    <n v="8.8149999999999995"/>
    <n v="20.591999999999999"/>
    <n v="17.63"/>
    <n v="118.9"/>
    <n v="2.8000000000000001E-2"/>
    <n v="2.3169999999999999E-4"/>
    <n v="0.50893788393187944"/>
    <n v="2.1169856236381133"/>
    <n v="2"/>
  </r>
  <r>
    <n v="1158"/>
    <s v="Zeolite"/>
    <n v="0.5"/>
    <n v="30"/>
    <n v="25"/>
    <n v="7"/>
    <n v="25"/>
    <n v="150"/>
    <n v="100"/>
    <n v="9.3840000000000003"/>
    <n v="20.308"/>
    <n v="18.77"/>
    <n v="106.4"/>
    <n v="2.537E-2"/>
    <n v="2.365E-4"/>
    <n v="0.58578085556268167"/>
    <n v="2.1745493310542945"/>
    <n v="3"/>
  </r>
  <r>
    <n v="1159"/>
    <s v="Zeolite"/>
    <n v="0.5"/>
    <n v="30"/>
    <n v="25"/>
    <n v="11"/>
    <n v="25"/>
    <n v="150"/>
    <n v="100"/>
    <n v="6.6070000000000002"/>
    <n v="21.696999999999999"/>
    <n v="13.21"/>
    <n v="112.6"/>
    <n v="2.7959999999999999E-2"/>
    <n v="1.771E-4"/>
    <n v="0.22406027569579307"/>
    <n v="1.8536287630684696"/>
    <n v="1"/>
  </r>
  <r>
    <n v="1160"/>
    <s v="Zeolite"/>
    <n v="0.5"/>
    <n v="30"/>
    <n v="25"/>
    <n v="11"/>
    <n v="25"/>
    <n v="150"/>
    <n v="100"/>
    <n v="6.6849999999999996"/>
    <n v="21.657"/>
    <n v="13.37"/>
    <n v="81.7"/>
    <n v="2.3949999999999999E-2"/>
    <n v="1.7919999999999999E-4"/>
    <n v="0.23191459694289202"/>
    <n v="1.8645583734945324"/>
    <n v="2"/>
  </r>
  <r>
    <n v="1161"/>
    <s v="Zeolite"/>
    <n v="0.5"/>
    <n v="30"/>
    <n v="25"/>
    <n v="11"/>
    <n v="25"/>
    <n v="150"/>
    <n v="100"/>
    <n v="6.8520000000000003"/>
    <n v="21.574000000000002"/>
    <n v="13.7"/>
    <n v="101.9"/>
    <n v="2.9319999999999999E-2"/>
    <n v="2.8469999999999998E-4"/>
    <n v="0.37882894922865967"/>
    <n v="1.8676661044840204"/>
    <n v="3"/>
  </r>
  <r>
    <n v="1162"/>
    <s v="Zeolite"/>
    <n v="0.5"/>
    <n v="30"/>
    <n v="50"/>
    <n v="3"/>
    <n v="25"/>
    <n v="150"/>
    <n v="100"/>
    <n v="14.795"/>
    <n v="42.601999999999997"/>
    <n v="14.8"/>
    <n v="124.2"/>
    <n v="2.5819999999999999E-2"/>
    <n v="2.4909999999999998E-4"/>
    <n v="1.4729286418442695"/>
    <n v="2.5894221603912744"/>
    <n v="1"/>
  </r>
  <r>
    <n v="1163"/>
    <s v="Zeolite"/>
    <n v="0.5"/>
    <n v="30"/>
    <n v="50"/>
    <n v="3"/>
    <n v="25"/>
    <n v="150"/>
    <n v="100"/>
    <n v="11.957000000000001"/>
    <n v="44.021999999999998"/>
    <n v="11.96"/>
    <n v="96.6"/>
    <n v="2.9250000000000002E-2"/>
    <n v="2.6570000000000001E-4"/>
    <n v="1.0404483204175854"/>
    <n v="2.3902801401896538"/>
    <n v="2"/>
  </r>
  <r>
    <n v="1164"/>
    <s v="Zeolite"/>
    <n v="0.5"/>
    <n v="30"/>
    <n v="50"/>
    <n v="3"/>
    <n v="25"/>
    <n v="150"/>
    <n v="100"/>
    <n v="14.05"/>
    <n v="42.975000000000001"/>
    <n v="14.05"/>
    <n v="109.4"/>
    <n v="3.211E-2"/>
    <n v="3.0390000000000001E-4"/>
    <n v="1.5953624713936703"/>
    <n v="2.5220930458102351"/>
    <n v="3"/>
  </r>
  <r>
    <n v="1165"/>
    <s v="Zeolite"/>
    <n v="0.5"/>
    <n v="30"/>
    <n v="50"/>
    <n v="7"/>
    <n v="25"/>
    <n v="150"/>
    <n v="100"/>
    <n v="22.135999999999999"/>
    <n v="38.932000000000002"/>
    <n v="22.14"/>
    <n v="85.9"/>
    <n v="3.074E-2"/>
    <n v="2.299E-4"/>
    <n v="2.9319244662552713"/>
    <n v="2.9551225238907404"/>
    <n v="1"/>
  </r>
  <r>
    <n v="1166"/>
    <s v="Zeolite"/>
    <n v="0.5"/>
    <n v="30"/>
    <n v="50"/>
    <n v="7"/>
    <n v="25"/>
    <n v="150"/>
    <n v="100"/>
    <n v="25.821000000000002"/>
    <n v="37.090000000000003"/>
    <n v="25.82"/>
    <n v="95.8"/>
    <n v="2.8299999999999999E-2"/>
    <n v="2.3819999999999999E-4"/>
    <n v="4.0222390526822602"/>
    <n v="3.0818531309007415"/>
    <n v="2"/>
  </r>
  <r>
    <n v="1167"/>
    <s v="Zeolite"/>
    <n v="0.5"/>
    <n v="30"/>
    <n v="50"/>
    <n v="7"/>
    <n v="25"/>
    <n v="150"/>
    <n v="100"/>
    <n v="24.254999999999999"/>
    <n v="37.872"/>
    <n v="24.26"/>
    <n v="97.6"/>
    <n v="2.8070000000000001E-2"/>
    <n v="2.9159999999999999E-4"/>
    <n v="4.2456406850835036"/>
    <n v="2.9962001298379946"/>
    <n v="3"/>
  </r>
  <r>
    <n v="1168"/>
    <s v="Zeolite"/>
    <n v="0.5"/>
    <n v="30"/>
    <n v="50"/>
    <n v="11"/>
    <n v="25"/>
    <n v="150"/>
    <n v="100"/>
    <n v="16"/>
    <n v="42"/>
    <n v="16"/>
    <n v="100.5"/>
    <n v="3.1960000000000002E-2"/>
    <n v="2.0919999999999999E-4"/>
    <n v="1.4600442014656274"/>
    <n v="2.6769004321099938"/>
    <n v="1"/>
  </r>
  <r>
    <n v="1169"/>
    <s v="Zeolite"/>
    <n v="0.5"/>
    <n v="30"/>
    <n v="50"/>
    <n v="11"/>
    <n v="25"/>
    <n v="150"/>
    <n v="100"/>
    <n v="18.085000000000001"/>
    <n v="40.957999999999998"/>
    <n v="18.079999999999998"/>
    <n v="84.2"/>
    <n v="3.2469999999999999E-2"/>
    <n v="2.2589999999999999E-4"/>
    <n v="1.9745319144698146"/>
    <n v="2.7794692523552436"/>
    <n v="2"/>
  </r>
  <r>
    <n v="1170"/>
    <s v="Zeolite"/>
    <n v="0.5"/>
    <n v="30"/>
    <n v="50"/>
    <n v="11"/>
    <n v="25"/>
    <n v="150"/>
    <n v="100"/>
    <n v="18.416"/>
    <n v="40.792000000000002"/>
    <n v="18.420000000000002"/>
    <n v="116.6"/>
    <n v="3.2579999999999998E-2"/>
    <n v="2.563E-4"/>
    <n v="2.2842638982159489"/>
    <n v="2.7807885181979253"/>
    <n v="3"/>
  </r>
  <r>
    <n v="1171"/>
    <s v="Zeolite"/>
    <n v="0.5"/>
    <n v="30"/>
    <n v="100"/>
    <n v="3"/>
    <n v="25"/>
    <n v="150"/>
    <n v="100"/>
    <n v="24.989000000000001"/>
    <n v="87.504999999999995"/>
    <n v="12.49"/>
    <n v="91.4"/>
    <n v="3.4410000000000003E-2"/>
    <n v="2.3250000000000001E-4"/>
    <n v="3.7090573040099213"/>
    <n v="3.0577649716122091"/>
    <n v="1"/>
  </r>
  <r>
    <n v="1172"/>
    <s v="Zeolite"/>
    <n v="0.5"/>
    <n v="30"/>
    <n v="100"/>
    <n v="3"/>
    <n v="25"/>
    <n v="150"/>
    <n v="100"/>
    <n v="23.138999999999999"/>
    <n v="88.430999999999997"/>
    <n v="11.57"/>
    <n v="110"/>
    <n v="2.7609999999999999E-2"/>
    <n v="2.262E-4"/>
    <n v="3.1402316800534762"/>
    <n v="2.9956706876549446"/>
    <n v="2"/>
  </r>
  <r>
    <n v="1173"/>
    <s v="Zeolite"/>
    <n v="0.5"/>
    <n v="30"/>
    <n v="100"/>
    <n v="3"/>
    <n v="25"/>
    <n v="150"/>
    <n v="100"/>
    <n v="22.204999999999998"/>
    <n v="88.897999999999996"/>
    <n v="11.1"/>
    <n v="92.8"/>
    <n v="2.9749999999999999E-2"/>
    <n v="2.5609999999999999E-4"/>
    <n v="3.2361116123541032"/>
    <n v="2.9428001837927451"/>
    <n v="3"/>
  </r>
  <r>
    <n v="1174"/>
    <s v="Zeolite"/>
    <n v="0.5"/>
    <n v="30"/>
    <n v="100"/>
    <n v="7"/>
    <n v="25"/>
    <n v="150"/>
    <n v="100"/>
    <n v="44.08"/>
    <n v="77.959999999999994"/>
    <n v="22.04"/>
    <n v="107.9"/>
    <n v="2.9430000000000001E-2"/>
    <n v="2.4499999999999999E-4"/>
    <n v="10.786646888038259"/>
    <n v="3.5053577708150243"/>
    <n v="1"/>
  </r>
  <r>
    <n v="1175"/>
    <s v="Zeolite"/>
    <n v="0.5"/>
    <n v="30"/>
    <n v="100"/>
    <n v="7"/>
    <n v="25"/>
    <n v="150"/>
    <n v="100"/>
    <n v="42.468000000000004"/>
    <n v="78.766000000000005"/>
    <n v="21.23"/>
    <n v="119.1"/>
    <n v="3.0380000000000001E-2"/>
    <n v="2.3829999999999999E-4"/>
    <n v="9.8906155099715551"/>
    <n v="3.4836183203327931"/>
    <n v="2"/>
  </r>
  <r>
    <n v="1176"/>
    <s v="Zeolite"/>
    <n v="0.5"/>
    <n v="30"/>
    <n v="100"/>
    <n v="7"/>
    <n v="25"/>
    <n v="150"/>
    <n v="100"/>
    <n v="36.975000000000001"/>
    <n v="81.512"/>
    <n v="18.489999999999998"/>
    <n v="78.3"/>
    <n v="3.2000000000000001E-2"/>
    <n v="2.6439999999999998E-4"/>
    <n v="8.3850295085610256"/>
    <n v="3.3530559742049357"/>
    <n v="3"/>
  </r>
  <r>
    <n v="1177"/>
    <s v="Zeolite"/>
    <n v="0.5"/>
    <n v="30"/>
    <n v="100"/>
    <n v="11"/>
    <n v="25"/>
    <n v="150"/>
    <n v="100"/>
    <n v="32.936999999999998"/>
    <n v="83.531999999999996"/>
    <n v="16.47"/>
    <n v="98.1"/>
    <n v="3.422E-2"/>
    <n v="2.3790000000000001E-4"/>
    <n v="6.2689054860221596"/>
    <n v="3.2834678888464972"/>
    <n v="1"/>
  </r>
  <r>
    <n v="1178"/>
    <s v="Zeolite"/>
    <n v="0.5"/>
    <n v="30"/>
    <n v="100"/>
    <n v="11"/>
    <n v="25"/>
    <n v="150"/>
    <n v="100"/>
    <n v="34.000999999999998"/>
    <n v="82.998999999999995"/>
    <n v="17"/>
    <n v="99.4"/>
    <n v="2.8170000000000001E-2"/>
    <n v="2.6479999999999999E-4"/>
    <n v="7.2307500841395704"/>
    <n v="3.2872911931577327"/>
    <n v="2"/>
  </r>
  <r>
    <n v="1179"/>
    <s v="Zeolite"/>
    <n v="0.5"/>
    <n v="30"/>
    <n v="100"/>
    <n v="11"/>
    <n v="25"/>
    <n v="150"/>
    <n v="100"/>
    <n v="32.463999999999999"/>
    <n v="83.768000000000001"/>
    <n v="16.23"/>
    <n v="105.4"/>
    <n v="3.024E-2"/>
    <n v="2.4909999999999998E-4"/>
    <n v="6.3382078776358037"/>
    <n v="3.2629230302985897"/>
    <n v="3"/>
  </r>
  <r>
    <n v="1180"/>
    <s v="Zeolite"/>
    <n v="0.5"/>
    <n v="30"/>
    <n v="200"/>
    <n v="3"/>
    <n v="25"/>
    <n v="150"/>
    <n v="100"/>
    <n v="38.573999999999998"/>
    <n v="180.71299999999999"/>
    <n v="9.64"/>
    <n v="117.8"/>
    <n v="3.2169999999999997E-2"/>
    <n v="2.5280000000000002E-4"/>
    <n v="8.7305565966243144"/>
    <n v="3.3959651642334907"/>
    <n v="1"/>
  </r>
  <r>
    <n v="1181"/>
    <s v="Zeolite"/>
    <n v="0.5"/>
    <n v="30"/>
    <n v="200"/>
    <n v="3"/>
    <n v="25"/>
    <n v="150"/>
    <n v="100"/>
    <n v="34.627000000000002"/>
    <n v="182.68600000000001"/>
    <n v="8.66"/>
    <n v="107.8"/>
    <n v="3.0079999999999999E-2"/>
    <n v="2.4240000000000001E-4"/>
    <n v="6.9653996477976188"/>
    <n v="3.3200451825600967"/>
    <n v="2"/>
  </r>
  <r>
    <n v="1182"/>
    <s v="Zeolite"/>
    <n v="0.5"/>
    <n v="30"/>
    <n v="200"/>
    <n v="3"/>
    <n v="25"/>
    <n v="150"/>
    <n v="100"/>
    <n v="31.518000000000001"/>
    <n v="184.24100000000001"/>
    <n v="7.88"/>
    <n v="52.4"/>
    <n v="3.0630000000000001E-2"/>
    <n v="2.3780000000000001E-4"/>
    <n v="5.7858571821039506"/>
    <n v="3.2477409037391674"/>
    <n v="3"/>
  </r>
  <r>
    <n v="1183"/>
    <s v="Zeolite"/>
    <n v="0.5"/>
    <n v="30"/>
    <n v="200"/>
    <n v="7"/>
    <n v="25"/>
    <n v="150"/>
    <n v="100"/>
    <n v="57.223999999999997"/>
    <n v="171.38800000000001"/>
    <n v="14.31"/>
    <n v="100.3"/>
    <n v="2.6429999999999999E-2"/>
    <n v="2.4879999999999998E-4"/>
    <n v="17.126459102077877"/>
    <n v="3.6913150081907715"/>
    <n v="1"/>
  </r>
  <r>
    <n v="1184"/>
    <s v="Zeolite"/>
    <n v="0.5"/>
    <n v="30"/>
    <n v="200"/>
    <n v="7"/>
    <n v="25"/>
    <n v="150"/>
    <n v="100"/>
    <n v="45.337000000000003"/>
    <n v="177.33099999999999"/>
    <n v="11.33"/>
    <n v="107.1"/>
    <n v="3.0870000000000002E-2"/>
    <n v="2.7389999999999999E-4"/>
    <n v="12.30539878726251"/>
    <n v="3.4974647157553269"/>
    <n v="2"/>
  </r>
  <r>
    <n v="1185"/>
    <s v="Zeolite"/>
    <n v="0.5"/>
    <n v="30"/>
    <n v="200"/>
    <n v="7"/>
    <n v="25"/>
    <n v="150"/>
    <n v="100"/>
    <n v="46.487000000000002"/>
    <n v="176.756"/>
    <n v="11.62"/>
    <n v="100.5"/>
    <n v="2.5899999999999999E-2"/>
    <n v="2.675E-4"/>
    <n v="12.630459289334187"/>
    <n v="3.522132207004621"/>
    <n v="3"/>
  </r>
  <r>
    <n v="1186"/>
    <s v="Zeolite"/>
    <n v="0.5"/>
    <n v="30"/>
    <n v="200"/>
    <n v="11"/>
    <n v="25"/>
    <n v="150"/>
    <n v="100"/>
    <n v="40.61"/>
    <n v="179.69499999999999"/>
    <n v="10.15"/>
    <n v="107.4"/>
    <n v="0.03"/>
    <n v="2.6039999999999999E-4"/>
    <n v="9.7805110783768043"/>
    <n v="3.4284716644535891"/>
    <n v="1"/>
  </r>
  <r>
    <n v="1187"/>
    <s v="Zeolite"/>
    <n v="0.5"/>
    <n v="30"/>
    <n v="200"/>
    <n v="11"/>
    <n v="25"/>
    <n v="150"/>
    <n v="100"/>
    <n v="44.4"/>
    <n v="177.8"/>
    <n v="11.1"/>
    <n v="95.7"/>
    <n v="3.0419999999999999E-2"/>
    <n v="2.2279999999999999E-4"/>
    <n v="10.161072745690522"/>
    <n v="3.5333632205931811"/>
    <n v="2"/>
  </r>
  <r>
    <n v="1188"/>
    <s v="Zeolite"/>
    <n v="0.5"/>
    <n v="30"/>
    <n v="200"/>
    <n v="11"/>
    <n v="25"/>
    <n v="150"/>
    <n v="100"/>
    <n v="35.765999999999998"/>
    <n v="182.11699999999999"/>
    <n v="8.94"/>
    <n v="101.5"/>
    <n v="3.3309999999999999E-2"/>
    <n v="2.4360000000000001E-4"/>
    <n v="7.4112942404744535"/>
    <n v="3.3447930043895977"/>
    <n v="3"/>
  </r>
  <r>
    <n v="1189"/>
    <s v="Zeolite"/>
    <n v="0.5"/>
    <n v="60"/>
    <n v="25"/>
    <n v="3"/>
    <n v="25"/>
    <n v="150"/>
    <n v="100"/>
    <n v="8.4610000000000003"/>
    <n v="20.768999999999998"/>
    <n v="16.920000000000002"/>
    <n v="93.9"/>
    <n v="2.8400000000000002E-2"/>
    <n v="2.5740000000000002E-4"/>
    <n v="0.97783745181682657"/>
    <n v="2.0126555031906626"/>
    <n v="1"/>
  </r>
  <r>
    <n v="1190"/>
    <s v="Zeolite"/>
    <n v="0.5"/>
    <n v="60"/>
    <n v="25"/>
    <n v="3"/>
    <n v="25"/>
    <n v="150"/>
    <n v="100"/>
    <n v="7.48"/>
    <n v="21.26"/>
    <n v="14.96"/>
    <n v="119.2"/>
    <n v="2.8000000000000001E-2"/>
    <n v="2.6800000000000001E-4"/>
    <n v="0.80308826091800045"/>
    <n v="1.8986555661395703"/>
    <n v="2"/>
  </r>
  <r>
    <n v="1191"/>
    <s v="Zeolite"/>
    <n v="0.5"/>
    <n v="60"/>
    <n v="25"/>
    <n v="3"/>
    <n v="25"/>
    <n v="150"/>
    <n v="100"/>
    <n v="7.657"/>
    <n v="21.172000000000001"/>
    <n v="15.31"/>
    <n v="110"/>
    <n v="3.202E-2"/>
    <n v="2.5960000000000002E-4"/>
    <n v="0.81590602793136213"/>
    <n v="1.9229476562827661"/>
    <n v="3"/>
  </r>
  <r>
    <n v="1192"/>
    <s v="Zeolite"/>
    <n v="0.5"/>
    <n v="60"/>
    <n v="25"/>
    <n v="7"/>
    <n v="25"/>
    <n v="150"/>
    <n v="100"/>
    <n v="12.717000000000001"/>
    <n v="18.641999999999999"/>
    <n v="25.43"/>
    <n v="103.7"/>
    <n v="2.6450000000000001E-2"/>
    <n v="2.4369999999999999E-4"/>
    <n v="1.9939326489865061"/>
    <n v="2.3723972482043409"/>
    <n v="1"/>
  </r>
  <r>
    <n v="1193"/>
    <s v="Zeolite"/>
    <n v="0.5"/>
    <n v="60"/>
    <n v="25"/>
    <n v="7"/>
    <n v="25"/>
    <n v="150"/>
    <n v="100"/>
    <n v="15.260999999999999"/>
    <n v="17.37"/>
    <n v="30.52"/>
    <n v="112"/>
    <n v="3.005E-2"/>
    <n v="2.2560000000000001E-4"/>
    <n v="2.612779531437444"/>
    <n v="2.5375165308560224"/>
    <n v="2"/>
  </r>
  <r>
    <n v="1194"/>
    <s v="Zeolite"/>
    <n v="0.5"/>
    <n v="60"/>
    <n v="25"/>
    <n v="7"/>
    <n v="25"/>
    <n v="150"/>
    <n v="100"/>
    <n v="14.778"/>
    <n v="17.611000000000001"/>
    <n v="29.56"/>
    <n v="100.3"/>
    <n v="2.3040000000000001E-2"/>
    <n v="2.6959999999999999E-4"/>
    <n v="2.8511102170002438"/>
    <n v="2.4787954965879377"/>
    <n v="3"/>
  </r>
  <r>
    <n v="1195"/>
    <s v="Zeolite"/>
    <n v="0.5"/>
    <n v="60"/>
    <n v="25"/>
    <n v="11"/>
    <n v="25"/>
    <n v="150"/>
    <n v="100"/>
    <n v="10.651999999999999"/>
    <n v="19.673999999999999"/>
    <n v="21.3"/>
    <n v="118"/>
    <n v="2.6710000000000001E-2"/>
    <n v="1.706E-4"/>
    <n v="1.0472437622211777"/>
    <n v="2.262258417218499"/>
    <n v="1"/>
  </r>
  <r>
    <n v="1196"/>
    <s v="Zeolite"/>
    <n v="0.5"/>
    <n v="60"/>
    <n v="25"/>
    <n v="11"/>
    <n v="25"/>
    <n v="150"/>
    <n v="100"/>
    <n v="10.943"/>
    <n v="19.527999999999999"/>
    <n v="21.89"/>
    <n v="104.4"/>
    <n v="2.4930000000000001E-2"/>
    <n v="2.2550000000000001E-4"/>
    <n v="1.4112581629813576"/>
    <n v="2.2546274750487658"/>
    <n v="2"/>
  </r>
  <r>
    <n v="1197"/>
    <s v="Zeolite"/>
    <n v="0.5"/>
    <n v="60"/>
    <n v="25"/>
    <n v="11"/>
    <n v="25"/>
    <n v="150"/>
    <n v="100"/>
    <n v="13.321999999999999"/>
    <n v="18.338999999999999"/>
    <n v="26.64"/>
    <n v="95.4"/>
    <n v="3.2190000000000003E-2"/>
    <n v="2.3369999999999999E-4"/>
    <n v="2.0968670104854734"/>
    <n v="2.418155281176356"/>
    <n v="3"/>
  </r>
  <r>
    <n v="1198"/>
    <s v="Zeolite"/>
    <n v="0.5"/>
    <n v="60"/>
    <n v="50"/>
    <n v="3"/>
    <n v="25"/>
    <n v="150"/>
    <n v="100"/>
    <n v="17.809999999999999"/>
    <n v="41.094999999999999"/>
    <n v="17.809999999999999"/>
    <n v="97.4"/>
    <n v="2.92E-2"/>
    <n v="2.4000000000000001E-4"/>
    <n v="3.6353002075666301"/>
    <n v="2.6514586707252321"/>
    <n v="1"/>
  </r>
  <r>
    <n v="1199"/>
    <s v="Zeolite"/>
    <n v="0.5"/>
    <n v="60"/>
    <n v="50"/>
    <n v="3"/>
    <n v="25"/>
    <n v="150"/>
    <n v="100"/>
    <n v="21.710999999999999"/>
    <n v="39.145000000000003"/>
    <n v="21.71"/>
    <n v="104"/>
    <n v="2.955E-2"/>
    <n v="2.184E-4"/>
    <n v="4.8087158082960499"/>
    <n v="2.8274487720682591"/>
    <n v="2"/>
  </r>
  <r>
    <n v="1200"/>
    <s v="Zeolite"/>
    <n v="0.5"/>
    <n v="60"/>
    <n v="50"/>
    <n v="3"/>
    <n v="25"/>
    <n v="150"/>
    <n v="100"/>
    <n v="22.896999999999998"/>
    <n v="38.551000000000002"/>
    <n v="22.9"/>
    <n v="70.8"/>
    <n v="2.385E-2"/>
    <n v="2.6850000000000002E-4"/>
    <n v="6.1700728316357303"/>
    <n v="2.8170198261842216"/>
    <n v="3"/>
  </r>
  <r>
    <n v="1201"/>
    <s v="Zeolite"/>
    <n v="0.5"/>
    <n v="60"/>
    <n v="50"/>
    <n v="7"/>
    <n v="25"/>
    <n v="150"/>
    <n v="100"/>
    <n v="35.643999999999998"/>
    <n v="32.177999999999997"/>
    <n v="35.64"/>
    <n v="99.1"/>
    <n v="2.581E-2"/>
    <n v="2.3230000000000001E-4"/>
    <n v="11.830627869318262"/>
    <n v="3.1702472771267631"/>
    <n v="1"/>
  </r>
  <r>
    <n v="1202"/>
    <s v="Zeolite"/>
    <n v="0.5"/>
    <n v="60"/>
    <n v="50"/>
    <n v="7"/>
    <n v="25"/>
    <n v="150"/>
    <n v="100"/>
    <n v="33.281999999999996"/>
    <n v="33.359000000000002"/>
    <n v="33.28"/>
    <n v="76.099999999999994"/>
    <n v="2.7779999999999999E-2"/>
    <n v="2.6630000000000002E-4"/>
    <n v="11.554333864886674"/>
    <n v="3.0785863856062319"/>
    <n v="2"/>
  </r>
  <r>
    <n v="1203"/>
    <s v="Zeolite"/>
    <n v="0.5"/>
    <n v="60"/>
    <n v="50"/>
    <n v="7"/>
    <n v="25"/>
    <n v="150"/>
    <n v="100"/>
    <n v="38.466999999999999"/>
    <n v="30.765999999999998"/>
    <n v="38.47"/>
    <n v="93.7"/>
    <n v="3.227E-2"/>
    <n v="2.0210000000000001E-4"/>
    <n v="12.235639971908448"/>
    <n v="3.2669556426334134"/>
    <n v="3"/>
  </r>
  <r>
    <n v="1204"/>
    <s v="Zeolite"/>
    <n v="0.5"/>
    <n v="60"/>
    <n v="50"/>
    <n v="11"/>
    <n v="25"/>
    <n v="150"/>
    <n v="100"/>
    <n v="28.222999999999999"/>
    <n v="35.887999999999998"/>
    <n v="28.22"/>
    <n v="87.9"/>
    <n v="3.092E-2"/>
    <n v="2.4379999999999999E-4"/>
    <n v="8.2470089004347287"/>
    <n v="2.9945311074209688"/>
    <n v="1"/>
  </r>
  <r>
    <n v="1205"/>
    <s v="Zeolite"/>
    <n v="0.5"/>
    <n v="60"/>
    <n v="50"/>
    <n v="11"/>
    <n v="25"/>
    <n v="150"/>
    <n v="100"/>
    <n v="29.808"/>
    <n v="35.095999999999997"/>
    <n v="29.81"/>
    <n v="86.9"/>
    <n v="3.1879999999999999E-2"/>
    <n v="2.43E-4"/>
    <n v="9.0300920799254616"/>
    <n v="3.0338903030317508"/>
    <n v="2"/>
  </r>
  <r>
    <n v="1206"/>
    <s v="Zeolite"/>
    <n v="0.5"/>
    <n v="60"/>
    <n v="50"/>
    <n v="11"/>
    <n v="25"/>
    <n v="150"/>
    <n v="100"/>
    <n v="26.262"/>
    <n v="36.869"/>
    <n v="26.26"/>
    <n v="97.2"/>
    <n v="2.7459999999999998E-2"/>
    <n v="2.496E-4"/>
    <n v="7.4132198173769517"/>
    <n v="2.9364482000029355"/>
    <n v="3"/>
  </r>
  <r>
    <n v="1207"/>
    <s v="Zeolite"/>
    <n v="0.5"/>
    <n v="60"/>
    <n v="100"/>
    <n v="3"/>
    <n v="25"/>
    <n v="150"/>
    <n v="100"/>
    <n v="37.534999999999997"/>
    <n v="81.231999999999999"/>
    <n v="18.77"/>
    <n v="103.6"/>
    <n v="3.0249999999999999E-2"/>
    <n v="2.699E-4"/>
    <n v="14.190041414242627"/>
    <n v="3.1503810544122186"/>
    <n v="1"/>
  </r>
  <r>
    <n v="1208"/>
    <s v="Zeolite"/>
    <n v="0.5"/>
    <n v="60"/>
    <n v="100"/>
    <n v="3"/>
    <n v="25"/>
    <n v="150"/>
    <n v="100"/>
    <n v="40.886000000000003"/>
    <n v="79.557000000000002"/>
    <n v="20.440000000000001"/>
    <n v="84.2"/>
    <n v="3.261E-2"/>
    <n v="2.2029999999999999E-4"/>
    <n v="14.344080191974928"/>
    <n v="3.2787253626867452"/>
    <n v="2"/>
  </r>
  <r>
    <n v="1209"/>
    <s v="Zeolite"/>
    <n v="0.5"/>
    <n v="60"/>
    <n v="100"/>
    <n v="3"/>
    <n v="25"/>
    <n v="150"/>
    <n v="100"/>
    <n v="39.744999999999997"/>
    <n v="80.126999999999995"/>
    <n v="19.87"/>
    <n v="109.3"/>
    <n v="2.427E-2"/>
    <n v="2.5230000000000001E-4"/>
    <n v="14.930117493832848"/>
    <n v="3.2114435742374292"/>
    <n v="3"/>
  </r>
  <r>
    <n v="1210"/>
    <s v="Zeolite"/>
    <n v="0.5"/>
    <n v="60"/>
    <n v="100"/>
    <n v="7"/>
    <n v="25"/>
    <n v="150"/>
    <n v="100"/>
    <n v="54.768999999999998"/>
    <n v="72.614999999999995"/>
    <n v="27.38"/>
    <n v="88.6"/>
    <n v="3.4049999999999997E-2"/>
    <n v="2.3369999999999999E-4"/>
    <n v="23.790549256049466"/>
    <n v="3.4332918254732752"/>
    <n v="1"/>
  </r>
  <r>
    <n v="1211"/>
    <s v="Zeolite"/>
    <n v="0.5"/>
    <n v="60"/>
    <n v="100"/>
    <n v="7"/>
    <n v="25"/>
    <n v="150"/>
    <n v="100"/>
    <n v="53.030999999999999"/>
    <n v="73.484999999999999"/>
    <n v="26.52"/>
    <n v="101.1"/>
    <n v="3.2059999999999998E-2"/>
    <n v="2.4649999999999997E-4"/>
    <n v="23.310575595410679"/>
    <n v="3.3918344998481813"/>
    <n v="2"/>
  </r>
  <r>
    <n v="1212"/>
    <s v="Zeolite"/>
    <n v="0.5"/>
    <n v="60"/>
    <n v="100"/>
    <n v="7"/>
    <n v="25"/>
    <n v="150"/>
    <n v="100"/>
    <n v="63.183"/>
    <n v="68.409000000000006"/>
    <n v="31.59"/>
    <n v="108"/>
    <n v="2.3470000000000001E-2"/>
    <n v="2.3680000000000001E-4"/>
    <n v="29.888556889190497"/>
    <n v="3.505390509512194"/>
    <n v="3"/>
  </r>
  <r>
    <n v="1213"/>
    <s v="Zeolite"/>
    <n v="0.5"/>
    <n v="60"/>
    <n v="100"/>
    <n v="11"/>
    <n v="25"/>
    <n v="150"/>
    <n v="100"/>
    <n v="43.045000000000002"/>
    <n v="78.477999999999994"/>
    <n v="21.52"/>
    <n v="107.2"/>
    <n v="2.213E-2"/>
    <n v="3.1369999999999998E-4"/>
    <n v="19.265767488443316"/>
    <n v="3.1688126162067589"/>
    <n v="1"/>
  </r>
  <r>
    <n v="1214"/>
    <s v="Zeolite"/>
    <n v="0.5"/>
    <n v="60"/>
    <n v="100"/>
    <n v="11"/>
    <n v="25"/>
    <n v="150"/>
    <n v="100"/>
    <n v="47.503999999999998"/>
    <n v="76.248000000000005"/>
    <n v="23.75"/>
    <n v="102.2"/>
    <n v="3.354E-2"/>
    <n v="3.0860000000000002E-4"/>
    <n v="22.230323280851138"/>
    <n v="3.2297634082104816"/>
    <n v="2"/>
  </r>
  <r>
    <n v="1215"/>
    <s v="Zeolite"/>
    <n v="0.5"/>
    <n v="60"/>
    <n v="100"/>
    <n v="11"/>
    <n v="25"/>
    <n v="150"/>
    <n v="100"/>
    <n v="48.89"/>
    <n v="75.555000000000007"/>
    <n v="24.44"/>
    <n v="114.2"/>
    <n v="3.039E-2"/>
    <n v="2.4649999999999997E-4"/>
    <n v="20.516440999856592"/>
    <n v="3.3454576903760938"/>
    <n v="3"/>
  </r>
  <r>
    <n v="1216"/>
    <s v="Zeolite"/>
    <n v="0.5"/>
    <n v="60"/>
    <n v="200"/>
    <n v="3"/>
    <n v="25"/>
    <n v="150"/>
    <n v="100"/>
    <n v="43.94"/>
    <n v="178.03"/>
    <n v="10.99"/>
    <n v="87.6"/>
    <n v="2.794E-2"/>
    <n v="2.162E-4"/>
    <n v="15.952554885074148"/>
    <n v="3.3317560208662589"/>
    <n v="1"/>
  </r>
  <r>
    <n v="1217"/>
    <s v="Zeolite"/>
    <n v="0.5"/>
    <n v="60"/>
    <n v="200"/>
    <n v="3"/>
    <n v="25"/>
    <n v="150"/>
    <n v="100"/>
    <n v="45.593000000000004"/>
    <n v="177.20400000000001"/>
    <n v="11.4"/>
    <n v="74.7"/>
    <n v="3.057E-2"/>
    <n v="2.4909999999999998E-4"/>
    <n v="18.477438097419071"/>
    <n v="3.3001078030206239"/>
    <n v="2"/>
  </r>
  <r>
    <n v="1218"/>
    <s v="Zeolite"/>
    <n v="0.5"/>
    <n v="60"/>
    <n v="200"/>
    <n v="3"/>
    <n v="25"/>
    <n v="150"/>
    <n v="100"/>
    <n v="46.512999999999998"/>
    <n v="176.74299999999999"/>
    <n v="11.63"/>
    <n v="92.2"/>
    <n v="3.9230000000000001E-2"/>
    <n v="2.8400000000000002E-4"/>
    <n v="20.565505015225188"/>
    <n v="3.2560750725737275"/>
    <n v="3"/>
  </r>
  <r>
    <n v="1219"/>
    <s v="Zeolite"/>
    <n v="0.5"/>
    <n v="60"/>
    <n v="200"/>
    <n v="7"/>
    <n v="25"/>
    <n v="150"/>
    <n v="100"/>
    <n v="61.170999999999999"/>
    <n v="169.41399999999999"/>
    <n v="15.29"/>
    <n v="103.5"/>
    <n v="2.818E-2"/>
    <n v="2.2460000000000001E-4"/>
    <n v="27.640525021688987"/>
    <n v="3.5124547261490835"/>
    <n v="1"/>
  </r>
  <r>
    <n v="1220"/>
    <s v="Zeolite"/>
    <n v="0.5"/>
    <n v="60"/>
    <n v="200"/>
    <n v="7"/>
    <n v="25"/>
    <n v="150"/>
    <n v="100"/>
    <n v="60.579000000000001"/>
    <n v="169.71100000000001"/>
    <n v="15.14"/>
    <n v="106.5"/>
    <n v="2.7959999999999999E-2"/>
    <n v="2.742E-4"/>
    <n v="30.238614744229832"/>
    <n v="3.4124796717886858"/>
    <n v="2"/>
  </r>
  <r>
    <n v="1221"/>
    <s v="Zeolite"/>
    <n v="0.5"/>
    <n v="60"/>
    <n v="200"/>
    <n v="7"/>
    <n v="25"/>
    <n v="150"/>
    <n v="100"/>
    <n v="75.048000000000002"/>
    <n v="162.476"/>
    <n v="18.760000000000002"/>
    <n v="120.6"/>
    <n v="2.7439999999999999E-2"/>
    <n v="2.6190000000000002E-4"/>
    <n v="40.611321760881673"/>
    <n v="3.5391222242434734"/>
    <n v="3"/>
  </r>
  <r>
    <n v="1222"/>
    <s v="Zeolite"/>
    <n v="0.5"/>
    <n v="60"/>
    <n v="200"/>
    <n v="11"/>
    <n v="25"/>
    <n v="150"/>
    <n v="100"/>
    <n v="58.033000000000001"/>
    <n v="170.98400000000001"/>
    <n v="14.51"/>
    <n v="92.9"/>
    <n v="2.768E-2"/>
    <n v="2.9020000000000001E-4"/>
    <n v="29.167618872088195"/>
    <n v="3.3626429922335155"/>
    <n v="1"/>
  </r>
  <r>
    <n v="1223"/>
    <s v="Zeolite"/>
    <n v="0.5"/>
    <n v="60"/>
    <n v="200"/>
    <n v="11"/>
    <n v="25"/>
    <n v="150"/>
    <n v="100"/>
    <n v="56.030999999999999"/>
    <n v="171.98400000000001"/>
    <n v="14.01"/>
    <n v="109.5"/>
    <n v="2.7529999999999999E-2"/>
    <n v="2.195E-4"/>
    <n v="23.790889192665006"/>
    <n v="3.4732113545845991"/>
    <n v="2"/>
  </r>
  <r>
    <n v="1224"/>
    <s v="Zeolite"/>
    <n v="0.5"/>
    <n v="60"/>
    <n v="200"/>
    <n v="11"/>
    <n v="25"/>
    <n v="150"/>
    <n v="100"/>
    <n v="52.093000000000004"/>
    <n v="173.953"/>
    <n v="13.02"/>
    <n v="98.1"/>
    <n v="2.681E-2"/>
    <n v="2.498E-4"/>
    <n v="22.839922177846084"/>
    <n v="3.3759847928311593"/>
    <n v="3"/>
  </r>
  <r>
    <n v="1225"/>
    <s v="Zeolite"/>
    <n v="0.5"/>
    <n v="120"/>
    <n v="25"/>
    <n v="3"/>
    <n v="25"/>
    <n v="150"/>
    <n v="100"/>
    <n v="11.269"/>
    <n v="19.364999999999998"/>
    <n v="22.54"/>
    <n v="83.2"/>
    <n v="3.2009999999999997E-2"/>
    <n v="2.6509999999999999E-4"/>
    <n v="2.973756939779439"/>
    <n v="2.1156822252288516"/>
    <n v="1"/>
  </r>
  <r>
    <n v="1226"/>
    <s v="Zeolite"/>
    <n v="0.5"/>
    <n v="120"/>
    <n v="25"/>
    <n v="3"/>
    <n v="25"/>
    <n v="150"/>
    <n v="100"/>
    <n v="12.82"/>
    <n v="18.59"/>
    <n v="25.64"/>
    <n v="84.7"/>
    <n v="2.6919999999999999E-2"/>
    <n v="2.407E-4"/>
    <n v="3.4643358298701807"/>
    <n v="2.235981953478499"/>
    <n v="2"/>
  </r>
  <r>
    <n v="1227"/>
    <s v="Zeolite"/>
    <n v="0.5"/>
    <n v="120"/>
    <n v="25"/>
    <n v="3"/>
    <n v="25"/>
    <n v="150"/>
    <n v="100"/>
    <n v="14.06"/>
    <n v="17.97"/>
    <n v="28.12"/>
    <n v="113.9"/>
    <n v="2.8510000000000001E-2"/>
    <n v="2.2120000000000001E-4"/>
    <n v="3.8212062796225927"/>
    <n v="2.3261838119279155"/>
    <n v="3"/>
  </r>
  <r>
    <n v="1228"/>
    <s v="Zeolite"/>
    <n v="0.5"/>
    <n v="120"/>
    <n v="25"/>
    <n v="7"/>
    <n v="25"/>
    <n v="150"/>
    <n v="100"/>
    <n v="20.96"/>
    <n v="14.52"/>
    <n v="41.92"/>
    <n v="87.6"/>
    <n v="2.845E-2"/>
    <n v="2.831E-4"/>
    <n v="8.7173892099796539"/>
    <n v="2.5049225541772673"/>
    <n v="1"/>
  </r>
  <r>
    <n v="1229"/>
    <s v="Zeolite"/>
    <n v="0.5"/>
    <n v="120"/>
    <n v="25"/>
    <n v="7"/>
    <n v="25"/>
    <n v="150"/>
    <n v="100"/>
    <n v="21.991"/>
    <n v="14.005000000000001"/>
    <n v="43.98"/>
    <n v="102.4"/>
    <n v="2.6179999999999998E-2"/>
    <n v="2.5530000000000003E-4"/>
    <n v="8.851974995979548"/>
    <n v="2.5755868096961918"/>
    <n v="2"/>
  </r>
  <r>
    <n v="1230"/>
    <s v="Zeolite"/>
    <n v="0.5"/>
    <n v="120"/>
    <n v="25"/>
    <n v="7"/>
    <n v="25"/>
    <n v="150"/>
    <n v="100"/>
    <n v="22.425000000000001"/>
    <n v="13.788"/>
    <n v="44.85"/>
    <n v="94.4"/>
    <n v="3.4049999999999997E-2"/>
    <n v="2.8229999999999998E-4"/>
    <n v="9.6811281827216042"/>
    <n v="2.5450505142770616"/>
    <n v="3"/>
  </r>
  <r>
    <n v="1231"/>
    <s v="Zeolite"/>
    <n v="0.5"/>
    <n v="120"/>
    <n v="25"/>
    <n v="11"/>
    <n v="25"/>
    <n v="150"/>
    <n v="100"/>
    <n v="18.484000000000002"/>
    <n v="15.757999999999999"/>
    <n v="36.97"/>
    <n v="104.6"/>
    <n v="3.1759999999999997E-2"/>
    <n v="2.854E-4"/>
    <n v="7.1652327696814231"/>
    <n v="2.4264621649294726"/>
    <n v="1"/>
  </r>
  <r>
    <n v="1232"/>
    <s v="Zeolite"/>
    <n v="0.5"/>
    <n v="120"/>
    <n v="25"/>
    <n v="11"/>
    <n v="25"/>
    <n v="150"/>
    <n v="100"/>
    <n v="16.724"/>
    <n v="16.638000000000002"/>
    <n v="33.450000000000003"/>
    <n v="92.5"/>
    <n v="2.8649999999999998E-2"/>
    <n v="2.5599999999999999E-4"/>
    <n v="5.6760228711359302"/>
    <n v="2.4022473459441014"/>
    <n v="2"/>
  </r>
  <r>
    <n v="1233"/>
    <s v="Zeolite"/>
    <n v="0.5"/>
    <n v="120"/>
    <n v="25"/>
    <n v="11"/>
    <n v="25"/>
    <n v="150"/>
    <n v="100"/>
    <n v="14.209"/>
    <n v="17.895"/>
    <n v="28.42"/>
    <n v="97.9"/>
    <n v="3.329E-2"/>
    <n v="1.952E-4"/>
    <n v="3.5482384833704304"/>
    <n v="2.3665698530182517"/>
    <n v="3"/>
  </r>
  <r>
    <n v="1234"/>
    <s v="Zeolite"/>
    <n v="0.5"/>
    <n v="120"/>
    <n v="50"/>
    <n v="3"/>
    <n v="25"/>
    <n v="150"/>
    <n v="100"/>
    <n v="34.863999999999997"/>
    <n v="32.567999999999998"/>
    <n v="34.86"/>
    <n v="116.8"/>
    <n v="2.862E-2"/>
    <n v="2.6360000000000001E-4"/>
    <n v="18.284343936481186"/>
    <n v="2.8081764054340153"/>
    <n v="1"/>
  </r>
  <r>
    <n v="1235"/>
    <s v="Zeolite"/>
    <n v="0.5"/>
    <n v="120"/>
    <n v="50"/>
    <n v="3"/>
    <n v="25"/>
    <n v="150"/>
    <n v="100"/>
    <n v="30.641999999999999"/>
    <n v="34.679000000000002"/>
    <n v="30.64"/>
    <n v="118.4"/>
    <n v="3.295E-2"/>
    <n v="2.1499999999999999E-4"/>
    <n v="13.528952465692923"/>
    <n v="2.8398411862638158"/>
    <n v="2"/>
  </r>
  <r>
    <n v="1236"/>
    <s v="Zeolite"/>
    <n v="0.5"/>
    <n v="120"/>
    <n v="50"/>
    <n v="3"/>
    <n v="25"/>
    <n v="150"/>
    <n v="100"/>
    <n v="32.253"/>
    <n v="33.874000000000002"/>
    <n v="32.25"/>
    <n v="96.9"/>
    <n v="3.0249999999999999E-2"/>
    <n v="2.318E-4"/>
    <n v="15.252230749057993"/>
    <n v="2.8332585930878755"/>
    <n v="3"/>
  </r>
  <r>
    <n v="1237"/>
    <s v="Zeolite"/>
    <n v="0.5"/>
    <n v="120"/>
    <n v="50"/>
    <n v="7"/>
    <n v="25"/>
    <n v="150"/>
    <n v="100"/>
    <n v="52.470999999999997"/>
    <n v="23.763999999999999"/>
    <n v="52.47"/>
    <n v="115.6"/>
    <n v="2.7779999999999999E-2"/>
    <n v="2.1660000000000001E-4"/>
    <n v="30.273513869386651"/>
    <n v="3.0999790451066405"/>
    <n v="1"/>
  </r>
  <r>
    <n v="1238"/>
    <s v="Zeolite"/>
    <n v="0.5"/>
    <n v="120"/>
    <n v="50"/>
    <n v="7"/>
    <n v="25"/>
    <n v="150"/>
    <n v="100"/>
    <n v="43.764000000000003"/>
    <n v="28.117999999999999"/>
    <n v="43.76"/>
    <n v="106.5"/>
    <n v="3.0720000000000001E-2"/>
    <n v="2.8130000000000001E-4"/>
    <n v="26.097975424407473"/>
    <n v="2.8716432794457436"/>
    <n v="2"/>
  </r>
  <r>
    <n v="1239"/>
    <s v="Zeolite"/>
    <n v="0.5"/>
    <n v="120"/>
    <n v="50"/>
    <n v="7"/>
    <n v="25"/>
    <n v="150"/>
    <n v="100"/>
    <n v="48.561"/>
    <n v="25.719000000000001"/>
    <n v="48.56"/>
    <n v="114.5"/>
    <n v="3.0980000000000001E-2"/>
    <n v="2.153E-4"/>
    <n v="27.022578000146506"/>
    <n v="3.0698384099849401"/>
    <n v="3"/>
  </r>
  <r>
    <n v="1240"/>
    <s v="Zeolite"/>
    <n v="0.5"/>
    <n v="120"/>
    <n v="50"/>
    <n v="11"/>
    <n v="25"/>
    <n v="150"/>
    <n v="100"/>
    <n v="35.774999999999999"/>
    <n v="32.112000000000002"/>
    <n v="35.78"/>
    <n v="115.9"/>
    <n v="2.9850000000000002E-2"/>
    <n v="2.6259999999999999E-4"/>
    <n v="18.95823834938043"/>
    <n v="2.8223761063189015"/>
    <n v="1"/>
  </r>
  <r>
    <n v="1241"/>
    <s v="Zeolite"/>
    <n v="0.5"/>
    <n v="120"/>
    <n v="50"/>
    <n v="11"/>
    <n v="25"/>
    <n v="150"/>
    <n v="100"/>
    <n v="35.372"/>
    <n v="32.314"/>
    <n v="35.369999999999997"/>
    <n v="84.6"/>
    <n v="2.963E-2"/>
    <n v="2.5769999999999998E-4"/>
    <n v="18.478666688164608"/>
    <n v="2.8269190655122589"/>
    <n v="2"/>
  </r>
  <r>
    <n v="1242"/>
    <s v="Zeolite"/>
    <n v="0.5"/>
    <n v="120"/>
    <n v="50"/>
    <n v="11"/>
    <n v="25"/>
    <n v="150"/>
    <n v="100"/>
    <n v="34.267000000000003"/>
    <n v="32.866"/>
    <n v="34.270000000000003"/>
    <n v="96.5"/>
    <n v="2.7179999999999999E-2"/>
    <n v="2.7799999999999998E-4"/>
    <n v="18.277897021386011"/>
    <n v="2.7719074263738239"/>
    <n v="3"/>
  </r>
  <r>
    <n v="1243"/>
    <s v="Zeolite"/>
    <n v="0.5"/>
    <n v="120"/>
    <n v="100"/>
    <n v="3"/>
    <n v="25"/>
    <n v="150"/>
    <n v="100"/>
    <n v="48.325000000000003"/>
    <n v="75.837000000000003"/>
    <n v="24.16"/>
    <n v="121.8"/>
    <n v="3.4590000000000003E-2"/>
    <n v="2.4800000000000001E-4"/>
    <n v="28.504660661025241"/>
    <n v="2.9867086497933593"/>
    <n v="1"/>
  </r>
  <r>
    <n v="1244"/>
    <s v="Zeolite"/>
    <n v="0.5"/>
    <n v="120"/>
    <n v="100"/>
    <n v="3"/>
    <n v="25"/>
    <n v="150"/>
    <n v="100"/>
    <n v="45.134999999999998"/>
    <n v="77.432000000000002"/>
    <n v="22.57"/>
    <n v="68.7"/>
    <n v="2.5579999999999999E-2"/>
    <n v="2.1570000000000001E-4"/>
    <n v="24.318907143410645"/>
    <n v="3.0357263825878977"/>
    <n v="2"/>
  </r>
  <r>
    <n v="1245"/>
    <s v="Zeolite"/>
    <n v="0.5"/>
    <n v="120"/>
    <n v="100"/>
    <n v="3"/>
    <n v="25"/>
    <n v="150"/>
    <n v="100"/>
    <n v="55.798999999999999"/>
    <n v="72.099999999999994"/>
    <n v="27.9"/>
    <n v="101.7"/>
    <n v="3.117E-2"/>
    <n v="1.9450000000000001E-4"/>
    <n v="31.563313646569934"/>
    <n v="3.1878261896485349"/>
    <n v="3"/>
  </r>
  <r>
    <n v="1246"/>
    <s v="Zeolite"/>
    <n v="0.5"/>
    <n v="120"/>
    <n v="100"/>
    <n v="7"/>
    <n v="25"/>
    <n v="150"/>
    <n v="100"/>
    <n v="64.099999999999994"/>
    <n v="67.95"/>
    <n v="32.049999999999997"/>
    <n v="113.3"/>
    <n v="3.0859999999999999E-2"/>
    <n v="2.4630000000000002E-4"/>
    <n v="41.954854706427234"/>
    <n v="3.0976182983639231"/>
    <n v="1"/>
  </r>
  <r>
    <n v="1247"/>
    <s v="Zeolite"/>
    <n v="0.5"/>
    <n v="120"/>
    <n v="100"/>
    <n v="7"/>
    <n v="25"/>
    <n v="150"/>
    <n v="100"/>
    <n v="75.498000000000005"/>
    <n v="62.250999999999998"/>
    <n v="37.75"/>
    <n v="124.5"/>
    <n v="2.9340000000000001E-2"/>
    <n v="2.5169999999999999E-4"/>
    <n v="52.482713974873143"/>
    <n v="3.1361586049619943"/>
    <n v="2"/>
  </r>
  <r>
    <n v="1248"/>
    <s v="Zeolite"/>
    <n v="0.5"/>
    <n v="120"/>
    <n v="100"/>
    <n v="7"/>
    <n v="25"/>
    <n v="150"/>
    <n v="100"/>
    <n v="73.090999999999994"/>
    <n v="63.454000000000001"/>
    <n v="36.549999999999997"/>
    <n v="135.9"/>
    <n v="2.3699999999999999E-2"/>
    <n v="2.6709999999999999E-4"/>
    <n v="51.225226342486671"/>
    <n v="3.0849225676147736"/>
    <n v="3"/>
  </r>
  <r>
    <n v="1249"/>
    <s v="Zeolite"/>
    <n v="0.5"/>
    <n v="120"/>
    <n v="100"/>
    <n v="11"/>
    <n v="25"/>
    <n v="150"/>
    <n v="100"/>
    <n v="57.820999999999998"/>
    <n v="71.088999999999999"/>
    <n v="28.91"/>
    <n v="108.5"/>
    <n v="2.8029999999999999E-2"/>
    <n v="2.4879999999999998E-4"/>
    <n v="36.61243164125522"/>
    <n v="3.0544052678894551"/>
    <n v="1"/>
  </r>
  <r>
    <n v="1250"/>
    <s v="Zeolite"/>
    <n v="0.5"/>
    <n v="120"/>
    <n v="100"/>
    <n v="11"/>
    <n v="25"/>
    <n v="150"/>
    <n v="100"/>
    <n v="62.165999999999997"/>
    <n v="68.917000000000002"/>
    <n v="31.08"/>
    <n v="146.69999999999999"/>
    <n v="3.2419999999999997E-2"/>
    <n v="2.288E-4"/>
    <n v="39.199649330851727"/>
    <n v="3.1340301302937825"/>
    <n v="2"/>
  </r>
  <r>
    <n v="1251"/>
    <s v="Zeolite"/>
    <n v="0.5"/>
    <n v="120"/>
    <n v="100"/>
    <n v="11"/>
    <n v="25"/>
    <n v="150"/>
    <n v="100"/>
    <n v="56.197000000000003"/>
    <n v="71.902000000000001"/>
    <n v="28.1"/>
    <n v="93.2"/>
    <n v="2.461E-2"/>
    <n v="2.4169999999999999E-4"/>
    <n v="34.828813932474667"/>
    <n v="3.0619031835348793"/>
    <n v="3"/>
  </r>
  <r>
    <n v="1252"/>
    <s v="Zeolite"/>
    <n v="0.5"/>
    <n v="120"/>
    <n v="200"/>
    <n v="3"/>
    <n v="25"/>
    <n v="150"/>
    <n v="100"/>
    <n v="62.972999999999999"/>
    <n v="168.51300000000001"/>
    <n v="15.74"/>
    <n v="80.900000000000006"/>
    <n v="3.3149999999999999E-2"/>
    <n v="2.6219999999999998E-4"/>
    <n v="41.850919692820945"/>
    <n v="3.0503189533802617"/>
    <n v="1"/>
  </r>
  <r>
    <n v="1253"/>
    <s v="Zeolite"/>
    <n v="0.5"/>
    <n v="120"/>
    <n v="200"/>
    <n v="3"/>
    <n v="25"/>
    <n v="150"/>
    <n v="100"/>
    <n v="55.173000000000002"/>
    <n v="172.41300000000001"/>
    <n v="13.79"/>
    <n v="97.9"/>
    <n v="3.4790000000000001E-2"/>
    <n v="2.6830000000000002E-4"/>
    <n v="35.300504879330937"/>
    <n v="2.9893366209332886"/>
    <n v="2"/>
  </r>
  <r>
    <n v="1254"/>
    <s v="Zeolite"/>
    <n v="0.5"/>
    <n v="120"/>
    <n v="200"/>
    <n v="3"/>
    <n v="25"/>
    <n v="150"/>
    <n v="100"/>
    <n v="59.124000000000002"/>
    <n v="170.43799999999999"/>
    <n v="14.78"/>
    <n v="96.4"/>
    <n v="3.023E-2"/>
    <n v="2.3719999999999999E-4"/>
    <n v="37.086697826420981"/>
    <n v="3.0927365708750307"/>
    <n v="3"/>
  </r>
  <r>
    <n v="1255"/>
    <s v="Zeolite"/>
    <n v="0.5"/>
    <n v="120"/>
    <n v="200"/>
    <n v="7"/>
    <n v="25"/>
    <n v="150"/>
    <n v="100"/>
    <n v="68.781999999999996"/>
    <n v="165.60900000000001"/>
    <n v="17.2"/>
    <n v="130.6"/>
    <n v="3.0470000000000001E-2"/>
    <n v="2.5999999999999998E-4"/>
    <n v="46.918670381014813"/>
    <n v="3.0848107867481396"/>
    <n v="1"/>
  </r>
  <r>
    <n v="1256"/>
    <s v="Zeolite"/>
    <n v="0.5"/>
    <n v="120"/>
    <n v="200"/>
    <n v="7"/>
    <n v="25"/>
    <n v="150"/>
    <n v="100"/>
    <n v="84.414000000000001"/>
    <n v="157.79300000000001"/>
    <n v="21.1"/>
    <n v="89"/>
    <n v="2.9440000000000001E-2"/>
    <n v="2.1000000000000001E-4"/>
    <n v="57.420806528762427"/>
    <n v="3.2955847405655141"/>
    <n v="2"/>
  </r>
  <r>
    <n v="1257"/>
    <s v="Zeolite"/>
    <n v="0.5"/>
    <n v="120"/>
    <n v="200"/>
    <n v="7"/>
    <n v="25"/>
    <n v="150"/>
    <n v="100"/>
    <n v="102.246"/>
    <n v="148.87700000000001"/>
    <n v="25.56"/>
    <n v="81.5"/>
    <n v="2.69E-2"/>
    <n v="2.3900000000000001E-4"/>
    <n v="76.245185559059266"/>
    <n v="3.2581278621824419"/>
    <n v="3"/>
  </r>
  <r>
    <n v="1258"/>
    <s v="Zeolite"/>
    <n v="0.5"/>
    <n v="120"/>
    <n v="200"/>
    <n v="11"/>
    <n v="25"/>
    <n v="150"/>
    <n v="100"/>
    <n v="77.325999999999993"/>
    <n v="161.33699999999999"/>
    <n v="19.329999999999998"/>
    <n v="100.2"/>
    <n v="2.6290000000000001E-2"/>
    <n v="2.8140000000000001E-4"/>
    <n v="55.912843360453536"/>
    <n v="3.0640055293585093"/>
    <n v="1"/>
  </r>
  <r>
    <n v="1259"/>
    <s v="Zeolite"/>
    <n v="0.5"/>
    <n v="120"/>
    <n v="200"/>
    <n v="11"/>
    <n v="25"/>
    <n v="150"/>
    <n v="100"/>
    <n v="73.852000000000004"/>
    <n v="163.07400000000001"/>
    <n v="18.46"/>
    <n v="108.1"/>
    <n v="3.2149999999999998E-2"/>
    <n v="3.099E-4"/>
    <n v="54.139252074371946"/>
    <n v="2.981265529286949"/>
    <n v="2"/>
  </r>
  <r>
    <n v="1260"/>
    <s v="Zeolite"/>
    <n v="0.5"/>
    <n v="120"/>
    <n v="200"/>
    <n v="11"/>
    <n v="25"/>
    <n v="150"/>
    <n v="100"/>
    <n v="82.92"/>
    <n v="158.54"/>
    <n v="20.73"/>
    <n v="89.7"/>
    <n v="3.4869999999999998E-2"/>
    <n v="2.5960000000000002E-4"/>
    <n v="59.778181937691556"/>
    <n v="3.1416412866268733"/>
    <n v="3"/>
  </r>
  <r>
    <n v="1261"/>
    <s v="Zeolite"/>
    <n v="0.5"/>
    <n v="240"/>
    <n v="25"/>
    <n v="3"/>
    <n v="25"/>
    <n v="150"/>
    <n v="100"/>
    <n v="18.984999999999999"/>
    <n v="15.507"/>
    <n v="37.97"/>
    <n v="74.599999999999994"/>
    <n v="2.9489999999999999E-2"/>
    <n v="2.297E-4"/>
    <n v="9.7086622318947811"/>
    <n v="2.2274668318507853"/>
    <n v="1"/>
  </r>
  <r>
    <n v="1262"/>
    <s v="Zeolite"/>
    <n v="0.5"/>
    <n v="240"/>
    <n v="25"/>
    <n v="3"/>
    <n v="25"/>
    <n v="150"/>
    <n v="100"/>
    <n v="19.523"/>
    <n v="15.238"/>
    <n v="39.049999999999997"/>
    <n v="116.1"/>
    <n v="2.3779999999999999E-2"/>
    <n v="2.4939999999999999E-4"/>
    <n v="10.5202877003931"/>
    <n v="2.1975258985574091"/>
    <n v="2"/>
  </r>
  <r>
    <n v="1263"/>
    <s v="Zeolite"/>
    <n v="0.5"/>
    <n v="240"/>
    <n v="25"/>
    <n v="3"/>
    <n v="25"/>
    <n v="150"/>
    <n v="100"/>
    <n v="20.004000000000001"/>
    <n v="14.997999999999999"/>
    <n v="40.01"/>
    <n v="97.2"/>
    <n v="3.2190000000000003E-2"/>
    <n v="2.588E-4"/>
    <n v="11.083552709472865"/>
    <n v="2.1883460900126459"/>
    <n v="3"/>
  </r>
  <r>
    <n v="1264"/>
    <s v="Zeolite"/>
    <n v="0.5"/>
    <n v="240"/>
    <n v="25"/>
    <n v="7"/>
    <n v="25"/>
    <n v="150"/>
    <n v="100"/>
    <n v="27.495000000000001"/>
    <n v="11.253"/>
    <n v="54.99"/>
    <n v="95.9"/>
    <n v="2.6349999999999998E-2"/>
    <n v="2.22E-4"/>
    <n v="16.340541316001374"/>
    <n v="2.4118392999476108"/>
    <n v="1"/>
  </r>
  <r>
    <n v="1265"/>
    <s v="Zeolite"/>
    <n v="0.5"/>
    <n v="240"/>
    <n v="25"/>
    <n v="7"/>
    <n v="25"/>
    <n v="150"/>
    <n v="100"/>
    <n v="28.378"/>
    <n v="10.811"/>
    <n v="56.76"/>
    <n v="100.3"/>
    <n v="2.9579999999999999E-2"/>
    <n v="2.3939999999999999E-4"/>
    <n v="17.589880987022095"/>
    <n v="2.3784454371945611"/>
    <n v="2"/>
  </r>
  <r>
    <n v="1266"/>
    <s v="Zeolite"/>
    <n v="0.5"/>
    <n v="240"/>
    <n v="25"/>
    <n v="7"/>
    <n v="25"/>
    <n v="150"/>
    <n v="100"/>
    <n v="25.942"/>
    <n v="12.029"/>
    <n v="51.88"/>
    <n v="115.7"/>
    <n v="2.8989999999999998E-2"/>
    <n v="2.165E-4"/>
    <n v="14.89319544300314"/>
    <n v="2.402322237224193"/>
    <n v="3"/>
  </r>
  <r>
    <n v="1267"/>
    <s v="Zeolite"/>
    <n v="0.5"/>
    <n v="240"/>
    <n v="25"/>
    <n v="11"/>
    <n v="25"/>
    <n v="150"/>
    <n v="100"/>
    <n v="22.962"/>
    <n v="13.519"/>
    <n v="45.92"/>
    <n v="96.9"/>
    <n v="3.0089999999999999E-2"/>
    <n v="2.9020000000000001E-4"/>
    <n v="14.127938312989899"/>
    <n v="2.1786148960580483"/>
    <n v="1"/>
  </r>
  <r>
    <n v="1268"/>
    <s v="Zeolite"/>
    <n v="0.5"/>
    <n v="240"/>
    <n v="25"/>
    <n v="11"/>
    <n v="25"/>
    <n v="150"/>
    <n v="100"/>
    <n v="21.481999999999999"/>
    <n v="14.259"/>
    <n v="42.96"/>
    <n v="104.3"/>
    <n v="2.6460000000000001E-2"/>
    <n v="2.4449999999999998E-4"/>
    <n v="11.979060786288104"/>
    <n v="2.2516011416720367"/>
    <n v="2"/>
  </r>
  <r>
    <n v="1269"/>
    <s v="Zeolite"/>
    <n v="0.5"/>
    <n v="240"/>
    <n v="25"/>
    <n v="11"/>
    <n v="25"/>
    <n v="150"/>
    <n v="100"/>
    <n v="22.702000000000002"/>
    <n v="13.648999999999999"/>
    <n v="45.4"/>
    <n v="76.7"/>
    <n v="3.0599999999999999E-2"/>
    <n v="2.5250000000000001E-4"/>
    <n v="13.14624535803816"/>
    <n v="2.2571435533241644"/>
    <n v="3"/>
  </r>
  <r>
    <n v="1270"/>
    <s v="Zeolite"/>
    <n v="0.5"/>
    <n v="240"/>
    <n v="50"/>
    <n v="3"/>
    <n v="25"/>
    <n v="150"/>
    <n v="100"/>
    <n v="38.347999999999999"/>
    <n v="30.826000000000001"/>
    <n v="38.35"/>
    <n v="115.6"/>
    <n v="3.1E-2"/>
    <n v="2.8699999999999998E-4"/>
    <n v="27.816915207971732"/>
    <n v="2.3543313400257424"/>
    <n v="1"/>
  </r>
  <r>
    <n v="1271"/>
    <s v="Zeolite"/>
    <n v="0.5"/>
    <n v="240"/>
    <n v="50"/>
    <n v="3"/>
    <n v="25"/>
    <n v="150"/>
    <n v="100"/>
    <n v="34.79"/>
    <n v="32.604999999999997"/>
    <n v="34.79"/>
    <n v="102"/>
    <n v="3.0249999999999999E-2"/>
    <n v="2.2330000000000001E-4"/>
    <n v="22.644628441559821"/>
    <n v="2.4969481555176722"/>
    <n v="2"/>
  </r>
  <r>
    <n v="1272"/>
    <s v="Zeolite"/>
    <n v="0.5"/>
    <n v="240"/>
    <n v="50"/>
    <n v="3"/>
    <n v="25"/>
    <n v="150"/>
    <n v="100"/>
    <n v="41.494999999999997"/>
    <n v="29.253"/>
    <n v="41.49"/>
    <n v="134.9"/>
    <n v="2.9950000000000001E-2"/>
    <n v="2.6259999999999999E-4"/>
    <n v="30.017012763023907"/>
    <n v="2.4404310477301676"/>
    <n v="3"/>
  </r>
  <r>
    <n v="1273"/>
    <s v="Zeolite"/>
    <n v="0.5"/>
    <n v="240"/>
    <n v="50"/>
    <n v="7"/>
    <n v="25"/>
    <n v="150"/>
    <n v="100"/>
    <n v="54.710999999999999"/>
    <n v="22.645"/>
    <n v="54.71"/>
    <n v="89.3"/>
    <n v="2.4539999999999999E-2"/>
    <n v="2.3240000000000001E-4"/>
    <n v="41.207314984527493"/>
    <n v="2.6029626123055341"/>
    <n v="1"/>
  </r>
  <r>
    <n v="1274"/>
    <s v="Zeolite"/>
    <n v="0.5"/>
    <n v="240"/>
    <n v="50"/>
    <n v="7"/>
    <n v="25"/>
    <n v="150"/>
    <n v="100"/>
    <n v="47.494999999999997"/>
    <n v="26.251999999999999"/>
    <n v="47.5"/>
    <n v="125.6"/>
    <n v="2.9649999999999999E-2"/>
    <n v="2.4140000000000001E-4"/>
    <n v="34.8353055308975"/>
    <n v="2.538423282862607"/>
    <n v="2"/>
  </r>
  <r>
    <n v="1275"/>
    <s v="Zeolite"/>
    <n v="0.5"/>
    <n v="240"/>
    <n v="50"/>
    <n v="7"/>
    <n v="25"/>
    <n v="150"/>
    <n v="100"/>
    <n v="58.643000000000001"/>
    <n v="20.678999999999998"/>
    <n v="58.64"/>
    <n v="83.2"/>
    <n v="2.7699999999999999E-2"/>
    <n v="2.5169999999999999E-4"/>
    <n v="45.733166626303337"/>
    <n v="2.5579892980127998"/>
    <n v="3"/>
  </r>
  <r>
    <n v="1276"/>
    <s v="Zeolite"/>
    <n v="0.5"/>
    <n v="240"/>
    <n v="50"/>
    <n v="11"/>
    <n v="25"/>
    <n v="150"/>
    <n v="100"/>
    <n v="48.726999999999997"/>
    <n v="25.635999999999999"/>
    <n v="48.73"/>
    <n v="107.5"/>
    <n v="3.074E-2"/>
    <n v="2.52E-4"/>
    <n v="36.381702461075733"/>
    <n v="2.5132752244851688"/>
    <n v="1"/>
  </r>
  <r>
    <n v="1277"/>
    <s v="Zeolite"/>
    <n v="0.5"/>
    <n v="240"/>
    <n v="50"/>
    <n v="11"/>
    <n v="25"/>
    <n v="150"/>
    <n v="100"/>
    <n v="46.204000000000001"/>
    <n v="26.898"/>
    <n v="46.2"/>
    <n v="103"/>
    <n v="2.691E-2"/>
    <n v="2.5119999999999998E-4"/>
    <n v="33.998629672559375"/>
    <n v="2.5018760456574962"/>
    <n v="2"/>
  </r>
  <r>
    <n v="1278"/>
    <s v="Zeolite"/>
    <n v="0.5"/>
    <n v="240"/>
    <n v="50"/>
    <n v="11"/>
    <n v="25"/>
    <n v="150"/>
    <n v="100"/>
    <n v="40.287999999999997"/>
    <n v="29.856000000000002"/>
    <n v="40.29"/>
    <n v="101.2"/>
    <n v="2.8559999999999999E-2"/>
    <n v="3.1349999999999998E-4"/>
    <n v="30.294124919787048"/>
    <n v="2.301972413365502"/>
    <n v="3"/>
  </r>
  <r>
    <n v="1279"/>
    <s v="Zeolite"/>
    <n v="0.5"/>
    <n v="240"/>
    <n v="100"/>
    <n v="3"/>
    <n v="25"/>
    <n v="150"/>
    <n v="100"/>
    <n v="58.710999999999999"/>
    <n v="70.644999999999996"/>
    <n v="29.36"/>
    <n v="78.900000000000006"/>
    <n v="2.9600000000000001E-2"/>
    <n v="2.63E-4"/>
    <n v="46.234795760156928"/>
    <n v="2.5238231692305941"/>
    <n v="1"/>
  </r>
  <r>
    <n v="1280"/>
    <s v="Zeolite"/>
    <n v="0.5"/>
    <n v="240"/>
    <n v="100"/>
    <n v="3"/>
    <n v="25"/>
    <n v="150"/>
    <n v="100"/>
    <n v="67.796000000000006"/>
    <n v="66.102000000000004"/>
    <n v="33.9"/>
    <n v="91.2"/>
    <n v="2.5250000000000002E-2"/>
    <n v="2.7040000000000001E-4"/>
    <n v="55.240462581455368"/>
    <n v="2.5301617968343852"/>
    <n v="2"/>
  </r>
  <r>
    <n v="1281"/>
    <s v="Zeolite"/>
    <n v="0.5"/>
    <n v="240"/>
    <n v="100"/>
    <n v="3"/>
    <n v="25"/>
    <n v="150"/>
    <n v="100"/>
    <n v="51.600999999999999"/>
    <n v="74.2"/>
    <n v="25.8"/>
    <n v="93.5"/>
    <n v="2.9229999999999999E-2"/>
    <n v="2.4830000000000002E-4"/>
    <n v="38.938199019814547"/>
    <n v="2.5386686387047877"/>
    <n v="3"/>
  </r>
  <r>
    <n v="1282"/>
    <s v="Zeolite"/>
    <n v="0.5"/>
    <n v="240"/>
    <n v="100"/>
    <n v="7"/>
    <n v="25"/>
    <n v="150"/>
    <n v="100"/>
    <n v="87.527000000000001"/>
    <n v="56.237000000000002"/>
    <n v="43.76"/>
    <n v="89.7"/>
    <n v="2.9180000000000001E-2"/>
    <n v="2.496E-4"/>
    <n v="73.507465795113319"/>
    <n v="2.6404516574373149"/>
    <n v="1"/>
  </r>
  <r>
    <n v="1283"/>
    <s v="Zeolite"/>
    <n v="0.5"/>
    <n v="240"/>
    <n v="100"/>
    <n v="7"/>
    <n v="25"/>
    <n v="150"/>
    <n v="100"/>
    <n v="83.525000000000006"/>
    <n v="58.238"/>
    <n v="41.76"/>
    <n v="101.5"/>
    <n v="3.1309999999999998E-2"/>
    <n v="2.7109999999999998E-4"/>
    <n v="70.54413409939275"/>
    <n v="2.5634764194212649"/>
    <n v="2"/>
  </r>
  <r>
    <n v="1284"/>
    <s v="Zeolite"/>
    <n v="0.5"/>
    <n v="240"/>
    <n v="100"/>
    <n v="7"/>
    <n v="25"/>
    <n v="150"/>
    <n v="100"/>
    <n v="85.326999999999998"/>
    <n v="57.335999999999999"/>
    <n v="42.66"/>
    <n v="106.8"/>
    <n v="2.5250000000000002E-2"/>
    <n v="2.5129999999999998E-4"/>
    <n v="71.444207935058046"/>
    <n v="2.6306500922657854"/>
    <n v="3"/>
  </r>
  <r>
    <n v="1285"/>
    <s v="Zeolite"/>
    <n v="0.5"/>
    <n v="240"/>
    <n v="100"/>
    <n v="11"/>
    <n v="25"/>
    <n v="150"/>
    <n v="100"/>
    <n v="71.227000000000004"/>
    <n v="64.385999999999996"/>
    <n v="35.61"/>
    <n v="110.9"/>
    <n v="2.792E-2"/>
    <n v="2.3350000000000001E-4"/>
    <n v="56.957516193543206"/>
    <n v="2.6581232574957774"/>
    <n v="1"/>
  </r>
  <r>
    <n v="1286"/>
    <s v="Zeolite"/>
    <n v="0.5"/>
    <n v="240"/>
    <n v="100"/>
    <n v="11"/>
    <n v="25"/>
    <n v="150"/>
    <n v="100"/>
    <n v="64.751999999999995"/>
    <n v="67.623999999999995"/>
    <n v="32.380000000000003"/>
    <n v="108"/>
    <n v="3.3099999999999997E-2"/>
    <n v="2.398E-4"/>
    <n v="51.052532586006116"/>
    <n v="2.6173569571874733"/>
    <n v="2"/>
  </r>
  <r>
    <n v="1287"/>
    <s v="Zeolite"/>
    <n v="0.5"/>
    <n v="240"/>
    <n v="100"/>
    <n v="11"/>
    <n v="25"/>
    <n v="150"/>
    <n v="100"/>
    <n v="73.86"/>
    <n v="63.07"/>
    <n v="36.93"/>
    <n v="101.9"/>
    <n v="2.963E-2"/>
    <n v="2.4469999999999998E-4"/>
    <n v="60.022449974615043"/>
    <n v="2.6273859132321919"/>
    <n v="3"/>
  </r>
  <r>
    <n v="1288"/>
    <s v="Zeolite"/>
    <n v="0.5"/>
    <n v="240"/>
    <n v="200"/>
    <n v="3"/>
    <n v="25"/>
    <n v="150"/>
    <n v="100"/>
    <n v="73.605999999999995"/>
    <n v="163.197"/>
    <n v="18.399999999999999"/>
    <n v="104.9"/>
    <n v="3.6830000000000002E-2"/>
    <n v="2.287E-4"/>
    <n v="59.001884488742199"/>
    <n v="2.6813033733250924"/>
    <n v="1"/>
  </r>
  <r>
    <n v="1289"/>
    <s v="Zeolite"/>
    <n v="0.5"/>
    <n v="240"/>
    <n v="200"/>
    <n v="3"/>
    <n v="25"/>
    <n v="150"/>
    <n v="100"/>
    <n v="72.186999999999998"/>
    <n v="163.90600000000001"/>
    <n v="18.05"/>
    <n v="92.1"/>
    <n v="2.7390000000000001E-2"/>
    <n v="2.497E-4"/>
    <n v="58.633358513868664"/>
    <n v="2.6066552555843479"/>
    <n v="2"/>
  </r>
  <r>
    <n v="1290"/>
    <s v="Zeolite"/>
    <n v="0.5"/>
    <n v="240"/>
    <n v="200"/>
    <n v="3"/>
    <n v="25"/>
    <n v="150"/>
    <n v="100"/>
    <n v="69.823999999999998"/>
    <n v="165.08799999999999"/>
    <n v="17.46"/>
    <n v="143.80000000000001"/>
    <n v="2.945E-2"/>
    <n v="2.2169999999999999E-4"/>
    <n v="55.01570592199289"/>
    <n v="2.6951874344748052"/>
    <n v="3"/>
  </r>
  <r>
    <n v="1291"/>
    <s v="Zeolite"/>
    <n v="0.5"/>
    <n v="240"/>
    <n v="200"/>
    <n v="7"/>
    <n v="25"/>
    <n v="150"/>
    <n v="100"/>
    <n v="98.338999999999999"/>
    <n v="150.83099999999999"/>
    <n v="24.58"/>
    <n v="68.900000000000006"/>
    <n v="2.972E-2"/>
    <n v="2.5040000000000001E-4"/>
    <n v="84.10714424513219"/>
    <n v="2.6554828150443113"/>
    <n v="1"/>
  </r>
  <r>
    <n v="1292"/>
    <s v="Zeolite"/>
    <n v="0.5"/>
    <n v="240"/>
    <n v="200"/>
    <n v="7"/>
    <n v="25"/>
    <n v="150"/>
    <n v="100"/>
    <n v="102.84399999999999"/>
    <n v="148.578"/>
    <n v="25.71"/>
    <n v="114.6"/>
    <n v="2.8490000000000001E-2"/>
    <n v="2.4620000000000002E-4"/>
    <n v="88.31153793325862"/>
    <n v="2.6763849103536899"/>
    <n v="2"/>
  </r>
  <r>
    <n v="1293"/>
    <s v="Zeolite"/>
    <n v="0.5"/>
    <n v="240"/>
    <n v="200"/>
    <n v="7"/>
    <n v="25"/>
    <n v="150"/>
    <n v="100"/>
    <n v="89.363"/>
    <n v="155.31899999999999"/>
    <n v="22.34"/>
    <n v="83.1"/>
    <n v="3.0929999999999999E-2"/>
    <n v="2.1819999999999999E-4"/>
    <n v="73.62941705318454"/>
    <n v="2.7557974690612426"/>
    <n v="3"/>
  </r>
  <r>
    <n v="1294"/>
    <s v="Zeolite"/>
    <n v="0.5"/>
    <n v="240"/>
    <n v="200"/>
    <n v="11"/>
    <n v="25"/>
    <n v="150"/>
    <n v="100"/>
    <n v="76.763000000000005"/>
    <n v="161.61799999999999"/>
    <n v="19.190000000000001"/>
    <n v="85.1"/>
    <n v="3.1649999999999998E-2"/>
    <n v="2.9500000000000001E-4"/>
    <n v="64.833684925409884"/>
    <n v="2.478998822440746"/>
    <n v="1"/>
  </r>
  <r>
    <n v="1295"/>
    <s v="Zeolite"/>
    <n v="0.5"/>
    <n v="240"/>
    <n v="200"/>
    <n v="11"/>
    <n v="25"/>
    <n v="150"/>
    <n v="100"/>
    <n v="70.397999999999996"/>
    <n v="164.80099999999999"/>
    <n v="17.600000000000001"/>
    <n v="72.2"/>
    <n v="2.963E-2"/>
    <n v="2.5040000000000001E-4"/>
    <n v="56.939221701717045"/>
    <n v="2.5996315547392785"/>
    <n v="2"/>
  </r>
  <r>
    <n v="1296"/>
    <s v="Zeolite"/>
    <n v="0.5"/>
    <n v="240"/>
    <n v="200"/>
    <n v="11"/>
    <n v="25"/>
    <n v="150"/>
    <n v="100"/>
    <n v="81.308000000000007"/>
    <n v="159.346"/>
    <n v="20.329999999999998"/>
    <n v="93.3"/>
    <n v="2.9399999999999999E-2"/>
    <n v="2.5920000000000001E-4"/>
    <n v="67.886426581638844"/>
    <n v="2.5968633689601686"/>
    <n v="3"/>
  </r>
  <r>
    <n v="1297"/>
    <s v="Zeolite"/>
    <n v="1"/>
    <n v="30"/>
    <n v="25"/>
    <n v="3"/>
    <n v="25"/>
    <n v="150"/>
    <n v="100"/>
    <n v="1.986"/>
    <n v="23.013999999999999"/>
    <n v="7.94"/>
    <n v="70.7"/>
    <n v="2.8889999999999999E-2"/>
    <n v="2.5530000000000003E-4"/>
    <n v="2.9755985592012639E-2"/>
    <n v="0.67102631557409886"/>
    <n v="1"/>
  </r>
  <r>
    <n v="1298"/>
    <s v="Zeolite"/>
    <n v="1"/>
    <n v="30"/>
    <n v="25"/>
    <n v="3"/>
    <n v="25"/>
    <n v="150"/>
    <n v="100"/>
    <n v="1.6659999999999999"/>
    <n v="23.334"/>
    <n v="6.66"/>
    <n v="126"/>
    <n v="2.809E-2"/>
    <n v="2.4899999999999998E-4"/>
    <n v="2.047854738818311E-2"/>
    <n v="0.49805732645502715"/>
    <n v="2"/>
  </r>
  <r>
    <n v="1299"/>
    <s v="Zeolite"/>
    <n v="1"/>
    <n v="30"/>
    <n v="25"/>
    <n v="3"/>
    <n v="25"/>
    <n v="150"/>
    <n v="100"/>
    <n v="1.9059999999999999"/>
    <n v="23.094000000000001"/>
    <n v="7.63"/>
    <n v="91.1"/>
    <n v="2.4459999999999999E-2"/>
    <n v="2.3929999999999999E-4"/>
    <n v="2.5728087742728965E-2"/>
    <n v="0.63141640056274273"/>
    <n v="3"/>
  </r>
  <r>
    <n v="1300"/>
    <s v="Zeolite"/>
    <n v="1"/>
    <n v="30"/>
    <n v="25"/>
    <n v="7"/>
    <n v="25"/>
    <n v="150"/>
    <n v="100"/>
    <n v="3.4009999999999998"/>
    <n v="21.599"/>
    <n v="13.6"/>
    <n v="94.9"/>
    <n v="2.7459999999999998E-2"/>
    <n v="2.7310000000000002E-4"/>
    <n v="9.2197765812673693E-2"/>
    <n v="1.1965862611175504"/>
    <n v="1"/>
  </r>
  <r>
    <n v="1301"/>
    <s v="Zeolite"/>
    <n v="1"/>
    <n v="30"/>
    <n v="25"/>
    <n v="7"/>
    <n v="25"/>
    <n v="150"/>
    <n v="100"/>
    <n v="3.02"/>
    <n v="21.98"/>
    <n v="12.08"/>
    <n v="92.3"/>
    <n v="3.0450000000000001E-2"/>
    <n v="2.6929999999999999E-4"/>
    <n v="7.1928752185501849E-2"/>
    <n v="1.0811511422217805"/>
    <n v="2"/>
  </r>
  <r>
    <n v="1302"/>
    <s v="Zeolite"/>
    <n v="1"/>
    <n v="30"/>
    <n v="25"/>
    <n v="7"/>
    <n v="25"/>
    <n v="150"/>
    <n v="100"/>
    <n v="3.78"/>
    <n v="21.22"/>
    <n v="15.12"/>
    <n v="112.4"/>
    <n v="3.3480000000000003E-2"/>
    <n v="2.374E-4"/>
    <n v="9.9094252571443761E-2"/>
    <n v="1.3031588489151833"/>
    <n v="3"/>
  </r>
  <r>
    <n v="1303"/>
    <s v="Zeolite"/>
    <n v="1"/>
    <n v="30"/>
    <n v="25"/>
    <n v="11"/>
    <n v="25"/>
    <n v="150"/>
    <n v="100"/>
    <n v="2.0859999999999999"/>
    <n v="22.914000000000001"/>
    <n v="8.34"/>
    <n v="100.9"/>
    <n v="3.032E-2"/>
    <n v="2.23E-4"/>
    <n v="2.8710178931549386E-2"/>
    <n v="0.72138949577203282"/>
    <n v="1"/>
  </r>
  <r>
    <n v="1304"/>
    <s v="Zeolite"/>
    <n v="1"/>
    <n v="30"/>
    <n v="25"/>
    <n v="11"/>
    <n v="25"/>
    <n v="150"/>
    <n v="100"/>
    <n v="2.262"/>
    <n v="22.738"/>
    <n v="9.0500000000000007"/>
    <n v="106"/>
    <n v="3.108E-2"/>
    <n v="2.6259999999999999E-4"/>
    <n v="3.9603191140167332E-2"/>
    <n v="0.7985862571187079"/>
    <n v="2"/>
  </r>
  <r>
    <n v="1305"/>
    <s v="Zeolite"/>
    <n v="1"/>
    <n v="30"/>
    <n v="25"/>
    <n v="11"/>
    <n v="25"/>
    <n v="150"/>
    <n v="100"/>
    <n v="2.3580000000000001"/>
    <n v="22.641999999999999"/>
    <n v="9.43"/>
    <n v="92.4"/>
    <n v="2.8459999999999999E-2"/>
    <n v="2.2000000000000001E-4"/>
    <n v="3.6134724903275309E-2"/>
    <n v="0.84237086053157084"/>
    <n v="3"/>
  </r>
  <r>
    <n v="1306"/>
    <s v="Zeolite"/>
    <n v="1"/>
    <n v="30"/>
    <n v="50"/>
    <n v="3"/>
    <n v="25"/>
    <n v="150"/>
    <n v="100"/>
    <n v="7.1849999999999996"/>
    <n v="42.814999999999998"/>
    <n v="14.37"/>
    <n v="100.2"/>
    <n v="2.9329999999999998E-2"/>
    <n v="2.2680000000000001E-4"/>
    <n v="0.33488003375845898"/>
    <n v="1.9242661654407105"/>
    <n v="1"/>
  </r>
  <r>
    <n v="1307"/>
    <s v="Zeolite"/>
    <n v="1"/>
    <n v="30"/>
    <n v="50"/>
    <n v="3"/>
    <n v="25"/>
    <n v="150"/>
    <n v="100"/>
    <n v="7.827"/>
    <n v="42.173000000000002"/>
    <n v="15.65"/>
    <n v="83.9"/>
    <n v="2.8709999999999999E-2"/>
    <n v="2.6039999999999999E-4"/>
    <n v="0.45100189326143103"/>
    <n v="1.9982312295756492"/>
    <n v="2"/>
  </r>
  <r>
    <n v="1308"/>
    <s v="Zeolite"/>
    <n v="1"/>
    <n v="30"/>
    <n v="50"/>
    <n v="3"/>
    <n v="25"/>
    <n v="150"/>
    <n v="100"/>
    <n v="6.5250000000000004"/>
    <n v="43.475000000000001"/>
    <n v="13.05"/>
    <n v="114.4"/>
    <n v="3.542E-2"/>
    <n v="2.6269999999999999E-4"/>
    <n v="0.31912782303877019"/>
    <n v="1.825495969127195"/>
    <n v="3"/>
  </r>
  <r>
    <n v="1309"/>
    <s v="Zeolite"/>
    <n v="1"/>
    <n v="30"/>
    <n v="50"/>
    <n v="7"/>
    <n v="25"/>
    <n v="150"/>
    <n v="100"/>
    <n v="9.3529999999999998"/>
    <n v="40.646999999999998"/>
    <n v="18.71"/>
    <n v="96.1"/>
    <n v="3.092E-2"/>
    <n v="3.0170000000000002E-4"/>
    <n v="0.7299736947165445"/>
    <n v="2.1544361025608554"/>
    <n v="1"/>
  </r>
  <r>
    <n v="1310"/>
    <s v="Zeolite"/>
    <n v="1"/>
    <n v="30"/>
    <n v="50"/>
    <n v="7"/>
    <n v="25"/>
    <n v="150"/>
    <n v="100"/>
    <n v="9.0350000000000001"/>
    <n v="40.965000000000003"/>
    <n v="18.07"/>
    <n v="118"/>
    <n v="3.0540000000000001E-2"/>
    <n v="2.7090000000000003E-4"/>
    <n v="0.61803615015172264"/>
    <n v="2.1302491753227795"/>
    <n v="2"/>
  </r>
  <r>
    <n v="1311"/>
    <s v="Zeolite"/>
    <n v="1"/>
    <n v="30"/>
    <n v="50"/>
    <n v="7"/>
    <n v="25"/>
    <n v="150"/>
    <n v="100"/>
    <n v="10.24"/>
    <n v="39.76"/>
    <n v="20.48"/>
    <n v="87.4"/>
    <n v="3.2250000000000001E-2"/>
    <n v="2.6640000000000002E-4"/>
    <n v="0.77462788072684596"/>
    <n v="2.2476400991840917"/>
    <n v="3"/>
  </r>
  <r>
    <n v="1312"/>
    <s v="Zeolite"/>
    <n v="1"/>
    <n v="30"/>
    <n v="50"/>
    <n v="11"/>
    <n v="25"/>
    <n v="150"/>
    <n v="100"/>
    <n v="8.4290000000000003"/>
    <n v="41.570999999999998"/>
    <n v="16.86"/>
    <n v="99.8"/>
    <n v="2.8199999999999999E-2"/>
    <n v="2.1100000000000001E-4"/>
    <n v="0.42695373940064707"/>
    <n v="2.0796972915479692"/>
    <n v="1"/>
  </r>
  <r>
    <n v="1313"/>
    <s v="Zeolite"/>
    <n v="1"/>
    <n v="30"/>
    <n v="50"/>
    <n v="11"/>
    <n v="25"/>
    <n v="150"/>
    <n v="100"/>
    <n v="8.3219999999999992"/>
    <n v="41.677999999999997"/>
    <n v="16.64"/>
    <n v="106.4"/>
    <n v="2.7099999999999999E-2"/>
    <n v="2.365E-4"/>
    <n v="0.46397392765114814"/>
    <n v="2.0615354390677516"/>
    <n v="2"/>
  </r>
  <r>
    <n v="1314"/>
    <s v="Zeolite"/>
    <n v="1"/>
    <n v="30"/>
    <n v="50"/>
    <n v="11"/>
    <n v="25"/>
    <n v="150"/>
    <n v="100"/>
    <n v="7.4249999999999998"/>
    <n v="42.575000000000003"/>
    <n v="14.85"/>
    <n v="77.8"/>
    <n v="2.7550000000000002E-2"/>
    <n v="2.2169999999999999E-4"/>
    <n v="0.34941823053898752"/>
    <n v="1.9566496690477737"/>
    <n v="3"/>
  </r>
  <r>
    <n v="1315"/>
    <s v="Zeolite"/>
    <n v="1"/>
    <n v="30"/>
    <n v="100"/>
    <n v="3"/>
    <n v="25"/>
    <n v="150"/>
    <n v="100"/>
    <n v="16.677"/>
    <n v="83.322999999999993"/>
    <n v="16.68"/>
    <n v="88.9"/>
    <n v="2.512E-2"/>
    <n v="3.0059999999999999E-4"/>
    <n v="2.1802173321652476"/>
    <n v="2.6739267398295015"/>
    <n v="1"/>
  </r>
  <r>
    <n v="1316"/>
    <s v="Zeolite"/>
    <n v="1"/>
    <n v="30"/>
    <n v="100"/>
    <n v="3"/>
    <n v="25"/>
    <n v="150"/>
    <n v="100"/>
    <n v="19.273"/>
    <n v="80.727000000000004"/>
    <n v="19.27"/>
    <n v="88.3"/>
    <n v="3.082E-2"/>
    <n v="2.6039999999999999E-4"/>
    <n v="2.5220364028398272"/>
    <n v="2.8184557848050598"/>
    <n v="2"/>
  </r>
  <r>
    <n v="1317"/>
    <s v="Zeolite"/>
    <n v="1"/>
    <n v="30"/>
    <n v="100"/>
    <n v="3"/>
    <n v="25"/>
    <n v="150"/>
    <n v="100"/>
    <n v="19.177"/>
    <n v="80.822999999999993"/>
    <n v="19.18"/>
    <n v="87.7"/>
    <n v="3.3279999999999997E-2"/>
    <n v="2.363E-4"/>
    <n v="2.2950318696081258"/>
    <n v="2.8262460777734577"/>
    <n v="3"/>
  </r>
  <r>
    <n v="1318"/>
    <s v="Zeolite"/>
    <n v="1"/>
    <n v="30"/>
    <n v="100"/>
    <n v="7"/>
    <n v="25"/>
    <n v="150"/>
    <n v="100"/>
    <n v="24.603000000000002"/>
    <n v="75.397000000000006"/>
    <n v="24.6"/>
    <n v="110.9"/>
    <n v="3.3869999999999997E-2"/>
    <n v="3.1470000000000001E-4"/>
    <n v="4.6375202114930785"/>
    <n v="2.9940047717068703"/>
    <n v="1"/>
  </r>
  <r>
    <n v="1319"/>
    <s v="Zeolite"/>
    <n v="1"/>
    <n v="30"/>
    <n v="100"/>
    <n v="7"/>
    <n v="25"/>
    <n v="150"/>
    <n v="100"/>
    <n v="24.946000000000002"/>
    <n v="75.054000000000002"/>
    <n v="24.95"/>
    <n v="110.5"/>
    <n v="2.877E-2"/>
    <n v="2.6959999999999999E-4"/>
    <n v="4.1881676719473129"/>
    <n v="3.0329236370489023"/>
    <n v="2"/>
  </r>
  <r>
    <n v="1320"/>
    <s v="Zeolite"/>
    <n v="1"/>
    <n v="30"/>
    <n v="100"/>
    <n v="7"/>
    <n v="25"/>
    <n v="150"/>
    <n v="100"/>
    <n v="24.265000000000001"/>
    <n v="75.734999999999999"/>
    <n v="24.26"/>
    <n v="81.099999999999994"/>
    <n v="2.767E-2"/>
    <n v="2.52E-4"/>
    <n v="3.761273332548055"/>
    <n v="3.0206066582789997"/>
    <n v="3"/>
  </r>
  <r>
    <n v="1321"/>
    <s v="Zeolite"/>
    <n v="1"/>
    <n v="30"/>
    <n v="100"/>
    <n v="11"/>
    <n v="25"/>
    <n v="150"/>
    <n v="100"/>
    <n v="20.149000000000001"/>
    <n v="79.850999999999999"/>
    <n v="20.149999999999999"/>
    <n v="109.9"/>
    <n v="3.3079999999999998E-2"/>
    <n v="2.6499999999999999E-4"/>
    <n v="2.7819354239375107"/>
    <n v="2.8545755720780095"/>
    <n v="1"/>
  </r>
  <r>
    <n v="1322"/>
    <s v="Zeolite"/>
    <n v="1"/>
    <n v="30"/>
    <n v="100"/>
    <n v="11"/>
    <n v="25"/>
    <n v="150"/>
    <n v="100"/>
    <n v="24.498000000000001"/>
    <n v="75.501999999999995"/>
    <n v="24.5"/>
    <n v="106.2"/>
    <n v="2.6349999999999998E-2"/>
    <n v="2.8410000000000002E-4"/>
    <n v="4.231560667774759"/>
    <n v="3.0089662830811603"/>
    <n v="2"/>
  </r>
  <r>
    <n v="1323"/>
    <s v="Zeolite"/>
    <n v="1"/>
    <n v="30"/>
    <n v="100"/>
    <n v="11"/>
    <n v="25"/>
    <n v="150"/>
    <n v="100"/>
    <n v="20.218"/>
    <n v="79.781999999999996"/>
    <n v="20.22"/>
    <n v="113.7"/>
    <n v="3.4720000000000001E-2"/>
    <n v="2.6140000000000001E-4"/>
    <n v="2.7668690619290177"/>
    <n v="2.8594044567529866"/>
    <n v="3"/>
  </r>
  <r>
    <n v="1324"/>
    <s v="Zeolite"/>
    <n v="1"/>
    <n v="30"/>
    <n v="200"/>
    <n v="3"/>
    <n v="25"/>
    <n v="150"/>
    <n v="100"/>
    <n v="25.283000000000001"/>
    <n v="174.71700000000001"/>
    <n v="12.64"/>
    <n v="86.2"/>
    <n v="3.397E-2"/>
    <n v="2.4580000000000001E-4"/>
    <n v="3.9729739581755168"/>
    <n v="3.0591776681569161"/>
    <n v="1"/>
  </r>
  <r>
    <n v="1325"/>
    <s v="Zeolite"/>
    <n v="1"/>
    <n v="30"/>
    <n v="200"/>
    <n v="3"/>
    <n v="25"/>
    <n v="150"/>
    <n v="100"/>
    <n v="29.425999999999998"/>
    <n v="170.57400000000001"/>
    <n v="14.71"/>
    <n v="111.4"/>
    <n v="3.209E-2"/>
    <n v="2.5700000000000001E-4"/>
    <n v="5.4414759436430042"/>
    <n v="3.1774087913699023"/>
    <n v="2"/>
  </r>
  <r>
    <n v="1326"/>
    <s v="Zeolite"/>
    <n v="1"/>
    <n v="30"/>
    <n v="200"/>
    <n v="3"/>
    <n v="25"/>
    <n v="150"/>
    <n v="100"/>
    <n v="28.667999999999999"/>
    <n v="171.33199999999999"/>
    <n v="14.33"/>
    <n v="95.3"/>
    <n v="3.2570000000000002E-2"/>
    <n v="2.6380000000000002E-4"/>
    <n v="5.3013840026245722"/>
    <n v="3.1513083369268067"/>
    <n v="3"/>
  </r>
  <r>
    <n v="1327"/>
    <s v="Zeolite"/>
    <n v="1"/>
    <n v="30"/>
    <n v="200"/>
    <n v="7"/>
    <n v="25"/>
    <n v="150"/>
    <n v="100"/>
    <n v="45.122999999999998"/>
    <n v="154.87700000000001"/>
    <n v="22.56"/>
    <n v="116.2"/>
    <n v="2.9610000000000001E-2"/>
    <n v="2.287E-4"/>
    <n v="10.667149086303001"/>
    <n v="3.5396788208820178"/>
    <n v="1"/>
  </r>
  <r>
    <n v="1328"/>
    <s v="Zeolite"/>
    <n v="1"/>
    <n v="30"/>
    <n v="200"/>
    <n v="7"/>
    <n v="25"/>
    <n v="150"/>
    <n v="100"/>
    <n v="43.036999999999999"/>
    <n v="156.96299999999999"/>
    <n v="21.52"/>
    <n v="85.3"/>
    <n v="2.9180000000000001E-2"/>
    <n v="2.8079999999999999E-4"/>
    <n v="11.451223794048357"/>
    <n v="3.4527068991935992"/>
    <n v="2"/>
  </r>
  <r>
    <n v="1329"/>
    <s v="Zeolite"/>
    <n v="1"/>
    <n v="30"/>
    <n v="200"/>
    <n v="7"/>
    <n v="25"/>
    <n v="150"/>
    <n v="100"/>
    <n v="42.844999999999999"/>
    <n v="157.155"/>
    <n v="21.42"/>
    <n v="102.8"/>
    <n v="2.8029999999999999E-2"/>
    <n v="2.4350000000000001E-4"/>
    <n v="10.213192144340667"/>
    <n v="3.4852875137795878"/>
    <n v="3"/>
  </r>
  <r>
    <n v="1330"/>
    <s v="Zeolite"/>
    <n v="1"/>
    <n v="30"/>
    <n v="200"/>
    <n v="11"/>
    <n v="25"/>
    <n v="150"/>
    <n v="100"/>
    <n v="30.89"/>
    <n v="169.11"/>
    <n v="15.44"/>
    <n v="96.7"/>
    <n v="2.9420000000000002E-2"/>
    <n v="2.6350000000000001E-4"/>
    <n v="6.0625114612134396"/>
    <n v="3.2119514481614591"/>
    <n v="1"/>
  </r>
  <r>
    <n v="1331"/>
    <s v="Zeolite"/>
    <n v="1"/>
    <n v="30"/>
    <n v="200"/>
    <n v="11"/>
    <n v="25"/>
    <n v="150"/>
    <n v="100"/>
    <n v="36.466000000000001"/>
    <n v="163.53399999999999"/>
    <n v="18.23"/>
    <n v="82"/>
    <n v="3.3250000000000002E-2"/>
    <n v="2.5530000000000003E-4"/>
    <n v="7.9611951425136063"/>
    <n v="3.3500726645554071"/>
    <n v="2"/>
  </r>
  <r>
    <n v="1332"/>
    <s v="Zeolite"/>
    <n v="1"/>
    <n v="30"/>
    <n v="200"/>
    <n v="11"/>
    <n v="25"/>
    <n v="150"/>
    <n v="100"/>
    <n v="36.386000000000003"/>
    <n v="163.614"/>
    <n v="18.190000000000001"/>
    <n v="99.9"/>
    <n v="2.845E-2"/>
    <n v="2.5539999999999997E-4"/>
    <n v="7.9325296755338162"/>
    <n v="3.3482701329037532"/>
    <n v="3"/>
  </r>
  <r>
    <n v="1333"/>
    <s v="Zeolite"/>
    <n v="1"/>
    <n v="60"/>
    <n v="25"/>
    <n v="3"/>
    <n v="25"/>
    <n v="150"/>
    <n v="100"/>
    <n v="3.4089999999999998"/>
    <n v="21.591000000000001"/>
    <n v="13.63"/>
    <n v="73.8"/>
    <n v="2.8379999999999999E-2"/>
    <n v="2.4360000000000001E-4"/>
    <n v="0.16179505190052723"/>
    <n v="1.1777946103463519"/>
    <n v="1"/>
  </r>
  <r>
    <n v="1334"/>
    <s v="Zeolite"/>
    <n v="1"/>
    <n v="60"/>
    <n v="25"/>
    <n v="3"/>
    <n v="25"/>
    <n v="150"/>
    <n v="100"/>
    <n v="3.3439999999999999"/>
    <n v="21.655999999999999"/>
    <n v="13.38"/>
    <n v="117.9"/>
    <n v="2.768E-2"/>
    <n v="2.376E-4"/>
    <n v="0.15216152791872092"/>
    <n v="1.1605970743225758"/>
    <n v="2"/>
  </r>
  <r>
    <n v="1335"/>
    <s v="Zeolite"/>
    <n v="1"/>
    <n v="60"/>
    <n v="25"/>
    <n v="3"/>
    <n v="25"/>
    <n v="150"/>
    <n v="100"/>
    <n v="3.1179999999999999"/>
    <n v="21.882000000000001"/>
    <n v="12.47"/>
    <n v="88"/>
    <n v="2.896E-2"/>
    <n v="2.6929999999999999E-4"/>
    <n v="0.14955230647985929"/>
    <n v="1.088039154064723"/>
    <n v="3"/>
  </r>
  <r>
    <n v="1336"/>
    <s v="Zeolite"/>
    <n v="1"/>
    <n v="60"/>
    <n v="25"/>
    <n v="7"/>
    <n v="25"/>
    <n v="150"/>
    <n v="100"/>
    <n v="4.9320000000000004"/>
    <n v="20.068000000000001"/>
    <n v="19.73"/>
    <n v="106.4"/>
    <n v="2.4889999999999999E-2"/>
    <n v="2.3599999999999999E-4"/>
    <n v="0.32195244434965953"/>
    <n v="1.528238172714643"/>
    <n v="1"/>
  </r>
  <r>
    <n v="1337"/>
    <s v="Zeolite"/>
    <n v="1"/>
    <n v="60"/>
    <n v="25"/>
    <n v="7"/>
    <n v="25"/>
    <n v="150"/>
    <n v="100"/>
    <n v="5.2869999999999999"/>
    <n v="19.713000000000001"/>
    <n v="21.15"/>
    <n v="125.1"/>
    <n v="2.9180000000000001E-2"/>
    <n v="1.95E-4"/>
    <n v="0.30799103844309117"/>
    <n v="1.6052308675292652"/>
    <n v="2"/>
  </r>
  <r>
    <n v="1338"/>
    <s v="Zeolite"/>
    <n v="1"/>
    <n v="60"/>
    <n v="25"/>
    <n v="7"/>
    <n v="25"/>
    <n v="150"/>
    <n v="100"/>
    <n v="4.468"/>
    <n v="20.532"/>
    <n v="17.87"/>
    <n v="100.5"/>
    <n v="3.184E-2"/>
    <n v="2.5940000000000002E-4"/>
    <n v="0.29050294470533256"/>
    <n v="1.4297122765906145"/>
    <n v="3"/>
  </r>
  <r>
    <n v="1339"/>
    <s v="Zeolite"/>
    <n v="1"/>
    <n v="60"/>
    <n v="25"/>
    <n v="11"/>
    <n v="25"/>
    <n v="150"/>
    <n v="100"/>
    <n v="4.1509999999999998"/>
    <n v="20.849"/>
    <n v="16.61"/>
    <n v="117.4"/>
    <n v="2.8379999999999999E-2"/>
    <n v="2.7240000000000001E-4"/>
    <n v="0.26372787252890956"/>
    <n v="1.3577076590596313"/>
    <n v="1"/>
  </r>
  <r>
    <n v="1340"/>
    <s v="Zeolite"/>
    <n v="1"/>
    <n v="60"/>
    <n v="25"/>
    <n v="11"/>
    <n v="25"/>
    <n v="150"/>
    <n v="100"/>
    <n v="3.4889999999999999"/>
    <n v="21.510999999999999"/>
    <n v="13.96"/>
    <n v="86.4"/>
    <n v="2.4580000000000001E-2"/>
    <n v="2.431E-4"/>
    <n v="0.16895873907150941"/>
    <n v="1.1999772108416795"/>
    <n v="2"/>
  </r>
  <r>
    <n v="1341"/>
    <s v="Zeolite"/>
    <n v="1"/>
    <n v="60"/>
    <n v="25"/>
    <n v="11"/>
    <n v="25"/>
    <n v="150"/>
    <n v="100"/>
    <n v="4.0730000000000004"/>
    <n v="20.927"/>
    <n v="16.29"/>
    <n v="101.7"/>
    <n v="3.0190000000000002E-2"/>
    <n v="2.2680000000000001E-4"/>
    <n v="0.21389251429260681"/>
    <n v="1.3504359354216409"/>
    <n v="3"/>
  </r>
  <r>
    <n v="1342"/>
    <s v="Zeolite"/>
    <n v="1"/>
    <n v="60"/>
    <n v="50"/>
    <n v="3"/>
    <n v="25"/>
    <n v="150"/>
    <n v="100"/>
    <n v="10.186"/>
    <n v="39.814"/>
    <n v="20.37"/>
    <n v="77.5"/>
    <n v="3.4090000000000002E-2"/>
    <n v="2.4240000000000001E-4"/>
    <n v="1.3142996767767656"/>
    <n v="2.1828664716623476"/>
    <n v="1"/>
  </r>
  <r>
    <n v="1343"/>
    <s v="Zeolite"/>
    <n v="1"/>
    <n v="60"/>
    <n v="50"/>
    <n v="3"/>
    <n v="25"/>
    <n v="150"/>
    <n v="100"/>
    <n v="9.907"/>
    <n v="40.093000000000004"/>
    <n v="19.809999999999999"/>
    <n v="123.8"/>
    <n v="2.6270000000000002E-2"/>
    <n v="2.219E-4"/>
    <n v="1.1544739261788859"/>
    <n v="2.1693423528563698"/>
    <n v="2"/>
  </r>
  <r>
    <n v="1344"/>
    <s v="Zeolite"/>
    <n v="1"/>
    <n v="60"/>
    <n v="50"/>
    <n v="3"/>
    <n v="25"/>
    <n v="150"/>
    <n v="100"/>
    <n v="9.3409999999999993"/>
    <n v="40.658999999999999"/>
    <n v="18.68"/>
    <n v="99"/>
    <n v="3.1289999999999998E-2"/>
    <n v="2.6850000000000002E-4"/>
    <n v="1.221804966948201"/>
    <n v="2.0942310153988846"/>
    <n v="3"/>
  </r>
  <r>
    <n v="1345"/>
    <s v="Zeolite"/>
    <n v="1"/>
    <n v="60"/>
    <n v="50"/>
    <n v="7"/>
    <n v="25"/>
    <n v="150"/>
    <n v="100"/>
    <n v="20.463000000000001"/>
    <n v="29.536999999999999"/>
    <n v="40.93"/>
    <n v="66.3"/>
    <n v="3.1829999999999997E-2"/>
    <n v="2.3609999999999999E-4"/>
    <n v="4.5987195111108647"/>
    <n v="2.7640700719039248"/>
    <n v="1"/>
  </r>
  <r>
    <n v="1346"/>
    <s v="Zeolite"/>
    <n v="1"/>
    <n v="60"/>
    <n v="50"/>
    <n v="7"/>
    <n v="25"/>
    <n v="150"/>
    <n v="100"/>
    <n v="15.74"/>
    <n v="34.26"/>
    <n v="31.48"/>
    <n v="90.7"/>
    <n v="2.7269999999999999E-2"/>
    <n v="2.921E-4"/>
    <n v="3.4032158889251765"/>
    <n v="2.5125853776312623"/>
    <n v="2"/>
  </r>
  <r>
    <n v="1347"/>
    <s v="Zeolite"/>
    <n v="1"/>
    <n v="60"/>
    <n v="50"/>
    <n v="7"/>
    <n v="25"/>
    <n v="150"/>
    <n v="100"/>
    <n v="17.876999999999999"/>
    <n v="32.122999999999998"/>
    <n v="35.75"/>
    <n v="100.3"/>
    <n v="3.4049999999999997E-2"/>
    <n v="2.1220000000000001E-4"/>
    <n v="3.3145571034384336"/>
    <n v="2.6784458100520725"/>
    <n v="3"/>
  </r>
  <r>
    <n v="1348"/>
    <s v="Zeolite"/>
    <n v="1"/>
    <n v="60"/>
    <n v="50"/>
    <n v="11"/>
    <n v="25"/>
    <n v="150"/>
    <n v="100"/>
    <n v="11.228"/>
    <n v="38.771999999999998"/>
    <n v="22.46"/>
    <n v="67.3"/>
    <n v="2.7900000000000001E-2"/>
    <n v="2.5399999999999999E-4"/>
    <n v="1.6405532637827316"/>
    <n v="2.2604546111334596"/>
    <n v="1"/>
  </r>
  <r>
    <n v="1349"/>
    <s v="Zeolite"/>
    <n v="1"/>
    <n v="60"/>
    <n v="50"/>
    <n v="11"/>
    <n v="25"/>
    <n v="150"/>
    <n v="100"/>
    <n v="12.874000000000001"/>
    <n v="37.125999999999998"/>
    <n v="25.75"/>
    <n v="102.2"/>
    <n v="2.5770000000000001E-2"/>
    <n v="2.7010000000000001E-4"/>
    <n v="2.2223236215649389"/>
    <n v="2.3657172861941698"/>
    <n v="2"/>
  </r>
  <r>
    <n v="1350"/>
    <s v="Zeolite"/>
    <n v="1"/>
    <n v="60"/>
    <n v="50"/>
    <n v="11"/>
    <n v="25"/>
    <n v="150"/>
    <n v="100"/>
    <n v="13.031000000000001"/>
    <n v="36.969000000000001"/>
    <n v="26.06"/>
    <n v="111"/>
    <n v="2.4320000000000001E-2"/>
    <n v="2.5779999999999998E-4"/>
    <n v="2.185963584330159"/>
    <n v="2.3837075021035221"/>
    <n v="3"/>
  </r>
  <r>
    <n v="1351"/>
    <s v="Zeolite"/>
    <n v="1"/>
    <n v="60"/>
    <n v="100"/>
    <n v="3"/>
    <n v="25"/>
    <n v="150"/>
    <n v="100"/>
    <n v="23.741"/>
    <n v="76.259"/>
    <n v="23.74"/>
    <n v="94"/>
    <n v="3.1600000000000003E-2"/>
    <n v="2.5230000000000001E-4"/>
    <n v="6.2765651948734247"/>
    <n v="2.8601665161620922"/>
    <n v="1"/>
  </r>
  <r>
    <n v="1352"/>
    <s v="Zeolite"/>
    <n v="1"/>
    <n v="60"/>
    <n v="100"/>
    <n v="3"/>
    <n v="25"/>
    <n v="150"/>
    <n v="100"/>
    <n v="24.545000000000002"/>
    <n v="75.454999999999998"/>
    <n v="24.54"/>
    <n v="100.1"/>
    <n v="2.5409999999999999E-2"/>
    <n v="2.788E-4"/>
    <n v="7.144464354160883"/>
    <n v="2.8565009899902858"/>
    <n v="2"/>
  </r>
  <r>
    <n v="1353"/>
    <s v="Zeolite"/>
    <n v="1"/>
    <n v="60"/>
    <n v="100"/>
    <n v="3"/>
    <n v="25"/>
    <n v="150"/>
    <n v="100"/>
    <n v="26.091000000000001"/>
    <n v="73.909000000000006"/>
    <n v="26.09"/>
    <n v="116.8"/>
    <n v="2.8420000000000001E-2"/>
    <n v="2.3690000000000001E-4"/>
    <n v="7.0583868400997618"/>
    <n v="2.9461539897946492"/>
    <n v="3"/>
  </r>
  <r>
    <n v="1354"/>
    <s v="Zeolite"/>
    <n v="1"/>
    <n v="60"/>
    <n v="100"/>
    <n v="7"/>
    <n v="25"/>
    <n v="150"/>
    <n v="100"/>
    <n v="38.098999999999997"/>
    <n v="61.901000000000003"/>
    <n v="38.1"/>
    <n v="113.1"/>
    <n v="2.7869999999999999E-2"/>
    <n v="2.6610000000000002E-4"/>
    <n v="14.409844213800492"/>
    <n v="3.1650173816640246"/>
    <n v="1"/>
  </r>
  <r>
    <n v="1355"/>
    <s v="Zeolite"/>
    <n v="1"/>
    <n v="60"/>
    <n v="100"/>
    <n v="7"/>
    <n v="25"/>
    <n v="150"/>
    <n v="100"/>
    <n v="39.503999999999998"/>
    <n v="60.496000000000002"/>
    <n v="39.5"/>
    <n v="70.400000000000006"/>
    <n v="2.8289999999999999E-2"/>
    <n v="2.2049999999999999E-4"/>
    <n v="13.559552222159288"/>
    <n v="3.2559576282548073"/>
    <n v="2"/>
  </r>
  <r>
    <n v="1356"/>
    <s v="Zeolite"/>
    <n v="1"/>
    <n v="60"/>
    <n v="100"/>
    <n v="7"/>
    <n v="25"/>
    <n v="150"/>
    <n v="100"/>
    <n v="41.036999999999999"/>
    <n v="58.963000000000001"/>
    <n v="41.04"/>
    <n v="82.1"/>
    <n v="3.2779999999999997E-2"/>
    <n v="2.477E-4"/>
    <n v="15.546468522114319"/>
    <n v="3.238307068617329"/>
    <n v="3"/>
  </r>
  <r>
    <n v="1357"/>
    <s v="Zeolite"/>
    <n v="1"/>
    <n v="60"/>
    <n v="100"/>
    <n v="11"/>
    <n v="25"/>
    <n v="150"/>
    <n v="100"/>
    <n v="31.635000000000002"/>
    <n v="68.364999999999995"/>
    <n v="31.64"/>
    <n v="109.8"/>
    <n v="3.2890000000000003E-2"/>
    <n v="2.4949999999999999E-4"/>
    <n v="10.16681575065744"/>
    <n v="3.0665720367885858"/>
    <n v="1"/>
  </r>
  <r>
    <n v="1358"/>
    <s v="Zeolite"/>
    <n v="1"/>
    <n v="60"/>
    <n v="100"/>
    <n v="11"/>
    <n v="25"/>
    <n v="150"/>
    <n v="100"/>
    <n v="29.917999999999999"/>
    <n v="70.081999999999994"/>
    <n v="29.92"/>
    <n v="73.400000000000006"/>
    <n v="2.794E-2"/>
    <n v="2.3460000000000001E-4"/>
    <n v="8.865676079292653"/>
    <n v="3.0470109540683583"/>
    <n v="2"/>
  </r>
  <r>
    <n v="1359"/>
    <s v="Zeolite"/>
    <n v="1"/>
    <n v="60"/>
    <n v="100"/>
    <n v="11"/>
    <n v="25"/>
    <n v="150"/>
    <n v="100"/>
    <n v="32.459000000000003"/>
    <n v="67.540999999999997"/>
    <n v="32.46"/>
    <n v="94.8"/>
    <n v="3.2059999999999998E-2"/>
    <n v="2.3470000000000001E-4"/>
    <n v="10.182371502517684"/>
    <n v="3.1035380794379734"/>
    <n v="3"/>
  </r>
  <r>
    <n v="1360"/>
    <s v="Zeolite"/>
    <n v="1"/>
    <n v="60"/>
    <n v="200"/>
    <n v="3"/>
    <n v="25"/>
    <n v="150"/>
    <n v="100"/>
    <n v="42.329000000000001"/>
    <n v="157.67099999999999"/>
    <n v="21.16"/>
    <n v="117.8"/>
    <n v="3.1029999999999999E-2"/>
    <n v="2.4850000000000002E-4"/>
    <n v="16.378205377153744"/>
    <n v="3.2562022304473626"/>
    <n v="1"/>
  </r>
  <r>
    <n v="1361"/>
    <s v="Zeolite"/>
    <n v="1"/>
    <n v="60"/>
    <n v="200"/>
    <n v="3"/>
    <n v="25"/>
    <n v="150"/>
    <n v="100"/>
    <n v="40.243000000000002"/>
    <n v="159.75700000000001"/>
    <n v="20.12"/>
    <n v="90.5"/>
    <n v="2.7449999999999999E-2"/>
    <n v="2.365E-4"/>
    <n v="14.627617372998818"/>
    <n v="3.2431930548943257"/>
    <n v="2"/>
  </r>
  <r>
    <n v="1362"/>
    <s v="Zeolite"/>
    <n v="1"/>
    <n v="60"/>
    <n v="200"/>
    <n v="3"/>
    <n v="25"/>
    <n v="150"/>
    <n v="100"/>
    <n v="45.441000000000003"/>
    <n v="154.559"/>
    <n v="22.72"/>
    <n v="96.7"/>
    <n v="2.5950000000000001E-2"/>
    <n v="2.942E-4"/>
    <n v="20.225761434011709"/>
    <n v="3.2274485167565188"/>
    <n v="3"/>
  </r>
  <r>
    <n v="1363"/>
    <s v="Zeolite"/>
    <n v="1"/>
    <n v="60"/>
    <n v="200"/>
    <n v="7"/>
    <n v="25"/>
    <n v="150"/>
    <n v="100"/>
    <n v="65.879000000000005"/>
    <n v="134.12100000000001"/>
    <n v="32.94"/>
    <n v="78.900000000000006"/>
    <n v="2.8670000000000001E-2"/>
    <n v="2.5280000000000002E-4"/>
    <n v="32.927187093782216"/>
    <n v="3.495046279350539"/>
    <n v="1"/>
  </r>
  <r>
    <n v="1364"/>
    <s v="Zeolite"/>
    <n v="1"/>
    <n v="60"/>
    <n v="200"/>
    <n v="7"/>
    <n v="25"/>
    <n v="150"/>
    <n v="100"/>
    <n v="73.858000000000004"/>
    <n v="126.142"/>
    <n v="36.93"/>
    <n v="83.4"/>
    <n v="3.2930000000000001E-2"/>
    <n v="2.8499999999999999E-4"/>
    <n v="41.220386044757618"/>
    <n v="3.4854654255623885"/>
    <n v="2"/>
  </r>
  <r>
    <n v="1365"/>
    <s v="Zeolite"/>
    <n v="1"/>
    <n v="60"/>
    <n v="200"/>
    <n v="7"/>
    <n v="25"/>
    <n v="150"/>
    <n v="100"/>
    <n v="60.411999999999999"/>
    <n v="139.58799999999999"/>
    <n v="30.21"/>
    <n v="95.8"/>
    <n v="2.6890000000000001E-2"/>
    <n v="2.4489999999999999E-4"/>
    <n v="28.408930485438308"/>
    <n v="3.4658318205295267"/>
    <n v="3"/>
  </r>
  <r>
    <n v="1366"/>
    <s v="Zeolite"/>
    <n v="1"/>
    <n v="60"/>
    <n v="200"/>
    <n v="11"/>
    <n v="25"/>
    <n v="150"/>
    <n v="100"/>
    <n v="50.787999999999997"/>
    <n v="149.21199999999999"/>
    <n v="25.39"/>
    <n v="109.9"/>
    <n v="3.3270000000000001E-2"/>
    <n v="2.3130000000000001E-4"/>
    <n v="20.997448855189027"/>
    <n v="3.3941912675547532"/>
    <n v="1"/>
  </r>
  <r>
    <n v="1367"/>
    <s v="Zeolite"/>
    <n v="1"/>
    <n v="60"/>
    <n v="200"/>
    <n v="11"/>
    <n v="25"/>
    <n v="150"/>
    <n v="100"/>
    <n v="41.933999999999997"/>
    <n v="158.066"/>
    <n v="20.97"/>
    <n v="99.7"/>
    <n v="3.0880000000000001E-2"/>
    <n v="2.5619999999999999E-4"/>
    <n v="16.436153048557703"/>
    <n v="3.238594015322918"/>
    <n v="2"/>
  </r>
  <r>
    <n v="1368"/>
    <s v="Zeolite"/>
    <n v="1"/>
    <n v="60"/>
    <n v="200"/>
    <n v="11"/>
    <n v="25"/>
    <n v="150"/>
    <n v="100"/>
    <n v="49.457999999999998"/>
    <n v="150.542"/>
    <n v="24.73"/>
    <n v="101.9"/>
    <n v="3.4549999999999997E-2"/>
    <n v="2.5950000000000002E-4"/>
    <n v="21.5165910183234"/>
    <n v="3.3301097813932805"/>
    <n v="3"/>
  </r>
  <r>
    <n v="1369"/>
    <s v="Zeolite"/>
    <n v="1"/>
    <n v="120"/>
    <n v="25"/>
    <n v="3"/>
    <n v="25"/>
    <n v="150"/>
    <n v="100"/>
    <n v="5.2670000000000003"/>
    <n v="19.733000000000001"/>
    <n v="21.07"/>
    <n v="92.5"/>
    <n v="2.9489999999999999E-2"/>
    <n v="2.9090000000000002E-4"/>
    <n v="0.81799584390537072"/>
    <n v="1.4926802859872421"/>
    <n v="1"/>
  </r>
  <r>
    <n v="1370"/>
    <s v="Zeolite"/>
    <n v="1"/>
    <n v="120"/>
    <n v="25"/>
    <n v="3"/>
    <n v="25"/>
    <n v="150"/>
    <n v="100"/>
    <n v="5.36"/>
    <n v="19.64"/>
    <n v="21.44"/>
    <n v="99.7"/>
    <n v="2.8549999999999999E-2"/>
    <n v="2.7750000000000002E-4"/>
    <n v="0.81179925463814673"/>
    <n v="1.5147317141758023"/>
    <n v="2"/>
  </r>
  <r>
    <n v="1371"/>
    <s v="Zeolite"/>
    <n v="1"/>
    <n v="120"/>
    <n v="25"/>
    <n v="3"/>
    <n v="25"/>
    <n v="150"/>
    <n v="100"/>
    <n v="6.4109999999999996"/>
    <n v="18.588999999999999"/>
    <n v="25.64"/>
    <n v="106.8"/>
    <n v="3.0249999999999999E-2"/>
    <n v="2.5090000000000003E-4"/>
    <n v="1.0372534010384389"/>
    <n v="1.6815253559296308"/>
    <n v="3"/>
  </r>
  <r>
    <n v="1372"/>
    <s v="Zeolite"/>
    <n v="1"/>
    <n v="120"/>
    <n v="25"/>
    <n v="7"/>
    <n v="25"/>
    <n v="150"/>
    <n v="100"/>
    <n v="6.85"/>
    <n v="18.149999999999999"/>
    <n v="27.4"/>
    <n v="111.2"/>
    <n v="3.04E-2"/>
    <n v="2.6069999999999999E-4"/>
    <n v="1.2088685257310534"/>
    <n v="1.7300846613944001"/>
    <n v="1"/>
  </r>
  <r>
    <n v="1373"/>
    <s v="Zeolite"/>
    <n v="1"/>
    <n v="120"/>
    <n v="25"/>
    <n v="7"/>
    <n v="25"/>
    <n v="150"/>
    <n v="100"/>
    <n v="8.1630000000000003"/>
    <n v="16.837"/>
    <n v="32.65"/>
    <n v="94.2"/>
    <n v="2.877E-2"/>
    <n v="2.7549999999999997E-4"/>
    <n v="1.7347767626352701"/>
    <n v="1.8606981761715364"/>
    <n v="2"/>
  </r>
  <r>
    <n v="1374"/>
    <s v="Zeolite"/>
    <n v="1"/>
    <n v="120"/>
    <n v="25"/>
    <n v="7"/>
    <n v="25"/>
    <n v="150"/>
    <n v="100"/>
    <n v="8.4239999999999995"/>
    <n v="16.576000000000001"/>
    <n v="33.700000000000003"/>
    <n v="131.19999999999999"/>
    <n v="3.1289999999999998E-2"/>
    <n v="2.1809999999999999E-4"/>
    <n v="1.521757593194234"/>
    <n v="1.9318463453001309"/>
    <n v="3"/>
  </r>
  <r>
    <n v="1375"/>
    <s v="Zeolite"/>
    <n v="1"/>
    <n v="120"/>
    <n v="25"/>
    <n v="11"/>
    <n v="25"/>
    <n v="150"/>
    <n v="100"/>
    <n v="6.625"/>
    <n v="18.375"/>
    <n v="26.5"/>
    <n v="90.2"/>
    <n v="2.342E-2"/>
    <n v="2.9E-4"/>
    <n v="1.2412285157043597"/>
    <n v="1.6833891479601835"/>
    <n v="1"/>
  </r>
  <r>
    <n v="1376"/>
    <s v="Zeolite"/>
    <n v="1"/>
    <n v="120"/>
    <n v="25"/>
    <n v="11"/>
    <n v="25"/>
    <n v="150"/>
    <n v="100"/>
    <n v="7.1269999999999998"/>
    <n v="17.873000000000001"/>
    <n v="28.51"/>
    <n v="108"/>
    <n v="3.0499999999999999E-2"/>
    <n v="2.154E-4"/>
    <n v="1.1086859638567974"/>
    <n v="1.7948071596551523"/>
    <n v="2"/>
  </r>
  <r>
    <n v="1377"/>
    <s v="Zeolite"/>
    <n v="1"/>
    <n v="120"/>
    <n v="25"/>
    <n v="11"/>
    <n v="25"/>
    <n v="150"/>
    <n v="100"/>
    <n v="6.4109999999999996"/>
    <n v="18.588999999999999"/>
    <n v="25.64"/>
    <n v="112.6"/>
    <n v="2.6849999999999999E-2"/>
    <n v="1.8670000000000001E-4"/>
    <n v="0.8051759645202804"/>
    <n v="1.7238060636448478"/>
    <n v="3"/>
  </r>
  <r>
    <n v="1378"/>
    <s v="Zeolite"/>
    <n v="1"/>
    <n v="120"/>
    <n v="50"/>
    <n v="3"/>
    <n v="25"/>
    <n v="150"/>
    <n v="100"/>
    <n v="15.31"/>
    <n v="34.69"/>
    <n v="30.62"/>
    <n v="97.9"/>
    <n v="3.041E-2"/>
    <n v="2.6820000000000001E-4"/>
    <n v="5.0536724689299604"/>
    <n v="2.3278948352251363"/>
    <n v="1"/>
  </r>
  <r>
    <n v="1379"/>
    <s v="Zeolite"/>
    <n v="1"/>
    <n v="120"/>
    <n v="50"/>
    <n v="3"/>
    <n v="25"/>
    <n v="150"/>
    <n v="100"/>
    <n v="16.526"/>
    <n v="33.473999999999997"/>
    <n v="33.049999999999997"/>
    <n v="103.9"/>
    <n v="3.3590000000000002E-2"/>
    <n v="2.12E-4"/>
    <n v="4.8914248417990649"/>
    <n v="2.4539812819664926"/>
    <n v="2"/>
  </r>
  <r>
    <n v="1380"/>
    <s v="Zeolite"/>
    <n v="1"/>
    <n v="120"/>
    <n v="50"/>
    <n v="3"/>
    <n v="25"/>
    <n v="150"/>
    <n v="100"/>
    <n v="16.338999999999999"/>
    <n v="33.661000000000001"/>
    <n v="32.68"/>
    <n v="109.4"/>
    <n v="2.6280000000000001E-2"/>
    <n v="2.1240000000000001E-4"/>
    <n v="4.8038112625394884"/>
    <n v="2.4454022536470825"/>
    <n v="3"/>
  </r>
  <r>
    <n v="1381"/>
    <s v="Zeolite"/>
    <n v="1"/>
    <n v="120"/>
    <n v="50"/>
    <n v="7"/>
    <n v="25"/>
    <n v="150"/>
    <n v="100"/>
    <n v="22.268999999999998"/>
    <n v="27.731000000000002"/>
    <n v="44.54"/>
    <n v="90.1"/>
    <n v="3.2259999999999997E-2"/>
    <n v="2.3460000000000001E-4"/>
    <n v="8.5811465120595614"/>
    <n v="2.6165088328461987"/>
    <n v="1"/>
  </r>
  <r>
    <n v="1382"/>
    <s v="Zeolite"/>
    <n v="1"/>
    <n v="120"/>
    <n v="50"/>
    <n v="7"/>
    <n v="25"/>
    <n v="150"/>
    <n v="100"/>
    <n v="22.032"/>
    <n v="27.968"/>
    <n v="44.06"/>
    <n v="90.8"/>
    <n v="3.3360000000000001E-2"/>
    <n v="2.5030000000000001E-4"/>
    <n v="8.7737131277991391"/>
    <n v="2.5846227812529969"/>
    <n v="2"/>
  </r>
  <r>
    <n v="1383"/>
    <s v="Zeolite"/>
    <n v="1"/>
    <n v="120"/>
    <n v="50"/>
    <n v="7"/>
    <n v="25"/>
    <n v="150"/>
    <n v="100"/>
    <n v="23.486999999999998"/>
    <n v="26.513000000000002"/>
    <n v="46.97"/>
    <n v="98.3"/>
    <n v="3.388E-2"/>
    <n v="2.3130000000000001E-4"/>
    <n v="9.2688715032148341"/>
    <n v="2.6545178050797005"/>
    <n v="3"/>
  </r>
  <r>
    <n v="1384"/>
    <s v="Zeolite"/>
    <n v="1"/>
    <n v="120"/>
    <n v="50"/>
    <n v="11"/>
    <n v="25"/>
    <n v="150"/>
    <n v="100"/>
    <n v="21.07"/>
    <n v="28.93"/>
    <n v="42.14"/>
    <n v="103.2"/>
    <n v="2.9520000000000001E-2"/>
    <n v="3.1250000000000001E-4"/>
    <n v="9.2998722156273992"/>
    <n v="2.4655647779993681"/>
    <n v="1"/>
  </r>
  <r>
    <n v="1385"/>
    <s v="Zeolite"/>
    <n v="1"/>
    <n v="120"/>
    <n v="50"/>
    <n v="11"/>
    <n v="25"/>
    <n v="150"/>
    <n v="100"/>
    <n v="17.05"/>
    <n v="32.950000000000003"/>
    <n v="34.1"/>
    <n v="94.7"/>
    <n v="2.63E-2"/>
    <n v="2.7379999999999999E-4"/>
    <n v="6.1218774347921174"/>
    <n v="2.3913395184690418"/>
    <n v="2"/>
  </r>
  <r>
    <n v="1386"/>
    <s v="Zeolite"/>
    <n v="1"/>
    <n v="120"/>
    <n v="50"/>
    <n v="11"/>
    <n v="25"/>
    <n v="150"/>
    <n v="100"/>
    <n v="21.704000000000001"/>
    <n v="28.295999999999999"/>
    <n v="43.41"/>
    <n v="125"/>
    <n v="3.3669999999999999E-2"/>
    <n v="2.4509999999999999E-4"/>
    <n v="8.4565904813695525"/>
    <n v="2.5838020252901548"/>
    <n v="3"/>
  </r>
  <r>
    <n v="1387"/>
    <s v="Zeolite"/>
    <n v="1"/>
    <n v="120"/>
    <n v="100"/>
    <n v="3"/>
    <n v="25"/>
    <n v="150"/>
    <n v="100"/>
    <n v="35.091000000000001"/>
    <n v="64.909000000000006"/>
    <n v="35.090000000000003"/>
    <n v="74.900000000000006"/>
    <n v="3.6110000000000003E-2"/>
    <n v="2.6170000000000002E-4"/>
    <n v="18.396881385323869"/>
    <n v="2.815056478631297"/>
    <n v="1"/>
  </r>
  <r>
    <n v="1388"/>
    <s v="Zeolite"/>
    <n v="1"/>
    <n v="120"/>
    <n v="100"/>
    <n v="3"/>
    <n v="25"/>
    <n v="150"/>
    <n v="100"/>
    <n v="34.677"/>
    <n v="65.322999999999993"/>
    <n v="34.68"/>
    <n v="119.9"/>
    <n v="2.708E-2"/>
    <n v="2.6019999999999998E-4"/>
    <n v="18.027415262162936"/>
    <n v="2.8123852754449823"/>
    <n v="2"/>
  </r>
  <r>
    <n v="1389"/>
    <s v="Zeolite"/>
    <n v="1"/>
    <n v="120"/>
    <n v="100"/>
    <n v="3"/>
    <n v="25"/>
    <n v="150"/>
    <n v="100"/>
    <n v="35.72"/>
    <n v="64.28"/>
    <n v="35.72"/>
    <n v="109.6"/>
    <n v="2.981E-2"/>
    <n v="2.1369999999999999E-4"/>
    <n v="17.077029543909855"/>
    <n v="2.9254691557934152"/>
    <n v="3"/>
  </r>
  <r>
    <n v="1390"/>
    <s v="Zeolite"/>
    <n v="1"/>
    <n v="120"/>
    <n v="100"/>
    <n v="7"/>
    <n v="25"/>
    <n v="150"/>
    <n v="100"/>
    <n v="53.597000000000001"/>
    <n v="46.402999999999999"/>
    <n v="53.6"/>
    <n v="115.7"/>
    <n v="2.9909999999999999E-2"/>
    <n v="2.6939999999999999E-4"/>
    <n v="33.983680783855455"/>
    <n v="2.9762088872897769"/>
    <n v="1"/>
  </r>
  <r>
    <n v="1391"/>
    <s v="Zeolite"/>
    <n v="1"/>
    <n v="120"/>
    <n v="100"/>
    <n v="7"/>
    <n v="25"/>
    <n v="150"/>
    <n v="100"/>
    <n v="48.225000000000001"/>
    <n v="51.774999999999999"/>
    <n v="48.23"/>
    <n v="99.6"/>
    <n v="2.8129999999999999E-2"/>
    <n v="2.6870000000000003E-4"/>
    <n v="29.350000092956197"/>
    <n v="2.9378382902102569"/>
    <n v="2"/>
  </r>
  <r>
    <n v="1392"/>
    <s v="Zeolite"/>
    <n v="1"/>
    <n v="120"/>
    <n v="100"/>
    <n v="7"/>
    <n v="25"/>
    <n v="150"/>
    <n v="100"/>
    <n v="53.386000000000003"/>
    <n v="46.613999999999997"/>
    <n v="53.39"/>
    <n v="110.4"/>
    <n v="3.3259999999999998E-2"/>
    <n v="2.6729999999999999E-4"/>
    <n v="33.703867479866247"/>
    <n v="2.9797112455165062"/>
    <n v="3"/>
  </r>
  <r>
    <n v="1393"/>
    <s v="Zeolite"/>
    <n v="1"/>
    <n v="120"/>
    <n v="100"/>
    <n v="11"/>
    <n v="25"/>
    <n v="150"/>
    <n v="100"/>
    <n v="44.021999999999998"/>
    <n v="55.978000000000002"/>
    <n v="44.02"/>
    <n v="85"/>
    <n v="2.9989999999999999E-2"/>
    <n v="2.3670000000000001E-4"/>
    <n v="24.46015204893396"/>
    <n v="2.9735811361699636"/>
    <n v="1"/>
  </r>
  <r>
    <n v="1394"/>
    <s v="Zeolite"/>
    <n v="1"/>
    <n v="120"/>
    <n v="100"/>
    <n v="11"/>
    <n v="25"/>
    <n v="150"/>
    <n v="100"/>
    <n v="41.634999999999998"/>
    <n v="58.365000000000002"/>
    <n v="41.64"/>
    <n v="94.4"/>
    <n v="2.7060000000000001E-2"/>
    <n v="2.0110000000000001E-4"/>
    <n v="20.866677518487197"/>
    <n v="3.0334288682089441"/>
    <n v="2"/>
  </r>
  <r>
    <n v="1395"/>
    <s v="Zeolite"/>
    <n v="1"/>
    <n v="120"/>
    <n v="100"/>
    <n v="11"/>
    <n v="25"/>
    <n v="150"/>
    <n v="100"/>
    <n v="40.381999999999998"/>
    <n v="59.618000000000002"/>
    <n v="40.380000000000003"/>
    <n v="102.9"/>
    <n v="2.596E-2"/>
    <n v="2.5040000000000001E-4"/>
    <n v="22.137656294123101"/>
    <n v="2.9038550980645019"/>
    <n v="3"/>
  </r>
  <r>
    <n v="1396"/>
    <s v="Zeolite"/>
    <n v="1"/>
    <n v="120"/>
    <n v="200"/>
    <n v="3"/>
    <n v="25"/>
    <n v="150"/>
    <n v="100"/>
    <n v="64.551000000000002"/>
    <n v="135.44900000000001"/>
    <n v="32.28"/>
    <n v="115.3"/>
    <n v="3.4930000000000003E-2"/>
    <n v="2.5980000000000003E-4"/>
    <n v="43.122869428764062"/>
    <n v="3.0647045714869856"/>
    <n v="1"/>
  </r>
  <r>
    <n v="1397"/>
    <s v="Zeolite"/>
    <n v="1"/>
    <n v="120"/>
    <n v="200"/>
    <n v="3"/>
    <n v="25"/>
    <n v="150"/>
    <n v="100"/>
    <n v="60.915999999999997"/>
    <n v="139.084"/>
    <n v="30.46"/>
    <n v="89.1"/>
    <n v="2.8070000000000001E-2"/>
    <n v="1.8149999999999999E-4"/>
    <n v="34.735281214889866"/>
    <n v="3.265023215609447"/>
    <n v="2"/>
  </r>
  <r>
    <n v="1398"/>
    <s v="Zeolite"/>
    <n v="1"/>
    <n v="120"/>
    <n v="200"/>
    <n v="3"/>
    <n v="25"/>
    <n v="150"/>
    <n v="100"/>
    <n v="61.008000000000003"/>
    <n v="138.99199999999999"/>
    <n v="30.5"/>
    <n v="123.1"/>
    <n v="2.8340000000000001E-2"/>
    <n v="2.4369999999999999E-4"/>
    <n v="39.09513529677352"/>
    <n v="3.0870738937244333"/>
    <n v="3"/>
  </r>
  <r>
    <n v="1399"/>
    <s v="Zeolite"/>
    <n v="1"/>
    <n v="120"/>
    <n v="200"/>
    <n v="7"/>
    <n v="25"/>
    <n v="150"/>
    <n v="100"/>
    <n v="73.977999999999994"/>
    <n v="126.02200000000001"/>
    <n v="36.99"/>
    <n v="105.7"/>
    <n v="3.3369999999999997E-2"/>
    <n v="2.064E-4"/>
    <n v="47.858472818055105"/>
    <n v="3.2626832024811789"/>
    <n v="1"/>
  </r>
  <r>
    <n v="1400"/>
    <s v="Zeolite"/>
    <n v="1"/>
    <n v="120"/>
    <n v="200"/>
    <n v="7"/>
    <n v="25"/>
    <n v="150"/>
    <n v="100"/>
    <n v="82.287000000000006"/>
    <n v="117.71299999999999"/>
    <n v="41.14"/>
    <n v="95.8"/>
    <n v="3.0339999999999999E-2"/>
    <n v="2.6150000000000001E-4"/>
    <n v="59.315703130529918"/>
    <n v="3.1342454743789046"/>
    <n v="2"/>
  </r>
  <r>
    <n v="1401"/>
    <s v="Zeolite"/>
    <n v="1"/>
    <n v="120"/>
    <n v="200"/>
    <n v="7"/>
    <n v="25"/>
    <n v="150"/>
    <n v="100"/>
    <n v="78.018000000000001"/>
    <n v="121.982"/>
    <n v="39.01"/>
    <n v="98.4"/>
    <n v="2.9360000000000001E-2"/>
    <n v="2.743E-4"/>
    <n v="56.152216732576505"/>
    <n v="3.0849230071102247"/>
    <n v="3"/>
  </r>
  <r>
    <n v="1402"/>
    <s v="Zeolite"/>
    <n v="1"/>
    <n v="120"/>
    <n v="200"/>
    <n v="11"/>
    <n v="25"/>
    <n v="150"/>
    <n v="100"/>
    <n v="67.162999999999997"/>
    <n v="132.83699999999999"/>
    <n v="33.58"/>
    <n v="103.3"/>
    <n v="2.6190000000000001E-2"/>
    <n v="2.4049999999999999E-4"/>
    <n v="44.305413196899195"/>
    <n v="3.1292830886255567"/>
    <n v="1"/>
  </r>
  <r>
    <n v="1403"/>
    <s v="Zeolite"/>
    <n v="1"/>
    <n v="120"/>
    <n v="200"/>
    <n v="11"/>
    <n v="25"/>
    <n v="150"/>
    <n v="100"/>
    <n v="69.959000000000003"/>
    <n v="130.041"/>
    <n v="34.979999999999997"/>
    <n v="100.6"/>
    <n v="3.1980000000000001E-2"/>
    <n v="2.942E-4"/>
    <n v="49.796931867268668"/>
    <n v="3.0038030238905642"/>
    <n v="2"/>
  </r>
  <r>
    <n v="1404"/>
    <s v="Zeolite"/>
    <n v="1"/>
    <n v="120"/>
    <n v="200"/>
    <n v="11"/>
    <n v="25"/>
    <n v="150"/>
    <n v="100"/>
    <n v="70.774000000000001"/>
    <n v="129.226"/>
    <n v="35.39"/>
    <n v="101.4"/>
    <n v="2.8469999999999999E-2"/>
    <n v="1.862E-4"/>
    <n v="43.356821016558548"/>
    <n v="3.3111697871289163"/>
    <n v="3"/>
  </r>
  <r>
    <n v="1405"/>
    <s v="Zeolite"/>
    <n v="1"/>
    <n v="240"/>
    <n v="25"/>
    <n v="3"/>
    <n v="25"/>
    <n v="150"/>
    <n v="100"/>
    <n v="8.0540000000000003"/>
    <n v="16.946000000000002"/>
    <n v="32.22"/>
    <n v="95.1"/>
    <n v="3.117E-2"/>
    <n v="2.4620000000000002E-4"/>
    <n v="2.5969713134449846"/>
    <n v="1.6969044450264543"/>
    <n v="1"/>
  </r>
  <r>
    <n v="1406"/>
    <s v="Zeolite"/>
    <n v="1"/>
    <n v="240"/>
    <n v="25"/>
    <n v="3"/>
    <n v="25"/>
    <n v="150"/>
    <n v="100"/>
    <n v="7.9420000000000002"/>
    <n v="17.058"/>
    <n v="31.77"/>
    <n v="73.3"/>
    <n v="2.7179999999999999E-2"/>
    <n v="2.6190000000000002E-4"/>
    <n v="2.6445163151558346"/>
    <n v="1.6672319313715567"/>
    <n v="2"/>
  </r>
  <r>
    <n v="1407"/>
    <s v="Zeolite"/>
    <n v="1"/>
    <n v="240"/>
    <n v="25"/>
    <n v="3"/>
    <n v="25"/>
    <n v="150"/>
    <n v="100"/>
    <n v="9.4410000000000007"/>
    <n v="15.558999999999999"/>
    <n v="37.76"/>
    <n v="98.5"/>
    <n v="3.0980000000000001E-2"/>
    <n v="2.7379999999999999E-4"/>
    <n v="3.6146140523152259"/>
    <n v="1.7623969020836976"/>
    <n v="3"/>
  </r>
  <r>
    <n v="1408"/>
    <s v="Zeolite"/>
    <n v="1"/>
    <n v="240"/>
    <n v="25"/>
    <n v="7"/>
    <n v="25"/>
    <n v="150"/>
    <n v="100"/>
    <n v="11.554"/>
    <n v="13.446"/>
    <n v="46.22"/>
    <n v="105.5"/>
    <n v="2.7779999999999999E-2"/>
    <n v="2.7159999999999999E-4"/>
    <n v="4.9635241773653309"/>
    <n v="1.885625549646041"/>
    <n v="1"/>
  </r>
  <r>
    <n v="1409"/>
    <s v="Zeolite"/>
    <n v="1"/>
    <n v="240"/>
    <n v="25"/>
    <n v="7"/>
    <n v="25"/>
    <n v="150"/>
    <n v="100"/>
    <n v="12.634"/>
    <n v="12.366"/>
    <n v="50.54"/>
    <n v="104.5"/>
    <n v="2.7650000000000001E-2"/>
    <n v="2.677E-4"/>
    <n v="5.660474791402951"/>
    <n v="1.9421208657232567"/>
    <n v="2"/>
  </r>
  <r>
    <n v="1410"/>
    <s v="Zeolite"/>
    <n v="1"/>
    <n v="240"/>
    <n v="25"/>
    <n v="7"/>
    <n v="25"/>
    <n v="150"/>
    <n v="100"/>
    <n v="14.803000000000001"/>
    <n v="10.196999999999999"/>
    <n v="59.21"/>
    <n v="84.9"/>
    <n v="2.8979999999999999E-2"/>
    <n v="2.5579999999999998E-4"/>
    <n v="7.0478080941692856"/>
    <n v="2.0483625423997847"/>
    <n v="3"/>
  </r>
  <r>
    <n v="1411"/>
    <s v="Zeolite"/>
    <n v="1"/>
    <n v="240"/>
    <n v="25"/>
    <n v="11"/>
    <n v="25"/>
    <n v="150"/>
    <n v="100"/>
    <n v="10.545999999999999"/>
    <n v="14.454000000000001"/>
    <n v="42.18"/>
    <n v="91.6"/>
    <n v="2.1499999999999998E-2"/>
    <n v="2.8400000000000002E-4"/>
    <n v="4.4103787777181598"/>
    <n v="1.8141113317622022"/>
    <n v="1"/>
  </r>
  <r>
    <n v="1412"/>
    <s v="Zeolite"/>
    <n v="1"/>
    <n v="240"/>
    <n v="25"/>
    <n v="11"/>
    <n v="25"/>
    <n v="150"/>
    <n v="100"/>
    <n v="10.523"/>
    <n v="14.477"/>
    <n v="42.09"/>
    <n v="73.900000000000006"/>
    <n v="2.818E-2"/>
    <n v="2.8919999999999998E-4"/>
    <n v="4.4416781719781673"/>
    <n v="1.8052220782734758"/>
    <n v="2"/>
  </r>
  <r>
    <n v="1413"/>
    <s v="Zeolite"/>
    <n v="1"/>
    <n v="240"/>
    <n v="25"/>
    <n v="11"/>
    <n v="25"/>
    <n v="150"/>
    <n v="100"/>
    <n v="11.132"/>
    <n v="13.868"/>
    <n v="44.53"/>
    <n v="114.1"/>
    <n v="2.947E-2"/>
    <n v="2.521E-4"/>
    <n v="4.4801942433977509"/>
    <n v="1.8948883601530155"/>
    <n v="3"/>
  </r>
  <r>
    <n v="1414"/>
    <s v="Zeolite"/>
    <n v="1"/>
    <n v="240"/>
    <n v="50"/>
    <n v="3"/>
    <n v="25"/>
    <n v="150"/>
    <n v="100"/>
    <n v="20.706"/>
    <n v="29.294"/>
    <n v="41.41"/>
    <n v="116.9"/>
    <n v="2.7369999999999998E-2"/>
    <n v="2.299E-4"/>
    <n v="11.041473137185738"/>
    <n v="2.2684621577956263"/>
    <n v="1"/>
  </r>
  <r>
    <n v="1415"/>
    <s v="Zeolite"/>
    <n v="1"/>
    <n v="240"/>
    <n v="50"/>
    <n v="3"/>
    <n v="25"/>
    <n v="150"/>
    <n v="100"/>
    <n v="22.858000000000001"/>
    <n v="27.141999999999999"/>
    <n v="45.72"/>
    <n v="99.3"/>
    <n v="3.4139999999999997E-2"/>
    <n v="2.332E-4"/>
    <n v="12.829555262839349"/>
    <n v="2.3054255288499959"/>
    <n v="2"/>
  </r>
  <r>
    <n v="1416"/>
    <s v="Zeolite"/>
    <n v="1"/>
    <n v="240"/>
    <n v="50"/>
    <n v="3"/>
    <n v="25"/>
    <n v="150"/>
    <n v="100"/>
    <n v="20.85"/>
    <n v="29.15"/>
    <n v="41.7"/>
    <n v="86.2"/>
    <n v="3.0020000000000002E-2"/>
    <n v="2.13E-4"/>
    <n v="10.757311850026046"/>
    <n v="2.3118112161249615"/>
    <n v="3"/>
  </r>
  <r>
    <n v="1417"/>
    <s v="Zeolite"/>
    <n v="1"/>
    <n v="240"/>
    <n v="50"/>
    <n v="7"/>
    <n v="25"/>
    <n v="150"/>
    <n v="100"/>
    <n v="29.198"/>
    <n v="20.802"/>
    <n v="58.4"/>
    <n v="78.5"/>
    <n v="3.2079999999999997E-2"/>
    <n v="2.6790000000000001E-4"/>
    <n v="19.050343598847778"/>
    <n v="2.317242782388905"/>
    <n v="1"/>
  </r>
  <r>
    <n v="1418"/>
    <s v="Zeolite"/>
    <n v="1"/>
    <n v="240"/>
    <n v="50"/>
    <n v="7"/>
    <n v="25"/>
    <n v="150"/>
    <n v="100"/>
    <n v="25.783000000000001"/>
    <n v="24.216999999999999"/>
    <n v="51.57"/>
    <n v="120"/>
    <n v="3.7490000000000002E-2"/>
    <n v="2.5119999999999998E-4"/>
    <n v="15.689457702339809"/>
    <n v="2.3118958428896232"/>
    <n v="2"/>
  </r>
  <r>
    <n v="1419"/>
    <s v="Zeolite"/>
    <n v="1"/>
    <n v="240"/>
    <n v="50"/>
    <n v="7"/>
    <n v="25"/>
    <n v="150"/>
    <n v="100"/>
    <n v="28.776"/>
    <n v="21.224"/>
    <n v="57.55"/>
    <n v="142.4"/>
    <n v="2.6040000000000001E-2"/>
    <n v="2.5050000000000002E-4"/>
    <n v="18.235391316038807"/>
    <n v="2.3552352913471961"/>
    <n v="3"/>
  </r>
  <r>
    <n v="1420"/>
    <s v="Zeolite"/>
    <n v="1"/>
    <n v="240"/>
    <n v="50"/>
    <n v="11"/>
    <n v="25"/>
    <n v="150"/>
    <n v="100"/>
    <n v="25.138000000000002"/>
    <n v="24.861999999999998"/>
    <n v="50.28"/>
    <n v="120.2"/>
    <n v="3.108E-2"/>
    <n v="2.375E-4"/>
    <n v="14.805330629800409"/>
    <n v="2.3353106592558142"/>
    <n v="1"/>
  </r>
  <r>
    <n v="1421"/>
    <s v="Zeolite"/>
    <n v="1"/>
    <n v="240"/>
    <n v="50"/>
    <n v="11"/>
    <n v="25"/>
    <n v="150"/>
    <n v="100"/>
    <n v="22.620999999999999"/>
    <n v="27.379000000000001"/>
    <n v="45.24"/>
    <n v="94.9"/>
    <n v="2.6980000000000001E-2"/>
    <n v="2.5119999999999998E-4"/>
    <n v="13.051137616897087"/>
    <n v="2.2586188253304256"/>
    <n v="2"/>
  </r>
  <r>
    <n v="1422"/>
    <s v="Zeolite"/>
    <n v="1"/>
    <n v="240"/>
    <n v="50"/>
    <n v="11"/>
    <n v="25"/>
    <n v="150"/>
    <n v="100"/>
    <n v="23.481999999999999"/>
    <n v="26.518000000000001"/>
    <n v="46.96"/>
    <n v="77.599999999999994"/>
    <n v="3.3770000000000001E-2"/>
    <n v="2.376E-4"/>
    <n v="13.442828196496926"/>
    <n v="2.3064946211701924"/>
    <n v="3"/>
  </r>
  <r>
    <n v="1423"/>
    <s v="Zeolite"/>
    <n v="1"/>
    <n v="240"/>
    <n v="100"/>
    <n v="3"/>
    <n v="25"/>
    <n v="150"/>
    <n v="100"/>
    <n v="39.316000000000003"/>
    <n v="60.683999999999997"/>
    <n v="39.32"/>
    <n v="97.5"/>
    <n v="3.0210000000000001E-2"/>
    <n v="2.063E-4"/>
    <n v="25.973226642072273"/>
    <n v="2.5909749167753366"/>
    <n v="1"/>
  </r>
  <r>
    <n v="1424"/>
    <s v="Zeolite"/>
    <n v="1"/>
    <n v="240"/>
    <n v="100"/>
    <n v="3"/>
    <n v="25"/>
    <n v="150"/>
    <n v="100"/>
    <n v="45.706000000000003"/>
    <n v="54.293999999999997"/>
    <n v="45.71"/>
    <n v="84.3"/>
    <n v="3.5130000000000002E-2"/>
    <n v="2.631E-4"/>
    <n v="33.944471883637043"/>
    <n v="2.4648338758963662"/>
    <n v="2"/>
  </r>
  <r>
    <n v="1425"/>
    <s v="Zeolite"/>
    <n v="1"/>
    <n v="240"/>
    <n v="100"/>
    <n v="3"/>
    <n v="25"/>
    <n v="150"/>
    <n v="100"/>
    <n v="42.783999999999999"/>
    <n v="57.216000000000001"/>
    <n v="42.78"/>
    <n v="88.8"/>
    <n v="2.9690000000000001E-2"/>
    <n v="2.653E-4"/>
    <n v="31.29571887163873"/>
    <n v="2.4413274834863619"/>
    <n v="3"/>
  </r>
  <r>
    <n v="1426"/>
    <s v="Zeolite"/>
    <n v="1"/>
    <n v="240"/>
    <n v="100"/>
    <n v="7"/>
    <n v="25"/>
    <n v="150"/>
    <n v="100"/>
    <n v="62.529000000000003"/>
    <n v="37.470999999999997"/>
    <n v="62.53"/>
    <n v="96.7"/>
    <n v="3.0179999999999998E-2"/>
    <n v="2.3489999999999999E-4"/>
    <n v="48.710848425175712"/>
    <n v="2.625983059381479"/>
    <n v="1"/>
  </r>
  <r>
    <n v="1427"/>
    <s v="Zeolite"/>
    <n v="1"/>
    <n v="240"/>
    <n v="100"/>
    <n v="7"/>
    <n v="25"/>
    <n v="150"/>
    <n v="100"/>
    <n v="60.737000000000002"/>
    <n v="39.262999999999998"/>
    <n v="60.74"/>
    <n v="68.7"/>
    <n v="3.2919999999999998E-2"/>
    <n v="2.5750000000000002E-4"/>
    <n v="47.959803285445858"/>
    <n v="2.5476620754798796"/>
    <n v="2"/>
  </r>
  <r>
    <n v="1428"/>
    <s v="Zeolite"/>
    <n v="1"/>
    <n v="240"/>
    <n v="100"/>
    <n v="7"/>
    <n v="25"/>
    <n v="150"/>
    <n v="100"/>
    <n v="58.31"/>
    <n v="41.69"/>
    <n v="58.31"/>
    <n v="128.5"/>
    <n v="3.0259999999999999E-2"/>
    <n v="2.241E-4"/>
    <n v="44.212331896949145"/>
    <n v="2.6460094009445352"/>
    <n v="3"/>
  </r>
  <r>
    <n v="1429"/>
    <s v="Zeolite"/>
    <n v="1"/>
    <n v="240"/>
    <n v="100"/>
    <n v="11"/>
    <n v="25"/>
    <n v="150"/>
    <n v="100"/>
    <n v="55.639000000000003"/>
    <n v="44.360999999999997"/>
    <n v="55.64"/>
    <n v="106"/>
    <n v="3.1179999999999999E-2"/>
    <n v="2.3939999999999999E-4"/>
    <n v="42.381500368347808"/>
    <n v="2.5845634022450401"/>
    <n v="1"/>
  </r>
  <r>
    <n v="1430"/>
    <s v="Zeolite"/>
    <n v="1"/>
    <n v="240"/>
    <n v="100"/>
    <n v="11"/>
    <n v="25"/>
    <n v="150"/>
    <n v="100"/>
    <n v="53.75"/>
    <n v="46.25"/>
    <n v="53.75"/>
    <n v="96.1"/>
    <n v="3.1669999999999997E-2"/>
    <n v="2.0239999999999999E-4"/>
    <n v="38.864761725413736"/>
    <n v="2.700370002037721"/>
    <n v="2"/>
  </r>
  <r>
    <n v="1431"/>
    <s v="Zeolite"/>
    <n v="1"/>
    <n v="240"/>
    <n v="100"/>
    <n v="11"/>
    <n v="25"/>
    <n v="150"/>
    <n v="100"/>
    <n v="49.639000000000003"/>
    <n v="50.360999999999997"/>
    <n v="49.64"/>
    <n v="125.8"/>
    <n v="2.7699999999999999E-2"/>
    <n v="2.3489999999999999E-4"/>
    <n v="36.570768830325704"/>
    <n v="2.5701841833339918"/>
    <n v="3"/>
  </r>
  <r>
    <n v="1432"/>
    <s v="Zeolite"/>
    <n v="1"/>
    <n v="240"/>
    <n v="200"/>
    <n v="3"/>
    <n v="25"/>
    <n v="150"/>
    <n v="100"/>
    <n v="62.075000000000003"/>
    <n v="137.92500000000001"/>
    <n v="31.04"/>
    <n v="81.8"/>
    <n v="2.3380000000000001E-2"/>
    <n v="2.4420000000000003E-4"/>
    <n v="48.691262602489353"/>
    <n v="2.594040342863722"/>
    <n v="1"/>
  </r>
  <r>
    <n v="1433"/>
    <s v="Zeolite"/>
    <n v="1"/>
    <n v="240"/>
    <n v="200"/>
    <n v="3"/>
    <n v="25"/>
    <n v="150"/>
    <n v="100"/>
    <n v="65.472999999999999"/>
    <n v="134.52699999999999"/>
    <n v="32.74"/>
    <n v="99.2"/>
    <n v="2.9569999999999999E-2"/>
    <n v="2.5109999999999998E-4"/>
    <n v="52.234537286790903"/>
    <n v="2.5831264344934213"/>
    <n v="2"/>
  </r>
  <r>
    <n v="1434"/>
    <s v="Zeolite"/>
    <n v="1"/>
    <n v="240"/>
    <n v="200"/>
    <n v="3"/>
    <n v="25"/>
    <n v="150"/>
    <n v="100"/>
    <n v="70.637"/>
    <n v="129.363"/>
    <n v="35.32"/>
    <n v="97.1"/>
    <n v="2.828E-2"/>
    <n v="2.43E-4"/>
    <n v="56.839497835239349"/>
    <n v="2.6244875732266437"/>
    <n v="3"/>
  </r>
  <r>
    <n v="1435"/>
    <s v="Zeolite"/>
    <n v="1"/>
    <n v="240"/>
    <n v="200"/>
    <n v="7"/>
    <n v="25"/>
    <n v="150"/>
    <n v="100"/>
    <n v="94.852000000000004"/>
    <n v="105.148"/>
    <n v="47.43"/>
    <n v="121.2"/>
    <n v="2.8119999999999999E-2"/>
    <n v="2.5250000000000001E-4"/>
    <n v="80.795752008734055"/>
    <n v="2.6430669938186542"/>
    <n v="1"/>
  </r>
  <r>
    <n v="1436"/>
    <s v="Zeolite"/>
    <n v="1"/>
    <n v="240"/>
    <n v="200"/>
    <n v="7"/>
    <n v="25"/>
    <n v="150"/>
    <n v="100"/>
    <n v="92.897000000000006"/>
    <n v="107.10299999999999"/>
    <n v="46.45"/>
    <n v="85.1"/>
    <n v="3.006E-2"/>
    <n v="2.1340000000000001E-4"/>
    <n v="76.76292200871211"/>
    <n v="2.7809336804740856"/>
    <n v="2"/>
  </r>
  <r>
    <n v="1437"/>
    <s v="Zeolite"/>
    <n v="1"/>
    <n v="240"/>
    <n v="200"/>
    <n v="7"/>
    <n v="25"/>
    <n v="150"/>
    <n v="100"/>
    <n v="75.798000000000002"/>
    <n v="124.202"/>
    <n v="37.9"/>
    <n v="105.5"/>
    <n v="2.8850000000000001E-2"/>
    <n v="2.5510000000000002E-4"/>
    <n v="62.36020306737786"/>
    <n v="2.5980714029551546"/>
    <n v="3"/>
  </r>
  <r>
    <n v="1438"/>
    <s v="Zeolite"/>
    <n v="1"/>
    <n v="240"/>
    <n v="200"/>
    <n v="11"/>
    <n v="25"/>
    <n v="150"/>
    <n v="100"/>
    <n v="74.712999999999994"/>
    <n v="125.28700000000001"/>
    <n v="37.36"/>
    <n v="85.4"/>
    <n v="2.9860000000000001E-2"/>
    <n v="2.1919999999999999E-4"/>
    <n v="59.559774726792561"/>
    <n v="2.718213398618285"/>
    <n v="1"/>
  </r>
  <r>
    <n v="1439"/>
    <s v="Zeolite"/>
    <n v="1"/>
    <n v="240"/>
    <n v="200"/>
    <n v="11"/>
    <n v="25"/>
    <n v="150"/>
    <n v="100"/>
    <n v="84.201999999999998"/>
    <n v="115.798"/>
    <n v="42.1"/>
    <n v="79.7"/>
    <n v="2.9409999999999999E-2"/>
    <n v="2.2389999999999999E-4"/>
    <n v="68.960932600596323"/>
    <n v="2.7239935871368108"/>
    <n v="2"/>
  </r>
  <r>
    <n v="1440"/>
    <s v="Zeolite"/>
    <n v="1"/>
    <n v="240"/>
    <n v="200"/>
    <n v="11"/>
    <n v="25"/>
    <n v="150"/>
    <n v="100"/>
    <n v="78.674999999999997"/>
    <n v="121.325"/>
    <n v="39.340000000000003"/>
    <n v="95"/>
    <n v="2.844E-2"/>
    <n v="2.7129999999999998E-4"/>
    <n v="65.825248715980322"/>
    <n v="2.5533244558247037"/>
    <n v="3"/>
  </r>
  <r>
    <n v="1441"/>
    <s v="Zeolite"/>
    <n v="2"/>
    <n v="30"/>
    <n v="25"/>
    <n v="3"/>
    <n v="25"/>
    <n v="150"/>
    <n v="100"/>
    <n v="0.52900000000000003"/>
    <n v="23.942"/>
    <n v="4.2300000000000004"/>
    <n v="107.7"/>
    <n v="2.7060000000000001E-2"/>
    <n v="2.1489999999999999E-4"/>
    <n v="1.7980029046199013E-3"/>
    <n v="-0.64017150768382924"/>
    <n v="1"/>
  </r>
  <r>
    <n v="1442"/>
    <s v="Zeolite"/>
    <n v="2"/>
    <n v="30"/>
    <n v="25"/>
    <n v="3"/>
    <n v="25"/>
    <n v="150"/>
    <n v="100"/>
    <n v="0.53300000000000003"/>
    <n v="23.934999999999999"/>
    <n v="4.26"/>
    <n v="95.2"/>
    <n v="3.1879999999999999E-2"/>
    <n v="2.4800000000000001E-4"/>
    <n v="2.1052736552147734E-3"/>
    <n v="-0.63319153286662622"/>
    <n v="2"/>
  </r>
  <r>
    <n v="1443"/>
    <s v="Zeolite"/>
    <n v="2"/>
    <n v="30"/>
    <n v="25"/>
    <n v="3"/>
    <n v="25"/>
    <n v="150"/>
    <n v="100"/>
    <n v="0.53700000000000003"/>
    <n v="23.925000000000001"/>
    <n v="4.3"/>
    <n v="75.599999999999994"/>
    <n v="3.567E-2"/>
    <n v="2.4590000000000001E-4"/>
    <n v="2.1189041821465405E-3"/>
    <n v="-0.62571080759525177"/>
    <n v="3"/>
  </r>
  <r>
    <n v="1444"/>
    <s v="Zeolite"/>
    <n v="2"/>
    <n v="30"/>
    <n v="25"/>
    <n v="7"/>
    <n v="25"/>
    <n v="150"/>
    <n v="100"/>
    <n v="0.97599999999999998"/>
    <n v="23.047000000000001"/>
    <n v="7.81"/>
    <n v="87.5"/>
    <n v="3.092E-2"/>
    <n v="2.174E-4"/>
    <n v="6.1734040414295937E-3"/>
    <n v="-3.0637990518463009E-2"/>
    <n v="1"/>
  </r>
  <r>
    <n v="1445"/>
    <s v="Zeolite"/>
    <n v="2"/>
    <n v="30"/>
    <n v="25"/>
    <n v="7"/>
    <n v="25"/>
    <n v="150"/>
    <n v="100"/>
    <n v="0.95599999999999996"/>
    <n v="23.088000000000001"/>
    <n v="7.65"/>
    <n v="94.7"/>
    <n v="3.0089999999999999E-2"/>
    <n v="2.6739999999999999E-4"/>
    <n v="7.2757962775222016E-3"/>
    <n v="-5.2637140394274466E-2"/>
    <n v="2"/>
  </r>
  <r>
    <n v="1446"/>
    <s v="Zeolite"/>
    <n v="2"/>
    <n v="30"/>
    <n v="25"/>
    <n v="7"/>
    <n v="25"/>
    <n v="150"/>
    <n v="100"/>
    <n v="0.81699999999999995"/>
    <n v="23.366"/>
    <n v="6.54"/>
    <n v="89.7"/>
    <n v="3.1370000000000002E-2"/>
    <n v="3.0249999999999998E-4"/>
    <n v="6.0128815178839903E-3"/>
    <n v="-0.20950310849210879"/>
    <n v="3"/>
  </r>
  <r>
    <n v="1447"/>
    <s v="Zeolite"/>
    <n v="2"/>
    <n v="30"/>
    <n v="25"/>
    <n v="11"/>
    <n v="25"/>
    <n v="150"/>
    <n v="100"/>
    <n v="0.66400000000000003"/>
    <n v="23.672999999999998"/>
    <n v="5.31"/>
    <n v="108.9"/>
    <n v="2.9680000000000002E-2"/>
    <n v="2.9859999999999999E-4"/>
    <n v="3.9261929327026775E-3"/>
    <n v="-0.41540362132420555"/>
    <n v="1"/>
  </r>
  <r>
    <n v="1448"/>
    <s v="Zeolite"/>
    <n v="2"/>
    <n v="30"/>
    <n v="25"/>
    <n v="11"/>
    <n v="25"/>
    <n v="150"/>
    <n v="100"/>
    <n v="0.56599999999999995"/>
    <n v="23.867000000000001"/>
    <n v="4.53"/>
    <n v="101.4"/>
    <n v="2.512E-2"/>
    <n v="1.873E-4"/>
    <n v="1.794373620677982E-3"/>
    <n v="-0.57233650815038417"/>
    <n v="2"/>
  </r>
  <r>
    <n v="1449"/>
    <s v="Zeolite"/>
    <n v="2"/>
    <n v="30"/>
    <n v="25"/>
    <n v="11"/>
    <n v="25"/>
    <n v="150"/>
    <n v="100"/>
    <n v="0.69"/>
    <n v="23.62"/>
    <n v="5.52"/>
    <n v="102.1"/>
    <n v="2.9149999999999999E-2"/>
    <n v="2.4729999999999999E-4"/>
    <n v="3.5141963423618514E-3"/>
    <n v="-0.37616973329217274"/>
    <n v="3"/>
  </r>
  <r>
    <n v="1450"/>
    <s v="Zeolite"/>
    <n v="2"/>
    <n v="30"/>
    <n v="50"/>
    <n v="3"/>
    <n v="25"/>
    <n v="150"/>
    <n v="100"/>
    <n v="2.5089999999999999"/>
    <n v="44.981999999999999"/>
    <n v="10.039999999999999"/>
    <n v="96.1"/>
    <n v="3.1530000000000002E-2"/>
    <n v="2.3379999999999999E-4"/>
    <n v="4.3390113450346504E-2"/>
    <n v="0.90243919537031059"/>
    <n v="1"/>
  </r>
  <r>
    <n v="1451"/>
    <s v="Zeolite"/>
    <n v="2"/>
    <n v="30"/>
    <n v="50"/>
    <n v="3"/>
    <n v="25"/>
    <n v="150"/>
    <n v="100"/>
    <n v="2.0139999999999998"/>
    <n v="45.972000000000001"/>
    <n v="8.06"/>
    <n v="96.4"/>
    <n v="2.877E-2"/>
    <n v="2.9550000000000003E-4"/>
    <n v="3.5327437583368405E-2"/>
    <n v="0.68242619685053152"/>
    <n v="2"/>
  </r>
  <r>
    <n v="1452"/>
    <s v="Zeolite"/>
    <n v="2"/>
    <n v="30"/>
    <n v="50"/>
    <n v="3"/>
    <n v="25"/>
    <n v="150"/>
    <n v="100"/>
    <n v="2.17"/>
    <n v="45.66"/>
    <n v="8.68"/>
    <n v="102.1"/>
    <n v="2.3089999999999999E-2"/>
    <n v="2.41E-4"/>
    <n v="3.3519456888923993E-2"/>
    <n v="0.75915986916184397"/>
    <n v="3"/>
  </r>
  <r>
    <n v="1453"/>
    <s v="Zeolite"/>
    <n v="2"/>
    <n v="30"/>
    <n v="50"/>
    <n v="7"/>
    <n v="25"/>
    <n v="150"/>
    <n v="100"/>
    <n v="4.1740000000000004"/>
    <n v="41.652000000000001"/>
    <n v="16.7"/>
    <n v="96.5"/>
    <n v="3.3309999999999999E-2"/>
    <n v="2.8600000000000001E-4"/>
    <n v="0.14431479391085417"/>
    <n v="1.393688260274675"/>
    <n v="1"/>
  </r>
  <r>
    <n v="1454"/>
    <s v="Zeolite"/>
    <n v="2"/>
    <n v="30"/>
    <n v="50"/>
    <n v="7"/>
    <n v="25"/>
    <n v="150"/>
    <n v="100"/>
    <n v="3.4239999999999999"/>
    <n v="43.152999999999999"/>
    <n v="13.69"/>
    <n v="87.4"/>
    <n v="2.2689999999999998E-2"/>
    <n v="2.6709999999999999E-4"/>
    <n v="9.1433987395612426E-2"/>
    <n v="1.203742581608036"/>
    <n v="2"/>
  </r>
  <r>
    <n v="1455"/>
    <s v="Zeolite"/>
    <n v="2"/>
    <n v="30"/>
    <n v="50"/>
    <n v="7"/>
    <n v="25"/>
    <n v="150"/>
    <n v="100"/>
    <n v="3.1110000000000002"/>
    <n v="43.777999999999999"/>
    <n v="12.44"/>
    <n v="102.6"/>
    <n v="2.6249999999999999E-2"/>
    <n v="2.4340000000000001E-4"/>
    <n v="6.9101357435584695E-2"/>
    <n v="1.1124818739409132"/>
    <n v="3"/>
  </r>
  <r>
    <n v="1456"/>
    <s v="Zeolite"/>
    <n v="2"/>
    <n v="30"/>
    <n v="50"/>
    <n v="11"/>
    <n v="25"/>
    <n v="150"/>
    <n v="100"/>
    <n v="2.4889999999999999"/>
    <n v="45.021999999999998"/>
    <n v="9.9600000000000009"/>
    <n v="104"/>
    <n v="2.666E-2"/>
    <n v="2.7989999999999997E-4"/>
    <n v="5.0955455245297723E-2"/>
    <n v="0.89119630191542443"/>
    <n v="1"/>
  </r>
  <r>
    <n v="1457"/>
    <s v="Zeolite"/>
    <n v="2"/>
    <n v="30"/>
    <n v="50"/>
    <n v="11"/>
    <n v="25"/>
    <n v="150"/>
    <n v="100"/>
    <n v="2.3479999999999999"/>
    <n v="45.304000000000002"/>
    <n v="9.39"/>
    <n v="74.900000000000006"/>
    <n v="2.9669999999999998E-2"/>
    <n v="2.5090000000000003E-4"/>
    <n v="4.0776475017531066E-2"/>
    <n v="0.83604486439079839"/>
    <n v="2"/>
  </r>
  <r>
    <n v="1458"/>
    <s v="Zeolite"/>
    <n v="2"/>
    <n v="30"/>
    <n v="50"/>
    <n v="11"/>
    <n v="25"/>
    <n v="150"/>
    <n v="100"/>
    <n v="2.5169999999999999"/>
    <n v="44.965000000000003"/>
    <n v="10.07"/>
    <n v="120.4"/>
    <n v="2.929E-2"/>
    <n v="2.4699999999999999E-4"/>
    <n v="4.6084962241777473E-2"/>
    <n v="0.90458854266714839"/>
    <n v="3"/>
  </r>
  <r>
    <n v="1459"/>
    <s v="Zeolite"/>
    <n v="2"/>
    <n v="30"/>
    <n v="100"/>
    <n v="3"/>
    <n v="25"/>
    <n v="150"/>
    <n v="100"/>
    <n v="6.1239999999999997"/>
    <n v="87.751000000000005"/>
    <n v="12.25"/>
    <n v="112.3"/>
    <n v="3.0550000000000001E-2"/>
    <n v="2.3949999999999999E-4"/>
    <n v="0.2581048984112983"/>
    <n v="1.7691550879522537"/>
    <n v="1"/>
  </r>
  <r>
    <n v="1460"/>
    <s v="Zeolite"/>
    <n v="2"/>
    <n v="30"/>
    <n v="100"/>
    <n v="3"/>
    <n v="25"/>
    <n v="150"/>
    <n v="100"/>
    <n v="5.6340000000000003"/>
    <n v="88.731999999999999"/>
    <n v="11.27"/>
    <n v="121.7"/>
    <n v="2.632E-2"/>
    <n v="2.352E-4"/>
    <n v="0.21540801802962717"/>
    <n v="1.6898359997781003"/>
    <n v="2"/>
  </r>
  <r>
    <n v="1461"/>
    <s v="Zeolite"/>
    <n v="2"/>
    <n v="30"/>
    <n v="100"/>
    <n v="3"/>
    <n v="25"/>
    <n v="150"/>
    <n v="100"/>
    <n v="7.0190000000000001"/>
    <n v="85.962999999999994"/>
    <n v="14.04"/>
    <n v="82.1"/>
    <n v="2.5520000000000001E-2"/>
    <n v="1.9689999999999999E-4"/>
    <n v="0.27943084697325454"/>
    <n v="1.9079959989977249"/>
    <n v="3"/>
  </r>
  <r>
    <n v="1462"/>
    <s v="Zeolite"/>
    <n v="2"/>
    <n v="30"/>
    <n v="100"/>
    <n v="7"/>
    <n v="25"/>
    <n v="150"/>
    <n v="100"/>
    <n v="12.045"/>
    <n v="75.909000000000006"/>
    <n v="24.09"/>
    <n v="91.8"/>
    <n v="3.8780000000000002E-2"/>
    <n v="2.251E-4"/>
    <n v="0.90604159563114606"/>
    <n v="2.4104487296222041"/>
    <n v="1"/>
  </r>
  <r>
    <n v="1463"/>
    <s v="Zeolite"/>
    <n v="2"/>
    <n v="30"/>
    <n v="100"/>
    <n v="7"/>
    <n v="25"/>
    <n v="150"/>
    <n v="100"/>
    <n v="10.372999999999999"/>
    <n v="79.253"/>
    <n v="20.75"/>
    <n v="91.5"/>
    <n v="3.073E-2"/>
    <n v="2.3819999999999999E-4"/>
    <n v="0.71584131081455105"/>
    <n v="2.2676994734049556"/>
    <n v="2"/>
  </r>
  <r>
    <n v="1464"/>
    <s v="Zeolite"/>
    <n v="2"/>
    <n v="30"/>
    <n v="100"/>
    <n v="7"/>
    <n v="25"/>
    <n v="150"/>
    <n v="100"/>
    <n v="11.935"/>
    <n v="76.13"/>
    <n v="23.87"/>
    <n v="85.3"/>
    <n v="2.5860000000000001E-2"/>
    <n v="2.05E-4"/>
    <n v="0.81612798557667576"/>
    <n v="2.4086438461254405"/>
    <n v="3"/>
  </r>
  <r>
    <n v="1465"/>
    <s v="Zeolite"/>
    <n v="2"/>
    <n v="30"/>
    <n v="100"/>
    <n v="11"/>
    <n v="25"/>
    <n v="150"/>
    <n v="100"/>
    <n v="6.7990000000000004"/>
    <n v="86.402000000000001"/>
    <n v="13.6"/>
    <n v="92.2"/>
    <n v="2.9100000000000001E-2"/>
    <n v="2.342E-4"/>
    <n v="0.30997906361249927"/>
    <n v="1.8701116620766529"/>
    <n v="1"/>
  </r>
  <r>
    <n v="1466"/>
    <s v="Zeolite"/>
    <n v="2"/>
    <n v="30"/>
    <n v="100"/>
    <n v="11"/>
    <n v="25"/>
    <n v="150"/>
    <n v="100"/>
    <n v="9.4510000000000005"/>
    <n v="81.096999999999994"/>
    <n v="18.899999999999999"/>
    <n v="118.4"/>
    <n v="2.9000000000000001E-2"/>
    <n v="2.052E-4"/>
    <n v="0.51963027043378607"/>
    <n v="2.1895697682958941"/>
    <n v="2"/>
  </r>
  <r>
    <n v="1467"/>
    <s v="Zeolite"/>
    <n v="2"/>
    <n v="30"/>
    <n v="100"/>
    <n v="11"/>
    <n v="25"/>
    <n v="150"/>
    <n v="100"/>
    <n v="8.0670000000000002"/>
    <n v="83.867000000000004"/>
    <n v="16.13"/>
    <n v="91"/>
    <n v="2.8029999999999999E-2"/>
    <n v="2.3259999999999999E-4"/>
    <n v="0.42990379934374295"/>
    <n v="2.0330174524821749"/>
    <n v="3"/>
  </r>
  <r>
    <n v="1468"/>
    <s v="Zeolite"/>
    <n v="2"/>
    <n v="30"/>
    <n v="200"/>
    <n v="3"/>
    <n v="25"/>
    <n v="150"/>
    <n v="100"/>
    <n v="18.494"/>
    <n v="163.011"/>
    <n v="18.489999999999998"/>
    <n v="94.2"/>
    <n v="2.809E-2"/>
    <n v="2.5520000000000002E-4"/>
    <n v="2.2937889231803963"/>
    <n v="2.785024271586765"/>
    <n v="1"/>
  </r>
  <r>
    <n v="1469"/>
    <s v="Zeolite"/>
    <n v="2"/>
    <n v="30"/>
    <n v="200"/>
    <n v="3"/>
    <n v="25"/>
    <n v="150"/>
    <n v="100"/>
    <n v="20.286999999999999"/>
    <n v="159.42500000000001"/>
    <n v="20.29"/>
    <n v="86.3"/>
    <n v="3.381E-2"/>
    <n v="2.2550000000000001E-4"/>
    <n v="2.4482216764273965"/>
    <n v="2.8813746451866571"/>
    <n v="2"/>
  </r>
  <r>
    <n v="1470"/>
    <s v="Zeolite"/>
    <n v="2"/>
    <n v="30"/>
    <n v="200"/>
    <n v="3"/>
    <n v="25"/>
    <n v="150"/>
    <n v="100"/>
    <n v="16.789000000000001"/>
    <n v="166.422"/>
    <n v="16.79"/>
    <n v="105.7"/>
    <n v="2.7550000000000002E-2"/>
    <n v="2.5799999999999998E-4"/>
    <n v="1.9307791452599816"/>
    <n v="2.6985533049844674"/>
    <n v="3"/>
  </r>
  <r>
    <n v="1471"/>
    <s v="Zeolite"/>
    <n v="2"/>
    <n v="30"/>
    <n v="200"/>
    <n v="7"/>
    <n v="25"/>
    <n v="150"/>
    <n v="100"/>
    <n v="24.713999999999999"/>
    <n v="150.572"/>
    <n v="24.71"/>
    <n v="120.9"/>
    <n v="3.202E-2"/>
    <n v="2.1249999999999999E-4"/>
    <n v="3.363766630304001"/>
    <n v="3.0610626702798123"/>
    <n v="1"/>
  </r>
  <r>
    <n v="1472"/>
    <s v="Zeolite"/>
    <n v="2"/>
    <n v="30"/>
    <n v="200"/>
    <n v="7"/>
    <n v="25"/>
    <n v="150"/>
    <n v="100"/>
    <n v="27.338999999999999"/>
    <n v="145.322"/>
    <n v="27.34"/>
    <n v="125.1"/>
    <n v="2.7789999999999999E-2"/>
    <n v="2.2910000000000001E-4"/>
    <n v="4.3244548318665492"/>
    <n v="3.1361264146639085"/>
    <n v="2"/>
  </r>
  <r>
    <n v="1473"/>
    <s v="Zeolite"/>
    <n v="2"/>
    <n v="30"/>
    <n v="200"/>
    <n v="7"/>
    <n v="25"/>
    <n v="150"/>
    <n v="100"/>
    <n v="25.103999999999999"/>
    <n v="149.791"/>
    <n v="25.1"/>
    <n v="94.7"/>
    <n v="2.9319999999999999E-2"/>
    <n v="2.6790000000000001E-4"/>
    <n v="4.2146524715140332"/>
    <n v="3.0392393414036212"/>
    <n v="3"/>
  </r>
  <r>
    <n v="1474"/>
    <s v="Zeolite"/>
    <n v="2"/>
    <n v="30"/>
    <n v="200"/>
    <n v="11"/>
    <n v="25"/>
    <n v="150"/>
    <n v="100"/>
    <n v="21.15"/>
    <n v="157.69999999999999"/>
    <n v="21.15"/>
    <n v="77.2"/>
    <n v="3.1350000000000003E-2"/>
    <n v="2.7520000000000002E-4"/>
    <n v="3.1440909970114448"/>
    <n v="2.8906999819685586"/>
    <n v="1"/>
  </r>
  <r>
    <n v="1475"/>
    <s v="Zeolite"/>
    <n v="2"/>
    <n v="30"/>
    <n v="200"/>
    <n v="11"/>
    <n v="25"/>
    <n v="150"/>
    <n v="100"/>
    <n v="20.774999999999999"/>
    <n v="158.44999999999999"/>
    <n v="20.78"/>
    <n v="116.2"/>
    <n v="3.0110000000000001E-2"/>
    <n v="2.7730000000000002E-4"/>
    <n v="3.0613934626005972"/>
    <n v="2.8743330751840239"/>
    <n v="2"/>
  </r>
  <r>
    <n v="1476"/>
    <s v="Zeolite"/>
    <n v="2"/>
    <n v="30"/>
    <n v="200"/>
    <n v="11"/>
    <n v="25"/>
    <n v="150"/>
    <n v="100"/>
    <n v="24.044"/>
    <n v="151.91200000000001"/>
    <n v="24.04"/>
    <n v="62.2"/>
    <n v="2.954E-2"/>
    <n v="2.765E-4"/>
    <n v="3.9980617527950302"/>
    <n v="2.9980265520434535"/>
    <n v="3"/>
  </r>
  <r>
    <n v="1477"/>
    <s v="Zeolite"/>
    <n v="2"/>
    <n v="60"/>
    <n v="25"/>
    <n v="3"/>
    <n v="25"/>
    <n v="150"/>
    <n v="100"/>
    <n v="0.91300000000000003"/>
    <n v="23.172999999999998"/>
    <n v="7.31"/>
    <n v="94.2"/>
    <n v="2.947E-2"/>
    <n v="1.775E-4"/>
    <n v="8.7920210727006499E-3"/>
    <n v="-0.10069587986583109"/>
    <n v="1"/>
  </r>
  <r>
    <n v="1478"/>
    <s v="Zeolite"/>
    <n v="2"/>
    <n v="60"/>
    <n v="25"/>
    <n v="3"/>
    <n v="25"/>
    <n v="150"/>
    <n v="100"/>
    <n v="1.143"/>
    <n v="22.715"/>
    <n v="9.14"/>
    <n v="86.5"/>
    <n v="3.1519999999999999E-2"/>
    <n v="2.4780000000000001E-4"/>
    <n v="1.9099701044093739E-2"/>
    <n v="0.11680504554072001"/>
    <n v="2"/>
  </r>
  <r>
    <n v="1479"/>
    <s v="Zeolite"/>
    <n v="2"/>
    <n v="60"/>
    <n v="25"/>
    <n v="3"/>
    <n v="25"/>
    <n v="150"/>
    <n v="100"/>
    <n v="1.1060000000000001"/>
    <n v="22.789000000000001"/>
    <n v="8.85"/>
    <n v="106.1"/>
    <n v="2.93E-2"/>
    <n v="2.2770000000000001E-4"/>
    <n v="1.6463090108804469E-2"/>
    <n v="8.575275265448451E-2"/>
    <n v="3"/>
  </r>
  <r>
    <n v="1480"/>
    <s v="Zeolite"/>
    <n v="2"/>
    <n v="60"/>
    <n v="25"/>
    <n v="7"/>
    <n v="25"/>
    <n v="150"/>
    <n v="100"/>
    <n v="1.821"/>
    <n v="21.356999999999999"/>
    <n v="14.57"/>
    <n v="71.900000000000006"/>
    <n v="3.1940000000000003E-2"/>
    <n v="2.2249999999999999E-4"/>
    <n v="4.3218490714264479E-2"/>
    <n v="0.57536624387458524"/>
    <n v="1"/>
  </r>
  <r>
    <n v="1481"/>
    <s v="Zeolite"/>
    <n v="2"/>
    <n v="60"/>
    <n v="25"/>
    <n v="7"/>
    <n v="25"/>
    <n v="150"/>
    <n v="100"/>
    <n v="1.891"/>
    <n v="21.218"/>
    <n v="15.13"/>
    <n v="102.4"/>
    <n v="3.193E-2"/>
    <n v="2.52E-4"/>
    <n v="5.2564403500272486E-2"/>
    <n v="0.60891499068584665"/>
    <n v="2"/>
  </r>
  <r>
    <n v="1482"/>
    <s v="Zeolite"/>
    <n v="2"/>
    <n v="60"/>
    <n v="25"/>
    <n v="7"/>
    <n v="25"/>
    <n v="150"/>
    <n v="100"/>
    <n v="1.431"/>
    <n v="22.137"/>
    <n v="11.45"/>
    <n v="87.1"/>
    <n v="3.202E-2"/>
    <n v="2.542E-4"/>
    <n v="3.0565343445315796E-2"/>
    <n v="0.3367826574033278"/>
    <n v="3"/>
  </r>
  <r>
    <n v="1483"/>
    <s v="Zeolite"/>
    <n v="2"/>
    <n v="60"/>
    <n v="25"/>
    <n v="11"/>
    <n v="25"/>
    <n v="150"/>
    <n v="100"/>
    <n v="1.39"/>
    <n v="22.221"/>
    <n v="11.12"/>
    <n v="106"/>
    <n v="2.7099999999999999E-2"/>
    <n v="2.3010000000000001E-4"/>
    <n v="2.6172316939346185E-2"/>
    <n v="0.31029521937373322"/>
    <n v="1"/>
  </r>
  <r>
    <n v="1484"/>
    <s v="Zeolite"/>
    <n v="2"/>
    <n v="60"/>
    <n v="25"/>
    <n v="11"/>
    <n v="25"/>
    <n v="150"/>
    <n v="100"/>
    <n v="1.268"/>
    <n v="22.465"/>
    <n v="10.14"/>
    <n v="65.3"/>
    <n v="3.5020000000000003E-2"/>
    <n v="2.61E-4"/>
    <n v="2.4688291400260003E-2"/>
    <n v="0.21777855228923643"/>
    <n v="2"/>
  </r>
  <r>
    <n v="1485"/>
    <s v="Zeolite"/>
    <n v="2"/>
    <n v="60"/>
    <n v="25"/>
    <n v="11"/>
    <n v="25"/>
    <n v="150"/>
    <n v="100"/>
    <n v="1.395"/>
    <n v="22.21"/>
    <n v="11.16"/>
    <n v="76.3"/>
    <n v="3.3730000000000003E-2"/>
    <n v="3.0580000000000001E-4"/>
    <n v="3.4814571722070614E-2"/>
    <n v="0.30762103477592523"/>
    <n v="3"/>
  </r>
  <r>
    <n v="1486"/>
    <s v="Zeolite"/>
    <n v="2"/>
    <n v="60"/>
    <n v="50"/>
    <n v="3"/>
    <n v="25"/>
    <n v="150"/>
    <n v="100"/>
    <n v="3.0960000000000001"/>
    <n v="43.807000000000002"/>
    <n v="12.39"/>
    <n v="111.6"/>
    <n v="0.03"/>
    <n v="2.1139999999999999E-4"/>
    <n v="0.11698492119558297"/>
    <n v="1.0915927354183743"/>
    <n v="1"/>
  </r>
  <r>
    <n v="1487"/>
    <s v="Zeolite"/>
    <n v="2"/>
    <n v="60"/>
    <n v="50"/>
    <n v="3"/>
    <n v="25"/>
    <n v="150"/>
    <n v="100"/>
    <n v="3.67"/>
    <n v="42.66"/>
    <n v="14.68"/>
    <n v="112.5"/>
    <n v="2.8199999999999999E-2"/>
    <n v="2.7910000000000001E-4"/>
    <n v="0.21249096775225607"/>
    <n v="1.2405483969171367"/>
    <n v="2"/>
  </r>
  <r>
    <n v="1488"/>
    <s v="Zeolite"/>
    <n v="2"/>
    <n v="60"/>
    <n v="50"/>
    <n v="3"/>
    <n v="25"/>
    <n v="150"/>
    <n v="100"/>
    <n v="2.9870000000000001"/>
    <n v="44.026000000000003"/>
    <n v="11.95"/>
    <n v="77.599999999999994"/>
    <n v="3.041E-2"/>
    <n v="2.5060000000000002E-4"/>
    <n v="0.12838752429088485"/>
    <n v="1.0503363587557657"/>
    <n v="3"/>
  </r>
  <r>
    <n v="1489"/>
    <s v="Zeolite"/>
    <n v="2"/>
    <n v="60"/>
    <n v="50"/>
    <n v="7"/>
    <n v="25"/>
    <n v="150"/>
    <n v="100"/>
    <n v="5.4640000000000004"/>
    <n v="39.073"/>
    <n v="21.85"/>
    <n v="112.1"/>
    <n v="3.159E-2"/>
    <n v="2.7149999999999999E-4"/>
    <n v="0.44659223967899769"/>
    <n v="1.6129134179261526"/>
    <n v="1"/>
  </r>
  <r>
    <n v="1490"/>
    <s v="Zeolite"/>
    <n v="2"/>
    <n v="60"/>
    <n v="50"/>
    <n v="7"/>
    <n v="25"/>
    <n v="150"/>
    <n v="100"/>
    <n v="5.7759999999999998"/>
    <n v="38.448999999999998"/>
    <n v="23.1"/>
    <n v="109"/>
    <n v="2.8660000000000001E-2"/>
    <n v="3.0130000000000001E-4"/>
    <n v="0.54609860522731102"/>
    <n v="1.6543924241271446"/>
    <n v="2"/>
  </r>
  <r>
    <n v="1491"/>
    <s v="Zeolite"/>
    <n v="2"/>
    <n v="60"/>
    <n v="50"/>
    <n v="7"/>
    <n v="25"/>
    <n v="150"/>
    <n v="100"/>
    <n v="5.4130000000000003"/>
    <n v="39.173999999999999"/>
    <n v="21.65"/>
    <n v="131.6"/>
    <n v="3.0099999999999998E-2"/>
    <n v="2.1560000000000001E-4"/>
    <n v="0.35422819286181645"/>
    <n v="1.6211237279746655"/>
    <n v="3"/>
  </r>
  <r>
    <n v="1492"/>
    <s v="Zeolite"/>
    <n v="2"/>
    <n v="60"/>
    <n v="50"/>
    <n v="11"/>
    <n v="25"/>
    <n v="150"/>
    <n v="100"/>
    <n v="4.9320000000000004"/>
    <n v="40.136000000000003"/>
    <n v="19.73"/>
    <n v="101.9"/>
    <n v="3.2550000000000003E-2"/>
    <n v="2.8059999999999999E-4"/>
    <n v="0.3781311889163872"/>
    <n v="1.5159771598229206"/>
    <n v="1"/>
  </r>
  <r>
    <n v="1493"/>
    <s v="Zeolite"/>
    <n v="2"/>
    <n v="60"/>
    <n v="50"/>
    <n v="11"/>
    <n v="25"/>
    <n v="150"/>
    <n v="100"/>
    <n v="4.5250000000000004"/>
    <n v="40.950000000000003"/>
    <n v="18.100000000000001"/>
    <n v="91.1"/>
    <n v="3.2930000000000001E-2"/>
    <n v="2.5000000000000001E-4"/>
    <n v="0.28761266534004459"/>
    <n v="1.4439468846622439"/>
    <n v="2"/>
  </r>
  <r>
    <n v="1494"/>
    <s v="Zeolite"/>
    <n v="2"/>
    <n v="60"/>
    <n v="50"/>
    <n v="11"/>
    <n v="25"/>
    <n v="150"/>
    <n v="100"/>
    <n v="4.6619999999999999"/>
    <n v="40.674999999999997"/>
    <n v="18.649999999999999"/>
    <n v="67.7"/>
    <n v="3.134E-2"/>
    <n v="2.34E-4"/>
    <n v="0.28640246156738675"/>
    <n v="1.4760430906965183"/>
    <n v="3"/>
  </r>
  <r>
    <n v="1495"/>
    <s v="Zeolite"/>
    <n v="2"/>
    <n v="60"/>
    <n v="100"/>
    <n v="3"/>
    <n v="25"/>
    <n v="150"/>
    <n v="100"/>
    <n v="12.955"/>
    <n v="74.090999999999994"/>
    <n v="25.91"/>
    <n v="109.3"/>
    <n v="3.0720000000000001E-2"/>
    <n v="2.6219999999999998E-4"/>
    <n v="2.1933176102010816"/>
    <n v="2.3759918984405917"/>
    <n v="1"/>
  </r>
  <r>
    <n v="1496"/>
    <s v="Zeolite"/>
    <n v="2"/>
    <n v="60"/>
    <n v="100"/>
    <n v="3"/>
    <n v="25"/>
    <n v="150"/>
    <n v="100"/>
    <n v="10.263"/>
    <n v="79.472999999999999"/>
    <n v="20.53"/>
    <n v="124.3"/>
    <n v="3.5970000000000002E-2"/>
    <n v="2.5980000000000003E-4"/>
    <n v="1.4154309473141065"/>
    <n v="2.1801427379751388"/>
    <n v="2"/>
  </r>
  <r>
    <n v="1497"/>
    <s v="Zeolite"/>
    <n v="2"/>
    <n v="60"/>
    <n v="100"/>
    <n v="3"/>
    <n v="25"/>
    <n v="150"/>
    <n v="100"/>
    <n v="12.891"/>
    <n v="74.218000000000004"/>
    <n v="25.78"/>
    <n v="91.5"/>
    <n v="2.7609999999999999E-2"/>
    <n v="2.5099999999999998E-4"/>
    <n v="2.0957694368708299"/>
    <n v="2.3791044220646849"/>
    <n v="3"/>
  </r>
  <r>
    <n v="1498"/>
    <s v="Zeolite"/>
    <n v="2"/>
    <n v="60"/>
    <n v="100"/>
    <n v="7"/>
    <n v="25"/>
    <n v="150"/>
    <n v="100"/>
    <n v="18.702999999999999"/>
    <n v="62.594000000000001"/>
    <n v="37.409999999999997"/>
    <n v="94.1"/>
    <n v="3.1609999999999999E-2"/>
    <n v="2.5769999999999998E-4"/>
    <n v="4.19539356878854"/>
    <n v="2.6746730933446328"/>
    <n v="1"/>
  </r>
  <r>
    <n v="1499"/>
    <s v="Zeolite"/>
    <n v="2"/>
    <n v="60"/>
    <n v="100"/>
    <n v="7"/>
    <n v="25"/>
    <n v="150"/>
    <n v="100"/>
    <n v="16.382000000000001"/>
    <n v="67.236999999999995"/>
    <n v="32.76"/>
    <n v="107.8"/>
    <n v="3.2590000000000001E-2"/>
    <n v="2.543E-4"/>
    <n v="3.2759444964197622"/>
    <n v="2.5730743755831766"/>
    <n v="2"/>
  </r>
  <r>
    <n v="1500"/>
    <s v="Zeolite"/>
    <n v="2"/>
    <n v="60"/>
    <n v="100"/>
    <n v="7"/>
    <n v="25"/>
    <n v="150"/>
    <n v="100"/>
    <n v="19.866"/>
    <n v="60.268000000000001"/>
    <n v="39.729999999999997"/>
    <n v="81.7"/>
    <n v="3.1399999999999997E-2"/>
    <n v="2.207E-4"/>
    <n v="4.1376004296252011"/>
    <n v="2.7554679681161112"/>
    <n v="3"/>
  </r>
  <r>
    <n v="1501"/>
    <s v="Zeolite"/>
    <n v="2"/>
    <n v="60"/>
    <n v="100"/>
    <n v="11"/>
    <n v="25"/>
    <n v="150"/>
    <n v="100"/>
    <n v="12.464"/>
    <n v="75.070999999999998"/>
    <n v="24.93"/>
    <n v="90.5"/>
    <n v="2.717E-2"/>
    <n v="2.363E-4"/>
    <n v="1.8717968568269445"/>
    <n v="2.3601181779356879"/>
    <n v="1"/>
  </r>
  <r>
    <n v="1502"/>
    <s v="Zeolite"/>
    <n v="2"/>
    <n v="60"/>
    <n v="100"/>
    <n v="11"/>
    <n v="25"/>
    <n v="150"/>
    <n v="100"/>
    <n v="13.587"/>
    <n v="72.826999999999998"/>
    <n v="27.17"/>
    <n v="112.6"/>
    <n v="2.904E-2"/>
    <n v="2.1039999999999999E-4"/>
    <n v="1.9892693044999923"/>
    <n v="2.4508094492760581"/>
    <n v="2"/>
  </r>
  <r>
    <n v="1503"/>
    <s v="Zeolite"/>
    <n v="2"/>
    <n v="60"/>
    <n v="100"/>
    <n v="11"/>
    <n v="25"/>
    <n v="150"/>
    <n v="100"/>
    <n v="15.275"/>
    <n v="69.45"/>
    <n v="30.55"/>
    <n v="87.4"/>
    <n v="2.9819999999999999E-2"/>
    <n v="2.6120000000000001E-4"/>
    <n v="2.9503867104602608"/>
    <n v="2.5115983433342612"/>
    <n v="3"/>
  </r>
  <r>
    <n v="1504"/>
    <s v="Zeolite"/>
    <n v="2"/>
    <n v="60"/>
    <n v="200"/>
    <n v="3"/>
    <n v="25"/>
    <n v="150"/>
    <n v="100"/>
    <n v="30.234999999999999"/>
    <n v="139.53"/>
    <n v="30.23"/>
    <n v="116.4"/>
    <n v="3.1440000000000003E-2"/>
    <n v="2.285E-4"/>
    <n v="8.8602859932845863"/>
    <n v="3.062208634930526"/>
    <n v="1"/>
  </r>
  <r>
    <n v="1505"/>
    <s v="Zeolite"/>
    <n v="2"/>
    <n v="60"/>
    <n v="200"/>
    <n v="3"/>
    <n v="25"/>
    <n v="150"/>
    <n v="100"/>
    <n v="35.524999999999999"/>
    <n v="128.95099999999999"/>
    <n v="35.520000000000003"/>
    <n v="102.9"/>
    <n v="2.9559999999999999E-2"/>
    <n v="2.7409999999999999E-4"/>
    <n v="13.101057326769991"/>
    <n v="3.1101292573675146"/>
    <n v="2"/>
  </r>
  <r>
    <n v="1506"/>
    <s v="Zeolite"/>
    <n v="2"/>
    <n v="60"/>
    <n v="200"/>
    <n v="3"/>
    <n v="25"/>
    <n v="150"/>
    <n v="100"/>
    <n v="30.367999999999999"/>
    <n v="139.26400000000001"/>
    <n v="30.37"/>
    <n v="106"/>
    <n v="3.7479999999999999E-2"/>
    <n v="2.431E-4"/>
    <n v="9.3221914136028285"/>
    <n v="3.0467014232661978"/>
    <n v="3"/>
  </r>
  <r>
    <n v="1507"/>
    <s v="Zeolite"/>
    <n v="2"/>
    <n v="60"/>
    <n v="200"/>
    <n v="7"/>
    <n v="25"/>
    <n v="150"/>
    <n v="100"/>
    <n v="44.11"/>
    <n v="111.78100000000001"/>
    <n v="44.11"/>
    <n v="101.7"/>
    <n v="3.3210000000000003E-2"/>
    <n v="2.1230000000000001E-4"/>
    <n v="15.868270412198255"/>
    <n v="3.3408006567765538"/>
    <n v="1"/>
  </r>
  <r>
    <n v="1508"/>
    <s v="Zeolite"/>
    <n v="2"/>
    <n v="60"/>
    <n v="200"/>
    <n v="7"/>
    <n v="25"/>
    <n v="150"/>
    <n v="100"/>
    <n v="37.375999999999998"/>
    <n v="125.249"/>
    <n v="37.380000000000003"/>
    <n v="91.2"/>
    <n v="2.5100000000000001E-2"/>
    <n v="2.3939999999999999E-4"/>
    <n v="13.056423440473838"/>
    <n v="3.1912816457426953"/>
    <n v="2"/>
  </r>
  <r>
    <n v="1509"/>
    <s v="Zeolite"/>
    <n v="2"/>
    <n v="60"/>
    <n v="200"/>
    <n v="7"/>
    <n v="25"/>
    <n v="150"/>
    <n v="100"/>
    <n v="47.462000000000003"/>
    <n v="105.07599999999999"/>
    <n v="47.46"/>
    <n v="86.6"/>
    <n v="2.572E-2"/>
    <n v="2.5169999999999999E-4"/>
    <n v="19.815915244441168"/>
    <n v="3.3194841177814736"/>
    <n v="3"/>
  </r>
  <r>
    <n v="1510"/>
    <s v="Zeolite"/>
    <n v="2"/>
    <n v="60"/>
    <n v="200"/>
    <n v="11"/>
    <n v="25"/>
    <n v="150"/>
    <n v="100"/>
    <n v="38.597000000000001"/>
    <n v="122.806"/>
    <n v="38.6"/>
    <n v="74.599999999999994"/>
    <n v="3.2460000000000003E-2"/>
    <n v="2.7040000000000001E-4"/>
    <n v="14.862493835445822"/>
    <n v="3.1669299455746605"/>
    <n v="1"/>
  </r>
  <r>
    <n v="1511"/>
    <s v="Zeolite"/>
    <n v="2"/>
    <n v="60"/>
    <n v="200"/>
    <n v="11"/>
    <n v="25"/>
    <n v="150"/>
    <n v="100"/>
    <n v="38.892000000000003"/>
    <n v="122.21599999999999"/>
    <n v="38.89"/>
    <n v="118.3"/>
    <n v="3.6609999999999997E-2"/>
    <n v="2.4110000000000001E-4"/>
    <n v="14.00289882605203"/>
    <n v="3.2144300037928555"/>
    <n v="2"/>
  </r>
  <r>
    <n v="1512"/>
    <s v="Zeolite"/>
    <n v="2"/>
    <n v="60"/>
    <n v="200"/>
    <n v="11"/>
    <n v="25"/>
    <n v="150"/>
    <n v="100"/>
    <n v="36.17"/>
    <n v="127.66"/>
    <n v="36.17"/>
    <n v="93.8"/>
    <n v="3.0009999999999998E-2"/>
    <n v="2.8830000000000001E-4"/>
    <n v="13.920693674564657"/>
    <n v="3.1023108317413275"/>
    <n v="3"/>
  </r>
  <r>
    <n v="1513"/>
    <s v="Zeolite"/>
    <n v="2"/>
    <n v="120"/>
    <n v="25"/>
    <n v="3"/>
    <n v="25"/>
    <n v="150"/>
    <n v="100"/>
    <n v="1.5629999999999999"/>
    <n v="21.875"/>
    <n v="12.5"/>
    <n v="87.1"/>
    <n v="3.4130000000000001E-2"/>
    <n v="2.7549999999999997E-4"/>
    <n v="7.6796277963949944E-2"/>
    <n v="0.3962250311359225"/>
    <n v="1"/>
  </r>
  <r>
    <n v="1514"/>
    <s v="Zeolite"/>
    <n v="2"/>
    <n v="120"/>
    <n v="25"/>
    <n v="3"/>
    <n v="25"/>
    <n v="150"/>
    <n v="100"/>
    <n v="1.72"/>
    <n v="21.561"/>
    <n v="13.76"/>
    <n v="112.8"/>
    <n v="3.1019999999999999E-2"/>
    <n v="2.875E-4"/>
    <n v="9.6347537145770004E-2"/>
    <n v="0.48467821813254447"/>
    <n v="2"/>
  </r>
  <r>
    <n v="1515"/>
    <s v="Zeolite"/>
    <n v="2"/>
    <n v="120"/>
    <n v="25"/>
    <n v="3"/>
    <n v="25"/>
    <n v="150"/>
    <n v="100"/>
    <n v="1.79"/>
    <n v="21.420999999999999"/>
    <n v="14.32"/>
    <n v="115.4"/>
    <n v="3.7929999999999998E-2"/>
    <n v="2.6499999999999999E-4"/>
    <n v="9.6402932288286183E-2"/>
    <n v="0.52685470944336921"/>
    <n v="3"/>
  </r>
  <r>
    <n v="1516"/>
    <s v="Zeolite"/>
    <n v="2"/>
    <n v="120"/>
    <n v="25"/>
    <n v="7"/>
    <n v="25"/>
    <n v="150"/>
    <n v="100"/>
    <n v="2.9670000000000001"/>
    <n v="19.065999999999999"/>
    <n v="23.73"/>
    <n v="110.8"/>
    <n v="2.8899999999999999E-2"/>
    <n v="3.0969999999999999E-4"/>
    <n v="0.29466643218703448"/>
    <n v="0.9829520861361084"/>
    <n v="1"/>
  </r>
  <r>
    <n v="1517"/>
    <s v="Zeolite"/>
    <n v="2"/>
    <n v="120"/>
    <n v="25"/>
    <n v="7"/>
    <n v="25"/>
    <n v="150"/>
    <n v="100"/>
    <n v="3.0019999999999998"/>
    <n v="18.997"/>
    <n v="24.01"/>
    <n v="95.9"/>
    <n v="2.7490000000000001E-2"/>
    <n v="2.7740000000000002E-4"/>
    <n v="0.27273683966759737"/>
    <n v="1.00403166812591"/>
    <n v="2"/>
  </r>
  <r>
    <n v="1518"/>
    <s v="Zeolite"/>
    <n v="2"/>
    <n v="120"/>
    <n v="25"/>
    <n v="7"/>
    <n v="25"/>
    <n v="150"/>
    <n v="100"/>
    <n v="3.1840000000000002"/>
    <n v="18.631"/>
    <n v="25.47"/>
    <n v="92.5"/>
    <n v="3.1730000000000001E-2"/>
    <n v="2.1230000000000001E-4"/>
    <n v="0.238893993647214"/>
    <n v="1.0801448118217041"/>
    <n v="3"/>
  </r>
  <r>
    <n v="1519"/>
    <s v="Zeolite"/>
    <n v="2"/>
    <n v="120"/>
    <n v="25"/>
    <n v="11"/>
    <n v="25"/>
    <n v="150"/>
    <n v="100"/>
    <n v="2.258"/>
    <n v="20.483000000000001"/>
    <n v="18.07"/>
    <n v="106.8"/>
    <n v="3.5119999999999998E-2"/>
    <n v="2.307E-4"/>
    <n v="0.13284447494461965"/>
    <n v="0.75384498795960553"/>
    <n v="1"/>
  </r>
  <r>
    <n v="1520"/>
    <s v="Zeolite"/>
    <n v="2"/>
    <n v="120"/>
    <n v="25"/>
    <n v="11"/>
    <n v="25"/>
    <n v="150"/>
    <n v="100"/>
    <n v="1.966"/>
    <n v="21.068999999999999"/>
    <n v="15.73"/>
    <n v="86.6"/>
    <n v="2.5989999999999999E-2"/>
    <n v="2.834E-4"/>
    <n v="0.12320853604101925"/>
    <n v="0.61128152196502239"/>
    <n v="2"/>
  </r>
  <r>
    <n v="1521"/>
    <s v="Zeolite"/>
    <n v="2"/>
    <n v="120"/>
    <n v="25"/>
    <n v="11"/>
    <n v="25"/>
    <n v="150"/>
    <n v="100"/>
    <n v="2.5310000000000001"/>
    <n v="19.937999999999999"/>
    <n v="20.25"/>
    <n v="104.8"/>
    <n v="3.3660000000000002E-2"/>
    <n v="2.5329999999999998E-4"/>
    <n v="0.18080578964465913"/>
    <n v="0.8544979674457478"/>
    <n v="3"/>
  </r>
  <r>
    <n v="1522"/>
    <s v="Zeolite"/>
    <n v="2"/>
    <n v="120"/>
    <n v="50"/>
    <n v="3"/>
    <n v="25"/>
    <n v="150"/>
    <n v="100"/>
    <n v="5.7640000000000002"/>
    <n v="38.472999999999999"/>
    <n v="23.05"/>
    <n v="95"/>
    <n v="2.9069999999999999E-2"/>
    <n v="2.1130000000000001E-4"/>
    <n v="0.73499854080085081"/>
    <n v="1.6152214473467053"/>
    <n v="1"/>
  </r>
  <r>
    <n v="1523"/>
    <s v="Zeolite"/>
    <n v="2"/>
    <n v="120"/>
    <n v="50"/>
    <n v="3"/>
    <n v="25"/>
    <n v="150"/>
    <n v="100"/>
    <n v="5.952"/>
    <n v="38.097000000000001"/>
    <n v="23.81"/>
    <n v="99.4"/>
    <n v="3.2239999999999998E-2"/>
    <n v="2.5230000000000001E-4"/>
    <n v="0.908798745034616"/>
    <n v="1.6180410500844098"/>
    <n v="2"/>
  </r>
  <r>
    <n v="1524"/>
    <s v="Zeolite"/>
    <n v="2"/>
    <n v="120"/>
    <n v="50"/>
    <n v="3"/>
    <n v="25"/>
    <n v="150"/>
    <n v="100"/>
    <n v="5.7279999999999998"/>
    <n v="38.543999999999997"/>
    <n v="22.91"/>
    <n v="86.9"/>
    <n v="3.022E-2"/>
    <n v="2.6850000000000002E-4"/>
    <n v="0.89243357147372404"/>
    <n v="1.5759982737552745"/>
    <n v="3"/>
  </r>
  <r>
    <n v="1525"/>
    <s v="Zeolite"/>
    <n v="2"/>
    <n v="120"/>
    <n v="50"/>
    <n v="7"/>
    <n v="25"/>
    <n v="150"/>
    <n v="100"/>
    <n v="8.3130000000000006"/>
    <n v="33.372999999999998"/>
    <n v="33.25"/>
    <n v="101.3"/>
    <n v="3.0700000000000002E-2"/>
    <n v="2.32E-4"/>
    <n v="1.5623332650768631"/>
    <n v="1.909641275550624"/>
    <n v="1"/>
  </r>
  <r>
    <n v="1526"/>
    <s v="Zeolite"/>
    <n v="2"/>
    <n v="120"/>
    <n v="50"/>
    <n v="7"/>
    <n v="25"/>
    <n v="150"/>
    <n v="100"/>
    <n v="8.7769999999999992"/>
    <n v="32.447000000000003"/>
    <n v="35.11"/>
    <n v="103.5"/>
    <n v="2.6599999999999999E-2"/>
    <n v="2.587E-4"/>
    <n v="1.8794086929523575"/>
    <n v="1.9311722647234106"/>
    <n v="2"/>
  </r>
  <r>
    <n v="1527"/>
    <s v="Zeolite"/>
    <n v="2"/>
    <n v="120"/>
    <n v="50"/>
    <n v="7"/>
    <n v="25"/>
    <n v="150"/>
    <n v="100"/>
    <n v="8.52"/>
    <n v="32.96"/>
    <n v="34.08"/>
    <n v="115.9"/>
    <n v="3.7010000000000001E-2"/>
    <n v="2.285E-4"/>
    <n v="1.6134882294232962"/>
    <n v="1.9324647014316301"/>
    <n v="3"/>
  </r>
  <r>
    <n v="1528"/>
    <s v="Zeolite"/>
    <n v="2"/>
    <n v="120"/>
    <n v="50"/>
    <n v="11"/>
    <n v="25"/>
    <n v="150"/>
    <n v="100"/>
    <n v="7.4809999999999999"/>
    <n v="35.037999999999997"/>
    <n v="29.92"/>
    <n v="89.1"/>
    <n v="3.3119999999999997E-2"/>
    <n v="2.184E-4"/>
    <n v="1.2263077685146984"/>
    <n v="1.8333319391088654"/>
    <n v="1"/>
  </r>
  <r>
    <n v="1529"/>
    <s v="Zeolite"/>
    <n v="2"/>
    <n v="120"/>
    <n v="50"/>
    <n v="11"/>
    <n v="25"/>
    <n v="150"/>
    <n v="100"/>
    <n v="7.4470000000000001"/>
    <n v="35.106999999999999"/>
    <n v="29.79"/>
    <n v="86.9"/>
    <n v="2.938E-2"/>
    <n v="2.242E-4"/>
    <n v="1.2429973024226497"/>
    <n v="1.8251946801267946"/>
    <n v="2"/>
  </r>
  <r>
    <n v="1530"/>
    <s v="Zeolite"/>
    <n v="2"/>
    <n v="120"/>
    <n v="50"/>
    <n v="11"/>
    <n v="25"/>
    <n v="150"/>
    <n v="100"/>
    <n v="7.6660000000000004"/>
    <n v="34.667999999999999"/>
    <n v="30.66"/>
    <n v="87.4"/>
    <n v="3.1660000000000001E-2"/>
    <n v="2.4140000000000001E-4"/>
    <n v="1.3930301781924064"/>
    <n v="1.8362498982960191"/>
    <n v="3"/>
  </r>
  <r>
    <n v="1531"/>
    <s v="Zeolite"/>
    <n v="2"/>
    <n v="120"/>
    <n v="100"/>
    <n v="3"/>
    <n v="25"/>
    <n v="150"/>
    <n v="100"/>
    <n v="16.638999999999999"/>
    <n v="66.721999999999994"/>
    <n v="33.28"/>
    <n v="102.2"/>
    <n v="2.7709999999999999E-2"/>
    <n v="2.5530000000000003E-4"/>
    <n v="5.6179875770914824"/>
    <n v="2.3998036709121555"/>
    <n v="1"/>
  </r>
  <r>
    <n v="1532"/>
    <s v="Zeolite"/>
    <n v="2"/>
    <n v="120"/>
    <n v="100"/>
    <n v="3"/>
    <n v="25"/>
    <n v="150"/>
    <n v="100"/>
    <n v="19.126999999999999"/>
    <n v="61.744999999999997"/>
    <n v="38.25"/>
    <n v="88.3"/>
    <n v="3.3520000000000001E-2"/>
    <n v="2.875E-4"/>
    <n v="7.6038882597944486"/>
    <n v="2.4443547351301826"/>
    <n v="2"/>
  </r>
  <r>
    <n v="1533"/>
    <s v="Zeolite"/>
    <n v="2"/>
    <n v="120"/>
    <n v="100"/>
    <n v="3"/>
    <n v="25"/>
    <n v="150"/>
    <n v="100"/>
    <n v="15.577"/>
    <n v="68.846000000000004"/>
    <n v="31.15"/>
    <n v="78.2"/>
    <n v="3.091E-2"/>
    <n v="2.363E-4"/>
    <n v="4.7724049081558366"/>
    <n v="2.379971515109907"/>
    <n v="3"/>
  </r>
  <r>
    <n v="1534"/>
    <s v="Zeolite"/>
    <n v="2"/>
    <n v="120"/>
    <n v="100"/>
    <n v="7"/>
    <n v="25"/>
    <n v="150"/>
    <n v="100"/>
    <n v="29.849"/>
    <n v="40.302999999999997"/>
    <n v="59.7"/>
    <n v="100.5"/>
    <n v="2.759E-2"/>
    <n v="2.2130000000000001E-4"/>
    <n v="13.198417758218536"/>
    <n v="2.812445185291399"/>
    <n v="1"/>
  </r>
  <r>
    <n v="1535"/>
    <s v="Zeolite"/>
    <n v="2"/>
    <n v="120"/>
    <n v="100"/>
    <n v="7"/>
    <n v="25"/>
    <n v="150"/>
    <n v="100"/>
    <n v="28.058"/>
    <n v="43.884"/>
    <n v="56.12"/>
    <n v="91.4"/>
    <n v="3.0130000000000001E-2"/>
    <n v="2.7389999999999999E-4"/>
    <n v="13.461262401755134"/>
    <n v="2.6807980515701249"/>
    <n v="2"/>
  </r>
  <r>
    <n v="1536"/>
    <s v="Zeolite"/>
    <n v="2"/>
    <n v="120"/>
    <n v="100"/>
    <n v="7"/>
    <n v="25"/>
    <n v="150"/>
    <n v="100"/>
    <n v="24.437999999999999"/>
    <n v="51.124000000000002"/>
    <n v="48.88"/>
    <n v="99.3"/>
    <n v="2.9950000000000001E-2"/>
    <n v="2.6709999999999999E-4"/>
    <n v="10.734090831326839"/>
    <n v="2.6176811329112044"/>
    <n v="3"/>
  </r>
  <r>
    <n v="1537"/>
    <s v="Zeolite"/>
    <n v="2"/>
    <n v="120"/>
    <n v="100"/>
    <n v="11"/>
    <n v="25"/>
    <n v="150"/>
    <n v="100"/>
    <n v="21.295999999999999"/>
    <n v="57.406999999999996"/>
    <n v="42.59"/>
    <n v="96.7"/>
    <n v="3.0190000000000002E-2"/>
    <n v="2.407E-4"/>
    <n v="8.110550285421894"/>
    <n v="2.5791139272689465"/>
    <n v="1"/>
  </r>
  <r>
    <n v="1538"/>
    <s v="Zeolite"/>
    <n v="2"/>
    <n v="120"/>
    <n v="100"/>
    <n v="11"/>
    <n v="25"/>
    <n v="150"/>
    <n v="100"/>
    <n v="17.532"/>
    <n v="64.936000000000007"/>
    <n v="35.06"/>
    <n v="103.9"/>
    <n v="3.5680000000000003E-2"/>
    <n v="2.2790000000000001E-4"/>
    <n v="5.6817714455097512"/>
    <n v="2.4723471546938978"/>
    <n v="2"/>
  </r>
  <r>
    <n v="1539"/>
    <s v="Zeolite"/>
    <n v="2"/>
    <n v="120"/>
    <n v="100"/>
    <n v="11"/>
    <n v="25"/>
    <n v="150"/>
    <n v="100"/>
    <n v="18.814"/>
    <n v="62.371000000000002"/>
    <n v="37.630000000000003"/>
    <n v="86.9"/>
    <n v="3.2169999999999997E-2"/>
    <n v="2.6120000000000001E-4"/>
    <n v="6.9791073779417587"/>
    <n v="2.471052170010402"/>
    <n v="3"/>
  </r>
  <r>
    <n v="1540"/>
    <s v="Zeolite"/>
    <n v="2"/>
    <n v="120"/>
    <n v="200"/>
    <n v="3"/>
    <n v="25"/>
    <n v="150"/>
    <n v="100"/>
    <n v="39.338000000000001"/>
    <n v="121.32299999999999"/>
    <n v="39.340000000000003"/>
    <n v="86.2"/>
    <n v="3.0280000000000001E-2"/>
    <n v="2.109E-4"/>
    <n v="19.625297964648134"/>
    <n v="2.9812632013350178"/>
    <n v="1"/>
  </r>
  <r>
    <n v="1541"/>
    <s v="Zeolite"/>
    <n v="2"/>
    <n v="120"/>
    <n v="200"/>
    <n v="3"/>
    <n v="25"/>
    <n v="150"/>
    <n v="100"/>
    <n v="40.423000000000002"/>
    <n v="119.154"/>
    <n v="40.42"/>
    <n v="113.1"/>
    <n v="2.6249999999999999E-2"/>
    <n v="2.117E-4"/>
    <n v="20.479794861791241"/>
    <n v="2.9928884907443645"/>
    <n v="2"/>
  </r>
  <r>
    <n v="1542"/>
    <s v="Zeolite"/>
    <n v="2"/>
    <n v="120"/>
    <n v="200"/>
    <n v="3"/>
    <n v="25"/>
    <n v="150"/>
    <n v="100"/>
    <n v="45.581000000000003"/>
    <n v="108.839"/>
    <n v="45.58"/>
    <n v="90.8"/>
    <n v="3.3410000000000002E-2"/>
    <n v="2.4620000000000002E-4"/>
    <n v="26.157099598844145"/>
    <n v="2.9665042872463476"/>
    <n v="3"/>
  </r>
  <r>
    <n v="1543"/>
    <s v="Zeolite"/>
    <n v="2"/>
    <n v="120"/>
    <n v="200"/>
    <n v="7"/>
    <n v="25"/>
    <n v="150"/>
    <n v="100"/>
    <n v="57.363"/>
    <n v="85.274000000000001"/>
    <n v="57.36"/>
    <n v="106.6"/>
    <n v="2.7349999999999999E-2"/>
    <n v="2.5329999999999998E-4"/>
    <n v="36.455112617924144"/>
    <n v="3.0401264744805085"/>
    <n v="1"/>
  </r>
  <r>
    <n v="1544"/>
    <s v="Zeolite"/>
    <n v="2"/>
    <n v="120"/>
    <n v="200"/>
    <n v="7"/>
    <n v="25"/>
    <n v="150"/>
    <n v="100"/>
    <n v="56.213000000000001"/>
    <n v="87.575000000000003"/>
    <n v="56.21"/>
    <n v="80.2"/>
    <n v="3.1009999999999999E-2"/>
    <n v="2.4340000000000001E-4"/>
    <n v="34.935263090422737"/>
    <n v="3.0576613105839181"/>
    <n v="2"/>
  </r>
  <r>
    <n v="1545"/>
    <s v="Zeolite"/>
    <n v="2"/>
    <n v="120"/>
    <n v="200"/>
    <n v="7"/>
    <n v="25"/>
    <n v="150"/>
    <n v="100"/>
    <n v="57.389000000000003"/>
    <n v="85.222999999999999"/>
    <n v="57.39"/>
    <n v="81.8"/>
    <n v="3.4770000000000002E-2"/>
    <n v="2.719E-4"/>
    <n v="37.410154425648741"/>
    <n v="2.9946739924896346"/>
    <n v="3"/>
  </r>
  <r>
    <n v="1546"/>
    <s v="Zeolite"/>
    <n v="2"/>
    <n v="120"/>
    <n v="200"/>
    <n v="11"/>
    <n v="25"/>
    <n v="150"/>
    <n v="100"/>
    <n v="51.223999999999997"/>
    <n v="97.551000000000002"/>
    <n v="51.22"/>
    <n v="95.4"/>
    <n v="2.4809999999999999E-2"/>
    <n v="2.988E-4"/>
    <n v="33.166319838217618"/>
    <n v="2.8935710880096592"/>
    <n v="1"/>
  </r>
  <r>
    <n v="1547"/>
    <s v="Zeolite"/>
    <n v="2"/>
    <n v="120"/>
    <n v="200"/>
    <n v="11"/>
    <n v="25"/>
    <n v="150"/>
    <n v="100"/>
    <n v="46.875"/>
    <n v="106.25"/>
    <n v="46.88"/>
    <n v="88.8"/>
    <n v="3.125E-2"/>
    <n v="2.7920000000000001E-4"/>
    <n v="28.639248200739157"/>
    <n v="2.9033840517771523"/>
    <n v="2"/>
  </r>
  <r>
    <n v="1548"/>
    <s v="Zeolite"/>
    <n v="2"/>
    <n v="120"/>
    <n v="200"/>
    <n v="11"/>
    <n v="25"/>
    <n v="150"/>
    <n v="100"/>
    <n v="47.036999999999999"/>
    <n v="105.92700000000001"/>
    <n v="47.04"/>
    <n v="119.2"/>
    <n v="3.3250000000000002E-2"/>
    <n v="2.231E-4"/>
    <n v="26.21748529846592"/>
    <n v="3.0358907536708775"/>
    <n v="3"/>
  </r>
  <r>
    <n v="1549"/>
    <s v="Zeolite"/>
    <n v="2"/>
    <n v="240"/>
    <n v="25"/>
    <n v="3"/>
    <n v="25"/>
    <n v="150"/>
    <n v="100"/>
    <n v="2.76"/>
    <n v="19.48"/>
    <n v="22.08"/>
    <n v="114.4"/>
    <n v="2.1860000000000001E-2"/>
    <n v="2.4630000000000002E-4"/>
    <n v="0.38713142060409245"/>
    <n v="0.86409959429164984"/>
    <n v="1"/>
  </r>
  <r>
    <n v="1550"/>
    <s v="Zeolite"/>
    <n v="2"/>
    <n v="240"/>
    <n v="25"/>
    <n v="3"/>
    <n v="25"/>
    <n v="150"/>
    <n v="100"/>
    <n v="2.56"/>
    <n v="19.88"/>
    <n v="20.48"/>
    <n v="92.9"/>
    <n v="2.9100000000000001E-2"/>
    <n v="2.41E-4"/>
    <n v="0.33017158529651153"/>
    <n v="0.8019246384325267"/>
    <n v="2"/>
  </r>
  <r>
    <n v="1551"/>
    <s v="Zeolite"/>
    <n v="2"/>
    <n v="240"/>
    <n v="25"/>
    <n v="3"/>
    <n v="25"/>
    <n v="150"/>
    <n v="100"/>
    <n v="2.7919999999999998"/>
    <n v="19.414999999999999"/>
    <n v="22.34"/>
    <n v="83.5"/>
    <n v="3.6880000000000003E-2"/>
    <n v="2.967E-4"/>
    <n v="0.46302908055858344"/>
    <n v="0.84542650453889812"/>
    <n v="3"/>
  </r>
  <r>
    <n v="1552"/>
    <s v="Zeolite"/>
    <n v="2"/>
    <n v="240"/>
    <n v="25"/>
    <n v="7"/>
    <n v="25"/>
    <n v="150"/>
    <n v="100"/>
    <n v="4.1920000000000002"/>
    <n v="16.614999999999998"/>
    <n v="33.54"/>
    <n v="123.7"/>
    <n v="2.8799999999999999E-2"/>
    <n v="2.5319999999999997E-4"/>
    <n v="0.85106736258718563"/>
    <n v="1.206250000768726"/>
    <n v="1"/>
  </r>
  <r>
    <n v="1553"/>
    <s v="Zeolite"/>
    <n v="2"/>
    <n v="240"/>
    <n v="25"/>
    <n v="7"/>
    <n v="25"/>
    <n v="150"/>
    <n v="100"/>
    <n v="4.6550000000000002"/>
    <n v="15.689"/>
    <n v="37.24"/>
    <n v="90.1"/>
    <n v="3.295E-2"/>
    <n v="2.5310000000000003E-4"/>
    <n v="1.0261154447415912"/>
    <n v="1.2889253160022538"/>
    <n v="2"/>
  </r>
  <r>
    <n v="1554"/>
    <s v="Zeolite"/>
    <n v="2"/>
    <n v="240"/>
    <n v="25"/>
    <n v="7"/>
    <n v="25"/>
    <n v="150"/>
    <n v="100"/>
    <n v="4.4809999999999999"/>
    <n v="16.036999999999999"/>
    <n v="35.85"/>
    <n v="80.400000000000006"/>
    <n v="2.7320000000000001E-2"/>
    <n v="2.0900000000000001E-4"/>
    <n v="0.82234480570899804"/>
    <n v="1.2970956466393124"/>
    <n v="3"/>
  </r>
  <r>
    <n v="1555"/>
    <s v="Zeolite"/>
    <n v="2"/>
    <n v="240"/>
    <n v="25"/>
    <n v="11"/>
    <n v="25"/>
    <n v="150"/>
    <n v="100"/>
    <n v="3.6110000000000002"/>
    <n v="17.777000000000001"/>
    <n v="28.89"/>
    <n v="82.1"/>
    <n v="2.92E-2"/>
    <n v="2.8430000000000003E-4"/>
    <n v="0.71382310736812726"/>
    <n v="1.06373677754852"/>
    <n v="1"/>
  </r>
  <r>
    <n v="1556"/>
    <s v="Zeolite"/>
    <n v="2"/>
    <n v="240"/>
    <n v="25"/>
    <n v="11"/>
    <n v="25"/>
    <n v="150"/>
    <n v="100"/>
    <n v="3.9969999999999999"/>
    <n v="17.007000000000001"/>
    <n v="31.97"/>
    <n v="99.5"/>
    <n v="2.9739999999999999E-2"/>
    <n v="2.9700000000000001E-4"/>
    <n v="0.88626699518663676"/>
    <n v="1.134858391285976"/>
    <n v="2"/>
  </r>
  <r>
    <n v="1557"/>
    <s v="Zeolite"/>
    <n v="2"/>
    <n v="240"/>
    <n v="25"/>
    <n v="11"/>
    <n v="25"/>
    <n v="150"/>
    <n v="100"/>
    <n v="3.7759999999999998"/>
    <n v="17.446999999999999"/>
    <n v="30.21"/>
    <n v="95.1"/>
    <n v="2.572E-2"/>
    <n v="2.5980000000000003E-4"/>
    <n v="0.71960189160996968"/>
    <n v="1.1172371338897711"/>
    <n v="3"/>
  </r>
  <r>
    <n v="1558"/>
    <s v="Zeolite"/>
    <n v="2"/>
    <n v="240"/>
    <n v="50"/>
    <n v="3"/>
    <n v="25"/>
    <n v="150"/>
    <n v="100"/>
    <n v="9.2850000000000001"/>
    <n v="31.43"/>
    <n v="37.14"/>
    <n v="90.5"/>
    <n v="3.0870000000000002E-2"/>
    <n v="2.409E-4"/>
    <n v="3.2433096426627439"/>
    <n v="1.7986838332793831"/>
    <n v="1"/>
  </r>
  <r>
    <n v="1559"/>
    <s v="Zeolite"/>
    <n v="2"/>
    <n v="240"/>
    <n v="50"/>
    <n v="3"/>
    <n v="25"/>
    <n v="150"/>
    <n v="100"/>
    <n v="8.4969999999999999"/>
    <n v="33.006"/>
    <n v="33.99"/>
    <n v="62.7"/>
    <n v="2.9329999999999998E-2"/>
    <n v="2.742E-4"/>
    <n v="3.0473076245841115"/>
    <n v="1.6955591622042621"/>
    <n v="2"/>
  </r>
  <r>
    <n v="1560"/>
    <s v="Zeolite"/>
    <n v="2"/>
    <n v="240"/>
    <n v="50"/>
    <n v="3"/>
    <n v="25"/>
    <n v="150"/>
    <n v="100"/>
    <n v="8.1489999999999991"/>
    <n v="33.701999999999998"/>
    <n v="32.6"/>
    <n v="100.8"/>
    <n v="2.7730000000000001E-2"/>
    <n v="2.5900000000000001E-4"/>
    <n v="2.7399235418247652"/>
    <n v="1.6880783681517888"/>
    <n v="3"/>
  </r>
  <r>
    <n v="1561"/>
    <s v="Zeolite"/>
    <n v="2"/>
    <n v="240"/>
    <n v="50"/>
    <n v="7"/>
    <n v="25"/>
    <n v="150"/>
    <n v="100"/>
    <n v="12.859"/>
    <n v="24.283000000000001"/>
    <n v="51.43"/>
    <n v="85.9"/>
    <n v="3.4000000000000002E-2"/>
    <n v="2.7320000000000003E-4"/>
    <n v="5.8823147831236273"/>
    <n v="1.9425739066791983"/>
    <n v="1"/>
  </r>
  <r>
    <n v="1562"/>
    <s v="Zeolite"/>
    <n v="2"/>
    <n v="240"/>
    <n v="50"/>
    <n v="7"/>
    <n v="25"/>
    <n v="150"/>
    <n v="100"/>
    <n v="12.4"/>
    <n v="25.2"/>
    <n v="49.6"/>
    <n v="107.5"/>
    <n v="3.1609999999999999E-2"/>
    <n v="2.6610000000000002E-4"/>
    <n v="5.4800235011330907"/>
    <n v="1.9344123735063128"/>
    <n v="2"/>
  </r>
  <r>
    <n v="1563"/>
    <s v="Zeolite"/>
    <n v="2"/>
    <n v="240"/>
    <n v="50"/>
    <n v="7"/>
    <n v="25"/>
    <n v="150"/>
    <n v="100"/>
    <n v="11.114000000000001"/>
    <n v="27.771000000000001"/>
    <n v="44.46"/>
    <n v="115.1"/>
    <n v="2.8289999999999999E-2"/>
    <n v="2.4110000000000001E-4"/>
    <n v="4.3499584656835255"/>
    <n v="1.9116205715137076"/>
    <n v="3"/>
  </r>
  <r>
    <n v="1564"/>
    <s v="Zeolite"/>
    <n v="2"/>
    <n v="240"/>
    <n v="50"/>
    <n v="11"/>
    <n v="25"/>
    <n v="150"/>
    <n v="100"/>
    <n v="12.852"/>
    <n v="24.295999999999999"/>
    <n v="51.41"/>
    <n v="104.5"/>
    <n v="2.8840000000000001E-2"/>
    <n v="1.9489999999999999E-4"/>
    <n v="4.8253451705798804"/>
    <n v="2.082767857031405"/>
    <n v="1"/>
  </r>
  <r>
    <n v="1565"/>
    <s v="Zeolite"/>
    <n v="2"/>
    <n v="240"/>
    <n v="50"/>
    <n v="11"/>
    <n v="25"/>
    <n v="150"/>
    <n v="100"/>
    <n v="11.685"/>
    <n v="26.63"/>
    <n v="46.74"/>
    <n v="79.8"/>
    <n v="2.699E-2"/>
    <n v="2.4169999999999999E-4"/>
    <n v="4.7206201714378206"/>
    <n v="1.9408085621420574"/>
    <n v="2"/>
  </r>
  <r>
    <n v="1566"/>
    <s v="Zeolite"/>
    <n v="2"/>
    <n v="240"/>
    <n v="50"/>
    <n v="11"/>
    <n v="25"/>
    <n v="150"/>
    <n v="100"/>
    <n v="11.71"/>
    <n v="26.58"/>
    <n v="46.84"/>
    <n v="111.6"/>
    <n v="2.9530000000000001E-2"/>
    <n v="2.5769999999999998E-4"/>
    <n v="4.9186023658607914"/>
    <n v="1.9156567575229526"/>
    <n v="3"/>
  </r>
  <r>
    <n v="1567"/>
    <s v="Zeolite"/>
    <n v="2"/>
    <n v="240"/>
    <n v="100"/>
    <n v="3"/>
    <n v="25"/>
    <n v="150"/>
    <n v="100"/>
    <n v="21.076000000000001"/>
    <n v="57.847999999999999"/>
    <n v="42.15"/>
    <n v="102.1"/>
    <n v="3.022E-2"/>
    <n v="2.742E-4"/>
    <n v="12.246393751439317"/>
    <n v="2.1781104211596114"/>
    <n v="1"/>
  </r>
  <r>
    <n v="1568"/>
    <s v="Zeolite"/>
    <n v="2"/>
    <n v="240"/>
    <n v="100"/>
    <n v="3"/>
    <n v="25"/>
    <n v="150"/>
    <n v="100"/>
    <n v="24.219000000000001"/>
    <n v="51.561"/>
    <n v="48.44"/>
    <n v="107.4"/>
    <n v="2.8910000000000002E-2"/>
    <n v="2.6850000000000002E-4"/>
    <n v="14.760937196525996"/>
    <n v="2.2468675844485282"/>
    <n v="2"/>
  </r>
  <r>
    <n v="1569"/>
    <s v="Zeolite"/>
    <n v="2"/>
    <n v="240"/>
    <n v="100"/>
    <n v="3"/>
    <n v="25"/>
    <n v="150"/>
    <n v="100"/>
    <n v="22.096"/>
    <n v="55.808999999999997"/>
    <n v="44.19"/>
    <n v="83.8"/>
    <n v="2.879E-2"/>
    <n v="2.521E-4"/>
    <n v="12.640724125860089"/>
    <n v="2.2465728792775619"/>
    <n v="3"/>
  </r>
  <r>
    <n v="1570"/>
    <s v="Zeolite"/>
    <n v="2"/>
    <n v="240"/>
    <n v="100"/>
    <n v="7"/>
    <n v="25"/>
    <n v="150"/>
    <n v="100"/>
    <n v="34.984999999999999"/>
    <n v="30.03"/>
    <n v="69.97"/>
    <n v="97.2"/>
    <n v="2.6370000000000001E-2"/>
    <n v="2.5139999999999999E-4"/>
    <n v="23.738895488589414"/>
    <n v="2.4200218030342433"/>
    <n v="1"/>
  </r>
  <r>
    <n v="1571"/>
    <s v="Zeolite"/>
    <n v="2"/>
    <n v="240"/>
    <n v="100"/>
    <n v="7"/>
    <n v="25"/>
    <n v="150"/>
    <n v="100"/>
    <n v="32.665999999999997"/>
    <n v="34.667000000000002"/>
    <n v="65.33"/>
    <n v="102.8"/>
    <n v="3.2759999999999997E-2"/>
    <n v="2.7549999999999997E-4"/>
    <n v="22.328252307679218"/>
    <n v="2.3358020206258341"/>
    <n v="2"/>
  </r>
  <r>
    <n v="1572"/>
    <s v="Zeolite"/>
    <n v="2"/>
    <n v="240"/>
    <n v="100"/>
    <n v="7"/>
    <n v="25"/>
    <n v="150"/>
    <n v="100"/>
    <n v="30.606999999999999"/>
    <n v="38.786000000000001"/>
    <n v="61.21"/>
    <n v="90.8"/>
    <n v="2.6880000000000001E-2"/>
    <n v="2.675E-4"/>
    <n v="20.284127865130749"/>
    <n v="2.3343620289753981"/>
    <n v="3"/>
  </r>
  <r>
    <n v="1573"/>
    <s v="Zeolite"/>
    <n v="2"/>
    <n v="240"/>
    <n v="100"/>
    <n v="11"/>
    <n v="25"/>
    <n v="150"/>
    <n v="100"/>
    <n v="29.678999999999998"/>
    <n v="40.642000000000003"/>
    <n v="59.36"/>
    <n v="95.3"/>
    <n v="2.928E-2"/>
    <n v="2.8669999999999998E-4"/>
    <n v="19.923079245791108"/>
    <n v="2.2778743575458673"/>
    <n v="1"/>
  </r>
  <r>
    <n v="1574"/>
    <s v="Zeolite"/>
    <n v="2"/>
    <n v="240"/>
    <n v="100"/>
    <n v="11"/>
    <n v="25"/>
    <n v="150"/>
    <n v="100"/>
    <n v="27.45"/>
    <n v="45.1"/>
    <n v="54.9"/>
    <n v="106.5"/>
    <n v="2.6429999999999999E-2"/>
    <n v="2.6699999999999998E-4"/>
    <n v="17.500728598374188"/>
    <n v="2.2974993225220941"/>
    <n v="2"/>
  </r>
  <r>
    <n v="1575"/>
    <s v="Zeolite"/>
    <n v="2"/>
    <n v="240"/>
    <n v="100"/>
    <n v="11"/>
    <n v="25"/>
    <n v="150"/>
    <n v="100"/>
    <n v="24.06"/>
    <n v="51.88"/>
    <n v="48.12"/>
    <n v="83"/>
    <n v="2.896E-2"/>
    <n v="2.354E-4"/>
    <n v="13.862032960914537"/>
    <n v="2.3221883905317871"/>
    <n v="3"/>
  </r>
  <r>
    <n v="1576"/>
    <s v="Zeolite"/>
    <n v="2"/>
    <n v="240"/>
    <n v="200"/>
    <n v="3"/>
    <n v="25"/>
    <n v="150"/>
    <n v="100"/>
    <n v="47.225999999999999"/>
    <n v="105.547"/>
    <n v="47.23"/>
    <n v="78.400000000000006"/>
    <n v="3.288E-2"/>
    <n v="2.7819999999999999E-4"/>
    <n v="35.854969443630694"/>
    <n v="2.4310689418581561"/>
    <n v="1"/>
  </r>
  <r>
    <n v="1577"/>
    <s v="Zeolite"/>
    <n v="2"/>
    <n v="240"/>
    <n v="200"/>
    <n v="3"/>
    <n v="25"/>
    <n v="150"/>
    <n v="100"/>
    <n v="39.741999999999997"/>
    <n v="120.51600000000001"/>
    <n v="39.74"/>
    <n v="114.7"/>
    <n v="2.7570000000000001E-2"/>
    <n v="2.7139999999999998E-4"/>
    <n v="28.667594000351741"/>
    <n v="2.404636680149554"/>
    <n v="2"/>
  </r>
  <r>
    <n v="1578"/>
    <s v="Zeolite"/>
    <n v="2"/>
    <n v="240"/>
    <n v="200"/>
    <n v="3"/>
    <n v="25"/>
    <n v="150"/>
    <n v="100"/>
    <n v="47.890999999999998"/>
    <n v="104.21899999999999"/>
    <n v="47.89"/>
    <n v="100.4"/>
    <n v="2.9440000000000001E-2"/>
    <n v="2.8029999999999998E-4"/>
    <n v="36.547054410265396"/>
    <n v="2.4286841733867495"/>
    <n v="3"/>
  </r>
  <r>
    <n v="1579"/>
    <s v="Zeolite"/>
    <n v="2"/>
    <n v="240"/>
    <n v="200"/>
    <n v="7"/>
    <n v="25"/>
    <n v="150"/>
    <n v="100"/>
    <n v="60.204999999999998"/>
    <n v="79.590999999999994"/>
    <n v="60.2"/>
    <n v="109.1"/>
    <n v="3.3300000000000003E-2"/>
    <n v="2.6790000000000001E-4"/>
    <n v="47.844964443171989"/>
    <n v="2.5144683287914269"/>
    <n v="1"/>
  </r>
  <r>
    <n v="1580"/>
    <s v="Zeolite"/>
    <n v="2"/>
    <n v="240"/>
    <n v="200"/>
    <n v="7"/>
    <n v="25"/>
    <n v="150"/>
    <n v="100"/>
    <n v="81.941999999999993"/>
    <n v="36.115000000000002"/>
    <n v="81.94"/>
    <n v="92.1"/>
    <n v="3.2870000000000003E-2"/>
    <n v="2.4729999999999999E-4"/>
    <n v="67.966883453101531"/>
    <n v="2.6372783586771189"/>
    <n v="2"/>
  </r>
  <r>
    <n v="1581"/>
    <s v="Zeolite"/>
    <n v="2"/>
    <n v="240"/>
    <n v="200"/>
    <n v="7"/>
    <n v="25"/>
    <n v="150"/>
    <n v="100"/>
    <n v="75.287000000000006"/>
    <n v="49.426000000000002"/>
    <n v="75.290000000000006"/>
    <n v="99.9"/>
    <n v="2.8840000000000001E-2"/>
    <n v="2.8269999999999999E-4"/>
    <n v="62.961180106997475"/>
    <n v="2.5116962404750391"/>
    <n v="3"/>
  </r>
  <r>
    <n v="1582"/>
    <s v="Zeolite"/>
    <n v="2"/>
    <n v="240"/>
    <n v="200"/>
    <n v="11"/>
    <n v="25"/>
    <n v="150"/>
    <n v="100"/>
    <n v="53.502000000000002"/>
    <n v="92.995999999999995"/>
    <n v="53.5"/>
    <n v="78.8"/>
    <n v="2.845E-2"/>
    <n v="2.655E-4"/>
    <n v="41.367681352674389"/>
    <n v="2.4960376898746253"/>
    <n v="1"/>
  </r>
  <r>
    <n v="1583"/>
    <s v="Zeolite"/>
    <n v="2"/>
    <n v="240"/>
    <n v="200"/>
    <n v="11"/>
    <n v="25"/>
    <n v="150"/>
    <n v="100"/>
    <n v="62.991999999999997"/>
    <n v="74.016000000000005"/>
    <n v="62.99"/>
    <n v="101.7"/>
    <n v="3.3950000000000001E-2"/>
    <n v="2.1599999999999999E-4"/>
    <n v="48.224230213063997"/>
    <n v="2.6924470889970635"/>
    <n v="2"/>
  </r>
  <r>
    <n v="1584"/>
    <s v="Zeolite"/>
    <n v="2"/>
    <n v="240"/>
    <n v="200"/>
    <n v="11"/>
    <n v="25"/>
    <n v="150"/>
    <n v="100"/>
    <n v="53.744999999999997"/>
    <n v="92.509"/>
    <n v="53.75"/>
    <n v="95.7"/>
    <n v="2.9659999999999999E-2"/>
    <n v="2.521E-4"/>
    <n v="41.104434060895258"/>
    <n v="2.5369111613797504"/>
    <n v="3"/>
  </r>
  <r>
    <n v="1585"/>
    <s v="Zeolite"/>
    <n v="4"/>
    <n v="30"/>
    <n v="25"/>
    <n v="3"/>
    <n v="25"/>
    <n v="150"/>
    <n v="100"/>
    <n v="0.14299999999999999"/>
    <n v="24.425999999999998"/>
    <n v="2.2999999999999998"/>
    <n v="93.3"/>
    <n v="3.0419999999999999E-2"/>
    <n v="2.4889999999999998E-4"/>
    <n v="1.5252981456207707E-4"/>
    <n v="-1.9459778600495854"/>
    <n v="1"/>
  </r>
  <r>
    <n v="1586"/>
    <s v="Zeolite"/>
    <n v="4"/>
    <n v="30"/>
    <n v="25"/>
    <n v="3"/>
    <n v="25"/>
    <n v="150"/>
    <n v="100"/>
    <n v="0.124"/>
    <n v="24.504999999999999"/>
    <n v="1.98"/>
    <n v="98.3"/>
    <n v="2.9569999999999999E-2"/>
    <n v="2.4590000000000001E-4"/>
    <n v="1.1332508810230859E-4"/>
    <n v="-2.0883880432501161"/>
    <n v="2"/>
  </r>
  <r>
    <n v="1587"/>
    <s v="Zeolite"/>
    <n v="4"/>
    <n v="30"/>
    <n v="25"/>
    <n v="3"/>
    <n v="25"/>
    <n v="150"/>
    <n v="100"/>
    <n v="0.13500000000000001"/>
    <n v="24.457999999999998"/>
    <n v="2.17"/>
    <n v="101.1"/>
    <n v="2.87E-2"/>
    <n v="2.8180000000000002E-4"/>
    <n v="1.5389850717274881E-4"/>
    <n v="-2.003621139767378"/>
    <n v="3"/>
  </r>
  <r>
    <n v="1588"/>
    <s v="Zeolite"/>
    <n v="4"/>
    <n v="30"/>
    <n v="25"/>
    <n v="7"/>
    <n v="25"/>
    <n v="150"/>
    <n v="100"/>
    <n v="0.21299999999999999"/>
    <n v="24.15"/>
    <n v="3.4"/>
    <n v="89.2"/>
    <n v="3.8339999999999999E-2"/>
    <n v="2.241E-4"/>
    <n v="3.0457962927545718E-4"/>
    <n v="-1.547894087939923"/>
    <n v="1"/>
  </r>
  <r>
    <n v="1589"/>
    <s v="Zeolite"/>
    <n v="4"/>
    <n v="30"/>
    <n v="25"/>
    <n v="7"/>
    <n v="25"/>
    <n v="150"/>
    <n v="100"/>
    <n v="0.20899999999999999"/>
    <n v="24.166"/>
    <n v="3.34"/>
    <n v="111"/>
    <n v="2.3769999999999999E-2"/>
    <n v="2.441E-4"/>
    <n v="3.1938713874843551E-4"/>
    <n v="-1.5669503639851636"/>
    <n v="2"/>
  </r>
  <r>
    <n v="1590"/>
    <s v="Zeolite"/>
    <n v="4"/>
    <n v="30"/>
    <n v="25"/>
    <n v="7"/>
    <n v="25"/>
    <n v="150"/>
    <n v="100"/>
    <n v="0.28299999999999997"/>
    <n v="23.866"/>
    <n v="4.53"/>
    <n v="76.8"/>
    <n v="2.4049999999999998E-2"/>
    <n v="2.1249999999999999E-4"/>
    <n v="5.0964790647073832E-4"/>
    <n v="-1.2641108808601427"/>
    <n v="3"/>
  </r>
  <r>
    <n v="1591"/>
    <s v="Zeolite"/>
    <n v="4"/>
    <n v="30"/>
    <n v="25"/>
    <n v="11"/>
    <n v="25"/>
    <n v="150"/>
    <n v="100"/>
    <n v="0.187"/>
    <n v="24.253"/>
    <n v="2.99"/>
    <n v="116.9"/>
    <n v="2.8459999999999999E-2"/>
    <n v="2.6709999999999999E-4"/>
    <n v="2.7978735495392903E-4"/>
    <n v="-1.6781439716000341"/>
    <n v="1"/>
  </r>
  <r>
    <n v="1592"/>
    <s v="Zeolite"/>
    <n v="4"/>
    <n v="30"/>
    <n v="25"/>
    <n v="11"/>
    <n v="25"/>
    <n v="150"/>
    <n v="100"/>
    <n v="0.19400000000000001"/>
    <n v="24.222000000000001"/>
    <n v="3.11"/>
    <n v="126.8"/>
    <n v="2.9260000000000001E-2"/>
    <n v="1.9249999999999999E-4"/>
    <n v="2.1710466678656566E-4"/>
    <n v="-1.6410168427951026"/>
    <n v="2"/>
  </r>
  <r>
    <n v="1593"/>
    <s v="Zeolite"/>
    <n v="4"/>
    <n v="30"/>
    <n v="25"/>
    <n v="11"/>
    <n v="25"/>
    <n v="150"/>
    <n v="100"/>
    <n v="0.16"/>
    <n v="24.36"/>
    <n v="2.56"/>
    <n v="93.6"/>
    <n v="2.9219999999999999E-2"/>
    <n v="2.453E-4"/>
    <n v="1.8816884247811259E-4"/>
    <n v="-1.8337582111094737"/>
    <n v="3"/>
  </r>
  <r>
    <n v="1594"/>
    <s v="Zeolite"/>
    <n v="4"/>
    <n v="30"/>
    <n v="50"/>
    <n v="3"/>
    <n v="25"/>
    <n v="150"/>
    <n v="100"/>
    <n v="0.57399999999999995"/>
    <n v="47.704000000000001"/>
    <n v="4.59"/>
    <n v="119.1"/>
    <n v="2.9479999999999999E-2"/>
    <n v="2.7750000000000002E-4"/>
    <n v="2.7298430086908202E-3"/>
    <n v="-0.55989305163465897"/>
    <n v="1"/>
  </r>
  <r>
    <n v="1595"/>
    <s v="Zeolite"/>
    <n v="4"/>
    <n v="30"/>
    <n v="50"/>
    <n v="3"/>
    <n v="25"/>
    <n v="150"/>
    <n v="100"/>
    <n v="0.53800000000000003"/>
    <n v="47.847000000000001"/>
    <n v="4.3099999999999996"/>
    <n v="101"/>
    <n v="3.2719999999999999E-2"/>
    <n v="2.5179999999999999E-4"/>
    <n v="2.177610055498731E-3"/>
    <n v="-0.62395253486770896"/>
    <n v="2"/>
  </r>
  <r>
    <n v="1596"/>
    <s v="Zeolite"/>
    <n v="4"/>
    <n v="30"/>
    <n v="50"/>
    <n v="3"/>
    <n v="25"/>
    <n v="150"/>
    <n v="100"/>
    <n v="0.61799999999999999"/>
    <n v="47.527000000000001"/>
    <n v="4.95"/>
    <n v="78.400000000000006"/>
    <n v="2.845E-2"/>
    <n v="2.4679999999999998E-4"/>
    <n v="2.8148853041306773E-3"/>
    <n v="-0.48583205696140352"/>
    <n v="3"/>
  </r>
  <r>
    <n v="1597"/>
    <s v="Zeolite"/>
    <n v="4"/>
    <n v="30"/>
    <n v="50"/>
    <n v="7"/>
    <n v="25"/>
    <n v="150"/>
    <n v="100"/>
    <n v="0.94399999999999995"/>
    <n v="46.225000000000001"/>
    <n v="7.55"/>
    <n v="119"/>
    <n v="2.9929999999999998E-2"/>
    <n v="2.1440000000000001E-4"/>
    <n v="5.6971944809728727E-3"/>
    <n v="-6.3682561688442704E-2"/>
    <n v="1"/>
  </r>
  <r>
    <n v="1598"/>
    <s v="Zeolite"/>
    <n v="4"/>
    <n v="30"/>
    <n v="50"/>
    <n v="7"/>
    <n v="25"/>
    <n v="150"/>
    <n v="100"/>
    <n v="0.97699999999999998"/>
    <n v="46.093000000000004"/>
    <n v="7.81"/>
    <n v="111.3"/>
    <n v="2.4170000000000001E-2"/>
    <n v="2.499E-4"/>
    <n v="7.1040696645611155E-3"/>
    <n v="-3.0566501554491952E-2"/>
    <n v="2"/>
  </r>
  <r>
    <n v="1599"/>
    <s v="Zeolite"/>
    <n v="4"/>
    <n v="30"/>
    <n v="50"/>
    <n v="7"/>
    <n v="25"/>
    <n v="150"/>
    <n v="100"/>
    <n v="0.77800000000000002"/>
    <n v="46.887999999999998"/>
    <n v="6.22"/>
    <n v="90"/>
    <n v="2.7289999999999998E-2"/>
    <n v="2.7020000000000001E-4"/>
    <n v="4.8756837603870003E-3"/>
    <n v="-0.25731542024694737"/>
    <n v="3"/>
  </r>
  <r>
    <n v="1600"/>
    <s v="Zeolite"/>
    <n v="4"/>
    <n v="30"/>
    <n v="50"/>
    <n v="11"/>
    <n v="25"/>
    <n v="150"/>
    <n v="100"/>
    <n v="0.67100000000000004"/>
    <n v="47.314999999999998"/>
    <n v="5.37"/>
    <n v="80.7"/>
    <n v="3.2640000000000002E-2"/>
    <n v="2.142E-4"/>
    <n v="2.880826983693669E-3"/>
    <n v="-0.40328871863834237"/>
    <n v="1"/>
  </r>
  <r>
    <n v="1601"/>
    <s v="Zeolite"/>
    <n v="4"/>
    <n v="30"/>
    <n v="50"/>
    <n v="11"/>
    <n v="25"/>
    <n v="150"/>
    <n v="100"/>
    <n v="0.68400000000000005"/>
    <n v="47.264000000000003"/>
    <n v="5.47"/>
    <n v="87.8"/>
    <n v="2.8899999999999999E-2"/>
    <n v="2.6259999999999999E-4"/>
    <n v="3.6660150552420452E-3"/>
    <n v="-0.38517144705826672"/>
    <n v="2"/>
  </r>
  <r>
    <n v="1602"/>
    <s v="Zeolite"/>
    <n v="4"/>
    <n v="30"/>
    <n v="50"/>
    <n v="11"/>
    <n v="25"/>
    <n v="150"/>
    <n v="100"/>
    <n v="0.69499999999999995"/>
    <n v="47.218000000000004"/>
    <n v="5.56"/>
    <n v="120.1"/>
    <n v="2.9749999999999999E-2"/>
    <n v="2.5769999999999998E-4"/>
    <n v="3.7143091249278509E-3"/>
    <n v="-0.3692020951094962"/>
    <n v="3"/>
  </r>
  <r>
    <n v="1603"/>
    <s v="Zeolite"/>
    <n v="4"/>
    <n v="30"/>
    <n v="100"/>
    <n v="3"/>
    <n v="25"/>
    <n v="150"/>
    <n v="100"/>
    <n v="1.871"/>
    <n v="92.516000000000005"/>
    <n v="7.48"/>
    <n v="102.7"/>
    <n v="3.1320000000000001E-2"/>
    <n v="2.475E-4"/>
    <n v="2.5636117987595672E-2"/>
    <n v="0.61267648406897868"/>
    <n v="1"/>
  </r>
  <r>
    <n v="1604"/>
    <s v="Zeolite"/>
    <n v="4"/>
    <n v="30"/>
    <n v="100"/>
    <n v="3"/>
    <n v="25"/>
    <n v="150"/>
    <n v="100"/>
    <n v="1.6319999999999999"/>
    <n v="93.472999999999999"/>
    <n v="6.53"/>
    <n v="105"/>
    <n v="3.109E-2"/>
    <n v="2.33E-4"/>
    <n v="1.8407348617325108E-2"/>
    <n v="0.47846315347215679"/>
    <n v="2"/>
  </r>
  <r>
    <n v="1605"/>
    <s v="Zeolite"/>
    <n v="4"/>
    <n v="30"/>
    <n v="100"/>
    <n v="3"/>
    <n v="25"/>
    <n v="150"/>
    <n v="100"/>
    <n v="1.7230000000000001"/>
    <n v="93.108999999999995"/>
    <n v="6.89"/>
    <n v="122.1"/>
    <n v="3.1469999999999998E-2"/>
    <n v="2.4429999999999998E-4"/>
    <n v="2.1486486349086422E-2"/>
    <n v="0.5315181571258818"/>
    <n v="3"/>
  </r>
  <r>
    <n v="1606"/>
    <s v="Zeolite"/>
    <n v="4"/>
    <n v="30"/>
    <n v="100"/>
    <n v="7"/>
    <n v="25"/>
    <n v="150"/>
    <n v="100"/>
    <n v="2.9889999999999999"/>
    <n v="88.043999999999997"/>
    <n v="11.96"/>
    <n v="87.7"/>
    <n v="3.3910000000000003E-2"/>
    <n v="2.5339999999999998E-4"/>
    <n v="6.6408234827927057E-2"/>
    <n v="1.0724708134167504"/>
    <n v="1"/>
  </r>
  <r>
    <n v="1607"/>
    <s v="Zeolite"/>
    <n v="4"/>
    <n v="30"/>
    <n v="100"/>
    <n v="7"/>
    <n v="25"/>
    <n v="150"/>
    <n v="100"/>
    <n v="3.165"/>
    <n v="87.340999999999994"/>
    <n v="12.66"/>
    <n v="107.6"/>
    <n v="2.7560000000000001E-2"/>
    <n v="2.875E-4"/>
    <n v="8.4102719086535868E-2"/>
    <n v="1.1252208795305072"/>
    <n v="2"/>
  </r>
  <r>
    <n v="1608"/>
    <s v="Zeolite"/>
    <n v="4"/>
    <n v="30"/>
    <n v="100"/>
    <n v="7"/>
    <n v="25"/>
    <n v="150"/>
    <n v="100"/>
    <n v="3.7349999999999999"/>
    <n v="85.058999999999997"/>
    <n v="14.94"/>
    <n v="93"/>
    <n v="2.811E-2"/>
    <n v="1.8450000000000001E-4"/>
    <n v="7.5650554441652959E-2"/>
    <n v="1.2972853844991785"/>
    <n v="3"/>
  </r>
  <r>
    <n v="1609"/>
    <s v="Zeolite"/>
    <n v="4"/>
    <n v="30"/>
    <n v="100"/>
    <n v="11"/>
    <n v="25"/>
    <n v="150"/>
    <n v="100"/>
    <n v="2.1339999999999999"/>
    <n v="91.462999999999994"/>
    <n v="8.5399999999999991"/>
    <n v="79.900000000000006"/>
    <n v="3.041E-2"/>
    <n v="2.418E-4"/>
    <n v="3.253081858125273E-2"/>
    <n v="0.74263671031564782"/>
    <n v="1"/>
  </r>
  <r>
    <n v="1610"/>
    <s v="Zeolite"/>
    <n v="4"/>
    <n v="30"/>
    <n v="100"/>
    <n v="11"/>
    <n v="25"/>
    <n v="150"/>
    <n v="100"/>
    <n v="2.1640000000000001"/>
    <n v="91.341999999999999"/>
    <n v="8.66"/>
    <n v="95.8"/>
    <n v="3.1519999999999999E-2"/>
    <n v="2.632E-4"/>
    <n v="3.6354951790630793E-2"/>
    <n v="0.75501575691312994"/>
    <n v="2"/>
  </r>
  <r>
    <n v="1611"/>
    <s v="Zeolite"/>
    <n v="4"/>
    <n v="30"/>
    <n v="100"/>
    <n v="11"/>
    <n v="25"/>
    <n v="150"/>
    <n v="100"/>
    <n v="2.0419999999999998"/>
    <n v="91.834000000000003"/>
    <n v="8.17"/>
    <n v="98.1"/>
    <n v="2.5850000000000001E-2"/>
    <n v="2.7250000000000001E-4"/>
    <n v="3.3528123991368682E-2"/>
    <n v="0.69737417223404141"/>
    <n v="3"/>
  </r>
  <r>
    <n v="1612"/>
    <s v="Zeolite"/>
    <n v="4"/>
    <n v="30"/>
    <n v="200"/>
    <n v="3"/>
    <n v="25"/>
    <n v="150"/>
    <n v="100"/>
    <n v="7.3120000000000003"/>
    <n v="170.751"/>
    <n v="14.62"/>
    <n v="86.5"/>
    <n v="2.7699999999999999E-2"/>
    <n v="2.385E-4"/>
    <n v="0.3635258248709306"/>
    <n v="1.9385220923266797"/>
    <n v="1"/>
  </r>
  <r>
    <n v="1613"/>
    <s v="Zeolite"/>
    <n v="4"/>
    <n v="30"/>
    <n v="200"/>
    <n v="3"/>
    <n v="25"/>
    <n v="150"/>
    <n v="100"/>
    <n v="5.4450000000000003"/>
    <n v="178.21899999999999"/>
    <n v="10.89"/>
    <n v="105"/>
    <n v="2.9180000000000001E-2"/>
    <n v="2.743E-4"/>
    <n v="0.23351070571743596"/>
    <n v="1.6508656679463656"/>
    <n v="2"/>
  </r>
  <r>
    <n v="1614"/>
    <s v="Zeolite"/>
    <n v="4"/>
    <n v="30"/>
    <n v="200"/>
    <n v="3"/>
    <n v="25"/>
    <n v="150"/>
    <n v="100"/>
    <n v="6.1550000000000002"/>
    <n v="175.38"/>
    <n v="12.31"/>
    <n v="90.7"/>
    <n v="2.5479999999999999E-2"/>
    <n v="2.2489999999999999E-4"/>
    <n v="0.24541209591926536"/>
    <n v="1.7765761004049163"/>
    <n v="3"/>
  </r>
  <r>
    <n v="1615"/>
    <s v="Zeolite"/>
    <n v="4"/>
    <n v="30"/>
    <n v="200"/>
    <n v="7"/>
    <n v="25"/>
    <n v="150"/>
    <n v="100"/>
    <n v="10.134"/>
    <n v="159.46600000000001"/>
    <n v="20.27"/>
    <n v="114.9"/>
    <n v="2.7910000000000001E-2"/>
    <n v="2.5310000000000003E-4"/>
    <n v="0.72407021458582554"/>
    <n v="2.2417654918706371"/>
    <n v="1"/>
  </r>
  <r>
    <n v="1616"/>
    <s v="Zeolite"/>
    <n v="4"/>
    <n v="30"/>
    <n v="200"/>
    <n v="7"/>
    <n v="25"/>
    <n v="150"/>
    <n v="100"/>
    <n v="10.951000000000001"/>
    <n v="156.19499999999999"/>
    <n v="21.9"/>
    <n v="81"/>
    <n v="2.9499999999999998E-2"/>
    <n v="2.6499999999999999E-4"/>
    <n v="0.87704321130439444"/>
    <n v="2.3099535579252981"/>
    <n v="2"/>
  </r>
  <r>
    <n v="1617"/>
    <s v="Zeolite"/>
    <n v="4"/>
    <n v="30"/>
    <n v="200"/>
    <n v="7"/>
    <n v="25"/>
    <n v="150"/>
    <n v="100"/>
    <n v="10.106999999999999"/>
    <n v="159.571"/>
    <n v="20.21"/>
    <n v="112.1"/>
    <n v="2.7449999999999999E-2"/>
    <n v="2.3790000000000001E-4"/>
    <n v="0.68000373404282799"/>
    <n v="2.2435775163130725"/>
    <n v="3"/>
  </r>
  <r>
    <n v="1618"/>
    <s v="Zeolite"/>
    <n v="4"/>
    <n v="30"/>
    <n v="200"/>
    <n v="11"/>
    <n v="25"/>
    <n v="150"/>
    <n v="100"/>
    <n v="8.9390000000000001"/>
    <n v="164.245"/>
    <n v="17.88"/>
    <n v="90"/>
    <n v="3.0110000000000001E-2"/>
    <n v="2.421E-4"/>
    <n v="0.54497342069185895"/>
    <n v="2.127520331371497"/>
    <n v="1"/>
  </r>
  <r>
    <n v="1619"/>
    <s v="Zeolite"/>
    <n v="4"/>
    <n v="30"/>
    <n v="200"/>
    <n v="11"/>
    <n v="25"/>
    <n v="150"/>
    <n v="100"/>
    <n v="8.6310000000000002"/>
    <n v="165.477"/>
    <n v="17.260000000000002"/>
    <n v="64.3"/>
    <n v="2.4510000000000001E-2"/>
    <n v="2.654E-4"/>
    <n v="0.55498399737288739"/>
    <n v="2.088898681952728"/>
    <n v="2"/>
  </r>
  <r>
    <n v="1620"/>
    <s v="Zeolite"/>
    <n v="4"/>
    <n v="30"/>
    <n v="200"/>
    <n v="11"/>
    <n v="25"/>
    <n v="150"/>
    <n v="100"/>
    <n v="9.3279999999999994"/>
    <n v="162.68899999999999"/>
    <n v="18.66"/>
    <n v="86.3"/>
    <n v="2.9270000000000001E-2"/>
    <n v="2.5740000000000002E-4"/>
    <n v="0.62675759093850514"/>
    <n v="2.1634658211040358"/>
    <n v="3"/>
  </r>
  <r>
    <n v="1621"/>
    <s v="Zeolite"/>
    <n v="4"/>
    <n v="60"/>
    <n v="25"/>
    <n v="3"/>
    <n v="25"/>
    <n v="150"/>
    <n v="100"/>
    <n v="0.27800000000000002"/>
    <n v="23.888999999999999"/>
    <n v="4.45"/>
    <n v="69.599999999999994"/>
    <n v="2.734E-2"/>
    <n v="2.4169999999999999E-4"/>
    <n v="1.1162722538971676E-3"/>
    <n v="-1.2841576163460009"/>
    <n v="1"/>
  </r>
  <r>
    <n v="1622"/>
    <s v="Zeolite"/>
    <n v="4"/>
    <n v="60"/>
    <n v="25"/>
    <n v="3"/>
    <n v="25"/>
    <n v="150"/>
    <n v="100"/>
    <n v="0.27800000000000002"/>
    <n v="23.888000000000002"/>
    <n v="4.45"/>
    <n v="137.5"/>
    <n v="2.9319999999999999E-2"/>
    <n v="2.1479999999999999E-4"/>
    <n v="9.9248027016930035E-4"/>
    <n v="-1.2837106261241726"/>
    <n v="2"/>
  </r>
  <r>
    <n v="1623"/>
    <s v="Zeolite"/>
    <n v="4"/>
    <n v="60"/>
    <n v="25"/>
    <n v="3"/>
    <n v="25"/>
    <n v="150"/>
    <n v="100"/>
    <n v="0.27100000000000002"/>
    <n v="23.916"/>
    <n v="4.34"/>
    <n v="119.8"/>
    <n v="3.032E-2"/>
    <n v="2.273E-4"/>
    <n v="9.9790022057059361E-4"/>
    <n v="-1.309325543053153"/>
    <n v="3"/>
  </r>
  <r>
    <n v="1624"/>
    <s v="Zeolite"/>
    <n v="4"/>
    <n v="60"/>
    <n v="25"/>
    <n v="7"/>
    <n v="25"/>
    <n v="150"/>
    <n v="100"/>
    <n v="0.49399999999999999"/>
    <n v="23.021999999999998"/>
    <n v="7.91"/>
    <n v="110"/>
    <n v="2.6919999999999999E-2"/>
    <n v="2.5950000000000002E-4"/>
    <n v="3.7706383534533458E-3"/>
    <n v="-0.7128819124021184"/>
    <n v="1"/>
  </r>
  <r>
    <n v="1625"/>
    <s v="Zeolite"/>
    <n v="4"/>
    <n v="60"/>
    <n v="25"/>
    <n v="7"/>
    <n v="25"/>
    <n v="150"/>
    <n v="100"/>
    <n v="0.496"/>
    <n v="23.015999999999998"/>
    <n v="7.94"/>
    <n v="117.7"/>
    <n v="2.98E-2"/>
    <n v="2.41E-4"/>
    <n v="3.5320588686645186E-3"/>
    <n v="-0.70832591463828221"/>
    <n v="2"/>
  </r>
  <r>
    <n v="1626"/>
    <s v="Zeolite"/>
    <n v="4"/>
    <n v="60"/>
    <n v="25"/>
    <n v="7"/>
    <n v="25"/>
    <n v="150"/>
    <n v="100"/>
    <n v="0.50600000000000001"/>
    <n v="22.978000000000002"/>
    <n v="8.09"/>
    <n v="81.8"/>
    <n v="3.1320000000000001E-2"/>
    <n v="2.1570000000000001E-4"/>
    <n v="3.2920593608822398E-3"/>
    <n v="-0.68774591242841887"/>
    <n v="3"/>
  </r>
  <r>
    <n v="1627"/>
    <s v="Zeolite"/>
    <n v="4"/>
    <n v="60"/>
    <n v="25"/>
    <n v="11"/>
    <n v="25"/>
    <n v="150"/>
    <n v="100"/>
    <n v="0.36499999999999999"/>
    <n v="23.54"/>
    <n v="5.84"/>
    <n v="96.1"/>
    <n v="3.381E-2"/>
    <n v="2.6229999999999998E-4"/>
    <n v="2.0847196489899313E-3"/>
    <n v="-1.0135858594191607"/>
    <n v="1"/>
  </r>
  <r>
    <n v="1628"/>
    <s v="Zeolite"/>
    <n v="4"/>
    <n v="60"/>
    <n v="25"/>
    <n v="11"/>
    <n v="25"/>
    <n v="150"/>
    <n v="100"/>
    <n v="0.29599999999999999"/>
    <n v="23.814"/>
    <n v="4.74"/>
    <n v="121.4"/>
    <n v="3.465E-2"/>
    <n v="2.721E-4"/>
    <n v="1.4235395667378972E-3"/>
    <n v="-1.2222166816312539"/>
    <n v="2"/>
  </r>
  <r>
    <n v="1629"/>
    <s v="Zeolite"/>
    <n v="4"/>
    <n v="60"/>
    <n v="25"/>
    <n v="11"/>
    <n v="25"/>
    <n v="150"/>
    <n v="100"/>
    <n v="0.31"/>
    <n v="23.759"/>
    <n v="4.96"/>
    <n v="95.4"/>
    <n v="3.0439999999999998E-2"/>
    <n v="2.3240000000000001E-4"/>
    <n v="1.3342509136307036E-3"/>
    <n v="-1.1754963057308316"/>
    <n v="3"/>
  </r>
  <r>
    <n v="1630"/>
    <s v="Zeolite"/>
    <n v="4"/>
    <n v="60"/>
    <n v="50"/>
    <n v="3"/>
    <n v="25"/>
    <n v="150"/>
    <n v="100"/>
    <n v="1.1299999999999999"/>
    <n v="45.481000000000002"/>
    <n v="9.0399999999999991"/>
    <n v="102.2"/>
    <n v="2.189E-2"/>
    <n v="2.5849999999999999E-4"/>
    <n v="1.9463594208817988E-2"/>
    <n v="0.10484314705783365"/>
    <n v="1"/>
  </r>
  <r>
    <n v="1631"/>
    <s v="Zeolite"/>
    <n v="4"/>
    <n v="60"/>
    <n v="50"/>
    <n v="3"/>
    <n v="25"/>
    <n v="150"/>
    <n v="100"/>
    <n v="0.95"/>
    <n v="46.201000000000001"/>
    <n v="7.6"/>
    <n v="98.9"/>
    <n v="2.8889999999999999E-2"/>
    <n v="2.7020000000000001E-4"/>
    <n v="1.4409404989987211E-2"/>
    <n v="-6.6577296684745366E-2"/>
    <n v="2"/>
  </r>
  <r>
    <n v="1632"/>
    <s v="Zeolite"/>
    <n v="4"/>
    <n v="60"/>
    <n v="50"/>
    <n v="3"/>
    <n v="25"/>
    <n v="150"/>
    <n v="100"/>
    <n v="1.079"/>
    <n v="45.683"/>
    <n v="8.6300000000000008"/>
    <n v="104.2"/>
    <n v="2.8979999999999999E-2"/>
    <n v="2.4899999999999998E-4"/>
    <n v="1.7117816881241987E-2"/>
    <n v="6.0042977982694111E-2"/>
    <n v="3"/>
  </r>
  <r>
    <n v="1633"/>
    <s v="Zeolite"/>
    <n v="4"/>
    <n v="60"/>
    <n v="50"/>
    <n v="7"/>
    <n v="25"/>
    <n v="150"/>
    <n v="100"/>
    <n v="1.679"/>
    <n v="43.284999999999997"/>
    <n v="13.43"/>
    <n v="88"/>
    <n v="3.1739999999999997E-2"/>
    <n v="2.6150000000000001E-4"/>
    <n v="4.3095467413244534E-2"/>
    <n v="0.49219588231331002"/>
    <n v="1"/>
  </r>
  <r>
    <n v="1634"/>
    <s v="Zeolite"/>
    <n v="4"/>
    <n v="60"/>
    <n v="50"/>
    <n v="7"/>
    <n v="25"/>
    <n v="150"/>
    <n v="100"/>
    <n v="1.9079999999999999"/>
    <n v="42.366999999999997"/>
    <n v="15.27"/>
    <n v="118.8"/>
    <n v="2.794E-2"/>
    <n v="2.7050000000000002E-4"/>
    <n v="5.7310020485236944E-2"/>
    <n v="0.61555853145710415"/>
    <n v="2"/>
  </r>
  <r>
    <n v="1635"/>
    <s v="Zeolite"/>
    <n v="4"/>
    <n v="60"/>
    <n v="50"/>
    <n v="7"/>
    <n v="25"/>
    <n v="150"/>
    <n v="100"/>
    <n v="1.532"/>
    <n v="43.87"/>
    <n v="12.26"/>
    <n v="110.4"/>
    <n v="2.845E-2"/>
    <n v="2.2440000000000001E-4"/>
    <n v="3.0961689081492792E-2"/>
    <n v="0.40615707592221056"/>
    <n v="3"/>
  </r>
  <r>
    <n v="1636"/>
    <s v="Zeolite"/>
    <n v="4"/>
    <n v="60"/>
    <n v="50"/>
    <n v="11"/>
    <n v="25"/>
    <n v="150"/>
    <n v="100"/>
    <n v="1.2709999999999999"/>
    <n v="44.917000000000002"/>
    <n v="10.17"/>
    <n v="59.9"/>
    <n v="2.4750000000000001E-2"/>
    <n v="2.4560000000000001E-4"/>
    <n v="2.3367478417154947E-2"/>
    <n v="0.22124777272728638"/>
    <n v="1"/>
  </r>
  <r>
    <n v="1637"/>
    <s v="Zeolite"/>
    <n v="4"/>
    <n v="60"/>
    <n v="50"/>
    <n v="11"/>
    <n v="25"/>
    <n v="150"/>
    <n v="100"/>
    <n v="1.2490000000000001"/>
    <n v="45.005000000000003"/>
    <n v="9.99"/>
    <n v="94.5"/>
    <n v="2.5260000000000001E-2"/>
    <n v="2.296E-4"/>
    <n v="2.112705690247527E-2"/>
    <n v="0.20528335783895951"/>
    <n v="2"/>
  </r>
  <r>
    <n v="1638"/>
    <s v="Zeolite"/>
    <n v="4"/>
    <n v="60"/>
    <n v="50"/>
    <n v="11"/>
    <n v="25"/>
    <n v="150"/>
    <n v="100"/>
    <n v="1.2829999999999999"/>
    <n v="44.868000000000002"/>
    <n v="10.26"/>
    <n v="108.7"/>
    <n v="2.9950000000000001E-2"/>
    <n v="2.789E-4"/>
    <n v="2.6966686072756638E-2"/>
    <n v="0.22795859152167944"/>
    <n v="3"/>
  </r>
  <r>
    <n v="1639"/>
    <s v="Zeolite"/>
    <n v="4"/>
    <n v="60"/>
    <n v="100"/>
    <n v="3"/>
    <n v="25"/>
    <n v="150"/>
    <n v="100"/>
    <n v="3.6030000000000002"/>
    <n v="85.587000000000003"/>
    <n v="14.41"/>
    <n v="88.8"/>
    <n v="2.9159999999999998E-2"/>
    <n v="2.1489999999999999E-4"/>
    <n v="0.15995387610745798"/>
    <n v="1.2363565806920236"/>
    <n v="1"/>
  </r>
  <r>
    <n v="1640"/>
    <s v="Zeolite"/>
    <n v="4"/>
    <n v="60"/>
    <n v="100"/>
    <n v="3"/>
    <n v="25"/>
    <n v="150"/>
    <n v="100"/>
    <n v="3.4449999999999998"/>
    <n v="86.22"/>
    <n v="13.78"/>
    <n v="116.7"/>
    <n v="3.2059999999999998E-2"/>
    <n v="2.8509999999999999E-4"/>
    <n v="0.19171654694662255"/>
    <n v="1.1796647795860891"/>
    <n v="2"/>
  </r>
  <r>
    <n v="1641"/>
    <s v="Zeolite"/>
    <n v="4"/>
    <n v="60"/>
    <n v="100"/>
    <n v="3"/>
    <n v="25"/>
    <n v="150"/>
    <n v="100"/>
    <n v="3.3839999999999999"/>
    <n v="86.463999999999999"/>
    <n v="13.54"/>
    <n v="120.2"/>
    <n v="2.9420000000000002E-2"/>
    <n v="2.8679999999999998E-4"/>
    <n v="0.18621311648417255"/>
    <n v="1.1624589716395335"/>
    <n v="3"/>
  </r>
  <r>
    <n v="1642"/>
    <s v="Zeolite"/>
    <n v="4"/>
    <n v="60"/>
    <n v="100"/>
    <n v="7"/>
    <n v="25"/>
    <n v="150"/>
    <n v="100"/>
    <n v="5.7610000000000001"/>
    <n v="76.954999999999998"/>
    <n v="23.04"/>
    <n v="110.6"/>
    <n v="3.4430000000000002E-2"/>
    <n v="2.452E-4"/>
    <n v="0.45012742383854731"/>
    <n v="1.6697561487143768"/>
    <n v="1"/>
  </r>
  <r>
    <n v="1643"/>
    <s v="Zeolite"/>
    <n v="4"/>
    <n v="60"/>
    <n v="100"/>
    <n v="7"/>
    <n v="25"/>
    <n v="150"/>
    <n v="100"/>
    <n v="5.8860000000000001"/>
    <n v="76.456000000000003"/>
    <n v="23.54"/>
    <n v="119.3"/>
    <n v="2.9600000000000001E-2"/>
    <n v="2.1699999999999999E-4"/>
    <n v="0.41896979594918132"/>
    <n v="1.6987355446919703"/>
    <n v="2"/>
  </r>
  <r>
    <n v="1644"/>
    <s v="Zeolite"/>
    <n v="4"/>
    <n v="60"/>
    <n v="100"/>
    <n v="7"/>
    <n v="25"/>
    <n v="150"/>
    <n v="100"/>
    <n v="6.8860000000000001"/>
    <n v="72.456000000000003"/>
    <n v="27.54"/>
    <n v="93"/>
    <n v="3.048E-2"/>
    <n v="2.789E-4"/>
    <n v="0.71149070643814372"/>
    <n v="1.820429412726742"/>
    <n v="3"/>
  </r>
  <r>
    <n v="1645"/>
    <s v="Zeolite"/>
    <n v="4"/>
    <n v="60"/>
    <n v="100"/>
    <n v="11"/>
    <n v="25"/>
    <n v="150"/>
    <n v="100"/>
    <n v="4.1059999999999999"/>
    <n v="83.575000000000003"/>
    <n v="16.43"/>
    <n v="84.9"/>
    <n v="3.0759999999999999E-2"/>
    <n v="2.052E-4"/>
    <n v="0.19758251074059016"/>
    <n v="1.3631325578655251"/>
    <n v="1"/>
  </r>
  <r>
    <n v="1646"/>
    <s v="Zeolite"/>
    <n v="4"/>
    <n v="60"/>
    <n v="100"/>
    <n v="11"/>
    <n v="25"/>
    <n v="150"/>
    <n v="100"/>
    <n v="4.2320000000000002"/>
    <n v="83.072999999999993"/>
    <n v="16.93"/>
    <n v="103.7"/>
    <n v="2.9190000000000001E-2"/>
    <n v="2.1139999999999999E-4"/>
    <n v="0.21559533300155351"/>
    <n v="1.3903871410079403"/>
    <n v="2"/>
  </r>
  <r>
    <n v="1647"/>
    <s v="Zeolite"/>
    <n v="4"/>
    <n v="60"/>
    <n v="100"/>
    <n v="11"/>
    <n v="25"/>
    <n v="150"/>
    <n v="100"/>
    <n v="4.968"/>
    <n v="80.13"/>
    <n v="19.87"/>
    <n v="101.6"/>
    <n v="3.4290000000000001E-2"/>
    <n v="2.4350000000000001E-4"/>
    <n v="0.33618837466000756"/>
    <n v="1.5329480713392321"/>
    <n v="3"/>
  </r>
  <r>
    <n v="1648"/>
    <s v="Zeolite"/>
    <n v="4"/>
    <n v="60"/>
    <n v="200"/>
    <n v="3"/>
    <n v="25"/>
    <n v="150"/>
    <n v="100"/>
    <n v="10.375"/>
    <n v="158.499"/>
    <n v="20.75"/>
    <n v="104"/>
    <n v="2.9350000000000001E-2"/>
    <n v="2.206E-4"/>
    <n v="1.252705419786015"/>
    <n v="2.2107213711482667"/>
    <n v="1"/>
  </r>
  <r>
    <n v="1649"/>
    <s v="Zeolite"/>
    <n v="4"/>
    <n v="60"/>
    <n v="200"/>
    <n v="3"/>
    <n v="25"/>
    <n v="150"/>
    <n v="100"/>
    <n v="12.757999999999999"/>
    <n v="148.96700000000001"/>
    <n v="25.52"/>
    <n v="90.7"/>
    <n v="2.4479999999999998E-2"/>
    <n v="2.832E-4"/>
    <n v="2.2729832089827982"/>
    <n v="2.3499472657848566"/>
    <n v="2"/>
  </r>
  <r>
    <n v="1650"/>
    <s v="Zeolite"/>
    <n v="4"/>
    <n v="60"/>
    <n v="200"/>
    <n v="3"/>
    <n v="25"/>
    <n v="150"/>
    <n v="100"/>
    <n v="10.756"/>
    <n v="156.97499999999999"/>
    <n v="21.51"/>
    <n v="90.9"/>
    <n v="2.47E-2"/>
    <n v="2.9349999999999998E-4"/>
    <n v="1.7128849902417422"/>
    <n v="2.2020036957752525"/>
    <n v="3"/>
  </r>
  <r>
    <n v="1651"/>
    <s v="Zeolite"/>
    <n v="4"/>
    <n v="60"/>
    <n v="200"/>
    <n v="7"/>
    <n v="25"/>
    <n v="150"/>
    <n v="100"/>
    <n v="15.856"/>
    <n v="136.578"/>
    <n v="31.71"/>
    <n v="100.9"/>
    <n v="3.2739999999999998E-2"/>
    <n v="2.6049999999999999E-4"/>
    <n v="3.1491335607063169"/>
    <n v="2.5421425118694629"/>
    <n v="1"/>
  </r>
  <r>
    <n v="1652"/>
    <s v="Zeolite"/>
    <n v="4"/>
    <n v="60"/>
    <n v="200"/>
    <n v="7"/>
    <n v="25"/>
    <n v="150"/>
    <n v="100"/>
    <n v="17.841000000000001"/>
    <n v="128.636"/>
    <n v="35.68"/>
    <n v="74.5"/>
    <n v="2.7570000000000001E-2"/>
    <n v="2.5470000000000001E-4"/>
    <n v="3.822178011048762"/>
    <n v="2.6404008544636546"/>
    <n v="2"/>
  </r>
  <r>
    <n v="1653"/>
    <s v="Zeolite"/>
    <n v="4"/>
    <n v="60"/>
    <n v="200"/>
    <n v="7"/>
    <n v="25"/>
    <n v="150"/>
    <n v="100"/>
    <n v="16.666"/>
    <n v="133.334"/>
    <n v="33.33"/>
    <n v="103.1"/>
    <n v="3.2050000000000002E-2"/>
    <n v="2.7409999999999999E-4"/>
    <n v="3.5852815187211138"/>
    <n v="2.5711392742818511"/>
    <n v="3"/>
  </r>
  <r>
    <n v="1654"/>
    <s v="Zeolite"/>
    <n v="4"/>
    <n v="60"/>
    <n v="200"/>
    <n v="11"/>
    <n v="25"/>
    <n v="150"/>
    <n v="100"/>
    <n v="12.301"/>
    <n v="150.79499999999999"/>
    <n v="24.6"/>
    <n v="132.9"/>
    <n v="3.2300000000000002E-2"/>
    <n v="2.5000000000000001E-4"/>
    <n v="1.9161589469107612"/>
    <n v="2.340347151779"/>
    <n v="1"/>
  </r>
  <r>
    <n v="1655"/>
    <s v="Zeolite"/>
    <n v="4"/>
    <n v="60"/>
    <n v="200"/>
    <n v="11"/>
    <n v="25"/>
    <n v="150"/>
    <n v="100"/>
    <n v="15.183"/>
    <n v="139.268"/>
    <n v="30.37"/>
    <n v="135.5"/>
    <n v="2.5680000000000001E-2"/>
    <n v="2.4439999999999998E-4"/>
    <n v="2.7648258952982525"/>
    <n v="2.5191610531940505"/>
    <n v="2"/>
  </r>
  <r>
    <n v="1656"/>
    <s v="Zeolite"/>
    <n v="4"/>
    <n v="60"/>
    <n v="200"/>
    <n v="11"/>
    <n v="25"/>
    <n v="150"/>
    <n v="100"/>
    <n v="10.867000000000001"/>
    <n v="156.53100000000001"/>
    <n v="21.73"/>
    <n v="102.9"/>
    <n v="3.1099999999999999E-2"/>
    <n v="2.4899999999999998E-4"/>
    <n v="1.5178606361554645"/>
    <n v="2.2352842924163996"/>
    <n v="3"/>
  </r>
  <r>
    <n v="1657"/>
    <s v="Zeolite"/>
    <n v="4"/>
    <n v="120"/>
    <n v="25"/>
    <n v="3"/>
    <n v="25"/>
    <n v="150"/>
    <n v="100"/>
    <n v="0.46300000000000002"/>
    <n v="23.149000000000001"/>
    <n v="7.4"/>
    <n v="69.3"/>
    <n v="3.1119999999999998E-2"/>
    <n v="2.8640000000000002E-4"/>
    <n v="7.2520366008256105E-3"/>
    <n v="-0.78581533411316407"/>
    <n v="1"/>
  </r>
  <r>
    <n v="1658"/>
    <s v="Zeolite"/>
    <n v="4"/>
    <n v="120"/>
    <n v="25"/>
    <n v="3"/>
    <n v="25"/>
    <n v="150"/>
    <n v="100"/>
    <n v="0.46500000000000002"/>
    <n v="23.138000000000002"/>
    <n v="7.45"/>
    <n v="106.6"/>
    <n v="2.53E-2"/>
    <n v="2.6140000000000001E-4"/>
    <n v="6.6850370474218612E-3"/>
    <n v="-0.78019863918357157"/>
    <n v="2"/>
  </r>
  <r>
    <n v="1659"/>
    <s v="Zeolite"/>
    <n v="4"/>
    <n v="120"/>
    <n v="25"/>
    <n v="3"/>
    <n v="25"/>
    <n v="150"/>
    <n v="100"/>
    <n v="0.47399999999999998"/>
    <n v="23.103000000000002"/>
    <n v="7.59"/>
    <n v="88.6"/>
    <n v="2.7720000000000002E-2"/>
    <n v="2.4020000000000001E-4"/>
    <n v="6.3887739148416585E-3"/>
    <n v="-0.76011804179140241"/>
    <n v="3"/>
  </r>
  <r>
    <n v="1660"/>
    <s v="Zeolite"/>
    <n v="4"/>
    <n v="120"/>
    <n v="25"/>
    <n v="7"/>
    <n v="25"/>
    <n v="150"/>
    <n v="100"/>
    <n v="0.86899999999999999"/>
    <n v="21.523"/>
    <n v="13.91"/>
    <n v="80.3"/>
    <n v="2.8809999999999999E-2"/>
    <n v="2.4899999999999998E-4"/>
    <n v="2.1993142889803367E-2"/>
    <n v="-0.16604648860110979"/>
    <n v="1"/>
  </r>
  <r>
    <n v="1661"/>
    <s v="Zeolite"/>
    <n v="4"/>
    <n v="120"/>
    <n v="25"/>
    <n v="7"/>
    <n v="25"/>
    <n v="150"/>
    <n v="100"/>
    <n v="0.75700000000000001"/>
    <n v="21.972000000000001"/>
    <n v="12.11"/>
    <n v="126.9"/>
    <n v="2.7439999999999999E-2"/>
    <n v="2.3330000000000001E-4"/>
    <n v="1.5710135345506474E-2"/>
    <n v="-0.29936354980670743"/>
    <n v="2"/>
  </r>
  <r>
    <n v="1662"/>
    <s v="Zeolite"/>
    <n v="4"/>
    <n v="120"/>
    <n v="25"/>
    <n v="7"/>
    <n v="25"/>
    <n v="150"/>
    <n v="100"/>
    <n v="0.76600000000000001"/>
    <n v="21.934999999999999"/>
    <n v="12.26"/>
    <n v="127"/>
    <n v="3.1660000000000001E-2"/>
    <n v="2.2660000000000001E-4"/>
    <n v="1.5629520739197759E-2"/>
    <n v="-0.28718822206822181"/>
    <n v="3"/>
  </r>
  <r>
    <n v="1663"/>
    <s v="Zeolite"/>
    <n v="4"/>
    <n v="120"/>
    <n v="25"/>
    <n v="11"/>
    <n v="25"/>
    <n v="150"/>
    <n v="100"/>
    <n v="0.68300000000000005"/>
    <n v="22.266999999999999"/>
    <n v="10.93"/>
    <n v="103"/>
    <n v="3.0769999999999999E-2"/>
    <n v="2.4140000000000001E-4"/>
    <n v="1.325107884882073E-2"/>
    <n v="-0.40085238138189011"/>
    <n v="1"/>
  </r>
  <r>
    <n v="1664"/>
    <s v="Zeolite"/>
    <n v="4"/>
    <n v="120"/>
    <n v="25"/>
    <n v="11"/>
    <n v="25"/>
    <n v="150"/>
    <n v="100"/>
    <n v="0.57999999999999996"/>
    <n v="22.681999999999999"/>
    <n v="9.27"/>
    <n v="105.1"/>
    <n v="2.836E-2"/>
    <n v="2.9540000000000002E-4"/>
    <n v="1.1684476238061649E-2"/>
    <n v="-0.56507851491288574"/>
    <n v="2"/>
  </r>
  <r>
    <n v="1665"/>
    <s v="Zeolite"/>
    <n v="4"/>
    <n v="120"/>
    <n v="25"/>
    <n v="11"/>
    <n v="25"/>
    <n v="150"/>
    <n v="100"/>
    <n v="0.55000000000000004"/>
    <n v="22.797999999999998"/>
    <n v="8.81"/>
    <n v="123"/>
    <n v="2.9669999999999998E-2"/>
    <n v="2.5750000000000002E-4"/>
    <n v="9.1910481369131634E-3"/>
    <n v="-0.61468920138911209"/>
    <n v="3"/>
  </r>
  <r>
    <n v="1666"/>
    <s v="Zeolite"/>
    <n v="4"/>
    <n v="120"/>
    <n v="50"/>
    <n v="3"/>
    <n v="25"/>
    <n v="150"/>
    <n v="100"/>
    <n v="1.8819999999999999"/>
    <n v="42.472999999999999"/>
    <n v="15.05"/>
    <n v="90.5"/>
    <n v="3.2590000000000001E-2"/>
    <n v="1.8230000000000001E-4"/>
    <n v="7.4419242190073606E-2"/>
    <n v="0.59198935333895941"/>
    <n v="1"/>
  </r>
  <r>
    <n v="1667"/>
    <s v="Zeolite"/>
    <n v="4"/>
    <n v="120"/>
    <n v="50"/>
    <n v="3"/>
    <n v="25"/>
    <n v="150"/>
    <n v="100"/>
    <n v="1.637"/>
    <n v="43.451999999999998"/>
    <n v="13.1"/>
    <n v="86.1"/>
    <n v="2.6239999999999999E-2"/>
    <n v="2.4459999999999998E-4"/>
    <n v="7.505046317175651E-2"/>
    <n v="0.44593474412752937"/>
    <n v="2"/>
  </r>
  <r>
    <n v="1668"/>
    <s v="Zeolite"/>
    <n v="4"/>
    <n v="120"/>
    <n v="50"/>
    <n v="3"/>
    <n v="25"/>
    <n v="150"/>
    <n v="100"/>
    <n v="1.8109999999999999"/>
    <n v="42.755000000000003"/>
    <n v="14.49"/>
    <n v="110.5"/>
    <n v="3.0720000000000001E-2"/>
    <n v="2.3340000000000001E-4"/>
    <n v="8.7424059936937429E-2"/>
    <n v="0.54440116754344781"/>
    <n v="3"/>
  </r>
  <r>
    <n v="1669"/>
    <s v="Zeolite"/>
    <n v="4"/>
    <n v="120"/>
    <n v="50"/>
    <n v="7"/>
    <n v="25"/>
    <n v="150"/>
    <n v="100"/>
    <n v="3"/>
    <n v="37.997999999999998"/>
    <n v="24"/>
    <n v="101.9"/>
    <n v="3.2809999999999999E-2"/>
    <n v="2.6939999999999999E-4"/>
    <n v="0.26522902795300568"/>
    <n v="1.0060476927138342"/>
    <n v="1"/>
  </r>
  <r>
    <n v="1670"/>
    <s v="Zeolite"/>
    <n v="4"/>
    <n v="120"/>
    <n v="50"/>
    <n v="7"/>
    <n v="25"/>
    <n v="150"/>
    <n v="100"/>
    <n v="2.9119999999999999"/>
    <n v="38.351999999999997"/>
    <n v="23.3"/>
    <n v="86.5"/>
    <n v="2.8039999999999999E-2"/>
    <n v="2.363E-4"/>
    <n v="0.222111297544374"/>
    <n v="0.98949981820598543"/>
    <n v="2"/>
  </r>
  <r>
    <n v="1671"/>
    <s v="Zeolite"/>
    <n v="4"/>
    <n v="120"/>
    <n v="50"/>
    <n v="7"/>
    <n v="25"/>
    <n v="150"/>
    <n v="100"/>
    <n v="2.8220000000000001"/>
    <n v="38.713000000000001"/>
    <n v="22.57"/>
    <n v="104"/>
    <n v="3.2149999999999998E-2"/>
    <n v="2.4869999999999997E-4"/>
    <n v="0.21920665192667835"/>
    <n v="0.95658523295436038"/>
    <n v="3"/>
  </r>
  <r>
    <n v="1672"/>
    <s v="Zeolite"/>
    <n v="4"/>
    <n v="120"/>
    <n v="50"/>
    <n v="11"/>
    <n v="25"/>
    <n v="150"/>
    <n v="100"/>
    <n v="2.1890000000000001"/>
    <n v="41.244"/>
    <n v="17.510000000000002"/>
    <n v="102.1"/>
    <n v="2.845E-2"/>
    <n v="2.2690000000000001E-4"/>
    <n v="0.12313016402387397"/>
    <n v="0.72555136579696156"/>
    <n v="1"/>
  </r>
  <r>
    <n v="1673"/>
    <s v="Zeolite"/>
    <n v="4"/>
    <n v="120"/>
    <n v="50"/>
    <n v="11"/>
    <n v="25"/>
    <n v="150"/>
    <n v="100"/>
    <n v="1.84"/>
    <n v="42.637999999999998"/>
    <n v="14.72"/>
    <n v="89.6"/>
    <n v="3.1419999999999997E-2"/>
    <n v="2.3240000000000001E-4"/>
    <n v="8.9809153102433967E-2"/>
    <n v="0.55972483735935596"/>
    <n v="2"/>
  </r>
  <r>
    <n v="1674"/>
    <s v="Zeolite"/>
    <n v="4"/>
    <n v="120"/>
    <n v="50"/>
    <n v="11"/>
    <n v="25"/>
    <n v="150"/>
    <n v="100"/>
    <n v="2.1389999999999998"/>
    <n v="41.444000000000003"/>
    <n v="17.11"/>
    <n v="107"/>
    <n v="3.1559999999999998E-2"/>
    <n v="2.23E-4"/>
    <n v="0.1158068476887605"/>
    <n v="0.70467703178467556"/>
    <n v="3"/>
  </r>
  <r>
    <n v="1675"/>
    <s v="Zeolite"/>
    <n v="4"/>
    <n v="120"/>
    <n v="100"/>
    <n v="3"/>
    <n v="25"/>
    <n v="150"/>
    <n v="100"/>
    <n v="6.2450000000000001"/>
    <n v="75.02"/>
    <n v="24.98"/>
    <n v="116.9"/>
    <n v="2.6610000000000002E-2"/>
    <n v="2.2939999999999999E-4"/>
    <n v="0.91610322140471334"/>
    <n v="1.6731442333757425"/>
    <n v="1"/>
  </r>
  <r>
    <n v="1676"/>
    <s v="Zeolite"/>
    <n v="4"/>
    <n v="120"/>
    <n v="100"/>
    <n v="3"/>
    <n v="25"/>
    <n v="150"/>
    <n v="100"/>
    <n v="6.3449999999999998"/>
    <n v="74.62"/>
    <n v="25.38"/>
    <n v="97.8"/>
    <n v="2.334E-2"/>
    <n v="2.1499999999999999E-4"/>
    <n v="0.89256849053150233"/>
    <n v="1.6960616577068206"/>
    <n v="2"/>
  </r>
  <r>
    <n v="1677"/>
    <s v="Zeolite"/>
    <n v="4"/>
    <n v="120"/>
    <n v="100"/>
    <n v="3"/>
    <n v="25"/>
    <n v="150"/>
    <n v="100"/>
    <n v="5.6020000000000003"/>
    <n v="77.591999999999999"/>
    <n v="22.41"/>
    <n v="82.6"/>
    <n v="2.8760000000000001E-2"/>
    <n v="2.5080000000000002E-4"/>
    <n v="0.8082206189758061"/>
    <n v="1.5673191151418582"/>
    <n v="3"/>
  </r>
  <r>
    <n v="1678"/>
    <s v="Zeolite"/>
    <n v="4"/>
    <n v="120"/>
    <n v="100"/>
    <n v="7"/>
    <n v="25"/>
    <n v="150"/>
    <n v="100"/>
    <n v="10.316000000000001"/>
    <n v="58.734999999999999"/>
    <n v="41.26"/>
    <n v="95.6"/>
    <n v="3.322E-2"/>
    <n v="2.8570000000000001E-4"/>
    <n v="2.6952567849347311"/>
    <n v="2.0308738997278155"/>
    <n v="1"/>
  </r>
  <r>
    <n v="1679"/>
    <s v="Zeolite"/>
    <n v="4"/>
    <n v="120"/>
    <n v="100"/>
    <n v="7"/>
    <n v="25"/>
    <n v="150"/>
    <n v="100"/>
    <n v="10.292999999999999"/>
    <n v="58.826999999999998"/>
    <n v="41.17"/>
    <n v="104.3"/>
    <n v="2.4109999999999999E-2"/>
    <n v="2.6150000000000001E-4"/>
    <n v="2.5129213641382626"/>
    <n v="2.0515664455764617"/>
    <n v="2"/>
  </r>
  <r>
    <n v="1680"/>
    <s v="Zeolite"/>
    <n v="4"/>
    <n v="120"/>
    <n v="100"/>
    <n v="7"/>
    <n v="25"/>
    <n v="150"/>
    <n v="100"/>
    <n v="9.9770000000000003"/>
    <n v="60.094000000000001"/>
    <n v="39.909999999999997"/>
    <n v="98.8"/>
    <n v="3.5229999999999997E-2"/>
    <n v="2.7149999999999999E-4"/>
    <n v="2.4474765627602495"/>
    <n v="2.0188317512618199"/>
    <n v="3"/>
  </r>
  <r>
    <n v="1681"/>
    <s v="Zeolite"/>
    <n v="4"/>
    <n v="120"/>
    <n v="100"/>
    <n v="11"/>
    <n v="25"/>
    <n v="150"/>
    <n v="100"/>
    <n v="7.39"/>
    <n v="70.441000000000003"/>
    <n v="29.56"/>
    <n v="116.3"/>
    <n v="3.1E-2"/>
    <n v="1.8770000000000001E-4"/>
    <n v="1.0545505179482855"/>
    <n v="1.8461607634347603"/>
    <n v="1"/>
  </r>
  <r>
    <n v="1682"/>
    <s v="Zeolite"/>
    <n v="4"/>
    <n v="120"/>
    <n v="100"/>
    <n v="11"/>
    <n v="25"/>
    <n v="150"/>
    <n v="100"/>
    <n v="6.7140000000000004"/>
    <n v="73.141999999999996"/>
    <n v="26.86"/>
    <n v="118"/>
    <n v="2.758E-2"/>
    <n v="2.4439999999999998E-4"/>
    <n v="1.1045472074837299"/>
    <n v="1.7244531733361792"/>
    <n v="2"/>
  </r>
  <r>
    <n v="1683"/>
    <s v="Zeolite"/>
    <n v="4"/>
    <n v="120"/>
    <n v="100"/>
    <n v="11"/>
    <n v="25"/>
    <n v="150"/>
    <n v="100"/>
    <n v="6.3689999999999998"/>
    <n v="74.522999999999996"/>
    <n v="25.48"/>
    <n v="126.8"/>
    <n v="3.5040000000000002E-2"/>
    <n v="2.2790000000000001E-4"/>
    <n v="0.9447863449917141"/>
    <n v="1.6908729405349214"/>
    <n v="3"/>
  </r>
  <r>
    <n v="1684"/>
    <s v="Zeolite"/>
    <n v="4"/>
    <n v="120"/>
    <n v="200"/>
    <n v="3"/>
    <n v="25"/>
    <n v="150"/>
    <n v="100"/>
    <n v="16.911000000000001"/>
    <n v="132.357"/>
    <n v="33.82"/>
    <n v="89.8"/>
    <n v="3.184E-2"/>
    <n v="2.6269999999999999E-4"/>
    <n v="5.8804253970897937"/>
    <n v="2.4006709264606862"/>
    <n v="1"/>
  </r>
  <r>
    <n v="1685"/>
    <s v="Zeolite"/>
    <n v="4"/>
    <n v="120"/>
    <n v="200"/>
    <n v="3"/>
    <n v="25"/>
    <n v="150"/>
    <n v="100"/>
    <n v="17.908999999999999"/>
    <n v="128.36500000000001"/>
    <n v="35.82"/>
    <n v="105"/>
    <n v="3.8809999999999997E-2"/>
    <n v="2.243E-4"/>
    <n v="5.824969618940651"/>
    <n v="2.4918847776771198"/>
    <n v="2"/>
  </r>
  <r>
    <n v="1686"/>
    <s v="Zeolite"/>
    <n v="4"/>
    <n v="120"/>
    <n v="200"/>
    <n v="3"/>
    <n v="25"/>
    <n v="150"/>
    <n v="100"/>
    <n v="14.12"/>
    <n v="143.52000000000001"/>
    <n v="28.24"/>
    <n v="94.1"/>
    <n v="2.53E-2"/>
    <n v="2.1269999999999999E-4"/>
    <n v="3.7406912490254327"/>
    <n v="2.3398142812018001"/>
    <n v="3"/>
  </r>
  <r>
    <n v="1687"/>
    <s v="Zeolite"/>
    <n v="4"/>
    <n v="120"/>
    <n v="200"/>
    <n v="7"/>
    <n v="25"/>
    <n v="150"/>
    <n v="100"/>
    <n v="23.015999999999998"/>
    <n v="107.93600000000001"/>
    <n v="46.03"/>
    <n v="86.2"/>
    <n v="2.7140000000000001E-2"/>
    <n v="2.63E-4"/>
    <n v="9.684095162274815"/>
    <n v="2.5901600225356187"/>
    <n v="1"/>
  </r>
  <r>
    <n v="1688"/>
    <s v="Zeolite"/>
    <n v="4"/>
    <n v="120"/>
    <n v="200"/>
    <n v="7"/>
    <n v="25"/>
    <n v="150"/>
    <n v="100"/>
    <n v="24.143000000000001"/>
    <n v="103.42700000000001"/>
    <n v="48.29"/>
    <n v="97.3"/>
    <n v="3.2680000000000001E-2"/>
    <n v="2.308E-4"/>
    <n v="9.6745435817785914"/>
    <n v="2.6719708603313714"/>
    <n v="2"/>
  </r>
  <r>
    <n v="1689"/>
    <s v="Zeolite"/>
    <n v="4"/>
    <n v="120"/>
    <n v="200"/>
    <n v="7"/>
    <n v="25"/>
    <n v="150"/>
    <n v="100"/>
    <n v="24.693000000000001"/>
    <n v="101.227"/>
    <n v="49.39"/>
    <n v="105.5"/>
    <n v="2.418E-2"/>
    <n v="1.9039999999999999E-4"/>
    <n v="8.9065108585166026"/>
    <n v="2.7591544565836479"/>
    <n v="3"/>
  </r>
  <r>
    <n v="1690"/>
    <s v="Zeolite"/>
    <n v="4"/>
    <n v="120"/>
    <n v="200"/>
    <n v="11"/>
    <n v="25"/>
    <n v="150"/>
    <n v="100"/>
    <n v="20.673999999999999"/>
    <n v="117.303"/>
    <n v="41.35"/>
    <n v="107.4"/>
    <n v="3.619E-2"/>
    <n v="2.5399999999999999E-4"/>
    <n v="7.9916810836876486"/>
    <n v="2.5402088121239603"/>
    <n v="1"/>
  </r>
  <r>
    <n v="1691"/>
    <s v="Zeolite"/>
    <n v="4"/>
    <n v="120"/>
    <n v="200"/>
    <n v="11"/>
    <n v="25"/>
    <n v="150"/>
    <n v="100"/>
    <n v="21.529"/>
    <n v="113.884"/>
    <n v="43.06"/>
    <n v="97.1"/>
    <n v="3.0890000000000001E-2"/>
    <n v="2.9169999999999999E-4"/>
    <n v="9.2519777036706667"/>
    <n v="2.5077294093027254"/>
    <n v="2"/>
  </r>
  <r>
    <n v="1692"/>
    <s v="Zeolite"/>
    <n v="4"/>
    <n v="120"/>
    <n v="200"/>
    <n v="11"/>
    <n v="25"/>
    <n v="150"/>
    <n v="100"/>
    <n v="16.216999999999999"/>
    <n v="135.13200000000001"/>
    <n v="32.43"/>
    <n v="106.2"/>
    <n v="3.6409999999999998E-2"/>
    <n v="2.5710000000000002E-4"/>
    <n v="5.4080221879354111"/>
    <n v="2.3803770677041012"/>
    <n v="3"/>
  </r>
  <r>
    <n v="1693"/>
    <s v="Zeolite"/>
    <n v="4"/>
    <n v="240"/>
    <n v="25"/>
    <n v="3"/>
    <n v="25"/>
    <n v="150"/>
    <n v="100"/>
    <n v="1.008"/>
    <n v="20.968"/>
    <n v="16.13"/>
    <n v="90.6"/>
    <n v="2.9899999999999999E-2"/>
    <n v="2.5080000000000002E-4"/>
    <n v="5.7660460275686581E-2"/>
    <n v="-5.0935948007254914E-2"/>
    <n v="1"/>
  </r>
  <r>
    <n v="1694"/>
    <s v="Zeolite"/>
    <n v="4"/>
    <n v="240"/>
    <n v="25"/>
    <n v="3"/>
    <n v="25"/>
    <n v="150"/>
    <n v="100"/>
    <n v="0.70199999999999996"/>
    <n v="22.19"/>
    <n v="11.24"/>
    <n v="82.5"/>
    <n v="2.6710000000000001E-2"/>
    <n v="2.7060000000000002E-4"/>
    <n v="3.0609169862844069E-2"/>
    <n v="-0.39840385235318926"/>
    <n v="2"/>
  </r>
  <r>
    <n v="1695"/>
    <s v="Zeolite"/>
    <n v="4"/>
    <n v="240"/>
    <n v="25"/>
    <n v="3"/>
    <n v="25"/>
    <n v="150"/>
    <n v="100"/>
    <n v="0.94599999999999995"/>
    <n v="21.213999999999999"/>
    <n v="15.14"/>
    <n v="104.9"/>
    <n v="3.2469999999999999E-2"/>
    <n v="2.4590000000000001E-4"/>
    <n v="5.0021694661777166E-2"/>
    <n v="-0.10983907909250307"/>
    <n v="3"/>
  </r>
  <r>
    <n v="1696"/>
    <s v="Zeolite"/>
    <n v="4"/>
    <n v="240"/>
    <n v="25"/>
    <n v="7"/>
    <n v="25"/>
    <n v="150"/>
    <n v="100"/>
    <n v="1.613"/>
    <n v="18.547000000000001"/>
    <n v="25.81"/>
    <n v="100.1"/>
    <n v="3.0169999999999999E-2"/>
    <n v="2.4340000000000001E-4"/>
    <n v="0.1388973353677912"/>
    <n v="0.38804944170273542"/>
    <n v="1"/>
  </r>
  <r>
    <n v="1697"/>
    <s v="Zeolite"/>
    <n v="4"/>
    <n v="240"/>
    <n v="25"/>
    <n v="7"/>
    <n v="25"/>
    <n v="150"/>
    <n v="100"/>
    <n v="1.5449999999999999"/>
    <n v="18.818000000000001"/>
    <n v="24.73"/>
    <n v="93.7"/>
    <n v="3.2930000000000001E-2"/>
    <n v="2.2169999999999999E-4"/>
    <n v="0.11736100515986617"/>
    <n v="0.35602202722308945"/>
    <n v="2"/>
  </r>
  <r>
    <n v="1698"/>
    <s v="Zeolite"/>
    <n v="4"/>
    <n v="240"/>
    <n v="25"/>
    <n v="7"/>
    <n v="25"/>
    <n v="150"/>
    <n v="100"/>
    <n v="1.3120000000000001"/>
    <n v="19.753"/>
    <n v="20.99"/>
    <n v="110.3"/>
    <n v="2.9729999999999999E-2"/>
    <n v="2.387E-4"/>
    <n v="9.171861382701435E-2"/>
    <n v="0.19908147655492045"/>
    <n v="3"/>
  </r>
  <r>
    <n v="1699"/>
    <s v="Zeolite"/>
    <n v="4"/>
    <n v="240"/>
    <n v="25"/>
    <n v="11"/>
    <n v="25"/>
    <n v="150"/>
    <n v="100"/>
    <n v="1.1839999999999999"/>
    <n v="20.265999999999998"/>
    <n v="18.940000000000001"/>
    <n v="90.9"/>
    <n v="2.9399999999999999E-2"/>
    <n v="2.8499999999999999E-4"/>
    <n v="8.8703263392222786E-2"/>
    <n v="9.1025318892543006E-2"/>
    <n v="1"/>
  </r>
  <r>
    <n v="1700"/>
    <s v="Zeolite"/>
    <n v="4"/>
    <n v="240"/>
    <n v="25"/>
    <n v="11"/>
    <n v="25"/>
    <n v="150"/>
    <n v="100"/>
    <n v="1.248"/>
    <n v="20.010000000000002"/>
    <n v="19.96"/>
    <n v="123.6"/>
    <n v="2.9149999999999999E-2"/>
    <n v="2.8079999999999999E-4"/>
    <n v="9.682022373739782E-2"/>
    <n v="0.14078730890943617"/>
    <n v="2"/>
  </r>
  <r>
    <n v="1701"/>
    <s v="Zeolite"/>
    <n v="4"/>
    <n v="240"/>
    <n v="25"/>
    <n v="11"/>
    <n v="25"/>
    <n v="150"/>
    <n v="100"/>
    <n v="1.002"/>
    <n v="20.991"/>
    <n v="16.03"/>
    <n v="86.4"/>
    <n v="2.2950000000000002E-2"/>
    <n v="2.9179999999999999E-4"/>
    <n v="6.5701965593450581E-2"/>
    <n v="-6.5821440359640881E-2"/>
    <n v="3"/>
  </r>
  <r>
    <n v="1702"/>
    <s v="Zeolite"/>
    <n v="4"/>
    <n v="240"/>
    <n v="50"/>
    <n v="3"/>
    <n v="25"/>
    <n v="150"/>
    <n v="100"/>
    <n v="2.6579999999999999"/>
    <n v="39.368000000000002"/>
    <n v="21.26"/>
    <n v="98.1"/>
    <n v="2.7269999999999999E-2"/>
    <n v="2.6739999999999999E-4"/>
    <n v="0.38733038667278974"/>
    <n v="0.82007477183871713"/>
    <n v="1"/>
  </r>
  <r>
    <n v="1703"/>
    <s v="Zeolite"/>
    <n v="4"/>
    <n v="240"/>
    <n v="50"/>
    <n v="3"/>
    <n v="25"/>
    <n v="150"/>
    <n v="100"/>
    <n v="2.7850000000000001"/>
    <n v="38.860999999999997"/>
    <n v="22.28"/>
    <n v="80.400000000000006"/>
    <n v="3.1320000000000001E-2"/>
    <n v="2.142E-4"/>
    <n v="0.34879463976736719"/>
    <n v="0.89044164852456209"/>
    <n v="2"/>
  </r>
  <r>
    <n v="1704"/>
    <s v="Zeolite"/>
    <n v="4"/>
    <n v="240"/>
    <n v="50"/>
    <n v="3"/>
    <n v="25"/>
    <n v="150"/>
    <n v="100"/>
    <n v="2.665"/>
    <n v="39.340000000000003"/>
    <n v="21.32"/>
    <n v="68.400000000000006"/>
    <n v="2.5729999999999999E-2"/>
    <n v="2.5450000000000001E-4"/>
    <n v="0.37307536639403799"/>
    <n v="0.82939191594098449"/>
    <n v="3"/>
  </r>
  <r>
    <n v="1705"/>
    <s v="Zeolite"/>
    <n v="4"/>
    <n v="240"/>
    <n v="50"/>
    <n v="7"/>
    <n v="25"/>
    <n v="150"/>
    <n v="100"/>
    <n v="3.7730000000000001"/>
    <n v="34.906999999999996"/>
    <n v="30.19"/>
    <n v="77.8"/>
    <n v="2.9989999999999999E-2"/>
    <n v="2.364E-4"/>
    <n v="0.66525846741534411"/>
    <n v="1.1338962670732036"/>
    <n v="1"/>
  </r>
  <r>
    <n v="1706"/>
    <s v="Zeolite"/>
    <n v="4"/>
    <n v="240"/>
    <n v="50"/>
    <n v="7"/>
    <n v="25"/>
    <n v="150"/>
    <n v="100"/>
    <n v="5.4059999999999997"/>
    <n v="28.378"/>
    <n v="43.24"/>
    <n v="127.5"/>
    <n v="2.7400000000000001E-2"/>
    <n v="2.6390000000000002E-4"/>
    <n v="1.3788676344553568"/>
    <n v="1.3930545508460479"/>
    <n v="2"/>
  </r>
  <r>
    <n v="1707"/>
    <s v="Zeolite"/>
    <n v="4"/>
    <n v="240"/>
    <n v="50"/>
    <n v="7"/>
    <n v="25"/>
    <n v="150"/>
    <n v="100"/>
    <n v="4.8929999999999998"/>
    <n v="30.428999999999998"/>
    <n v="39.14"/>
    <n v="91"/>
    <n v="2.5510000000000001E-2"/>
    <n v="2.497E-4"/>
    <n v="1.1094435660744242"/>
    <n v="1.3306644228402154"/>
    <n v="3"/>
  </r>
  <r>
    <n v="1708"/>
    <s v="Zeolite"/>
    <n v="4"/>
    <n v="240"/>
    <n v="50"/>
    <n v="11"/>
    <n v="25"/>
    <n v="150"/>
    <n v="100"/>
    <n v="3.48"/>
    <n v="36.079000000000001"/>
    <n v="27.84"/>
    <n v="93.5"/>
    <n v="3.1329999999999997E-2"/>
    <n v="2.3120000000000001E-4"/>
    <n v="0.56322426156625627"/>
    <n v="1.0704788070366256"/>
    <n v="1"/>
  </r>
  <r>
    <n v="1709"/>
    <s v="Zeolite"/>
    <n v="4"/>
    <n v="240"/>
    <n v="50"/>
    <n v="11"/>
    <n v="25"/>
    <n v="150"/>
    <n v="100"/>
    <n v="3.169"/>
    <n v="37.325000000000003"/>
    <n v="25.35"/>
    <n v="101.6"/>
    <n v="3.116E-2"/>
    <n v="2.206E-4"/>
    <n v="0.45530284886239009"/>
    <n v="0.99831196754357543"/>
    <n v="2"/>
  </r>
  <r>
    <n v="1710"/>
    <s v="Zeolite"/>
    <n v="4"/>
    <n v="240"/>
    <n v="50"/>
    <n v="11"/>
    <n v="25"/>
    <n v="150"/>
    <n v="100"/>
    <n v="3.831"/>
    <n v="34.677999999999997"/>
    <n v="30.64"/>
    <n v="73.400000000000006"/>
    <n v="2.827E-2"/>
    <n v="2.4350000000000001E-4"/>
    <n v="0.70080046567172027"/>
    <n v="1.1410967515068524"/>
    <n v="3"/>
  </r>
  <r>
    <n v="1711"/>
    <s v="Zeolite"/>
    <n v="4"/>
    <n v="240"/>
    <n v="100"/>
    <n v="3"/>
    <n v="25"/>
    <n v="150"/>
    <n v="100"/>
    <n v="7.9880000000000004"/>
    <n v="68.046999999999997"/>
    <n v="31.95"/>
    <n v="91.5"/>
    <n v="3.5610000000000003E-2"/>
    <n v="2.287E-4"/>
    <n v="2.4347824006526873"/>
    <n v="1.7143775073997565"/>
    <n v="1"/>
  </r>
  <r>
    <n v="1712"/>
    <s v="Zeolite"/>
    <n v="4"/>
    <n v="240"/>
    <n v="100"/>
    <n v="3"/>
    <n v="25"/>
    <n v="150"/>
    <n v="100"/>
    <n v="10.335000000000001"/>
    <n v="58.66"/>
    <n v="41.34"/>
    <n v="106.6"/>
    <n v="3.0280000000000001E-2"/>
    <n v="2.6190000000000002E-4"/>
    <n v="4.0699084644363097"/>
    <n v="1.8349931988659889"/>
    <n v="2"/>
  </r>
  <r>
    <n v="1713"/>
    <s v="Zeolite"/>
    <n v="4"/>
    <n v="240"/>
    <n v="100"/>
    <n v="3"/>
    <n v="25"/>
    <n v="150"/>
    <n v="100"/>
    <n v="10.403"/>
    <n v="58.389000000000003"/>
    <n v="41.61"/>
    <n v="85.1"/>
    <n v="2.664E-2"/>
    <n v="2.3110000000000001E-4"/>
    <n v="3.8062639019260165"/>
    <n v="1.8865749961169451"/>
    <n v="3"/>
  </r>
  <r>
    <n v="1714"/>
    <s v="Zeolite"/>
    <n v="4"/>
    <n v="240"/>
    <n v="100"/>
    <n v="7"/>
    <n v="25"/>
    <n v="150"/>
    <n v="100"/>
    <n v="12.871"/>
    <n v="48.518000000000001"/>
    <n v="51.48"/>
    <n v="74.099999999999994"/>
    <n v="3.007E-2"/>
    <n v="2.923E-4"/>
    <n v="6.107207110211756"/>
    <n v="1.9115838110802983"/>
    <n v="1"/>
  </r>
  <r>
    <n v="1715"/>
    <s v="Zeolite"/>
    <n v="4"/>
    <n v="240"/>
    <n v="100"/>
    <n v="7"/>
    <n v="25"/>
    <n v="150"/>
    <n v="100"/>
    <n v="13.007999999999999"/>
    <n v="47.966999999999999"/>
    <n v="52.03"/>
    <n v="95.6"/>
    <n v="2.8150000000000001E-2"/>
    <n v="2.7250000000000001E-4"/>
    <n v="5.9793962628230943"/>
    <n v="1.9499880711851958"/>
    <n v="2"/>
  </r>
  <r>
    <n v="1716"/>
    <s v="Zeolite"/>
    <n v="4"/>
    <n v="240"/>
    <n v="100"/>
    <n v="7"/>
    <n v="25"/>
    <n v="150"/>
    <n v="100"/>
    <n v="11.88"/>
    <n v="52.481999999999999"/>
    <n v="47.52"/>
    <n v="127.7"/>
    <n v="3.5799999999999998E-2"/>
    <n v="2.564E-4"/>
    <n v="5.0171041148907003"/>
    <n v="1.9261294933479689"/>
    <n v="3"/>
  </r>
  <r>
    <n v="1717"/>
    <s v="Zeolite"/>
    <n v="4"/>
    <n v="240"/>
    <n v="100"/>
    <n v="11"/>
    <n v="25"/>
    <n v="150"/>
    <n v="100"/>
    <n v="10.166"/>
    <n v="59.337000000000003"/>
    <n v="40.659999999999997"/>
    <n v="115.5"/>
    <n v="3.3279999999999997E-2"/>
    <n v="2.299E-4"/>
    <n v="3.6531709593970434"/>
    <n v="1.8737739302719516"/>
    <n v="1"/>
  </r>
  <r>
    <n v="1718"/>
    <s v="Zeolite"/>
    <n v="4"/>
    <n v="240"/>
    <n v="100"/>
    <n v="11"/>
    <n v="25"/>
    <n v="150"/>
    <n v="100"/>
    <n v="9.6940000000000008"/>
    <n v="61.223999999999997"/>
    <n v="38.78"/>
    <n v="80.2"/>
    <n v="3.1230000000000001E-2"/>
    <n v="2.6669999999999998E-4"/>
    <n v="3.7118719081999778"/>
    <n v="1.7887763728504571"/>
    <n v="2"/>
  </r>
  <r>
    <n v="1719"/>
    <s v="Zeolite"/>
    <n v="4"/>
    <n v="240"/>
    <n v="100"/>
    <n v="11"/>
    <n v="25"/>
    <n v="150"/>
    <n v="100"/>
    <n v="8.94"/>
    <n v="64.241"/>
    <n v="35.76"/>
    <n v="93.2"/>
    <n v="2.596E-2"/>
    <n v="2.275E-4"/>
    <n v="2.9324361141947848"/>
    <n v="1.7930193229132187"/>
    <n v="3"/>
  </r>
  <r>
    <n v="1720"/>
    <s v="Zeolite"/>
    <n v="4"/>
    <n v="240"/>
    <n v="200"/>
    <n v="3"/>
    <n v="25"/>
    <n v="150"/>
    <n v="100"/>
    <n v="23.067"/>
    <n v="107.733"/>
    <n v="46.13"/>
    <n v="89"/>
    <n v="2.9100000000000001E-2"/>
    <n v="2.0929999999999999E-4"/>
    <n v="12.381409829319139"/>
    <n v="2.3688961208144281"/>
    <n v="1"/>
  </r>
  <r>
    <n v="1721"/>
    <s v="Zeolite"/>
    <n v="4"/>
    <n v="240"/>
    <n v="200"/>
    <n v="3"/>
    <n v="25"/>
    <n v="150"/>
    <n v="100"/>
    <n v="22.347000000000001"/>
    <n v="110.613"/>
    <n v="44.69"/>
    <n v="99.3"/>
    <n v="2.7810000000000001E-2"/>
    <n v="2.453E-4"/>
    <n v="12.696421939399862"/>
    <n v="2.2670178162096666"/>
    <n v="2"/>
  </r>
  <r>
    <n v="1722"/>
    <s v="Zeolite"/>
    <n v="4"/>
    <n v="240"/>
    <n v="200"/>
    <n v="3"/>
    <n v="25"/>
    <n v="150"/>
    <n v="100"/>
    <n v="22.332999999999998"/>
    <n v="110.666"/>
    <n v="44.67"/>
    <n v="87.8"/>
    <n v="2.5569999999999999E-2"/>
    <n v="2.9510000000000002E-4"/>
    <n v="13.682539914204352"/>
    <n v="2.1576125086386209"/>
    <n v="3"/>
  </r>
  <r>
    <n v="1723"/>
    <s v="Zeolite"/>
    <n v="4"/>
    <n v="240"/>
    <n v="200"/>
    <n v="7"/>
    <n v="25"/>
    <n v="150"/>
    <n v="100"/>
    <n v="30.009"/>
    <n v="79.962999999999994"/>
    <n v="60.02"/>
    <n v="98.5"/>
    <n v="3.3029999999999997E-2"/>
    <n v="3.3819999999999998E-4"/>
    <n v="21.274714664239482"/>
    <n v="2.1672561240695205"/>
    <n v="1"/>
  </r>
  <r>
    <n v="1724"/>
    <s v="Zeolite"/>
    <n v="4"/>
    <n v="240"/>
    <n v="200"/>
    <n v="7"/>
    <n v="25"/>
    <n v="150"/>
    <n v="100"/>
    <n v="28.259"/>
    <n v="86.965999999999994"/>
    <n v="56.52"/>
    <n v="106.7"/>
    <n v="2.7879999999999999E-2"/>
    <n v="2.365E-4"/>
    <n v="17.406769612621265"/>
    <n v="2.3843706245177705"/>
    <n v="2"/>
  </r>
  <r>
    <n v="1725"/>
    <s v="Zeolite"/>
    <n v="4"/>
    <n v="240"/>
    <n v="200"/>
    <n v="7"/>
    <n v="25"/>
    <n v="150"/>
    <n v="100"/>
    <n v="29.76"/>
    <n v="80.959000000000003"/>
    <n v="59.52"/>
    <n v="83.1"/>
    <n v="2.988E-2"/>
    <n v="2.131E-4"/>
    <n v="17.960054000613091"/>
    <n v="2.4680949551380045"/>
    <n v="3"/>
  </r>
  <r>
    <n v="1726"/>
    <s v="Zeolite"/>
    <n v="4"/>
    <n v="240"/>
    <n v="200"/>
    <n v="11"/>
    <n v="25"/>
    <n v="150"/>
    <n v="100"/>
    <n v="28.076000000000001"/>
    <n v="87.695999999999998"/>
    <n v="56.15"/>
    <n v="100.8"/>
    <n v="3.1269999999999999E-2"/>
    <n v="2.3829999999999999E-4"/>
    <n v="17.301253645112503"/>
    <n v="2.3772050955630855"/>
    <n v="1"/>
  </r>
  <r>
    <n v="1727"/>
    <s v="Zeolite"/>
    <n v="4"/>
    <n v="240"/>
    <n v="200"/>
    <n v="11"/>
    <n v="25"/>
    <n v="150"/>
    <n v="100"/>
    <n v="25.015999999999998"/>
    <n v="99.935000000000002"/>
    <n v="50.03"/>
    <n v="104.3"/>
    <n v="2.6509999999999999E-2"/>
    <n v="2.4110000000000001E-4"/>
    <n v="14.795065963391442"/>
    <n v="2.3244379736140073"/>
    <n v="2"/>
  </r>
  <r>
    <n v="1728"/>
    <s v="Zeolite"/>
    <n v="4"/>
    <n v="240"/>
    <n v="200"/>
    <n v="11"/>
    <n v="25"/>
    <n v="150"/>
    <n v="100"/>
    <n v="23.87"/>
    <n v="104.521"/>
    <n v="47.74"/>
    <n v="86.6"/>
    <n v="2.367E-2"/>
    <n v="2.8350000000000001E-4"/>
    <n v="14.773599187047765"/>
    <n v="2.2078788202258992"/>
    <n v="3"/>
  </r>
  <r>
    <n v="1729"/>
    <s v="MOF"/>
    <n v="0.5"/>
    <n v="30"/>
    <n v="25"/>
    <n v="3"/>
    <n v="25"/>
    <n v="150"/>
    <n v="100"/>
    <n v="9.4309999999999992"/>
    <n v="20.283999999999999"/>
    <n v="18.86"/>
    <n v="64.099999999999994"/>
    <n v="6.0879999999999997E-2"/>
    <n v="3.0499999999999999E-4"/>
    <n v="0.74918546486026116"/>
    <n v="2.1612305546519655"/>
    <n v="1"/>
  </r>
  <r>
    <n v="1730"/>
    <s v="MOF"/>
    <n v="0.5"/>
    <n v="30"/>
    <n v="25"/>
    <n v="3"/>
    <n v="25"/>
    <n v="150"/>
    <n v="100"/>
    <n v="9.1530000000000005"/>
    <n v="20.423999999999999"/>
    <n v="18.309999999999999"/>
    <n v="75.5"/>
    <n v="6.4630000000000007E-2"/>
    <n v="3.4890000000000002E-4"/>
    <n v="0.80023232174569814"/>
    <n v="2.1225929424161087"/>
    <n v="2"/>
  </r>
  <r>
    <n v="1731"/>
    <s v="MOF"/>
    <n v="0.5"/>
    <n v="30"/>
    <n v="25"/>
    <n v="3"/>
    <n v="25"/>
    <n v="150"/>
    <n v="100"/>
    <n v="10.086"/>
    <n v="19.957000000000001"/>
    <n v="20.170000000000002"/>
    <n v="49.4"/>
    <n v="5.738E-2"/>
    <n v="3.2489999999999998E-4"/>
    <n v="0.9027856578827349"/>
    <n v="2.217377289545662"/>
    <n v="3"/>
  </r>
  <r>
    <n v="1732"/>
    <s v="MOF"/>
    <n v="0.5"/>
    <n v="30"/>
    <n v="25"/>
    <n v="7"/>
    <n v="25"/>
    <n v="150"/>
    <n v="100"/>
    <n v="13.84"/>
    <n v="18.079999999999998"/>
    <n v="27.68"/>
    <n v="43.7"/>
    <n v="5.5120000000000002E-2"/>
    <n v="3.1040000000000001E-4"/>
    <n v="1.5800400936122352"/>
    <n v="2.5063386602243956"/>
    <n v="1"/>
  </r>
  <r>
    <n v="1733"/>
    <s v="MOF"/>
    <n v="0.5"/>
    <n v="30"/>
    <n v="25"/>
    <n v="7"/>
    <n v="25"/>
    <n v="150"/>
    <n v="100"/>
    <n v="16.059999999999999"/>
    <n v="16.97"/>
    <n v="32.119999999999997"/>
    <n v="45.8"/>
    <n v="5.0700000000000002E-2"/>
    <n v="3.7990000000000002E-4"/>
    <n v="2.4847559300444515"/>
    <n v="2.6082478450289464"/>
    <n v="2"/>
  </r>
  <r>
    <n v="1734"/>
    <s v="MOF"/>
    <n v="0.5"/>
    <n v="30"/>
    <n v="25"/>
    <n v="7"/>
    <n v="25"/>
    <n v="150"/>
    <n v="100"/>
    <n v="16.414999999999999"/>
    <n v="16.792000000000002"/>
    <n v="32.83"/>
    <n v="54.5"/>
    <n v="5.9830000000000001E-2"/>
    <n v="3.6680000000000003E-4"/>
    <n v="2.5114139284676886"/>
    <n v="2.6321467976204733"/>
    <n v="3"/>
  </r>
  <r>
    <n v="1735"/>
    <s v="MOF"/>
    <n v="0.5"/>
    <n v="30"/>
    <n v="25"/>
    <n v="11"/>
    <n v="25"/>
    <n v="150"/>
    <n v="100"/>
    <n v="13.519"/>
    <n v="18.239999999999998"/>
    <n v="27.04"/>
    <n v="50.8"/>
    <n v="5.2639999999999999E-2"/>
    <n v="3.0449999999999997E-4"/>
    <n v="1.4860250558465464"/>
    <n v="2.4876507931928633"/>
    <n v="1"/>
  </r>
  <r>
    <n v="1736"/>
    <s v="MOF"/>
    <n v="0.5"/>
    <n v="30"/>
    <n v="25"/>
    <n v="11"/>
    <n v="25"/>
    <n v="150"/>
    <n v="100"/>
    <n v="11.907"/>
    <n v="19.045999999999999"/>
    <n v="23.81"/>
    <n v="62.4"/>
    <n v="6.2149999999999997E-2"/>
    <n v="3.836E-4"/>
    <n v="1.4349417047787614"/>
    <n v="2.3487105953626579"/>
    <n v="2"/>
  </r>
  <r>
    <n v="1737"/>
    <s v="MOF"/>
    <n v="0.5"/>
    <n v="30"/>
    <n v="25"/>
    <n v="11"/>
    <n v="25"/>
    <n v="150"/>
    <n v="100"/>
    <n v="10.734"/>
    <n v="19.632999999999999"/>
    <n v="21.47"/>
    <n v="63.4"/>
    <n v="4.4889999999999999E-2"/>
    <n v="3.814E-4"/>
    <n v="1.1741284015976268"/>
    <n v="2.2575742958436527"/>
    <n v="3"/>
  </r>
  <r>
    <n v="1738"/>
    <s v="MOF"/>
    <n v="0.5"/>
    <n v="30"/>
    <n v="50"/>
    <n v="3"/>
    <n v="25"/>
    <n v="150"/>
    <n v="100"/>
    <n v="29.875"/>
    <n v="35.061999999999998"/>
    <n v="29.88"/>
    <n v="60.3"/>
    <n v="4.7669999999999997E-2"/>
    <n v="3.9100000000000002E-4"/>
    <n v="7.7524782546718791"/>
    <n v="3.0965961731096421"/>
    <n v="1"/>
  </r>
  <r>
    <n v="1739"/>
    <s v="MOF"/>
    <n v="0.5"/>
    <n v="30"/>
    <n v="50"/>
    <n v="3"/>
    <n v="25"/>
    <n v="150"/>
    <n v="100"/>
    <n v="27.52"/>
    <n v="36.24"/>
    <n v="27.52"/>
    <n v="49.1"/>
    <n v="4.9509999999999998E-2"/>
    <n v="2.8860000000000002E-4"/>
    <n v="5.2954117492611612"/>
    <n v="3.1011992548274003"/>
    <n v="2"/>
  </r>
  <r>
    <n v="1740"/>
    <s v="MOF"/>
    <n v="0.5"/>
    <n v="30"/>
    <n v="50"/>
    <n v="3"/>
    <n v="25"/>
    <n v="150"/>
    <n v="100"/>
    <n v="30.867000000000001"/>
    <n v="34.566000000000003"/>
    <n v="30.87"/>
    <n v="69.3"/>
    <n v="6.9669999999999996E-2"/>
    <n v="3.5340000000000002E-4"/>
    <n v="7.6106767585075525"/>
    <n v="3.1465770624329621"/>
    <n v="3"/>
  </r>
  <r>
    <n v="1741"/>
    <s v="MOF"/>
    <n v="0.5"/>
    <n v="30"/>
    <n v="50"/>
    <n v="7"/>
    <n v="25"/>
    <n v="150"/>
    <n v="100"/>
    <n v="51.424999999999997"/>
    <n v="24.288"/>
    <n v="51.42"/>
    <n v="56.4"/>
    <n v="5.774E-2"/>
    <n v="3.3799999999999998E-4"/>
    <n v="17.624995464851114"/>
    <n v="3.5204609366649668"/>
    <n v="1"/>
  </r>
  <r>
    <n v="1742"/>
    <s v="MOF"/>
    <n v="0.5"/>
    <n v="30"/>
    <n v="50"/>
    <n v="7"/>
    <n v="25"/>
    <n v="150"/>
    <n v="100"/>
    <n v="48.347999999999999"/>
    <n v="25.826000000000001"/>
    <n v="48.35"/>
    <n v="58.9"/>
    <n v="5.1819999999999998E-2"/>
    <n v="3.4729999999999999E-4"/>
    <n v="16.196118459097441"/>
    <n v="3.470470972793962"/>
    <n v="2"/>
  </r>
  <r>
    <n v="1743"/>
    <s v="MOF"/>
    <n v="0.5"/>
    <n v="30"/>
    <n v="50"/>
    <n v="7"/>
    <n v="25"/>
    <n v="150"/>
    <n v="100"/>
    <n v="47.500999999999998"/>
    <n v="26.248999999999999"/>
    <n v="47.5"/>
    <n v="61.3"/>
    <n v="4.9140000000000003E-2"/>
    <n v="3.4820000000000001E-4"/>
    <n v="15.753142374185519"/>
    <n v="3.4578252467097692"/>
    <n v="3"/>
  </r>
  <r>
    <n v="1744"/>
    <s v="MOF"/>
    <n v="0.5"/>
    <n v="30"/>
    <n v="50"/>
    <n v="11"/>
    <n v="25"/>
    <n v="150"/>
    <n v="100"/>
    <n v="42.243000000000002"/>
    <n v="28.879000000000001"/>
    <n v="42.24"/>
    <n v="64.099999999999994"/>
    <n v="6.2420000000000003E-2"/>
    <n v="3.5090000000000002E-4"/>
    <n v="13.002858699050471"/>
    <n v="3.375542467323716"/>
    <n v="1"/>
  </r>
  <r>
    <n v="1745"/>
    <s v="MOF"/>
    <n v="0.5"/>
    <n v="30"/>
    <n v="50"/>
    <n v="11"/>
    <n v="25"/>
    <n v="150"/>
    <n v="100"/>
    <n v="38.094000000000001"/>
    <n v="30.952999999999999"/>
    <n v="38.090000000000003"/>
    <n v="62.7"/>
    <n v="6.3579999999999998E-2"/>
    <n v="2.8170000000000002E-4"/>
    <n v="9.2770951621267255"/>
    <n v="3.3609621884775818"/>
    <n v="2"/>
  </r>
  <r>
    <n v="1746"/>
    <s v="MOF"/>
    <n v="0.5"/>
    <n v="30"/>
    <n v="50"/>
    <n v="11"/>
    <n v="25"/>
    <n v="150"/>
    <n v="100"/>
    <n v="33.826000000000001"/>
    <n v="33.087000000000003"/>
    <n v="33.83"/>
    <n v="65.3"/>
    <n v="5.348E-2"/>
    <n v="3.2650000000000002E-4"/>
    <n v="8.4182423324114222"/>
    <n v="3.2350545473771044"/>
    <n v="3"/>
  </r>
  <r>
    <n v="1747"/>
    <s v="MOF"/>
    <n v="0.5"/>
    <n v="30"/>
    <n v="100"/>
    <n v="3"/>
    <n v="25"/>
    <n v="150"/>
    <n v="100"/>
    <n v="74.546999999999997"/>
    <n v="62.726999999999997"/>
    <n v="37.270000000000003"/>
    <n v="50"/>
    <n v="4.7289999999999999E-2"/>
    <n v="4.2319999999999999E-4"/>
    <n v="36.248020149972483"/>
    <n v="3.6454232600623455"/>
    <n v="1"/>
  </r>
  <r>
    <n v="1748"/>
    <s v="MOF"/>
    <n v="0.5"/>
    <n v="30"/>
    <n v="100"/>
    <n v="3"/>
    <n v="25"/>
    <n v="150"/>
    <n v="100"/>
    <n v="81.593000000000004"/>
    <n v="59.204000000000001"/>
    <n v="40.799999999999997"/>
    <n v="54.1"/>
    <n v="5.8229999999999997E-2"/>
    <n v="3.837E-4"/>
    <n v="39.517771166780342"/>
    <n v="3.7394591787601112"/>
    <n v="2"/>
  </r>
  <r>
    <n v="1749"/>
    <s v="MOF"/>
    <n v="0.5"/>
    <n v="30"/>
    <n v="100"/>
    <n v="3"/>
    <n v="25"/>
    <n v="150"/>
    <n v="100"/>
    <n v="87.132000000000005"/>
    <n v="56.433999999999997"/>
    <n v="43.57"/>
    <n v="63.3"/>
    <n v="5.1529999999999999E-2"/>
    <n v="3.3960000000000001E-4"/>
    <n v="40.974261834356277"/>
    <n v="3.8320646211215754"/>
    <n v="3"/>
  </r>
  <r>
    <n v="1750"/>
    <s v="MOF"/>
    <n v="0.5"/>
    <n v="30"/>
    <n v="100"/>
    <n v="7"/>
    <n v="25"/>
    <n v="150"/>
    <n v="100"/>
    <n v="127.876"/>
    <n v="36.061999999999998"/>
    <n v="63.94"/>
    <n v="50.2"/>
    <n v="5.4969999999999998E-2"/>
    <n v="3.6400000000000001E-4"/>
    <n v="74.51442259244628"/>
    <n v="3.9770909627812592"/>
    <n v="1"/>
  </r>
  <r>
    <n v="1751"/>
    <s v="MOF"/>
    <n v="0.5"/>
    <n v="30"/>
    <n v="100"/>
    <n v="7"/>
    <n v="25"/>
    <n v="150"/>
    <n v="100"/>
    <n v="128.01300000000001"/>
    <n v="35.993000000000002"/>
    <n v="64.010000000000005"/>
    <n v="40"/>
    <n v="5.8930000000000003E-2"/>
    <n v="3.4180000000000001E-4"/>
    <n v="72.659505069630441"/>
    <n v="4.013739799534684"/>
    <n v="2"/>
  </r>
  <r>
    <n v="1752"/>
    <s v="MOF"/>
    <n v="0.5"/>
    <n v="30"/>
    <n v="100"/>
    <n v="7"/>
    <n v="25"/>
    <n v="150"/>
    <n v="100"/>
    <n v="127.35299999999999"/>
    <n v="36.323"/>
    <n v="63.68"/>
    <n v="60.9"/>
    <n v="6.3839999999999994E-2"/>
    <n v="3.9740000000000001E-4"/>
    <n v="76.782029388084638"/>
    <n v="3.923377708340869"/>
    <n v="3"/>
  </r>
  <r>
    <n v="1753"/>
    <s v="MOF"/>
    <n v="0.5"/>
    <n v="30"/>
    <n v="100"/>
    <n v="11"/>
    <n v="25"/>
    <n v="150"/>
    <n v="100"/>
    <n v="106.459"/>
    <n v="46.77"/>
    <n v="53.23"/>
    <n v="66.400000000000006"/>
    <n v="5.6599999999999998E-2"/>
    <n v="3.5110000000000002E-4"/>
    <n v="56.274037188743186"/>
    <n v="3.9157154362324476"/>
    <n v="1"/>
  </r>
  <r>
    <n v="1754"/>
    <s v="MOF"/>
    <n v="0.5"/>
    <n v="30"/>
    <n v="100"/>
    <n v="11"/>
    <n v="25"/>
    <n v="150"/>
    <n v="100"/>
    <n v="103.233"/>
    <n v="48.383000000000003"/>
    <n v="51.62"/>
    <n v="60.5"/>
    <n v="5.33E-2"/>
    <n v="3.6420000000000002E-4"/>
    <n v="54.719513738148699"/>
    <n v="3.8818418265445698"/>
    <n v="2"/>
  </r>
  <r>
    <n v="1755"/>
    <s v="MOF"/>
    <n v="0.5"/>
    <n v="30"/>
    <n v="100"/>
    <n v="11"/>
    <n v="25"/>
    <n v="150"/>
    <n v="100"/>
    <n v="97.05"/>
    <n v="51.475000000000001"/>
    <n v="48.53"/>
    <n v="47.6"/>
    <n v="6.2100000000000002E-2"/>
    <n v="3.5189999999999999E-4"/>
    <n v="49.113583692401626"/>
    <n v="3.8698754725115485"/>
    <n v="3"/>
  </r>
  <r>
    <n v="1756"/>
    <s v="MOF"/>
    <n v="0.5"/>
    <n v="30"/>
    <n v="200"/>
    <n v="3"/>
    <n v="25"/>
    <n v="150"/>
    <n v="100"/>
    <n v="163.16900000000001"/>
    <n v="118.41500000000001"/>
    <n v="40.79"/>
    <n v="41.2"/>
    <n v="5.194E-2"/>
    <n v="3.5110000000000002E-4"/>
    <n v="103.15080890703862"/>
    <n v="4.0946477011535416"/>
    <n v="1"/>
  </r>
  <r>
    <n v="1757"/>
    <s v="MOF"/>
    <n v="0.5"/>
    <n v="30"/>
    <n v="200"/>
    <n v="3"/>
    <n v="25"/>
    <n v="150"/>
    <n v="100"/>
    <n v="154.066"/>
    <n v="122.967"/>
    <n v="38.520000000000003"/>
    <n v="57.8"/>
    <n v="5.6710000000000003E-2"/>
    <n v="3.1050000000000001E-4"/>
    <n v="90.797784493064924"/>
    <n v="4.1473830783503418"/>
    <n v="2"/>
  </r>
  <r>
    <n v="1758"/>
    <s v="MOF"/>
    <n v="0.5"/>
    <n v="30"/>
    <n v="200"/>
    <n v="3"/>
    <n v="25"/>
    <n v="150"/>
    <n v="100"/>
    <n v="131.14699999999999"/>
    <n v="134.42599999999999"/>
    <n v="32.79"/>
    <n v="57.2"/>
    <n v="4.7500000000000001E-2"/>
    <n v="3.3139999999999998E-4"/>
    <n v="74.22218588664424"/>
    <n v="4.0417313464786089"/>
    <n v="3"/>
  </r>
  <r>
    <n v="1759"/>
    <s v="MOF"/>
    <n v="0.5"/>
    <n v="30"/>
    <n v="200"/>
    <n v="7"/>
    <n v="25"/>
    <n v="150"/>
    <n v="100"/>
    <n v="213.72300000000001"/>
    <n v="93.138000000000005"/>
    <n v="53.43"/>
    <n v="46.5"/>
    <n v="6.3829999999999998E-2"/>
    <n v="3.9280000000000001E-4"/>
    <n v="152.98055825055303"/>
    <n v="4.1066426588334259"/>
    <n v="1"/>
  </r>
  <r>
    <n v="1760"/>
    <s v="MOF"/>
    <n v="0.5"/>
    <n v="30"/>
    <n v="200"/>
    <n v="7"/>
    <n v="25"/>
    <n v="150"/>
    <n v="100"/>
    <n v="183.77"/>
    <n v="108.11499999999999"/>
    <n v="45.94"/>
    <n v="46.9"/>
    <n v="4.2430000000000002E-2"/>
    <n v="3.2259999999999998E-4"/>
    <n v="117.63061673288752"/>
    <n v="4.1917643828520603"/>
    <n v="2"/>
  </r>
  <r>
    <n v="1761"/>
    <s v="MOF"/>
    <n v="0.5"/>
    <n v="30"/>
    <n v="200"/>
    <n v="7"/>
    <n v="25"/>
    <n v="150"/>
    <n v="100"/>
    <n v="217.56"/>
    <n v="91.22"/>
    <n v="54.39"/>
    <n v="51.2"/>
    <n v="5.7529999999999998E-2"/>
    <n v="2.967E-4"/>
    <n v="143.47183912056221"/>
    <n v="4.3052557473297854"/>
    <n v="3"/>
  </r>
  <r>
    <n v="1762"/>
    <s v="MOF"/>
    <n v="0.5"/>
    <n v="30"/>
    <n v="200"/>
    <n v="11"/>
    <n v="25"/>
    <n v="150"/>
    <n v="100"/>
    <n v="177.31700000000001"/>
    <n v="111.342"/>
    <n v="44.33"/>
    <n v="50"/>
    <n v="5.5070000000000001E-2"/>
    <n v="3.4670000000000002E-4"/>
    <n v="114.97525911778671"/>
    <n v="4.1326311995542397"/>
    <n v="1"/>
  </r>
  <r>
    <n v="1763"/>
    <s v="MOF"/>
    <n v="0.5"/>
    <n v="30"/>
    <n v="200"/>
    <n v="11"/>
    <n v="25"/>
    <n v="150"/>
    <n v="100"/>
    <n v="152.988"/>
    <n v="123.506"/>
    <n v="38.25"/>
    <n v="45.1"/>
    <n v="6.0319999999999999E-2"/>
    <n v="3.6400000000000001E-4"/>
    <n v="95.702618057612909"/>
    <n v="4.0480454767299623"/>
    <n v="2"/>
  </r>
  <r>
    <n v="1764"/>
    <s v="MOF"/>
    <n v="0.5"/>
    <n v="30"/>
    <n v="200"/>
    <n v="11"/>
    <n v="25"/>
    <n v="150"/>
    <n v="100"/>
    <n v="180.28"/>
    <n v="109.86"/>
    <n v="45.07"/>
    <n v="57.2"/>
    <n v="5.5789999999999999E-2"/>
    <n v="2.8959999999999999E-4"/>
    <n v="110.0302544390607"/>
    <n v="4.2520566862989586"/>
    <n v="3"/>
  </r>
  <r>
    <n v="1765"/>
    <s v="MOF"/>
    <n v="0.5"/>
    <n v="60"/>
    <n v="25"/>
    <n v="3"/>
    <n v="25"/>
    <n v="150"/>
    <n v="100"/>
    <n v="15.250999999999999"/>
    <n v="17.375"/>
    <n v="30.5"/>
    <n v="54.3"/>
    <n v="6.5740000000000007E-2"/>
    <n v="3.7399999999999998E-4"/>
    <n v="3.8885864973133852"/>
    <n v="2.4303108469497912"/>
    <n v="1"/>
  </r>
  <r>
    <n v="1766"/>
    <s v="MOF"/>
    <n v="0.5"/>
    <n v="60"/>
    <n v="25"/>
    <n v="3"/>
    <n v="25"/>
    <n v="150"/>
    <n v="100"/>
    <n v="17.216000000000001"/>
    <n v="16.391999999999999"/>
    <n v="34.43"/>
    <n v="59.4"/>
    <n v="5.1090000000000003E-2"/>
    <n v="3.5409999999999999E-4"/>
    <n v="4.6106669788165746"/>
    <n v="2.5341199800595051"/>
    <n v="2"/>
  </r>
  <r>
    <n v="1767"/>
    <s v="MOF"/>
    <n v="0.5"/>
    <n v="60"/>
    <n v="25"/>
    <n v="3"/>
    <n v="25"/>
    <n v="150"/>
    <n v="100"/>
    <n v="15.802"/>
    <n v="17.099"/>
    <n v="31.6"/>
    <n v="46.9"/>
    <n v="5.289E-2"/>
    <n v="3.4279999999999998E-4"/>
    <n v="3.8761020986790902"/>
    <n v="2.4787123296480775"/>
    <n v="3"/>
  </r>
  <r>
    <n v="1768"/>
    <s v="MOF"/>
    <n v="0.5"/>
    <n v="60"/>
    <n v="25"/>
    <n v="7"/>
    <n v="25"/>
    <n v="150"/>
    <n v="100"/>
    <n v="26.88"/>
    <n v="11.56"/>
    <n v="53.76"/>
    <n v="37.5"/>
    <n v="6.1629999999999997E-2"/>
    <n v="3.1720000000000001E-4"/>
    <n v="9.0972844607857244"/>
    <n v="2.8782269484132752"/>
    <n v="1"/>
  </r>
  <r>
    <n v="1769"/>
    <s v="MOF"/>
    <n v="0.5"/>
    <n v="60"/>
    <n v="25"/>
    <n v="7"/>
    <n v="25"/>
    <n v="150"/>
    <n v="100"/>
    <n v="21.843"/>
    <n v="14.077999999999999"/>
    <n v="43.69"/>
    <n v="64.2"/>
    <n v="5.9029999999999999E-2"/>
    <n v="3.9389999999999998E-4"/>
    <n v="7.4369451784894638"/>
    <n v="2.6676485919236632"/>
    <n v="2"/>
  </r>
  <r>
    <n v="1770"/>
    <s v="MOF"/>
    <n v="0.5"/>
    <n v="60"/>
    <n v="25"/>
    <n v="7"/>
    <n v="25"/>
    <n v="150"/>
    <n v="100"/>
    <n v="25.518000000000001"/>
    <n v="12.241"/>
    <n v="51.04"/>
    <n v="71.400000000000006"/>
    <n v="5.8069999999999997E-2"/>
    <n v="3.4450000000000003E-4"/>
    <n v="8.8118020529362706"/>
    <n v="2.8157797851240303"/>
    <n v="3"/>
  </r>
  <r>
    <n v="1771"/>
    <s v="MOF"/>
    <n v="0.5"/>
    <n v="60"/>
    <n v="25"/>
    <n v="11"/>
    <n v="25"/>
    <n v="150"/>
    <n v="100"/>
    <n v="19.335000000000001"/>
    <n v="15.333"/>
    <n v="38.67"/>
    <n v="64.7"/>
    <n v="5.0709999999999998E-2"/>
    <n v="3.2719999999999998E-4"/>
    <n v="5.3199129091542865"/>
    <n v="2.6401343987141557"/>
    <n v="1"/>
  </r>
  <r>
    <n v="1772"/>
    <s v="MOF"/>
    <n v="0.5"/>
    <n v="60"/>
    <n v="25"/>
    <n v="11"/>
    <n v="25"/>
    <n v="150"/>
    <n v="100"/>
    <n v="18.472999999999999"/>
    <n v="15.763"/>
    <n v="36.950000000000003"/>
    <n v="37.299999999999997"/>
    <n v="5.5759999999999997E-2"/>
    <n v="2.8400000000000002E-4"/>
    <n v="4.4227397861080808"/>
    <n v="2.6426409161699538"/>
    <n v="2"/>
  </r>
  <r>
    <n v="1773"/>
    <s v="MOF"/>
    <n v="0.5"/>
    <n v="60"/>
    <n v="25"/>
    <n v="11"/>
    <n v="25"/>
    <n v="150"/>
    <n v="100"/>
    <n v="18.952000000000002"/>
    <n v="15.523999999999999"/>
    <n v="37.9"/>
    <n v="61.6"/>
    <n v="5.2380000000000003E-2"/>
    <n v="4.0870000000000001E-4"/>
    <n v="6.0131932590313406"/>
    <n v="2.5602310700578572"/>
    <n v="3"/>
  </r>
  <r>
    <n v="1774"/>
    <s v="MOF"/>
    <n v="0.5"/>
    <n v="60"/>
    <n v="50"/>
    <n v="3"/>
    <n v="25"/>
    <n v="150"/>
    <n v="100"/>
    <n v="38.533999999999999"/>
    <n v="30.733000000000001"/>
    <n v="38.53"/>
    <n v="64.3"/>
    <n v="5.8709999999999998E-2"/>
    <n v="2.899E-4"/>
    <n v="15.463345812016726"/>
    <n v="3.1385614284365575"/>
    <n v="1"/>
  </r>
  <r>
    <n v="1775"/>
    <s v="MOF"/>
    <n v="0.5"/>
    <n v="60"/>
    <n v="50"/>
    <n v="3"/>
    <n v="25"/>
    <n v="150"/>
    <n v="100"/>
    <n v="51.067"/>
    <n v="24.466999999999999"/>
    <n v="51.07"/>
    <n v="54"/>
    <n v="5.0169999999999999E-2"/>
    <n v="3.0079999999999999E-4"/>
    <n v="24.492541467641232"/>
    <n v="3.2799505489445675"/>
    <n v="2"/>
  </r>
  <r>
    <n v="1776"/>
    <s v="MOF"/>
    <n v="0.5"/>
    <n v="60"/>
    <n v="50"/>
    <n v="3"/>
    <n v="25"/>
    <n v="150"/>
    <n v="100"/>
    <n v="42.261000000000003"/>
    <n v="28.869"/>
    <n v="42.26"/>
    <n v="53.5"/>
    <n v="5.5559999999999998E-2"/>
    <n v="3.3960000000000001E-4"/>
    <n v="19.553585117595645"/>
    <n v="3.1226915179518593"/>
    <n v="3"/>
  </r>
  <r>
    <n v="1777"/>
    <s v="MOF"/>
    <n v="0.5"/>
    <n v="60"/>
    <n v="50"/>
    <n v="7"/>
    <n v="25"/>
    <n v="150"/>
    <n v="100"/>
    <n v="66.402000000000001"/>
    <n v="16.798999999999999"/>
    <n v="66.400000000000006"/>
    <n v="51.4"/>
    <n v="4.4359999999999997E-2"/>
    <n v="3.4479999999999998E-4"/>
    <n v="38.428240671992775"/>
    <n v="3.3312669039029017"/>
    <n v="1"/>
  </r>
  <r>
    <n v="1778"/>
    <s v="MOF"/>
    <n v="0.5"/>
    <n v="60"/>
    <n v="50"/>
    <n v="7"/>
    <n v="25"/>
    <n v="150"/>
    <n v="100"/>
    <n v="53.046999999999997"/>
    <n v="23.477"/>
    <n v="53.05"/>
    <n v="57.4"/>
    <n v="4.9610000000000001E-2"/>
    <n v="3.5570000000000003E-4"/>
    <n v="28.167174173845535"/>
    <n v="3.2140572672899821"/>
    <n v="2"/>
  </r>
  <r>
    <n v="1779"/>
    <s v="MOF"/>
    <n v="0.5"/>
    <n v="60"/>
    <n v="50"/>
    <n v="7"/>
    <n v="25"/>
    <n v="150"/>
    <n v="100"/>
    <n v="69.433000000000007"/>
    <n v="15.284000000000001"/>
    <n v="69.430000000000007"/>
    <n v="46.8"/>
    <n v="6.0839999999999998E-2"/>
    <n v="3.3480000000000001E-4"/>
    <n v="40.439402708959172"/>
    <n v="3.367075022542747"/>
    <n v="3"/>
  </r>
  <r>
    <n v="1780"/>
    <s v="MOF"/>
    <n v="0.5"/>
    <n v="60"/>
    <n v="50"/>
    <n v="11"/>
    <n v="25"/>
    <n v="150"/>
    <n v="100"/>
    <n v="57.31"/>
    <n v="21.344999999999999"/>
    <n v="57.31"/>
    <n v="51.6"/>
    <n v="5.0380000000000001E-2"/>
    <n v="3.7409999999999999E-4"/>
    <n v="32.244178271815564"/>
    <n v="3.2215052340673522"/>
    <n v="1"/>
  </r>
  <r>
    <n v="1781"/>
    <s v="MOF"/>
    <n v="0.5"/>
    <n v="60"/>
    <n v="50"/>
    <n v="11"/>
    <n v="25"/>
    <n v="150"/>
    <n v="100"/>
    <n v="49.488999999999997"/>
    <n v="25.256"/>
    <n v="49.49"/>
    <n v="47.7"/>
    <n v="5.237E-2"/>
    <n v="3.4840000000000001E-4"/>
    <n v="25.164320327557707"/>
    <n v="3.1914914593293404"/>
    <n v="2"/>
  </r>
  <r>
    <n v="1782"/>
    <s v="MOF"/>
    <n v="0.5"/>
    <n v="60"/>
    <n v="50"/>
    <n v="11"/>
    <n v="25"/>
    <n v="150"/>
    <n v="100"/>
    <n v="55.841999999999999"/>
    <n v="22.079000000000001"/>
    <n v="55.84"/>
    <n v="38.700000000000003"/>
    <n v="5.5129999999999998E-2"/>
    <n v="3.7189999999999999E-4"/>
    <n v="30.979779009509883"/>
    <n v="3.2133494220151664"/>
    <n v="3"/>
  </r>
  <r>
    <n v="1783"/>
    <s v="MOF"/>
    <n v="0.5"/>
    <n v="60"/>
    <n v="100"/>
    <n v="3"/>
    <n v="25"/>
    <n v="150"/>
    <n v="100"/>
    <n v="104.06699999999999"/>
    <n v="47.966999999999999"/>
    <n v="52.03"/>
    <n v="65.3"/>
    <n v="5.459E-2"/>
    <n v="3.435E-4"/>
    <n v="70.975449065335781"/>
    <n v="3.4992779910274781"/>
    <n v="1"/>
  </r>
  <r>
    <n v="1784"/>
    <s v="MOF"/>
    <n v="0.5"/>
    <n v="60"/>
    <n v="100"/>
    <n v="3"/>
    <n v="25"/>
    <n v="150"/>
    <n v="100"/>
    <n v="106.934"/>
    <n v="46.533000000000001"/>
    <n v="53.47"/>
    <n v="55.4"/>
    <n v="5.2850000000000001E-2"/>
    <n v="3.681E-4"/>
    <n v="75.12491825735168"/>
    <n v="3.4597518384047001"/>
    <n v="2"/>
  </r>
  <r>
    <n v="1785"/>
    <s v="MOF"/>
    <n v="0.5"/>
    <n v="60"/>
    <n v="100"/>
    <n v="3"/>
    <n v="25"/>
    <n v="150"/>
    <n v="100"/>
    <n v="97.986000000000004"/>
    <n v="51.006999999999998"/>
    <n v="48.99"/>
    <n v="49.5"/>
    <n v="5.21E-2"/>
    <n v="3.9740000000000001E-4"/>
    <n v="68.617027240885477"/>
    <n v="3.3799387687430378"/>
    <n v="3"/>
  </r>
  <r>
    <n v="1786"/>
    <s v="MOF"/>
    <n v="0.5"/>
    <n v="60"/>
    <n v="100"/>
    <n v="7"/>
    <n v="25"/>
    <n v="150"/>
    <n v="100"/>
    <n v="113.297"/>
    <n v="43.350999999999999"/>
    <n v="56.65"/>
    <n v="57.8"/>
    <n v="5.5190000000000003E-2"/>
    <n v="2.9119999999999998E-4"/>
    <n v="75.271813769521728"/>
    <n v="3.6382487357133311"/>
    <n v="1"/>
  </r>
  <r>
    <n v="1787"/>
    <s v="MOF"/>
    <n v="0.5"/>
    <n v="60"/>
    <n v="100"/>
    <n v="7"/>
    <n v="25"/>
    <n v="150"/>
    <n v="100"/>
    <n v="149.45099999999999"/>
    <n v="25.274999999999999"/>
    <n v="74.73"/>
    <n v="58.4"/>
    <n v="5.824E-2"/>
    <n v="2.5720000000000002E-4"/>
    <n v="104.24949319430705"/>
    <n v="3.8111304226916758"/>
    <n v="2"/>
  </r>
  <r>
    <n v="1788"/>
    <s v="MOF"/>
    <n v="0.5"/>
    <n v="60"/>
    <n v="100"/>
    <n v="7"/>
    <n v="25"/>
    <n v="150"/>
    <n v="100"/>
    <n v="160.27000000000001"/>
    <n v="19.864999999999998"/>
    <n v="80.14"/>
    <n v="48.5"/>
    <n v="5.8779999999999999E-2"/>
    <n v="3.7589999999999998E-4"/>
    <n v="125.53990428765275"/>
    <n v="3.547606622650465"/>
    <n v="3"/>
  </r>
  <r>
    <n v="1789"/>
    <s v="MOF"/>
    <n v="0.5"/>
    <n v="60"/>
    <n v="100"/>
    <n v="11"/>
    <n v="25"/>
    <n v="150"/>
    <n v="100"/>
    <n v="112.623"/>
    <n v="43.689"/>
    <n v="56.31"/>
    <n v="59.9"/>
    <n v="5.2880000000000003E-2"/>
    <n v="2.7750000000000002E-4"/>
    <n v="73.452138991447455"/>
    <n v="3.6679331287624892"/>
    <n v="1"/>
  </r>
  <r>
    <n v="1790"/>
    <s v="MOF"/>
    <n v="0.5"/>
    <n v="60"/>
    <n v="100"/>
    <n v="11"/>
    <n v="25"/>
    <n v="150"/>
    <n v="100"/>
    <n v="129.79400000000001"/>
    <n v="35.103000000000002"/>
    <n v="64.900000000000006"/>
    <n v="48.2"/>
    <n v="5.0299999999999997E-2"/>
    <n v="3.3589999999999998E-4"/>
    <n v="93.89833398210439"/>
    <n v="3.5806165644710384"/>
    <n v="2"/>
  </r>
  <r>
    <n v="1791"/>
    <s v="MOF"/>
    <n v="0.5"/>
    <n v="60"/>
    <n v="100"/>
    <n v="11"/>
    <n v="25"/>
    <n v="150"/>
    <n v="100"/>
    <n v="122.273"/>
    <n v="38.863999999999997"/>
    <n v="61.14"/>
    <n v="54.1"/>
    <n v="5.8009999999999999E-2"/>
    <n v="3.0309999999999999E-4"/>
    <n v="84.343093555102399"/>
    <n v="3.6357398891777972"/>
    <n v="3"/>
  </r>
  <r>
    <n v="1792"/>
    <s v="MOF"/>
    <n v="0.5"/>
    <n v="60"/>
    <n v="200"/>
    <n v="3"/>
    <n v="25"/>
    <n v="150"/>
    <n v="100"/>
    <n v="160.488"/>
    <n v="119.756"/>
    <n v="40.119999999999997"/>
    <n v="53.6"/>
    <n v="6.5439999999999998E-2"/>
    <n v="3.4600000000000001E-4"/>
    <n v="123.43860694075251"/>
    <n v="3.6122519699411804"/>
    <n v="1"/>
  </r>
  <r>
    <n v="1793"/>
    <s v="MOF"/>
    <n v="0.5"/>
    <n v="60"/>
    <n v="200"/>
    <n v="3"/>
    <n v="25"/>
    <n v="150"/>
    <n v="100"/>
    <n v="182.14500000000001"/>
    <n v="108.928"/>
    <n v="45.54"/>
    <n v="54.9"/>
    <n v="5.2339999999999998E-2"/>
    <n v="3.414E-4"/>
    <n v="143.64515639841485"/>
    <n v="3.6506541789889981"/>
    <n v="2"/>
  </r>
  <r>
    <n v="1794"/>
    <s v="MOF"/>
    <n v="0.5"/>
    <n v="60"/>
    <n v="200"/>
    <n v="3"/>
    <n v="25"/>
    <n v="150"/>
    <n v="100"/>
    <n v="167.28899999999999"/>
    <n v="116.355"/>
    <n v="41.82"/>
    <n v="59.5"/>
    <n v="6.2560000000000004E-2"/>
    <n v="3.6259999999999998E-4"/>
    <n v="131.23175755666784"/>
    <n v="3.5851077435069998"/>
    <n v="3"/>
  </r>
  <r>
    <n v="1795"/>
    <s v="MOF"/>
    <n v="0.5"/>
    <n v="60"/>
    <n v="200"/>
    <n v="7"/>
    <n v="25"/>
    <n v="150"/>
    <n v="100"/>
    <n v="256.40899999999999"/>
    <n v="71.795000000000002"/>
    <n v="64.099999999999994"/>
    <n v="46.7"/>
    <n v="5.2720000000000003E-2"/>
    <n v="3.2459999999999998E-4"/>
    <n v="213.63011642318924"/>
    <n v="3.7560446064649873"/>
    <n v="1"/>
  </r>
  <r>
    <n v="1796"/>
    <s v="MOF"/>
    <n v="0.5"/>
    <n v="60"/>
    <n v="200"/>
    <n v="7"/>
    <n v="25"/>
    <n v="150"/>
    <n v="100"/>
    <n v="241.94800000000001"/>
    <n v="79.025999999999996"/>
    <n v="60.49"/>
    <n v="51.6"/>
    <n v="5.901E-2"/>
    <n v="3.1740000000000002E-4"/>
    <n v="198.80199993615017"/>
    <n v="3.7645897148282672"/>
    <n v="2"/>
  </r>
  <r>
    <n v="1797"/>
    <s v="MOF"/>
    <n v="0.5"/>
    <n v="60"/>
    <n v="200"/>
    <n v="7"/>
    <n v="25"/>
    <n v="150"/>
    <n v="100"/>
    <n v="237.45"/>
    <n v="81.275000000000006"/>
    <n v="59.36"/>
    <n v="60.2"/>
    <n v="4.3639999999999998E-2"/>
    <n v="4.2430000000000001E-4"/>
    <n v="203.74525490134343"/>
    <n v="3.5176386315607853"/>
    <n v="3"/>
  </r>
  <r>
    <n v="1798"/>
    <s v="MOF"/>
    <n v="0.5"/>
    <n v="60"/>
    <n v="200"/>
    <n v="11"/>
    <n v="25"/>
    <n v="150"/>
    <n v="100"/>
    <n v="192.267"/>
    <n v="103.867"/>
    <n v="48.07"/>
    <n v="38"/>
    <n v="5.5870000000000003E-2"/>
    <n v="3.5120000000000003E-4"/>
    <n v="154.20525704022216"/>
    <n v="3.6392096558740357"/>
    <n v="1"/>
  </r>
  <r>
    <n v="1799"/>
    <s v="MOF"/>
    <n v="0.5"/>
    <n v="60"/>
    <n v="200"/>
    <n v="11"/>
    <n v="25"/>
    <n v="150"/>
    <n v="100"/>
    <n v="195.03"/>
    <n v="102.485"/>
    <n v="48.76"/>
    <n v="62.7"/>
    <n v="5.9110000000000003E-2"/>
    <n v="3.6039999999999998E-4"/>
    <n v="157.64880160006481"/>
    <n v="3.6211678614368683"/>
    <n v="2"/>
  </r>
  <r>
    <n v="1800"/>
    <s v="MOF"/>
    <n v="0.5"/>
    <n v="60"/>
    <n v="200"/>
    <n v="11"/>
    <n v="25"/>
    <n v="150"/>
    <n v="100"/>
    <n v="202.33600000000001"/>
    <n v="98.831999999999994"/>
    <n v="50.58"/>
    <n v="53.7"/>
    <n v="6.4769999999999994E-2"/>
    <n v="2.9819999999999998E-4"/>
    <n v="158.54218419378336"/>
    <n v="3.7794926157750335"/>
    <n v="3"/>
  </r>
  <r>
    <n v="1801"/>
    <s v="MOF"/>
    <n v="0.5"/>
    <n v="120"/>
    <n v="25"/>
    <n v="3"/>
    <n v="25"/>
    <n v="150"/>
    <n v="100"/>
    <n v="21.939"/>
    <n v="14.031000000000001"/>
    <n v="43.88"/>
    <n v="55.1"/>
    <n v="5.9470000000000002E-2"/>
    <n v="3.2049999999999998E-4"/>
    <n v="10.040035856922895"/>
    <n v="2.4764513495284479"/>
    <n v="1"/>
  </r>
  <r>
    <n v="1802"/>
    <s v="MOF"/>
    <n v="0.5"/>
    <n v="120"/>
    <n v="25"/>
    <n v="3"/>
    <n v="25"/>
    <n v="150"/>
    <n v="100"/>
    <n v="19.074000000000002"/>
    <n v="15.462999999999999"/>
    <n v="38.15"/>
    <n v="55.8"/>
    <n v="5.6550000000000003E-2"/>
    <n v="4.0210000000000002E-4"/>
    <n v="9.1414803532845106"/>
    <n v="2.2958141867278665"/>
    <n v="2"/>
  </r>
  <r>
    <n v="1803"/>
    <s v="MOF"/>
    <n v="0.5"/>
    <n v="120"/>
    <n v="25"/>
    <n v="3"/>
    <n v="25"/>
    <n v="150"/>
    <n v="100"/>
    <n v="19.794"/>
    <n v="15.103"/>
    <n v="39.590000000000003"/>
    <n v="64"/>
    <n v="6.8019999999999997E-2"/>
    <n v="3.368E-4"/>
    <n v="8.7972985348824739"/>
    <n v="2.3975953610218319"/>
    <n v="3"/>
  </r>
  <r>
    <n v="1804"/>
    <s v="MOF"/>
    <n v="0.5"/>
    <n v="120"/>
    <n v="25"/>
    <n v="7"/>
    <n v="25"/>
    <n v="150"/>
    <n v="100"/>
    <n v="29.259"/>
    <n v="10.37"/>
    <n v="58.52"/>
    <n v="51.2"/>
    <n v="5.5079999999999997E-2"/>
    <n v="3.6969999999999999E-4"/>
    <n v="16.526880414084403"/>
    <n v="2.5441279019233018"/>
    <n v="1"/>
  </r>
  <r>
    <n v="1805"/>
    <s v="MOF"/>
    <n v="0.5"/>
    <n v="120"/>
    <n v="25"/>
    <n v="7"/>
    <n v="25"/>
    <n v="150"/>
    <n v="100"/>
    <n v="30.834"/>
    <n v="9.5830000000000002"/>
    <n v="61.67"/>
    <n v="67.3"/>
    <n v="4.8869999999999997E-2"/>
    <n v="2.8909999999999998E-4"/>
    <n v="15.936139257815617"/>
    <n v="2.7012176282935885"/>
    <n v="2"/>
  </r>
  <r>
    <n v="1806"/>
    <s v="MOF"/>
    <n v="0.5"/>
    <n v="120"/>
    <n v="25"/>
    <n v="7"/>
    <n v="25"/>
    <n v="150"/>
    <n v="100"/>
    <n v="34.658000000000001"/>
    <n v="7.6710000000000003"/>
    <n v="69.319999999999993"/>
    <n v="35.9"/>
    <n v="5.3879999999999997E-2"/>
    <n v="4.5909999999999999E-4"/>
    <n v="22.745490310679873"/>
    <n v="2.4775890823541871"/>
    <n v="3"/>
  </r>
  <r>
    <n v="1807"/>
    <s v="MOF"/>
    <n v="0.5"/>
    <n v="120"/>
    <n v="25"/>
    <n v="11"/>
    <n v="25"/>
    <n v="150"/>
    <n v="100"/>
    <n v="25.81"/>
    <n v="12.095000000000001"/>
    <n v="51.62"/>
    <n v="45.4"/>
    <n v="5.4679999999999999E-2"/>
    <n v="3.4820000000000001E-4"/>
    <n v="13.392062790556155"/>
    <n v="2.5191419765153453"/>
    <n v="1"/>
  </r>
  <r>
    <n v="1808"/>
    <s v="MOF"/>
    <n v="0.5"/>
    <n v="120"/>
    <n v="25"/>
    <n v="11"/>
    <n v="25"/>
    <n v="150"/>
    <n v="100"/>
    <n v="26.122"/>
    <n v="11.939"/>
    <n v="52.24"/>
    <n v="60"/>
    <n v="4.9279999999999997E-2"/>
    <n v="4.0910000000000002E-4"/>
    <n v="14.676935641198565"/>
    <n v="2.4375585767003343"/>
    <n v="2"/>
  </r>
  <r>
    <n v="1809"/>
    <s v="MOF"/>
    <n v="0.5"/>
    <n v="120"/>
    <n v="25"/>
    <n v="11"/>
    <n v="25"/>
    <n v="150"/>
    <n v="100"/>
    <n v="26.274999999999999"/>
    <n v="11.863"/>
    <n v="52.55"/>
    <n v="60.5"/>
    <n v="5.1549999999999999E-2"/>
    <n v="3.9500000000000001E-4"/>
    <n v="14.57348114062531"/>
    <n v="2.4597186504187794"/>
    <n v="3"/>
  </r>
  <r>
    <n v="1810"/>
    <s v="MOF"/>
    <n v="0.5"/>
    <n v="120"/>
    <n v="50"/>
    <n v="3"/>
    <n v="25"/>
    <n v="150"/>
    <n v="100"/>
    <n v="52.679000000000002"/>
    <n v="23.661000000000001"/>
    <n v="52.68"/>
    <n v="56.8"/>
    <n v="4.9869999999999998E-2"/>
    <n v="3.1510000000000002E-4"/>
    <n v="35.071784154844551"/>
    <n v="2.8683088092226927"/>
    <n v="1"/>
  </r>
  <r>
    <n v="1811"/>
    <s v="MOF"/>
    <n v="0.5"/>
    <n v="120"/>
    <n v="50"/>
    <n v="3"/>
    <n v="25"/>
    <n v="150"/>
    <n v="100"/>
    <n v="56.228000000000002"/>
    <n v="21.885999999999999"/>
    <n v="56.23"/>
    <n v="50.9"/>
    <n v="5.0299999999999997E-2"/>
    <n v="3.2749999999999999E-4"/>
    <n v="38.710181536042384"/>
    <n v="2.8632185608579768"/>
    <n v="2"/>
  </r>
  <r>
    <n v="1812"/>
    <s v="MOF"/>
    <n v="0.5"/>
    <n v="120"/>
    <n v="50"/>
    <n v="3"/>
    <n v="25"/>
    <n v="150"/>
    <n v="100"/>
    <n v="56.268999999999998"/>
    <n v="21.866"/>
    <n v="56.27"/>
    <n v="49.4"/>
    <n v="5.4350000000000002E-2"/>
    <n v="3.5050000000000001E-4"/>
    <n v="39.555472744285254"/>
    <n v="2.8162184068496159"/>
    <n v="3"/>
  </r>
  <r>
    <n v="1813"/>
    <s v="MOF"/>
    <n v="0.5"/>
    <n v="120"/>
    <n v="50"/>
    <n v="7"/>
    <n v="25"/>
    <n v="150"/>
    <n v="100"/>
    <n v="66.051000000000002"/>
    <n v="16.975000000000001"/>
    <n v="66.05"/>
    <n v="42.5"/>
    <n v="5.6849999999999998E-2"/>
    <n v="3.2420000000000002E-4"/>
    <n v="47.547495431584423"/>
    <n v="2.9179601502740931"/>
    <n v="1"/>
  </r>
  <r>
    <n v="1814"/>
    <s v="MOF"/>
    <n v="0.5"/>
    <n v="120"/>
    <n v="50"/>
    <n v="7"/>
    <n v="25"/>
    <n v="150"/>
    <n v="100"/>
    <n v="81.933000000000007"/>
    <n v="9.0340000000000007"/>
    <n v="81.93"/>
    <n v="62.5"/>
    <n v="5.8959999999999999E-2"/>
    <n v="4.1370000000000003E-4"/>
    <n v="65.764614519218625"/>
    <n v="2.783057822022776"/>
    <n v="2"/>
  </r>
  <r>
    <n v="1815"/>
    <s v="MOF"/>
    <n v="0.5"/>
    <n v="120"/>
    <n v="50"/>
    <n v="7"/>
    <n v="25"/>
    <n v="150"/>
    <n v="100"/>
    <n v="75.846000000000004"/>
    <n v="12.077"/>
    <n v="75.849999999999994"/>
    <n v="59.9"/>
    <n v="5.1790000000000003E-2"/>
    <n v="4.3580000000000002E-4"/>
    <n v="60.574303754081015"/>
    <n v="2.7260011966184554"/>
    <n v="3"/>
  </r>
  <r>
    <n v="1816"/>
    <s v="MOF"/>
    <n v="0.5"/>
    <n v="120"/>
    <n v="50"/>
    <n v="11"/>
    <n v="25"/>
    <n v="150"/>
    <n v="100"/>
    <n v="71.334999999999994"/>
    <n v="14.333"/>
    <n v="71.33"/>
    <n v="54.6"/>
    <n v="5.713E-2"/>
    <n v="3.9760000000000002E-4"/>
    <n v="55.135516726614256"/>
    <n v="2.7849793450250435"/>
    <n v="1"/>
  </r>
  <r>
    <n v="1817"/>
    <s v="MOF"/>
    <n v="0.5"/>
    <n v="120"/>
    <n v="50"/>
    <n v="11"/>
    <n v="25"/>
    <n v="150"/>
    <n v="100"/>
    <n v="61.991999999999997"/>
    <n v="19.004000000000001"/>
    <n v="61.99"/>
    <n v="49.2"/>
    <n v="5.9810000000000002E-2"/>
    <n v="3.5270000000000001E-4"/>
    <n v="44.884856812023799"/>
    <n v="2.8394961065746123"/>
    <n v="2"/>
  </r>
  <r>
    <n v="1818"/>
    <s v="MOF"/>
    <n v="0.5"/>
    <n v="120"/>
    <n v="50"/>
    <n v="11"/>
    <n v="25"/>
    <n v="150"/>
    <n v="100"/>
    <n v="63.44"/>
    <n v="18.28"/>
    <n v="63.44"/>
    <n v="47.7"/>
    <n v="4.555E-2"/>
    <n v="3.5829999999999998E-4"/>
    <n v="46.421308970408248"/>
    <n v="2.834312212408105"/>
    <n v="3"/>
  </r>
  <r>
    <n v="1819"/>
    <s v="MOF"/>
    <n v="0.5"/>
    <n v="120"/>
    <n v="100"/>
    <n v="3"/>
    <n v="25"/>
    <n v="150"/>
    <n v="100"/>
    <n v="125.238"/>
    <n v="37.381"/>
    <n v="62.62"/>
    <n v="52.7"/>
    <n v="6.2899999999999998E-2"/>
    <n v="3.2539999999999999E-4"/>
    <n v="103.97624086764206"/>
    <n v="3.0569101132516825"/>
    <n v="1"/>
  </r>
  <r>
    <n v="1820"/>
    <s v="MOF"/>
    <n v="0.5"/>
    <n v="120"/>
    <n v="100"/>
    <n v="3"/>
    <n v="25"/>
    <n v="150"/>
    <n v="100"/>
    <n v="109.081"/>
    <n v="45.459000000000003"/>
    <n v="54.54"/>
    <n v="54"/>
    <n v="5.4550000000000001E-2"/>
    <n v="3.769E-4"/>
    <n v="90.697126124843876"/>
    <n v="2.9114738605060668"/>
    <n v="2"/>
  </r>
  <r>
    <n v="1821"/>
    <s v="MOF"/>
    <n v="0.5"/>
    <n v="120"/>
    <n v="100"/>
    <n v="3"/>
    <n v="25"/>
    <n v="150"/>
    <n v="100"/>
    <n v="111.38800000000001"/>
    <n v="44.305999999999997"/>
    <n v="55.69"/>
    <n v="65.7"/>
    <n v="6.5820000000000004E-2"/>
    <n v="3.4860000000000002E-4"/>
    <n v="91.706690684214564"/>
    <n v="2.9796694196847175"/>
    <n v="3"/>
  </r>
  <r>
    <n v="1822"/>
    <s v="MOF"/>
    <n v="0.5"/>
    <n v="120"/>
    <n v="100"/>
    <n v="7"/>
    <n v="25"/>
    <n v="150"/>
    <n v="100"/>
    <n v="177.292"/>
    <n v="11.353999999999999"/>
    <n v="88.65"/>
    <n v="45.9"/>
    <n v="6.0909999999999999E-2"/>
    <n v="3.8670000000000002E-4"/>
    <n v="158.07764146720879"/>
    <n v="2.9556578397900939"/>
    <n v="1"/>
  </r>
  <r>
    <n v="1823"/>
    <s v="MOF"/>
    <n v="0.5"/>
    <n v="120"/>
    <n v="100"/>
    <n v="7"/>
    <n v="25"/>
    <n v="150"/>
    <n v="100"/>
    <n v="172.88300000000001"/>
    <n v="13.558"/>
    <n v="86.44"/>
    <n v="54.4"/>
    <n v="3.875E-2"/>
    <n v="3.2749999999999999E-4"/>
    <n v="150.70230925718954"/>
    <n v="3.0992221240347066"/>
    <n v="2"/>
  </r>
  <r>
    <n v="1824"/>
    <s v="MOF"/>
    <n v="0.5"/>
    <n v="120"/>
    <n v="100"/>
    <n v="7"/>
    <n v="25"/>
    <n v="150"/>
    <n v="100"/>
    <n v="155.887"/>
    <n v="22.056999999999999"/>
    <n v="77.94"/>
    <n v="46.5"/>
    <n v="5.5669999999999997E-2"/>
    <n v="3.3530000000000002E-4"/>
    <n v="134.45118775442572"/>
    <n v="3.0650629927574418"/>
    <n v="3"/>
  </r>
  <r>
    <n v="1825"/>
    <s v="MOF"/>
    <n v="0.5"/>
    <n v="120"/>
    <n v="100"/>
    <n v="11"/>
    <n v="25"/>
    <n v="150"/>
    <n v="100"/>
    <n v="127.99"/>
    <n v="36.005000000000003"/>
    <n v="63.99"/>
    <n v="45.9"/>
    <n v="5.1060000000000001E-2"/>
    <n v="3.8929999999999998E-4"/>
    <n v="109.65117157096044"/>
    <n v="2.9090205841466181"/>
    <n v="1"/>
  </r>
  <r>
    <n v="1826"/>
    <s v="MOF"/>
    <n v="0.5"/>
    <n v="120"/>
    <n v="100"/>
    <n v="11"/>
    <n v="25"/>
    <n v="150"/>
    <n v="100"/>
    <n v="129.54499999999999"/>
    <n v="35.226999999999997"/>
    <n v="64.77"/>
    <n v="50.3"/>
    <n v="5.2490000000000002E-2"/>
    <n v="3.6190000000000001E-4"/>
    <n v="109.99363551458141"/>
    <n v="2.973045078646408"/>
    <n v="2"/>
  </r>
  <r>
    <n v="1827"/>
    <s v="MOF"/>
    <n v="0.5"/>
    <n v="120"/>
    <n v="100"/>
    <n v="11"/>
    <n v="25"/>
    <n v="150"/>
    <n v="100"/>
    <n v="140.16800000000001"/>
    <n v="29.916"/>
    <n v="70.08"/>
    <n v="29.6"/>
    <n v="6.062E-2"/>
    <n v="4.0030000000000003E-4"/>
    <n v="122.0423042411182"/>
    <n v="2.8973305867009151"/>
    <n v="3"/>
  </r>
  <r>
    <n v="1828"/>
    <s v="MOF"/>
    <n v="0.5"/>
    <n v="120"/>
    <n v="200"/>
    <n v="3"/>
    <n v="25"/>
    <n v="150"/>
    <n v="100"/>
    <n v="172.947"/>
    <n v="113.526"/>
    <n v="43.24"/>
    <n v="46.6"/>
    <n v="5.2519999999999997E-2"/>
    <n v="3.235E-4"/>
    <n v="150.52654016800645"/>
    <n v="3.1099739273352744"/>
    <n v="1"/>
  </r>
  <r>
    <n v="1829"/>
    <s v="MOF"/>
    <n v="0.5"/>
    <n v="120"/>
    <n v="200"/>
    <n v="3"/>
    <n v="25"/>
    <n v="150"/>
    <n v="100"/>
    <n v="189.596"/>
    <n v="105.202"/>
    <n v="47.4"/>
    <n v="38.6"/>
    <n v="4.8849999999999998E-2"/>
    <n v="4.0390000000000001E-4"/>
    <n v="170.98870846325508"/>
    <n v="2.9235535220047"/>
    <n v="2"/>
  </r>
  <r>
    <n v="1830"/>
    <s v="MOF"/>
    <n v="0.5"/>
    <n v="120"/>
    <n v="200"/>
    <n v="3"/>
    <n v="25"/>
    <n v="150"/>
    <n v="100"/>
    <n v="174.541"/>
    <n v="112.729"/>
    <n v="43.64"/>
    <n v="64.7"/>
    <n v="5.6950000000000001E-2"/>
    <n v="2.8669999999999998E-4"/>
    <n v="149.62404378204013"/>
    <n v="3.2155485443228522"/>
    <n v="3"/>
  </r>
  <r>
    <n v="1831"/>
    <s v="MOF"/>
    <n v="0.5"/>
    <n v="120"/>
    <n v="200"/>
    <n v="7"/>
    <n v="25"/>
    <n v="150"/>
    <n v="100"/>
    <n v="266.81299999999999"/>
    <n v="66.593999999999994"/>
    <n v="66.7"/>
    <n v="53.6"/>
    <n v="5.2490000000000002E-2"/>
    <n v="3.5859999999999999E-4"/>
    <n v="245.43631740672029"/>
    <n v="3.0623007295389941"/>
    <n v="1"/>
  </r>
  <r>
    <n v="1832"/>
    <s v="MOF"/>
    <n v="0.5"/>
    <n v="120"/>
    <n v="200"/>
    <n v="7"/>
    <n v="25"/>
    <n v="150"/>
    <n v="100"/>
    <n v="263.93900000000002"/>
    <n v="68.03"/>
    <n v="65.98"/>
    <n v="60.3"/>
    <n v="6.148E-2"/>
    <n v="3.6430000000000002E-4"/>
    <n v="242.88847534356938"/>
    <n v="3.0469254841137778"/>
    <n v="2"/>
  </r>
  <r>
    <n v="1833"/>
    <s v="MOF"/>
    <n v="0.5"/>
    <n v="120"/>
    <n v="200"/>
    <n v="7"/>
    <n v="25"/>
    <n v="150"/>
    <n v="100"/>
    <n v="230.85300000000001"/>
    <n v="84.572999999999993"/>
    <n v="57.71"/>
    <n v="50.7"/>
    <n v="7.1190000000000003E-2"/>
    <n v="3.7540000000000002E-4"/>
    <n v="210.6017881332277"/>
    <n v="3.0082146370345977"/>
    <n v="3"/>
  </r>
  <r>
    <n v="1834"/>
    <s v="MOF"/>
    <n v="0.5"/>
    <n v="120"/>
    <n v="200"/>
    <n v="11"/>
    <n v="25"/>
    <n v="150"/>
    <n v="100"/>
    <n v="249.66300000000001"/>
    <n v="75.168999999999997"/>
    <n v="62.42"/>
    <n v="66"/>
    <n v="5.6329999999999998E-2"/>
    <n v="3.6049999999999998E-4"/>
    <n v="228.5058741686172"/>
    <n v="3.0519767674894172"/>
    <n v="1"/>
  </r>
  <r>
    <n v="1835"/>
    <s v="MOF"/>
    <n v="0.5"/>
    <n v="120"/>
    <n v="200"/>
    <n v="11"/>
    <n v="25"/>
    <n v="150"/>
    <n v="100"/>
    <n v="213.59800000000001"/>
    <n v="93.200999999999993"/>
    <n v="53.4"/>
    <n v="40.299999999999997"/>
    <n v="5.5100000000000003E-2"/>
    <n v="3.924E-4"/>
    <n v="194.28167869903211"/>
    <n v="2.9609504018017119"/>
    <n v="2"/>
  </r>
  <r>
    <n v="1836"/>
    <s v="MOF"/>
    <n v="0.5"/>
    <n v="120"/>
    <n v="200"/>
    <n v="11"/>
    <n v="25"/>
    <n v="150"/>
    <n v="100"/>
    <n v="205.15799999999999"/>
    <n v="97.421000000000006"/>
    <n v="51.29"/>
    <n v="57.9"/>
    <n v="5.9679999999999997E-2"/>
    <n v="3.1819999999999998E-4"/>
    <n v="181.93366960182738"/>
    <n v="3.1452004532045201"/>
    <n v="3"/>
  </r>
  <r>
    <n v="1837"/>
    <s v="MOF"/>
    <n v="0.5"/>
    <n v="240"/>
    <n v="25"/>
    <n v="3"/>
    <n v="25"/>
    <n v="150"/>
    <n v="100"/>
    <n v="26.260999999999999"/>
    <n v="11.87"/>
    <n v="52.52"/>
    <n v="46.2"/>
    <n v="5.0479999999999997E-2"/>
    <n v="3.0489999999999998E-4"/>
    <n v="17.272662633505234"/>
    <n v="2.1959278888316898"/>
    <n v="1"/>
  </r>
  <r>
    <n v="1838"/>
    <s v="MOF"/>
    <n v="0.5"/>
    <n v="240"/>
    <n v="25"/>
    <n v="3"/>
    <n v="25"/>
    <n v="150"/>
    <n v="100"/>
    <n v="25.408000000000001"/>
    <n v="12.295999999999999"/>
    <n v="50.82"/>
    <n v="66.2"/>
    <n v="4.9959999999999997E-2"/>
    <n v="3.5439999999999999E-4"/>
    <n v="17.370298848936407"/>
    <n v="2.0841431158214765"/>
    <n v="2"/>
  </r>
  <r>
    <n v="1839"/>
    <s v="MOF"/>
    <n v="0.5"/>
    <n v="240"/>
    <n v="25"/>
    <n v="3"/>
    <n v="25"/>
    <n v="150"/>
    <n v="100"/>
    <n v="26.163"/>
    <n v="11.917999999999999"/>
    <n v="52.33"/>
    <n v="64.2"/>
    <n v="6.2210000000000001E-2"/>
    <n v="3.8020000000000003E-4"/>
    <n v="18.439197996851213"/>
    <n v="2.0443067302590463"/>
    <n v="3"/>
  </r>
  <r>
    <n v="1840"/>
    <s v="MOF"/>
    <n v="0.5"/>
    <n v="240"/>
    <n v="25"/>
    <n v="7"/>
    <n v="25"/>
    <n v="150"/>
    <n v="100"/>
    <n v="39.374000000000002"/>
    <n v="5.3129999999999997"/>
    <n v="78.75"/>
    <n v="52.7"/>
    <n v="4.8439999999999997E-2"/>
    <n v="4.1800000000000002E-4"/>
    <n v="31.419656051436355"/>
    <n v="2.0737181880637632"/>
    <n v="1"/>
  </r>
  <r>
    <n v="1841"/>
    <s v="MOF"/>
    <n v="0.5"/>
    <n v="240"/>
    <n v="25"/>
    <n v="7"/>
    <n v="25"/>
    <n v="150"/>
    <n v="100"/>
    <n v="36.499000000000002"/>
    <n v="6.7510000000000003"/>
    <n v="73"/>
    <n v="60"/>
    <n v="6.0830000000000002E-2"/>
    <n v="3.3060000000000001E-4"/>
    <n v="27.130617377945605"/>
    <n v="2.2373404689769698"/>
    <n v="2"/>
  </r>
  <r>
    <n v="1842"/>
    <s v="MOF"/>
    <n v="0.5"/>
    <n v="240"/>
    <n v="25"/>
    <n v="7"/>
    <n v="25"/>
    <n v="150"/>
    <n v="100"/>
    <n v="41.348999999999997"/>
    <n v="4.3250000000000002"/>
    <n v="82.7"/>
    <n v="60.8"/>
    <n v="6.4500000000000002E-2"/>
    <n v="3.3359999999999998E-4"/>
    <n v="31.756524956832028"/>
    <n v="2.2609789414330024"/>
    <n v="3"/>
  </r>
  <r>
    <n v="1843"/>
    <s v="MOF"/>
    <n v="0.5"/>
    <n v="240"/>
    <n v="25"/>
    <n v="11"/>
    <n v="25"/>
    <n v="150"/>
    <n v="100"/>
    <n v="28.808"/>
    <n v="10.596"/>
    <n v="57.62"/>
    <n v="50.4"/>
    <n v="5.6149999999999999E-2"/>
    <n v="3.5199999999999999E-4"/>
    <n v="20.418215993719471"/>
    <n v="2.1270147759618547"/>
    <n v="1"/>
  </r>
  <r>
    <n v="1844"/>
    <s v="MOF"/>
    <n v="0.5"/>
    <n v="240"/>
    <n v="25"/>
    <n v="11"/>
    <n v="25"/>
    <n v="150"/>
    <n v="100"/>
    <n v="30.786000000000001"/>
    <n v="9.6069999999999993"/>
    <n v="61.57"/>
    <n v="38.9"/>
    <n v="5.7590000000000002E-2"/>
    <n v="4.1899999999999999E-4"/>
    <n v="23.26959340272693"/>
    <n v="2.0170881776496099"/>
    <n v="2"/>
  </r>
  <r>
    <n v="1845"/>
    <s v="MOF"/>
    <n v="0.5"/>
    <n v="240"/>
    <n v="25"/>
    <n v="11"/>
    <n v="25"/>
    <n v="150"/>
    <n v="100"/>
    <n v="32.686"/>
    <n v="8.657"/>
    <n v="65.37"/>
    <n v="59.5"/>
    <n v="5.815E-2"/>
    <n v="3.6390000000000001E-4"/>
    <n v="24.206403388175961"/>
    <n v="2.1376628793119812"/>
    <n v="3"/>
  </r>
  <r>
    <n v="1846"/>
    <s v="MOF"/>
    <n v="0.5"/>
    <n v="240"/>
    <n v="50"/>
    <n v="3"/>
    <n v="25"/>
    <n v="150"/>
    <n v="100"/>
    <n v="65.298000000000002"/>
    <n v="17.350999999999999"/>
    <n v="65.3"/>
    <n v="57.8"/>
    <n v="5.3280000000000001E-2"/>
    <n v="3.2210000000000002E-4"/>
    <n v="54.501009888531001"/>
    <n v="2.3792674019054565"/>
    <n v="1"/>
  </r>
  <r>
    <n v="1847"/>
    <s v="MOF"/>
    <n v="0.5"/>
    <n v="240"/>
    <n v="50"/>
    <n v="3"/>
    <n v="25"/>
    <n v="150"/>
    <n v="100"/>
    <n v="60.231999999999999"/>
    <n v="19.884"/>
    <n v="60.23"/>
    <n v="57.1"/>
    <n v="5.3260000000000002E-2"/>
    <n v="3.6099999999999999E-4"/>
    <n v="50.546063624547621"/>
    <n v="2.2706749752471338"/>
    <n v="2"/>
  </r>
  <r>
    <n v="1848"/>
    <s v="MOF"/>
    <n v="0.5"/>
    <n v="240"/>
    <n v="50"/>
    <n v="3"/>
    <n v="25"/>
    <n v="150"/>
    <n v="100"/>
    <n v="63.185000000000002"/>
    <n v="18.408000000000001"/>
    <n v="63.18"/>
    <n v="61.4"/>
    <n v="6.2059999999999997E-2"/>
    <n v="3.5270000000000001E-4"/>
    <n v="53.232229985248068"/>
    <n v="2.2978509058686432"/>
    <n v="3"/>
  </r>
  <r>
    <n v="1849"/>
    <s v="MOF"/>
    <n v="0.5"/>
    <n v="240"/>
    <n v="50"/>
    <n v="7"/>
    <n v="25"/>
    <n v="150"/>
    <n v="100"/>
    <n v="76.998999999999995"/>
    <n v="11.5"/>
    <n v="77"/>
    <n v="51.7"/>
    <n v="5.5239999999999997E-2"/>
    <n v="2.8570000000000001E-4"/>
    <n v="64.737363403191125"/>
    <n v="2.5064754123664104"/>
    <n v="1"/>
  </r>
  <r>
    <n v="1850"/>
    <s v="MOF"/>
    <n v="0.5"/>
    <n v="240"/>
    <n v="50"/>
    <n v="7"/>
    <n v="25"/>
    <n v="150"/>
    <n v="100"/>
    <n v="92.997"/>
    <n v="3.5009999999999999"/>
    <n v="93"/>
    <n v="55.7"/>
    <n v="5.7099999999999998E-2"/>
    <n v="3.9780000000000002E-4"/>
    <n v="83.583023345772915"/>
    <n v="2.2421954630764795"/>
    <n v="2"/>
  </r>
  <r>
    <n v="1851"/>
    <s v="MOF"/>
    <n v="0.5"/>
    <n v="240"/>
    <n v="50"/>
    <n v="7"/>
    <n v="25"/>
    <n v="150"/>
    <n v="100"/>
    <n v="81.019000000000005"/>
    <n v="9.49"/>
    <n v="81.02"/>
    <n v="59.2"/>
    <n v="5.4399999999999997E-2"/>
    <n v="3.436E-4"/>
    <n v="70.471231580815243"/>
    <n v="2.3559143132997766"/>
    <n v="3"/>
  </r>
  <r>
    <n v="1852"/>
    <s v="MOF"/>
    <n v="0.5"/>
    <n v="240"/>
    <n v="50"/>
    <n v="11"/>
    <n v="25"/>
    <n v="150"/>
    <n v="100"/>
    <n v="66.840999999999994"/>
    <n v="16.579999999999998"/>
    <n v="66.84"/>
    <n v="68.2"/>
    <n v="5.2929999999999998E-2"/>
    <n v="3.745E-4"/>
    <n v="57.302735673169082"/>
    <n v="2.2553115325168727"/>
    <n v="1"/>
  </r>
  <r>
    <n v="1853"/>
    <s v="MOF"/>
    <n v="0.5"/>
    <n v="240"/>
    <n v="50"/>
    <n v="11"/>
    <n v="25"/>
    <n v="150"/>
    <n v="100"/>
    <n v="61.386000000000003"/>
    <n v="19.306999999999999"/>
    <n v="61.39"/>
    <n v="64.2"/>
    <n v="6.0789999999999997E-2"/>
    <n v="3.5340000000000002E-4"/>
    <n v="51.495425299483884"/>
    <n v="2.291582253199743"/>
    <n v="2"/>
  </r>
  <r>
    <n v="1854"/>
    <s v="MOF"/>
    <n v="0.5"/>
    <n v="240"/>
    <n v="50"/>
    <n v="11"/>
    <n v="25"/>
    <n v="150"/>
    <n v="100"/>
    <n v="69.537999999999997"/>
    <n v="15.231"/>
    <n v="69.540000000000006"/>
    <n v="57.8"/>
    <n v="6.7589999999999997E-2"/>
    <n v="2.8830000000000001E-4"/>
    <n v="57.572359540486481"/>
    <n v="2.4820392476765045"/>
    <n v="3"/>
  </r>
  <r>
    <n v="1855"/>
    <s v="MOF"/>
    <n v="0.5"/>
    <n v="240"/>
    <n v="100"/>
    <n v="3"/>
    <n v="25"/>
    <n v="150"/>
    <n v="100"/>
    <n v="134.084"/>
    <n v="32.957999999999998"/>
    <n v="67.040000000000006"/>
    <n v="47.1"/>
    <n v="5.4890000000000001E-2"/>
    <n v="3.413E-4"/>
    <n v="122.89456425548883"/>
    <n v="2.4149700960757916"/>
    <n v="1"/>
  </r>
  <r>
    <n v="1856"/>
    <s v="MOF"/>
    <n v="0.5"/>
    <n v="240"/>
    <n v="100"/>
    <n v="3"/>
    <n v="25"/>
    <n v="150"/>
    <n v="100"/>
    <n v="123.313"/>
    <n v="38.343000000000004"/>
    <n v="61.66"/>
    <n v="54.5"/>
    <n v="4.8759999999999998E-2"/>
    <n v="3.86E-4"/>
    <n v="113.38738701723349"/>
    <n v="2.2951185861539014"/>
    <n v="2"/>
  </r>
  <r>
    <n v="1857"/>
    <s v="MOF"/>
    <n v="0.5"/>
    <n v="240"/>
    <n v="100"/>
    <n v="3"/>
    <n v="25"/>
    <n v="150"/>
    <n v="100"/>
    <n v="111.15900000000001"/>
    <n v="44.42"/>
    <n v="55.58"/>
    <n v="59"/>
    <n v="5.3199999999999997E-2"/>
    <n v="3.0899999999999998E-4"/>
    <n v="99.133427283546339"/>
    <n v="2.4870354420056024"/>
    <n v="3"/>
  </r>
  <r>
    <n v="1858"/>
    <s v="MOF"/>
    <n v="0.5"/>
    <n v="240"/>
    <n v="100"/>
    <n v="7"/>
    <n v="25"/>
    <n v="150"/>
    <n v="100"/>
    <n v="175.381"/>
    <n v="12.31"/>
    <n v="87.69"/>
    <n v="41.8"/>
    <n v="5.5219999999999998E-2"/>
    <n v="3.0019999999999998E-4"/>
    <n v="162.51924247877369"/>
    <n v="2.5542583751967824"/>
    <n v="1"/>
  </r>
  <r>
    <n v="1859"/>
    <s v="MOF"/>
    <n v="0.5"/>
    <n v="240"/>
    <n v="100"/>
    <n v="7"/>
    <n v="25"/>
    <n v="150"/>
    <n v="100"/>
    <n v="178.51499999999999"/>
    <n v="10.743"/>
    <n v="89.26"/>
    <n v="47"/>
    <n v="5.2519999999999997E-2"/>
    <n v="3.6029999999999998E-4"/>
    <n v="167.6541435555522"/>
    <n v="2.3851651736843329"/>
    <n v="2"/>
  </r>
  <r>
    <n v="1860"/>
    <s v="MOF"/>
    <n v="0.5"/>
    <n v="240"/>
    <n v="100"/>
    <n v="7"/>
    <n v="25"/>
    <n v="150"/>
    <n v="100"/>
    <n v="163.57900000000001"/>
    <n v="18.21"/>
    <n v="81.790000000000006"/>
    <n v="54.1"/>
    <n v="4.6670000000000003E-2"/>
    <n v="3.7209999999999999E-4"/>
    <n v="153.09871518205102"/>
    <n v="2.3494958558088088"/>
    <n v="3"/>
  </r>
  <r>
    <n v="1861"/>
    <s v="MOF"/>
    <n v="0.5"/>
    <n v="240"/>
    <n v="100"/>
    <n v="11"/>
    <n v="25"/>
    <n v="150"/>
    <n v="100"/>
    <n v="163.4"/>
    <n v="18.3"/>
    <n v="81.7"/>
    <n v="77.400000000000006"/>
    <n v="5.5500000000000001E-2"/>
    <n v="3.7760000000000002E-4"/>
    <n v="153.06343642940027"/>
    <n v="2.3356874705731356"/>
    <n v="1"/>
  </r>
  <r>
    <n v="1862"/>
    <s v="MOF"/>
    <n v="0.5"/>
    <n v="240"/>
    <n v="100"/>
    <n v="11"/>
    <n v="25"/>
    <n v="150"/>
    <n v="100"/>
    <n v="127.30500000000001"/>
    <n v="36.347000000000001"/>
    <n v="63.65"/>
    <n v="66.8"/>
    <n v="5.9270000000000003E-2"/>
    <n v="3.3310000000000002E-4"/>
    <n v="115.91536822752437"/>
    <n v="2.4327034479176768"/>
    <n v="2"/>
  </r>
  <r>
    <n v="1863"/>
    <s v="MOF"/>
    <n v="0.5"/>
    <n v="240"/>
    <n v="100"/>
    <n v="11"/>
    <n v="25"/>
    <n v="150"/>
    <n v="100"/>
    <n v="158.02799999999999"/>
    <n v="20.986000000000001"/>
    <n v="79.010000000000005"/>
    <n v="52.5"/>
    <n v="5.2479999999999999E-2"/>
    <n v="3.6660000000000002E-4"/>
    <n v="147.42489456864337"/>
    <n v="2.3611469234344136"/>
    <n v="3"/>
  </r>
  <r>
    <n v="1864"/>
    <s v="MOF"/>
    <n v="0.5"/>
    <n v="240"/>
    <n v="200"/>
    <n v="3"/>
    <n v="25"/>
    <n v="150"/>
    <n v="100"/>
    <n v="182.12700000000001"/>
    <n v="108.93600000000001"/>
    <n v="45.53"/>
    <n v="62.9"/>
    <n v="4.9189999999999998E-2"/>
    <n v="3.1320000000000002E-4"/>
    <n v="169.72907738000424"/>
    <n v="2.5175289279306625"/>
    <n v="1"/>
  </r>
  <r>
    <n v="1865"/>
    <s v="MOF"/>
    <n v="0.5"/>
    <n v="240"/>
    <n v="200"/>
    <n v="3"/>
    <n v="25"/>
    <n v="150"/>
    <n v="100"/>
    <n v="184.244"/>
    <n v="107.878"/>
    <n v="46.06"/>
    <n v="60.8"/>
    <n v="5.1610000000000003E-2"/>
    <n v="3.0279999999999999E-4"/>
    <n v="171.43983467739869"/>
    <n v="2.549770533817552"/>
    <n v="2"/>
  </r>
  <r>
    <n v="1866"/>
    <s v="MOF"/>
    <n v="0.5"/>
    <n v="240"/>
    <n v="200"/>
    <n v="3"/>
    <n v="25"/>
    <n v="150"/>
    <n v="100"/>
    <n v="188.43100000000001"/>
    <n v="105.78400000000001"/>
    <n v="47.11"/>
    <n v="54.3"/>
    <n v="4.8500000000000001E-2"/>
    <n v="3.0969999999999999E-4"/>
    <n v="175.87370457651357"/>
    <n v="2.5303018053277104"/>
    <n v="3"/>
  </r>
  <r>
    <n v="1867"/>
    <s v="MOF"/>
    <n v="0.5"/>
    <n v="240"/>
    <n v="200"/>
    <n v="7"/>
    <n v="25"/>
    <n v="150"/>
    <n v="100"/>
    <n v="300"/>
    <n v="50"/>
    <n v="76.319999999999993"/>
    <n v="47.5"/>
    <n v="5.3220000000000003E-2"/>
    <n v="3.3710000000000001E-4"/>
    <n v="288.12877900535"/>
    <n v="2.474117067244674"/>
    <n v="1"/>
  </r>
  <r>
    <n v="1868"/>
    <s v="MOF"/>
    <n v="0.5"/>
    <n v="240"/>
    <n v="200"/>
    <n v="7"/>
    <n v="25"/>
    <n v="150"/>
    <n v="100"/>
    <n v="258.12"/>
    <n v="70.94"/>
    <n v="64.53"/>
    <n v="59.6"/>
    <n v="6.021E-2"/>
    <n v="3.3930000000000001E-4"/>
    <n v="246.39751809120659"/>
    <n v="2.4615085286913039"/>
    <n v="2"/>
  </r>
  <r>
    <n v="1869"/>
    <s v="MOF"/>
    <n v="0.5"/>
    <n v="240"/>
    <n v="200"/>
    <n v="7"/>
    <n v="25"/>
    <n v="150"/>
    <n v="100"/>
    <n v="242.94399999999999"/>
    <n v="78.528000000000006"/>
    <n v="60.74"/>
    <n v="65"/>
    <n v="5.4480000000000001E-2"/>
    <n v="4.1060000000000001E-4"/>
    <n v="233.20312433161322"/>
    <n v="2.2763310179651133"/>
    <n v="3"/>
  </r>
  <r>
    <n v="1870"/>
    <s v="MOF"/>
    <n v="0.5"/>
    <n v="240"/>
    <n v="200"/>
    <n v="11"/>
    <n v="25"/>
    <n v="150"/>
    <n v="100"/>
    <n v="189.16"/>
    <n v="105.42"/>
    <n v="47.29"/>
    <n v="56.1"/>
    <n v="6.5549999999999997E-2"/>
    <n v="3.3760000000000002E-4"/>
    <n v="177.57392816257175"/>
    <n v="2.4498036730201549"/>
    <n v="1"/>
  </r>
  <r>
    <n v="1871"/>
    <s v="MOF"/>
    <n v="0.5"/>
    <n v="240"/>
    <n v="200"/>
    <n v="11"/>
    <n v="25"/>
    <n v="150"/>
    <n v="100"/>
    <n v="220.89699999999999"/>
    <n v="89.551000000000002"/>
    <n v="55.22"/>
    <n v="57"/>
    <n v="5.1929999999999997E-2"/>
    <n v="3.391E-4"/>
    <n v="209.25704658440702"/>
    <n v="2.4544434401984594"/>
    <n v="2"/>
  </r>
  <r>
    <n v="1872"/>
    <s v="MOF"/>
    <n v="0.5"/>
    <n v="240"/>
    <n v="200"/>
    <n v="11"/>
    <n v="25"/>
    <n v="150"/>
    <n v="100"/>
    <n v="219.13200000000001"/>
    <n v="90.433999999999997"/>
    <n v="54.78"/>
    <n v="49.4"/>
    <n v="6.1760000000000002E-2"/>
    <n v="3.6610000000000001E-4"/>
    <n v="208.31270445987738"/>
    <n v="2.3813311641012307"/>
    <n v="3"/>
  </r>
  <r>
    <n v="1873"/>
    <s v="MOF"/>
    <n v="1"/>
    <n v="30"/>
    <n v="25"/>
    <n v="3"/>
    <n v="25"/>
    <n v="150"/>
    <n v="100"/>
    <n v="2.9910000000000001"/>
    <n v="22.009"/>
    <n v="11.96"/>
    <n v="61.2"/>
    <n v="5.355E-2"/>
    <n v="3.2289999999999999E-4"/>
    <n v="8.4220497368593397E-2"/>
    <n v="1.067045768211953"/>
    <n v="1"/>
  </r>
  <r>
    <n v="1874"/>
    <s v="MOF"/>
    <n v="1"/>
    <n v="30"/>
    <n v="25"/>
    <n v="3"/>
    <n v="25"/>
    <n v="150"/>
    <n v="100"/>
    <n v="2.8149999999999999"/>
    <n v="22.184999999999999"/>
    <n v="11.26"/>
    <n v="54.6"/>
    <n v="4.9169999999999998E-2"/>
    <n v="3.325E-4"/>
    <n v="7.6885235786090023E-2"/>
    <n v="1.0072696413325779"/>
    <n v="2"/>
  </r>
  <r>
    <n v="1875"/>
    <s v="MOF"/>
    <n v="1"/>
    <n v="30"/>
    <n v="25"/>
    <n v="3"/>
    <n v="25"/>
    <n v="150"/>
    <n v="100"/>
    <n v="2.8330000000000002"/>
    <n v="22.167000000000002"/>
    <n v="11.33"/>
    <n v="71.900000000000006"/>
    <n v="3.9739999999999998E-2"/>
    <n v="3.4370000000000001E-4"/>
    <n v="8.040619116333772E-2"/>
    <n v="1.0125436703551647"/>
    <n v="3"/>
  </r>
  <r>
    <n v="1876"/>
    <s v="MOF"/>
    <n v="1"/>
    <n v="30"/>
    <n v="25"/>
    <n v="7"/>
    <n v="25"/>
    <n v="150"/>
    <n v="100"/>
    <n v="5.556"/>
    <n v="19.443999999999999"/>
    <n v="22.23"/>
    <n v="55.5"/>
    <n v="5.9139999999999998E-2"/>
    <n v="3.5349999999999997E-4"/>
    <n v="0.30915155125114202"/>
    <n v="1.657627600877656"/>
    <n v="1"/>
  </r>
  <r>
    <n v="1877"/>
    <s v="MOF"/>
    <n v="1"/>
    <n v="30"/>
    <n v="25"/>
    <n v="7"/>
    <n v="25"/>
    <n v="150"/>
    <n v="100"/>
    <n v="4.726"/>
    <n v="20.274000000000001"/>
    <n v="18.899999999999999"/>
    <n v="36.200000000000003"/>
    <n v="5.6129999999999999E-2"/>
    <n v="3.2289999999999999E-4"/>
    <n v="0.20688837381003575"/>
    <n v="1.5083154316487308"/>
    <n v="2"/>
  </r>
  <r>
    <n v="1878"/>
    <s v="MOF"/>
    <n v="1"/>
    <n v="30"/>
    <n v="25"/>
    <n v="7"/>
    <n v="25"/>
    <n v="150"/>
    <n v="100"/>
    <n v="4.68"/>
    <n v="20.32"/>
    <n v="18.72"/>
    <n v="50.5"/>
    <n v="6.4600000000000005E-2"/>
    <n v="4.3419999999999998E-4"/>
    <n v="0.26890760314736345"/>
    <n v="1.4841223678208155"/>
    <n v="3"/>
  </r>
  <r>
    <n v="1879"/>
    <s v="MOF"/>
    <n v="1"/>
    <n v="30"/>
    <n v="25"/>
    <n v="11"/>
    <n v="25"/>
    <n v="150"/>
    <n v="100"/>
    <n v="3.7519999999999998"/>
    <n v="21.248000000000001"/>
    <n v="15.01"/>
    <n v="50.7"/>
    <n v="4.8529999999999997E-2"/>
    <n v="3.6640000000000002E-4"/>
    <n v="0.14861091498976667"/>
    <n v="1.2818748151140718"/>
    <n v="1"/>
  </r>
  <r>
    <n v="1880"/>
    <s v="MOF"/>
    <n v="1"/>
    <n v="30"/>
    <n v="25"/>
    <n v="11"/>
    <n v="25"/>
    <n v="150"/>
    <n v="100"/>
    <n v="4.157"/>
    <n v="20.843"/>
    <n v="16.63"/>
    <n v="52.5"/>
    <n v="4.1919999999999999E-2"/>
    <n v="3.7350000000000003E-4"/>
    <n v="0.18501196547779616"/>
    <n v="1.3792667337217432"/>
    <n v="2"/>
  </r>
  <r>
    <n v="1881"/>
    <s v="MOF"/>
    <n v="1"/>
    <n v="30"/>
    <n v="25"/>
    <n v="11"/>
    <n v="25"/>
    <n v="150"/>
    <n v="100"/>
    <n v="3.95"/>
    <n v="21.05"/>
    <n v="15.8"/>
    <n v="41.6"/>
    <n v="5.5969999999999999E-2"/>
    <n v="3.658E-4"/>
    <n v="0.16410818813639522"/>
    <n v="1.3312814765372083"/>
    <n v="3"/>
  </r>
  <r>
    <n v="1882"/>
    <s v="MOF"/>
    <n v="1"/>
    <n v="30"/>
    <n v="50"/>
    <n v="3"/>
    <n v="25"/>
    <n v="150"/>
    <n v="100"/>
    <n v="10.036"/>
    <n v="39.963999999999999"/>
    <n v="20.07"/>
    <n v="48.1"/>
    <n v="6.0589999999999998E-2"/>
    <n v="3.3589999999999998E-4"/>
    <n v="0.92174942531998305"/>
    <n v="2.2098391858453672"/>
    <n v="1"/>
  </r>
  <r>
    <n v="1883"/>
    <s v="MOF"/>
    <n v="1"/>
    <n v="30"/>
    <n v="50"/>
    <n v="3"/>
    <n v="25"/>
    <n v="150"/>
    <n v="100"/>
    <n v="9.0389999999999997"/>
    <n v="40.960999999999999"/>
    <n v="18.079999999999998"/>
    <n v="37.799999999999997"/>
    <n v="6.1929999999999999E-2"/>
    <n v="3.7159999999999998E-4"/>
    <n v="0.82745125968246425"/>
    <n v="2.1055415463946852"/>
    <n v="2"/>
  </r>
  <r>
    <n v="1884"/>
    <s v="MOF"/>
    <n v="1"/>
    <n v="30"/>
    <n v="50"/>
    <n v="3"/>
    <n v="25"/>
    <n v="150"/>
    <n v="100"/>
    <n v="10.148999999999999"/>
    <n v="39.850999999999999"/>
    <n v="20.3"/>
    <n v="50.9"/>
    <n v="5.2089999999999997E-2"/>
    <n v="3.123E-4"/>
    <n v="0.88123456779874521"/>
    <n v="2.226542296819678"/>
    <n v="3"/>
  </r>
  <r>
    <n v="1885"/>
    <s v="MOF"/>
    <n v="1"/>
    <n v="30"/>
    <n v="50"/>
    <n v="7"/>
    <n v="25"/>
    <n v="150"/>
    <n v="100"/>
    <n v="15.914"/>
    <n v="34.085999999999999"/>
    <n v="31.83"/>
    <n v="37.200000000000003"/>
    <n v="5.0950000000000002E-2"/>
    <n v="3.391E-4"/>
    <n v="2.217387378172293"/>
    <n v="2.6171485483806096"/>
    <n v="1"/>
  </r>
  <r>
    <n v="1886"/>
    <s v="MOF"/>
    <n v="1"/>
    <n v="30"/>
    <n v="50"/>
    <n v="7"/>
    <n v="25"/>
    <n v="150"/>
    <n v="100"/>
    <n v="17.11"/>
    <n v="32.89"/>
    <n v="34.22"/>
    <n v="54.2"/>
    <n v="5.9369999999999999E-2"/>
    <n v="3.9720000000000001E-4"/>
    <n v="2.897652611621417"/>
    <n v="2.6541111211740489"/>
    <n v="2"/>
  </r>
  <r>
    <n v="1887"/>
    <s v="MOF"/>
    <n v="1"/>
    <n v="30"/>
    <n v="50"/>
    <n v="7"/>
    <n v="25"/>
    <n v="150"/>
    <n v="100"/>
    <n v="17.625"/>
    <n v="32.375"/>
    <n v="35.25"/>
    <n v="58.4"/>
    <n v="5.5070000000000001E-2"/>
    <n v="3.1569999999999998E-4"/>
    <n v="2.5212193523134645"/>
    <n v="2.7149450865015106"/>
    <n v="3"/>
  </r>
  <r>
    <n v="1888"/>
    <s v="MOF"/>
    <n v="1"/>
    <n v="30"/>
    <n v="50"/>
    <n v="11"/>
    <n v="25"/>
    <n v="150"/>
    <n v="100"/>
    <n v="13.14"/>
    <n v="36.86"/>
    <n v="26.28"/>
    <n v="68.3"/>
    <n v="5.688E-2"/>
    <n v="4.171E-4"/>
    <n v="1.8554199115058763"/>
    <n v="2.4234371998735345"/>
    <n v="1"/>
  </r>
  <r>
    <n v="1889"/>
    <s v="MOF"/>
    <n v="1"/>
    <n v="30"/>
    <n v="50"/>
    <n v="11"/>
    <n v="25"/>
    <n v="150"/>
    <n v="100"/>
    <n v="11.157999999999999"/>
    <n v="38.841999999999999"/>
    <n v="22.32"/>
    <n v="45.1"/>
    <n v="5.9700000000000003E-2"/>
    <n v="3.5930000000000001E-4"/>
    <n v="1.1979196058873132"/>
    <n v="2.2985851432619917"/>
    <n v="2"/>
  </r>
  <r>
    <n v="1890"/>
    <s v="MOF"/>
    <n v="1"/>
    <n v="30"/>
    <n v="50"/>
    <n v="11"/>
    <n v="25"/>
    <n v="150"/>
    <n v="100"/>
    <n v="13.641"/>
    <n v="36.359000000000002"/>
    <n v="27.28"/>
    <n v="54.4"/>
    <n v="5.0229999999999997E-2"/>
    <n v="3.4249999999999998E-4"/>
    <n v="1.6769030787113866"/>
    <n v="2.4819102418121708"/>
    <n v="3"/>
  </r>
  <r>
    <n v="1891"/>
    <s v="MOF"/>
    <n v="1"/>
    <n v="30"/>
    <n v="100"/>
    <n v="3"/>
    <n v="25"/>
    <n v="150"/>
    <n v="100"/>
    <n v="27.968"/>
    <n v="72.031999999999996"/>
    <n v="27.97"/>
    <n v="45.3"/>
    <n v="6.0350000000000001E-2"/>
    <n v="3.8049999999999998E-4"/>
    <n v="6.7681516492584537"/>
    <n v="3.0539940283854738"/>
    <n v="1"/>
  </r>
  <r>
    <n v="1892"/>
    <s v="MOF"/>
    <n v="1"/>
    <n v="30"/>
    <n v="100"/>
    <n v="3"/>
    <n v="25"/>
    <n v="150"/>
    <n v="100"/>
    <n v="32.125"/>
    <n v="67.875"/>
    <n v="32.119999999999997"/>
    <n v="40.5"/>
    <n v="5.3030000000000001E-2"/>
    <n v="3.0709999999999998E-4"/>
    <n v="7.3365721254996616"/>
    <n v="3.2103769263072008"/>
    <n v="2"/>
  </r>
  <r>
    <n v="1893"/>
    <s v="MOF"/>
    <n v="1"/>
    <n v="30"/>
    <n v="100"/>
    <n v="3"/>
    <n v="25"/>
    <n v="150"/>
    <n v="100"/>
    <n v="33.908999999999999"/>
    <n v="66.090999999999994"/>
    <n v="33.909999999999997"/>
    <n v="49.8"/>
    <n v="4.9029999999999997E-2"/>
    <n v="3.5100000000000002E-4"/>
    <n v="8.9219281145396945"/>
    <n v="3.2183585665315824"/>
    <n v="3"/>
  </r>
  <r>
    <n v="1894"/>
    <s v="MOF"/>
    <n v="1"/>
    <n v="30"/>
    <n v="100"/>
    <n v="7"/>
    <n v="25"/>
    <n v="150"/>
    <n v="100"/>
    <n v="46.469000000000001"/>
    <n v="53.530999999999999"/>
    <n v="46.47"/>
    <n v="66.7"/>
    <n v="5.0959999999999998E-2"/>
    <n v="3.01E-4"/>
    <n v="13.735478792733584"/>
    <n v="3.4883996662053636"/>
    <n v="1"/>
  </r>
  <r>
    <n v="1895"/>
    <s v="MOF"/>
    <n v="1"/>
    <n v="30"/>
    <n v="100"/>
    <n v="7"/>
    <n v="25"/>
    <n v="150"/>
    <n v="100"/>
    <n v="41.317"/>
    <n v="58.683"/>
    <n v="41.32"/>
    <n v="54.3"/>
    <n v="5.1909999999999998E-2"/>
    <n v="2.9999999999999997E-4"/>
    <n v="11.199341621150371"/>
    <n v="3.4051116568434625"/>
    <n v="2"/>
  </r>
  <r>
    <n v="1896"/>
    <s v="MOF"/>
    <n v="1"/>
    <n v="30"/>
    <n v="100"/>
    <n v="7"/>
    <n v="25"/>
    <n v="150"/>
    <n v="100"/>
    <n v="52.698999999999998"/>
    <n v="47.301000000000002"/>
    <n v="52.7"/>
    <n v="60"/>
    <n v="5.484E-2"/>
    <n v="3.9780000000000002E-4"/>
    <n v="20.346688125673126"/>
    <n v="3.4766854828239548"/>
    <n v="3"/>
  </r>
  <r>
    <n v="1897"/>
    <s v="MOF"/>
    <n v="1"/>
    <n v="30"/>
    <n v="100"/>
    <n v="11"/>
    <n v="25"/>
    <n v="150"/>
    <n v="100"/>
    <n v="39.799999999999997"/>
    <n v="60.2"/>
    <n v="39.799999999999997"/>
    <n v="47.8"/>
    <n v="4.9279999999999997E-2"/>
    <n v="3.7859999999999999E-4"/>
    <n v="12.390445332263027"/>
    <n v="3.3108916631099974"/>
    <n v="1"/>
  </r>
  <r>
    <n v="1898"/>
    <s v="MOF"/>
    <n v="1"/>
    <n v="30"/>
    <n v="100"/>
    <n v="11"/>
    <n v="25"/>
    <n v="150"/>
    <n v="100"/>
    <n v="39.091999999999999"/>
    <n v="60.908000000000001"/>
    <n v="39.090000000000003"/>
    <n v="55.9"/>
    <n v="5.0340000000000003E-2"/>
    <n v="3.7130000000000003E-4"/>
    <n v="11.858648293651896"/>
    <n v="3.304442387849325"/>
    <n v="2"/>
  </r>
  <r>
    <n v="1899"/>
    <s v="MOF"/>
    <n v="1"/>
    <n v="30"/>
    <n v="100"/>
    <n v="11"/>
    <n v="25"/>
    <n v="150"/>
    <n v="100"/>
    <n v="36.024999999999999"/>
    <n v="63.975000000000001"/>
    <n v="36.020000000000003"/>
    <n v="53.7"/>
    <n v="6.2960000000000002E-2"/>
    <n v="3.2689999999999998E-4"/>
    <n v="9.4048306347606143"/>
    <n v="3.2816691752772815"/>
    <n v="3"/>
  </r>
  <r>
    <n v="1900"/>
    <s v="MOF"/>
    <n v="1"/>
    <n v="30"/>
    <n v="200"/>
    <n v="3"/>
    <n v="25"/>
    <n v="150"/>
    <n v="100"/>
    <n v="75.539000000000001"/>
    <n v="124.461"/>
    <n v="37.770000000000003"/>
    <n v="45.9"/>
    <n v="6.0470000000000003E-2"/>
    <n v="3.589E-4"/>
    <n v="33.881350200630756"/>
    <n v="3.7294850204001526"/>
    <n v="1"/>
  </r>
  <r>
    <n v="1901"/>
    <s v="MOF"/>
    <n v="1"/>
    <n v="30"/>
    <n v="200"/>
    <n v="3"/>
    <n v="25"/>
    <n v="150"/>
    <n v="100"/>
    <n v="84.119"/>
    <n v="115.881"/>
    <n v="42.06"/>
    <n v="50.4"/>
    <n v="5.7669999999999999E-2"/>
    <n v="3.2029999999999998E-4"/>
    <n v="37.600709556945397"/>
    <n v="3.8398455781156766"/>
    <n v="2"/>
  </r>
  <r>
    <n v="1902"/>
    <s v="MOF"/>
    <n v="1"/>
    <n v="30"/>
    <n v="200"/>
    <n v="3"/>
    <n v="25"/>
    <n v="150"/>
    <n v="100"/>
    <n v="86.700999999999993"/>
    <n v="113.29900000000001"/>
    <n v="43.35"/>
    <n v="48.6"/>
    <n v="5.006E-2"/>
    <n v="3.277E-4"/>
    <n v="39.895241095997129"/>
    <n v="3.8460062488574742"/>
    <n v="3"/>
  </r>
  <r>
    <n v="1903"/>
    <s v="MOF"/>
    <n v="1"/>
    <n v="30"/>
    <n v="200"/>
    <n v="7"/>
    <n v="25"/>
    <n v="150"/>
    <n v="100"/>
    <n v="122.42"/>
    <n v="77.58"/>
    <n v="61.21"/>
    <n v="54.1"/>
    <n v="5.6300000000000003E-2"/>
    <n v="2.209E-4"/>
    <n v="54.832338355649057"/>
    <n v="4.2134254463361263"/>
    <n v="1"/>
  </r>
  <r>
    <n v="1904"/>
    <s v="MOF"/>
    <n v="1"/>
    <n v="30"/>
    <n v="200"/>
    <n v="7"/>
    <n v="25"/>
    <n v="150"/>
    <n v="100"/>
    <n v="118.616"/>
    <n v="81.384"/>
    <n v="59.31"/>
    <n v="51.3"/>
    <n v="6.3280000000000003E-2"/>
    <n v="3.122E-4"/>
    <n v="62.425383906408769"/>
    <n v="4.0287497695343877"/>
    <n v="2"/>
  </r>
  <r>
    <n v="1905"/>
    <s v="MOF"/>
    <n v="1"/>
    <n v="30"/>
    <n v="200"/>
    <n v="7"/>
    <n v="25"/>
    <n v="150"/>
    <n v="100"/>
    <n v="127.15600000000001"/>
    <n v="72.843999999999994"/>
    <n v="63.58"/>
    <n v="66.8"/>
    <n v="4.7780000000000003E-2"/>
    <n v="3.6380000000000001E-4"/>
    <n v="73.903200788864453"/>
    <n v="3.9750503705531886"/>
    <n v="3"/>
  </r>
  <r>
    <n v="1906"/>
    <s v="MOF"/>
    <n v="1"/>
    <n v="30"/>
    <n v="200"/>
    <n v="11"/>
    <n v="25"/>
    <n v="150"/>
    <n v="100"/>
    <n v="95.274000000000001"/>
    <n v="104.726"/>
    <n v="47.64"/>
    <n v="50.4"/>
    <n v="5.058E-2"/>
    <n v="3.2440000000000002E-4"/>
    <n v="45.837680312239371"/>
    <n v="3.9006853704061637"/>
    <n v="1"/>
  </r>
  <r>
    <n v="1907"/>
    <s v="MOF"/>
    <n v="1"/>
    <n v="30"/>
    <n v="200"/>
    <n v="11"/>
    <n v="25"/>
    <n v="150"/>
    <n v="100"/>
    <n v="120.175"/>
    <n v="79.825000000000003"/>
    <n v="60.09"/>
    <n v="61.5"/>
    <n v="6.1060000000000003E-2"/>
    <n v="3.6719999999999998E-4"/>
    <n v="68.461200154760547"/>
    <n v="3.9457246674685211"/>
    <n v="2"/>
  </r>
  <r>
    <n v="1908"/>
    <s v="MOF"/>
    <n v="1"/>
    <n v="30"/>
    <n v="200"/>
    <n v="11"/>
    <n v="25"/>
    <n v="150"/>
    <n v="100"/>
    <n v="89.593000000000004"/>
    <n v="110.407"/>
    <n v="44.8"/>
    <n v="57.8"/>
    <n v="6.0900000000000003E-2"/>
    <n v="3.2009999999999997E-4"/>
    <n v="41.434082394230629"/>
    <n v="3.8745063257847394"/>
    <n v="3"/>
  </r>
  <r>
    <n v="1909"/>
    <s v="MOF"/>
    <n v="1"/>
    <n v="60"/>
    <n v="25"/>
    <n v="3"/>
    <n v="25"/>
    <n v="150"/>
    <n v="100"/>
    <n v="5.4009999999999998"/>
    <n v="19.599"/>
    <n v="21.6"/>
    <n v="60.3"/>
    <n v="6.5189999999999998E-2"/>
    <n v="3.3540000000000002E-4"/>
    <n v="0.52948375601973197"/>
    <n v="1.5834052323702106"/>
    <n v="1"/>
  </r>
  <r>
    <n v="1910"/>
    <s v="MOF"/>
    <n v="1"/>
    <n v="60"/>
    <n v="25"/>
    <n v="3"/>
    <n v="25"/>
    <n v="150"/>
    <n v="100"/>
    <n v="4.67"/>
    <n v="20.329999999999998"/>
    <n v="18.68"/>
    <n v="51.6"/>
    <n v="6.2899999999999998E-2"/>
    <n v="2.8600000000000001E-4"/>
    <n v="0.34647517370941394"/>
    <n v="1.4640710015761615"/>
    <n v="2"/>
  </r>
  <r>
    <n v="1911"/>
    <s v="MOF"/>
    <n v="1"/>
    <n v="60"/>
    <n v="25"/>
    <n v="3"/>
    <n v="25"/>
    <n v="150"/>
    <n v="100"/>
    <n v="4.3259999999999996"/>
    <n v="20.673999999999999"/>
    <n v="17.309999999999999"/>
    <n v="55.3"/>
    <n v="5.2569999999999999E-2"/>
    <n v="3.503E-4"/>
    <n v="0.36055371461356645"/>
    <n v="1.3776184049663123"/>
    <n v="3"/>
  </r>
  <r>
    <n v="1912"/>
    <s v="MOF"/>
    <n v="1"/>
    <n v="60"/>
    <n v="25"/>
    <n v="7"/>
    <n v="25"/>
    <n v="150"/>
    <n v="100"/>
    <n v="8.7729999999999997"/>
    <n v="16.227"/>
    <n v="35.090000000000003"/>
    <n v="50"/>
    <n v="4.4699999999999997E-2"/>
    <n v="4.216E-4"/>
    <n v="1.5933261922631956"/>
    <n v="1.9712539513508029"/>
    <n v="1"/>
  </r>
  <r>
    <n v="1913"/>
    <s v="MOF"/>
    <n v="1"/>
    <n v="60"/>
    <n v="25"/>
    <n v="7"/>
    <n v="25"/>
    <n v="150"/>
    <n v="100"/>
    <n v="7.6539999999999999"/>
    <n v="17.346"/>
    <n v="30.62"/>
    <n v="45.9"/>
    <n v="6.1069999999999999E-2"/>
    <n v="3.3649999999999999E-4"/>
    <n v="1.0244869009257465"/>
    <n v="1.8915313624473349"/>
    <n v="2"/>
  </r>
  <r>
    <n v="1914"/>
    <s v="MOF"/>
    <n v="1"/>
    <n v="60"/>
    <n v="25"/>
    <n v="7"/>
    <n v="25"/>
    <n v="150"/>
    <n v="100"/>
    <n v="8.1920000000000002"/>
    <n v="16.808"/>
    <n v="32.770000000000003"/>
    <n v="58.5"/>
    <n v="6.096E-2"/>
    <n v="3.3829999999999998E-4"/>
    <n v="1.1679650694742902"/>
    <n v="1.9493378293451811"/>
    <n v="3"/>
  </r>
  <r>
    <n v="1915"/>
    <s v="MOF"/>
    <n v="1"/>
    <n v="60"/>
    <n v="25"/>
    <n v="11"/>
    <n v="25"/>
    <n v="150"/>
    <n v="100"/>
    <n v="6.931"/>
    <n v="18.068999999999999"/>
    <n v="27.72"/>
    <n v="37.1"/>
    <n v="5.9180000000000003E-2"/>
    <n v="3.2059999999999999E-4"/>
    <n v="0.81536526429729783"/>
    <n v="1.8108485635401603"/>
    <n v="1"/>
  </r>
  <r>
    <n v="1916"/>
    <s v="MOF"/>
    <n v="1"/>
    <n v="60"/>
    <n v="25"/>
    <n v="11"/>
    <n v="25"/>
    <n v="150"/>
    <n v="100"/>
    <n v="6.8659999999999997"/>
    <n v="18.134"/>
    <n v="27.47"/>
    <n v="55.7"/>
    <n v="5.1299999999999998E-2"/>
    <n v="3.7320000000000002E-4"/>
    <n v="0.91493707602273644"/>
    <n v="1.7835698462880882"/>
    <n v="2"/>
  </r>
  <r>
    <n v="1917"/>
    <s v="MOF"/>
    <n v="1"/>
    <n v="60"/>
    <n v="25"/>
    <n v="11"/>
    <n v="25"/>
    <n v="150"/>
    <n v="100"/>
    <n v="6.6559999999999997"/>
    <n v="18.344000000000001"/>
    <n v="26.63"/>
    <n v="59.8"/>
    <n v="4.9340000000000002E-2"/>
    <n v="3.3310000000000002E-4"/>
    <n v="0.7814700188843543"/>
    <n v="1.7706260536154366"/>
    <n v="3"/>
  </r>
  <r>
    <n v="1918"/>
    <s v="MOF"/>
    <n v="1"/>
    <n v="60"/>
    <n v="50"/>
    <n v="3"/>
    <n v="25"/>
    <n v="150"/>
    <n v="100"/>
    <n v="15.775"/>
    <n v="34.225000000000001"/>
    <n v="31.55"/>
    <n v="54.2"/>
    <n v="5.9119999999999999E-2"/>
    <n v="2.7950000000000002E-4"/>
    <n v="3.300174533879431"/>
    <n v="2.5237126508479739"/>
    <n v="1"/>
  </r>
  <r>
    <n v="1919"/>
    <s v="MOF"/>
    <n v="1"/>
    <n v="60"/>
    <n v="50"/>
    <n v="3"/>
    <n v="25"/>
    <n v="150"/>
    <n v="100"/>
    <n v="16.149000000000001"/>
    <n v="33.850999999999999"/>
    <n v="32.299999999999997"/>
    <n v="52.2"/>
    <n v="5.0389999999999997E-2"/>
    <n v="3.2400000000000001E-4"/>
    <n v="3.8584522737079485"/>
    <n v="2.5088304894109137"/>
    <n v="2"/>
  </r>
  <r>
    <n v="1920"/>
    <s v="MOF"/>
    <n v="1"/>
    <n v="60"/>
    <n v="50"/>
    <n v="3"/>
    <n v="25"/>
    <n v="150"/>
    <n v="100"/>
    <n v="15.542"/>
    <n v="34.457999999999998"/>
    <n v="31.08"/>
    <n v="25.1"/>
    <n v="5.1139999999999998E-2"/>
    <n v="3.1930000000000001E-4"/>
    <n v="3.5659210518382243"/>
    <n v="2.4829112392934758"/>
    <n v="3"/>
  </r>
  <r>
    <n v="1921"/>
    <s v="MOF"/>
    <n v="1"/>
    <n v="60"/>
    <n v="50"/>
    <n v="7"/>
    <n v="25"/>
    <n v="150"/>
    <n v="100"/>
    <n v="25.408000000000001"/>
    <n v="24.591999999999999"/>
    <n v="50.82"/>
    <n v="48"/>
    <n v="5.382E-2"/>
    <n v="4.0400000000000001E-4"/>
    <n v="9.6841566332439317"/>
    <n v="2.7551782460978944"/>
    <n v="1"/>
  </r>
  <r>
    <n v="1922"/>
    <s v="MOF"/>
    <n v="1"/>
    <n v="60"/>
    <n v="50"/>
    <n v="7"/>
    <n v="25"/>
    <n v="150"/>
    <n v="100"/>
    <n v="26.2"/>
    <n v="23.8"/>
    <n v="52.4"/>
    <n v="61.9"/>
    <n v="5.2249999999999998E-2"/>
    <n v="3.6900000000000002E-4"/>
    <n v="9.6184351559553125"/>
    <n v="2.8082915266795991"/>
    <n v="2"/>
  </r>
  <r>
    <n v="1923"/>
    <s v="MOF"/>
    <n v="1"/>
    <n v="60"/>
    <n v="50"/>
    <n v="7"/>
    <n v="25"/>
    <n v="150"/>
    <n v="100"/>
    <n v="24.094000000000001"/>
    <n v="25.905999999999999"/>
    <n v="48.19"/>
    <n v="52.9"/>
    <n v="5.7250000000000002E-2"/>
    <n v="3.2909999999999998E-4"/>
    <n v="7.7674984174162445"/>
    <n v="2.7927896514889752"/>
    <n v="3"/>
  </r>
  <r>
    <n v="1924"/>
    <s v="MOF"/>
    <n v="1"/>
    <n v="60"/>
    <n v="50"/>
    <n v="11"/>
    <n v="25"/>
    <n v="150"/>
    <n v="100"/>
    <n v="21.157"/>
    <n v="28.843"/>
    <n v="42.31"/>
    <n v="53.2"/>
    <n v="5.8400000000000001E-2"/>
    <n v="4.0089999999999999E-4"/>
    <n v="7.1356247703424058"/>
    <n v="2.6405829673563357"/>
    <n v="1"/>
  </r>
  <r>
    <n v="1925"/>
    <s v="MOF"/>
    <n v="1"/>
    <n v="60"/>
    <n v="50"/>
    <n v="11"/>
    <n v="25"/>
    <n v="150"/>
    <n v="100"/>
    <n v="20.538"/>
    <n v="29.462"/>
    <n v="41.08"/>
    <n v="43"/>
    <n v="5.7450000000000001E-2"/>
    <n v="3.7980000000000002E-4"/>
    <n v="6.5477268542286247"/>
    <n v="2.6383623128450031"/>
    <n v="2"/>
  </r>
  <r>
    <n v="1926"/>
    <s v="MOF"/>
    <n v="1"/>
    <n v="60"/>
    <n v="50"/>
    <n v="11"/>
    <n v="25"/>
    <n v="150"/>
    <n v="100"/>
    <n v="20.350999999999999"/>
    <n v="29.649000000000001"/>
    <n v="40.700000000000003"/>
    <n v="45.4"/>
    <n v="5.1389999999999998E-2"/>
    <n v="3.8479999999999997E-4"/>
    <n v="6.5055003138413037"/>
    <n v="2.6279602474240602"/>
    <n v="3"/>
  </r>
  <r>
    <n v="1927"/>
    <s v="MOF"/>
    <n v="1"/>
    <n v="60"/>
    <n v="100"/>
    <n v="3"/>
    <n v="25"/>
    <n v="150"/>
    <n v="100"/>
    <n v="41.347999999999999"/>
    <n v="58.652000000000001"/>
    <n v="41.35"/>
    <n v="52.1"/>
    <n v="6.3670000000000004E-2"/>
    <n v="3.4830000000000001E-4"/>
    <n v="19.166673550841711"/>
    <n v="3.0992507839734604"/>
    <n v="1"/>
  </r>
  <r>
    <n v="1928"/>
    <s v="MOF"/>
    <n v="1"/>
    <n v="60"/>
    <n v="100"/>
    <n v="3"/>
    <n v="25"/>
    <n v="150"/>
    <n v="100"/>
    <n v="41.454999999999998"/>
    <n v="58.545000000000002"/>
    <n v="41.46"/>
    <n v="47.4"/>
    <n v="5.6829999999999999E-2"/>
    <n v="3.033E-4"/>
    <n v="17.825813308397979"/>
    <n v="3.1624826721385237"/>
    <n v="2"/>
  </r>
  <r>
    <n v="1929"/>
    <s v="MOF"/>
    <n v="1"/>
    <n v="60"/>
    <n v="100"/>
    <n v="3"/>
    <n v="25"/>
    <n v="150"/>
    <n v="100"/>
    <n v="42.920999999999999"/>
    <n v="57.079000000000001"/>
    <n v="42.92"/>
    <n v="57.3"/>
    <n v="6.2149999999999997E-2"/>
    <n v="3.7340000000000002E-4"/>
    <n v="21.040415578679617"/>
    <n v="3.0855996874950731"/>
    <n v="3"/>
  </r>
  <r>
    <n v="1930"/>
    <s v="MOF"/>
    <n v="1"/>
    <n v="60"/>
    <n v="100"/>
    <n v="7"/>
    <n v="25"/>
    <n v="150"/>
    <n v="100"/>
    <n v="61.372999999999998"/>
    <n v="38.627000000000002"/>
    <n v="61.37"/>
    <n v="64.2"/>
    <n v="5.3350000000000002E-2"/>
    <n v="3.0679999999999998E-4"/>
    <n v="32.55605931216332"/>
    <n v="3.3609634325369737"/>
    <n v="1"/>
  </r>
  <r>
    <n v="1931"/>
    <s v="MOF"/>
    <n v="1"/>
    <n v="60"/>
    <n v="100"/>
    <n v="7"/>
    <n v="25"/>
    <n v="150"/>
    <n v="100"/>
    <n v="63.823999999999998"/>
    <n v="36.176000000000002"/>
    <n v="63.82"/>
    <n v="66.3"/>
    <n v="5.5910000000000001E-2"/>
    <n v="3.5040000000000001E-4"/>
    <n v="36.570167492147839"/>
    <n v="3.3051941537100129"/>
    <n v="2"/>
  </r>
  <r>
    <n v="1932"/>
    <s v="MOF"/>
    <n v="1"/>
    <n v="60"/>
    <n v="100"/>
    <n v="7"/>
    <n v="25"/>
    <n v="150"/>
    <n v="100"/>
    <n v="72.006"/>
    <n v="27.994"/>
    <n v="72.010000000000005"/>
    <n v="42.8"/>
    <n v="4.793E-2"/>
    <n v="2.9339999999999998E-4"/>
    <n v="40.251633063219444"/>
    <n v="3.4580302571966843"/>
    <n v="3"/>
  </r>
  <r>
    <n v="1933"/>
    <s v="MOF"/>
    <n v="1"/>
    <n v="60"/>
    <n v="100"/>
    <n v="11"/>
    <n v="25"/>
    <n v="150"/>
    <n v="100"/>
    <n v="53.262"/>
    <n v="46.738"/>
    <n v="53.26"/>
    <n v="55.9"/>
    <n v="6.3490000000000005E-2"/>
    <n v="3.5849999999999999E-4"/>
    <n v="28.438933673383829"/>
    <n v="3.2117733147168654"/>
    <n v="1"/>
  </r>
  <r>
    <n v="1934"/>
    <s v="MOF"/>
    <n v="1"/>
    <n v="60"/>
    <n v="100"/>
    <n v="11"/>
    <n v="25"/>
    <n v="150"/>
    <n v="100"/>
    <n v="50.44"/>
    <n v="49.56"/>
    <n v="50.44"/>
    <n v="54.6"/>
    <n v="5.5649999999999998E-2"/>
    <n v="2.9149999999999998E-4"/>
    <n v="23.641509981215552"/>
    <n v="3.2883455433468383"/>
    <n v="2"/>
  </r>
  <r>
    <n v="1935"/>
    <s v="MOF"/>
    <n v="1"/>
    <n v="60"/>
    <n v="100"/>
    <n v="11"/>
    <n v="25"/>
    <n v="150"/>
    <n v="100"/>
    <n v="61.756"/>
    <n v="38.244"/>
    <n v="61.76"/>
    <n v="58.8"/>
    <n v="5.6160000000000002E-2"/>
    <n v="3.7149999999999998E-4"/>
    <n v="35.770336902481013"/>
    <n v="3.2575449666077407"/>
    <n v="3"/>
  </r>
  <r>
    <n v="1936"/>
    <s v="MOF"/>
    <n v="1"/>
    <n v="60"/>
    <n v="200"/>
    <n v="3"/>
    <n v="25"/>
    <n v="150"/>
    <n v="100"/>
    <n v="111.31100000000001"/>
    <n v="88.688999999999993"/>
    <n v="55.66"/>
    <n v="53.4"/>
    <n v="5.1529999999999999E-2"/>
    <n v="3.7100000000000002E-4"/>
    <n v="79.304688944685864"/>
    <n v="3.4659331038328918"/>
    <n v="1"/>
  </r>
  <r>
    <n v="1937"/>
    <s v="MOF"/>
    <n v="1"/>
    <n v="60"/>
    <n v="200"/>
    <n v="3"/>
    <n v="25"/>
    <n v="150"/>
    <n v="100"/>
    <n v="108.908"/>
    <n v="91.091999999999999"/>
    <n v="54.45"/>
    <n v="47.9"/>
    <n v="6.2799999999999995E-2"/>
    <n v="3.6029999999999998E-4"/>
    <n v="76.440532808758974"/>
    <n v="3.4802385784908108"/>
    <n v="2"/>
  </r>
  <r>
    <n v="1938"/>
    <s v="MOF"/>
    <n v="1"/>
    <n v="60"/>
    <n v="200"/>
    <n v="3"/>
    <n v="25"/>
    <n v="150"/>
    <n v="100"/>
    <n v="111.46299999999999"/>
    <n v="88.537000000000006"/>
    <n v="55.73"/>
    <n v="65.900000000000006"/>
    <n v="5.5120000000000002E-2"/>
    <n v="3.611E-4"/>
    <n v="78.823353786297574"/>
    <n v="3.4855276909961836"/>
    <n v="3"/>
  </r>
  <r>
    <n v="1939"/>
    <s v="MOF"/>
    <n v="1"/>
    <n v="60"/>
    <n v="200"/>
    <n v="7"/>
    <n v="25"/>
    <n v="150"/>
    <n v="100"/>
    <n v="159.34100000000001"/>
    <n v="40.658999999999999"/>
    <n v="79.67"/>
    <n v="48.6"/>
    <n v="5.5300000000000002E-2"/>
    <n v="3.5439999999999999E-4"/>
    <n v="123.02997982521516"/>
    <n v="3.592121281280102"/>
    <n v="1"/>
  </r>
  <r>
    <n v="1940"/>
    <s v="MOF"/>
    <n v="1"/>
    <n v="60"/>
    <n v="200"/>
    <n v="7"/>
    <n v="25"/>
    <n v="150"/>
    <n v="100"/>
    <n v="140.69900000000001"/>
    <n v="59.301000000000002"/>
    <n v="70.349999999999994"/>
    <n v="73.5"/>
    <n v="4.7260000000000003E-2"/>
    <n v="3.0459999999999998E-4"/>
    <n v="101.30312945734781"/>
    <n v="3.6736610022489602"/>
    <n v="2"/>
  </r>
  <r>
    <n v="1941"/>
    <s v="MOF"/>
    <n v="1"/>
    <n v="60"/>
    <n v="200"/>
    <n v="7"/>
    <n v="25"/>
    <n v="150"/>
    <n v="100"/>
    <n v="164.66300000000001"/>
    <n v="35.337000000000003"/>
    <n v="82.33"/>
    <n v="60.4"/>
    <n v="4.9360000000000001E-2"/>
    <n v="3.7130000000000003E-4"/>
    <n v="129.39088765640781"/>
    <n v="3.5630926331149837"/>
    <n v="3"/>
  </r>
  <r>
    <n v="1942"/>
    <s v="MOF"/>
    <n v="1"/>
    <n v="60"/>
    <n v="200"/>
    <n v="11"/>
    <n v="25"/>
    <n v="150"/>
    <n v="100"/>
    <n v="136.53800000000001"/>
    <n v="63.462000000000003"/>
    <n v="68.27"/>
    <n v="54.3"/>
    <n v="6.9290000000000004E-2"/>
    <n v="2.8969999999999999E-4"/>
    <n v="96.061950527314494"/>
    <n v="3.7007104281388665"/>
    <n v="1"/>
  </r>
  <r>
    <n v="1943"/>
    <s v="MOF"/>
    <n v="1"/>
    <n v="60"/>
    <n v="200"/>
    <n v="11"/>
    <n v="25"/>
    <n v="150"/>
    <n v="100"/>
    <n v="129.82900000000001"/>
    <n v="70.171000000000006"/>
    <n v="64.91"/>
    <n v="64.099999999999994"/>
    <n v="5.9900000000000002E-2"/>
    <n v="3.4279999999999998E-4"/>
    <n v="94.456362625115659"/>
    <n v="3.5659385657438496"/>
    <n v="2"/>
  </r>
  <r>
    <n v="1944"/>
    <s v="MOF"/>
    <n v="1"/>
    <n v="60"/>
    <n v="200"/>
    <n v="11"/>
    <n v="25"/>
    <n v="150"/>
    <n v="100"/>
    <n v="121.298"/>
    <n v="78.701999999999998"/>
    <n v="60.65"/>
    <n v="58.2"/>
    <n v="5.9490000000000001E-2"/>
    <n v="3.7110000000000002E-4"/>
    <n v="88.522031852380721"/>
    <n v="3.4896955684238415"/>
    <n v="3"/>
  </r>
  <r>
    <n v="1945"/>
    <s v="MOF"/>
    <n v="1"/>
    <n v="120"/>
    <n v="25"/>
    <n v="3"/>
    <n v="25"/>
    <n v="150"/>
    <n v="100"/>
    <n v="8.4870000000000001"/>
    <n v="16.513000000000002"/>
    <n v="33.950000000000003"/>
    <n v="46.2"/>
    <n v="5.3749999999999999E-2"/>
    <n v="3.1710000000000001E-4"/>
    <n v="2.0717785879039279"/>
    <n v="1.8586735122180547"/>
    <n v="1"/>
  </r>
  <r>
    <n v="1946"/>
    <s v="MOF"/>
    <n v="1"/>
    <n v="120"/>
    <n v="25"/>
    <n v="3"/>
    <n v="25"/>
    <n v="150"/>
    <n v="100"/>
    <n v="7.6970000000000001"/>
    <n v="17.303000000000001"/>
    <n v="30.79"/>
    <n v="62.9"/>
    <n v="5.5590000000000001E-2"/>
    <n v="4.4119999999999999E-4"/>
    <n v="2.2284774495437176"/>
    <n v="1.699008479485159"/>
    <n v="2"/>
  </r>
  <r>
    <n v="1947"/>
    <s v="MOF"/>
    <n v="1"/>
    <n v="120"/>
    <n v="25"/>
    <n v="3"/>
    <n v="25"/>
    <n v="150"/>
    <n v="100"/>
    <n v="8.0180000000000007"/>
    <n v="16.981999999999999"/>
    <n v="32.07"/>
    <n v="55"/>
    <n v="5.5579999999999997E-2"/>
    <n v="3.277E-4"/>
    <n v="1.9220515288380273"/>
    <n v="1.8076243654552422"/>
    <n v="3"/>
  </r>
  <r>
    <n v="1948"/>
    <s v="MOF"/>
    <n v="1"/>
    <n v="120"/>
    <n v="25"/>
    <n v="7"/>
    <n v="25"/>
    <n v="150"/>
    <n v="100"/>
    <n v="12.228999999999999"/>
    <n v="12.771000000000001"/>
    <n v="48.92"/>
    <n v="63.8"/>
    <n v="5.5629999999999999E-2"/>
    <n v="3.2220000000000003E-4"/>
    <n v="3.9258924044956043"/>
    <n v="2.1166298538258714"/>
    <n v="1"/>
  </r>
  <r>
    <n v="1949"/>
    <s v="MOF"/>
    <n v="1"/>
    <n v="120"/>
    <n v="25"/>
    <n v="7"/>
    <n v="25"/>
    <n v="150"/>
    <n v="100"/>
    <n v="11.484"/>
    <n v="13.516"/>
    <n v="45.94"/>
    <n v="50.9"/>
    <n v="5.5410000000000001E-2"/>
    <n v="3.9179999999999998E-4"/>
    <n v="4.0265266121405441"/>
    <n v="2.0092166688934543"/>
    <n v="2"/>
  </r>
  <r>
    <n v="1950"/>
    <s v="MOF"/>
    <n v="1"/>
    <n v="120"/>
    <n v="25"/>
    <n v="7"/>
    <n v="25"/>
    <n v="150"/>
    <n v="100"/>
    <n v="11.127000000000001"/>
    <n v="13.872999999999999"/>
    <n v="44.51"/>
    <n v="51.9"/>
    <n v="5.5789999999999999E-2"/>
    <n v="2.8580000000000001E-4"/>
    <n v="3.0733617239250841"/>
    <n v="2.0861239490882819"/>
    <n v="3"/>
  </r>
  <r>
    <n v="1951"/>
    <s v="MOF"/>
    <n v="1"/>
    <n v="120"/>
    <n v="25"/>
    <n v="11"/>
    <n v="25"/>
    <n v="150"/>
    <n v="100"/>
    <n v="9.0429999999999993"/>
    <n v="15.957000000000001"/>
    <n v="36.17"/>
    <n v="49"/>
    <n v="5.0619999999999998E-2"/>
    <n v="3.567E-4"/>
    <n v="2.5235329550328522"/>
    <n v="1.8747926310280814"/>
    <n v="1"/>
  </r>
  <r>
    <n v="1952"/>
    <s v="MOF"/>
    <n v="1"/>
    <n v="120"/>
    <n v="25"/>
    <n v="11"/>
    <n v="25"/>
    <n v="150"/>
    <n v="100"/>
    <n v="9.4949999999999992"/>
    <n v="15.505000000000001"/>
    <n v="37.979999999999997"/>
    <n v="50"/>
    <n v="5.7349999999999998E-2"/>
    <n v="4.103E-4"/>
    <n v="3.0247941768583706"/>
    <n v="1.8672079199297926"/>
    <n v="2"/>
  </r>
  <r>
    <n v="1953"/>
    <s v="MOF"/>
    <n v="1"/>
    <n v="120"/>
    <n v="25"/>
    <n v="11"/>
    <n v="25"/>
    <n v="150"/>
    <n v="100"/>
    <n v="10.705"/>
    <n v="14.295"/>
    <n v="42.82"/>
    <n v="38.799999999999997"/>
    <n v="5.8169999999999999E-2"/>
    <n v="3.4380000000000001E-4"/>
    <n v="3.2794573485570111"/>
    <n v="2.004925766387657"/>
    <n v="3"/>
  </r>
  <r>
    <n v="1954"/>
    <s v="MOF"/>
    <n v="1"/>
    <n v="120"/>
    <n v="50"/>
    <n v="3"/>
    <n v="25"/>
    <n v="150"/>
    <n v="100"/>
    <n v="22.22"/>
    <n v="27.78"/>
    <n v="44.44"/>
    <n v="51.3"/>
    <n v="5.5649999999999998E-2"/>
    <n v="3.5530000000000002E-4"/>
    <n v="10.809750231173098"/>
    <n v="2.4345120539785574"/>
    <n v="1"/>
  </r>
  <r>
    <n v="1955"/>
    <s v="MOF"/>
    <n v="1"/>
    <n v="120"/>
    <n v="50"/>
    <n v="3"/>
    <n v="25"/>
    <n v="150"/>
    <n v="100"/>
    <n v="21.091000000000001"/>
    <n v="28.908999999999999"/>
    <n v="42.18"/>
    <n v="47.2"/>
    <n v="5.253E-2"/>
    <n v="3.5819999999999998E-4"/>
    <n v="10.028758030950597"/>
    <n v="2.4035376852303276"/>
    <n v="2"/>
  </r>
  <r>
    <n v="1956"/>
    <s v="MOF"/>
    <n v="1"/>
    <n v="120"/>
    <n v="50"/>
    <n v="3"/>
    <n v="25"/>
    <n v="150"/>
    <n v="100"/>
    <n v="22.902999999999999"/>
    <n v="27.097000000000001"/>
    <n v="45.81"/>
    <n v="61.5"/>
    <n v="5.228E-2"/>
    <n v="3.5990000000000002E-4"/>
    <n v="11.388948556877164"/>
    <n v="2.4435681541195127"/>
    <n v="3"/>
  </r>
  <r>
    <n v="1957"/>
    <s v="MOF"/>
    <n v="1"/>
    <n v="120"/>
    <n v="50"/>
    <n v="7"/>
    <n v="25"/>
    <n v="150"/>
    <n v="100"/>
    <n v="34.692"/>
    <n v="15.308"/>
    <n v="69.38"/>
    <n v="64.099999999999994"/>
    <n v="5.4679999999999999E-2"/>
    <n v="3.4230000000000003E-4"/>
    <n v="20.386071305789418"/>
    <n v="2.6606740453462563"/>
    <n v="1"/>
  </r>
  <r>
    <n v="1958"/>
    <s v="MOF"/>
    <n v="1"/>
    <n v="120"/>
    <n v="50"/>
    <n v="7"/>
    <n v="25"/>
    <n v="150"/>
    <n v="100"/>
    <n v="32.936999999999998"/>
    <n v="17.062999999999999"/>
    <n v="65.87"/>
    <n v="45.1"/>
    <n v="5.3940000000000002E-2"/>
    <n v="3.7609999999999998E-4"/>
    <n v="19.690737388133904"/>
    <n v="2.5837154456148705"/>
    <n v="2"/>
  </r>
  <r>
    <n v="1959"/>
    <s v="MOF"/>
    <n v="1"/>
    <n v="120"/>
    <n v="50"/>
    <n v="7"/>
    <n v="25"/>
    <n v="150"/>
    <n v="100"/>
    <n v="33.963000000000001"/>
    <n v="16.036999999999999"/>
    <n v="67.930000000000007"/>
    <n v="52.3"/>
    <n v="5.62E-2"/>
    <n v="3.211E-4"/>
    <n v="19.251883625542749"/>
    <n v="2.6886034239469514"/>
    <n v="3"/>
  </r>
  <r>
    <n v="1960"/>
    <s v="MOF"/>
    <n v="1"/>
    <n v="120"/>
    <n v="50"/>
    <n v="11"/>
    <n v="25"/>
    <n v="150"/>
    <n v="100"/>
    <n v="27.405999999999999"/>
    <n v="22.594000000000001"/>
    <n v="54.81"/>
    <n v="53.9"/>
    <n v="5.348E-2"/>
    <n v="3.3730000000000001E-4"/>
    <n v="14.412973133651867"/>
    <n v="2.5644128186540325"/>
    <n v="1"/>
  </r>
  <r>
    <n v="1961"/>
    <s v="MOF"/>
    <n v="1"/>
    <n v="120"/>
    <n v="50"/>
    <n v="11"/>
    <n v="25"/>
    <n v="150"/>
    <n v="100"/>
    <n v="26.004999999999999"/>
    <n v="23.995000000000001"/>
    <n v="52.01"/>
    <n v="50.9"/>
    <n v="5.8619999999999998E-2"/>
    <n v="3.3619999999999999E-4"/>
    <n v="13.31434567210769"/>
    <n v="2.5408658428786608"/>
    <n v="2"/>
  </r>
  <r>
    <n v="1962"/>
    <s v="MOF"/>
    <n v="1"/>
    <n v="120"/>
    <n v="50"/>
    <n v="11"/>
    <n v="25"/>
    <n v="150"/>
    <n v="100"/>
    <n v="29.033000000000001"/>
    <n v="20.966999999999999"/>
    <n v="58.07"/>
    <n v="66.5"/>
    <n v="5.0099999999999999E-2"/>
    <n v="3.524E-4"/>
    <n v="16.000553572444719"/>
    <n v="2.5674421269710903"/>
    <n v="3"/>
  </r>
  <r>
    <n v="1963"/>
    <s v="MOF"/>
    <n v="1"/>
    <n v="120"/>
    <n v="100"/>
    <n v="3"/>
    <n v="25"/>
    <n v="150"/>
    <n v="100"/>
    <n v="51.920999999999999"/>
    <n v="48.079000000000001"/>
    <n v="51.92"/>
    <n v="51.9"/>
    <n v="6.6009999999999999E-2"/>
    <n v="3.392E-4"/>
    <n v="35.244335578635507"/>
    <n v="2.814010402194647"/>
    <n v="1"/>
  </r>
  <r>
    <n v="1964"/>
    <s v="MOF"/>
    <n v="1"/>
    <n v="120"/>
    <n v="100"/>
    <n v="3"/>
    <n v="25"/>
    <n v="150"/>
    <n v="100"/>
    <n v="55.77"/>
    <n v="44.23"/>
    <n v="55.77"/>
    <n v="59"/>
    <n v="4.9500000000000002E-2"/>
    <n v="3.2009999999999997E-4"/>
    <n v="38.021499253442748"/>
    <n v="2.8763010473713675"/>
    <n v="2"/>
  </r>
  <r>
    <n v="1965"/>
    <s v="MOF"/>
    <n v="1"/>
    <n v="120"/>
    <n v="100"/>
    <n v="3"/>
    <n v="25"/>
    <n v="150"/>
    <n v="100"/>
    <n v="49.805999999999997"/>
    <n v="50.194000000000003"/>
    <n v="49.81"/>
    <n v="47.3"/>
    <n v="3.9320000000000001E-2"/>
    <n v="3.6910000000000003E-4"/>
    <n v="34.270789212373586"/>
    <n v="2.743109111315972"/>
    <n v="3"/>
  </r>
  <r>
    <n v="1966"/>
    <s v="MOF"/>
    <n v="1"/>
    <n v="120"/>
    <n v="100"/>
    <n v="7"/>
    <n v="25"/>
    <n v="150"/>
    <n v="100"/>
    <n v="88.384"/>
    <n v="11.616"/>
    <n v="88.38"/>
    <n v="55.8"/>
    <n v="4.7210000000000002E-2"/>
    <n v="3.2749999999999999E-4"/>
    <n v="68.626724071973157"/>
    <n v="2.9835218249230704"/>
    <n v="1"/>
  </r>
  <r>
    <n v="1967"/>
    <s v="MOF"/>
    <n v="1"/>
    <n v="120"/>
    <n v="100"/>
    <n v="7"/>
    <n v="25"/>
    <n v="150"/>
    <n v="100"/>
    <n v="74.790999999999997"/>
    <n v="25.209"/>
    <n v="74.790000000000006"/>
    <n v="46.2"/>
    <n v="5.9729999999999998E-2"/>
    <n v="3.7839999999999998E-4"/>
    <n v="57.778003367173454"/>
    <n v="2.8339775597823031"/>
    <n v="2"/>
  </r>
  <r>
    <n v="1968"/>
    <s v="MOF"/>
    <n v="1"/>
    <n v="120"/>
    <n v="100"/>
    <n v="7"/>
    <n v="25"/>
    <n v="150"/>
    <n v="100"/>
    <n v="71.022999999999996"/>
    <n v="28.977"/>
    <n v="71.02"/>
    <n v="60.5"/>
    <n v="6.3399999999999998E-2"/>
    <n v="4.1659999999999999E-4"/>
    <n v="55.415545201521105"/>
    <n v="2.7477486718085395"/>
    <n v="3"/>
  </r>
  <r>
    <n v="1969"/>
    <s v="MOF"/>
    <n v="1"/>
    <n v="120"/>
    <n v="100"/>
    <n v="11"/>
    <n v="25"/>
    <n v="150"/>
    <n v="100"/>
    <n v="76.216999999999999"/>
    <n v="23.783000000000001"/>
    <n v="76.22"/>
    <n v="47.2"/>
    <n v="7.0529999999999995E-2"/>
    <n v="3.3760000000000002E-4"/>
    <n v="57.571565617689238"/>
    <n v="2.9256013108821022"/>
    <n v="1"/>
  </r>
  <r>
    <n v="1970"/>
    <s v="MOF"/>
    <n v="1"/>
    <n v="120"/>
    <n v="100"/>
    <n v="11"/>
    <n v="25"/>
    <n v="150"/>
    <n v="100"/>
    <n v="60.851999999999997"/>
    <n v="39.148000000000003"/>
    <n v="60.85"/>
    <n v="57.2"/>
    <n v="5.1799999999999999E-2"/>
    <n v="3.6400000000000001E-4"/>
    <n v="44.216750004767619"/>
    <n v="2.8115239376251679"/>
    <n v="2"/>
  </r>
  <r>
    <n v="1971"/>
    <s v="MOF"/>
    <n v="1"/>
    <n v="120"/>
    <n v="100"/>
    <n v="11"/>
    <n v="25"/>
    <n v="150"/>
    <n v="100"/>
    <n v="57.618000000000002"/>
    <n v="42.381999999999998"/>
    <n v="57.62"/>
    <n v="52.6"/>
    <n v="6.207E-2"/>
    <n v="3.48E-4"/>
    <n v="40.70201639248004"/>
    <n v="2.8282589505579852"/>
    <n v="3"/>
  </r>
  <r>
    <n v="1972"/>
    <s v="MOF"/>
    <n v="1"/>
    <n v="120"/>
    <n v="200"/>
    <n v="3"/>
    <n v="25"/>
    <n v="150"/>
    <n v="100"/>
    <n v="122.345"/>
    <n v="77.655000000000001"/>
    <n v="61.17"/>
    <n v="58.4"/>
    <n v="6.1440000000000002E-2"/>
    <n v="2.921E-4"/>
    <n v="99.210565121024217"/>
    <n v="3.1413221949577759"/>
    <n v="1"/>
  </r>
  <r>
    <n v="1973"/>
    <s v="MOF"/>
    <n v="1"/>
    <n v="120"/>
    <n v="200"/>
    <n v="3"/>
    <n v="25"/>
    <n v="150"/>
    <n v="100"/>
    <n v="126.101"/>
    <n v="73.899000000000001"/>
    <n v="63.05"/>
    <n v="52.4"/>
    <n v="5.5919999999999997E-2"/>
    <n v="3.8709999999999998E-4"/>
    <n v="107.71261378468198"/>
    <n v="2.9117192813843835"/>
    <n v="2"/>
  </r>
  <r>
    <n v="1974"/>
    <s v="MOF"/>
    <n v="1"/>
    <n v="120"/>
    <n v="200"/>
    <n v="3"/>
    <n v="25"/>
    <n v="150"/>
    <n v="100"/>
    <n v="111.018"/>
    <n v="88.981999999999999"/>
    <n v="55.51"/>
    <n v="46.3"/>
    <n v="4.4359999999999997E-2"/>
    <n v="3.3080000000000002E-4"/>
    <n v="90.48561510441138"/>
    <n v="3.0220033906546617"/>
    <n v="3"/>
  </r>
  <r>
    <n v="1975"/>
    <s v="MOF"/>
    <n v="1"/>
    <n v="120"/>
    <n v="200"/>
    <n v="7"/>
    <n v="25"/>
    <n v="150"/>
    <n v="100"/>
    <n v="183.08600000000001"/>
    <n v="16.914000000000001"/>
    <n v="91.54"/>
    <n v="53.6"/>
    <n v="4.7629999999999999E-2"/>
    <n v="3.3300000000000002E-4"/>
    <n v="161.07019506520243"/>
    <n v="3.0917606015553223"/>
    <n v="1"/>
  </r>
  <r>
    <n v="1976"/>
    <s v="MOF"/>
    <n v="1"/>
    <n v="120"/>
    <n v="200"/>
    <n v="7"/>
    <n v="25"/>
    <n v="150"/>
    <n v="100"/>
    <n v="150.04400000000001"/>
    <n v="49.956000000000003"/>
    <n v="75.02"/>
    <n v="45.3"/>
    <n v="5.7140000000000003E-2"/>
    <n v="3.0889999999999997E-4"/>
    <n v="127.17782130948979"/>
    <n v="3.129658905770877"/>
    <n v="2"/>
  </r>
  <r>
    <n v="1977"/>
    <s v="MOF"/>
    <n v="1"/>
    <n v="120"/>
    <n v="200"/>
    <n v="7"/>
    <n v="25"/>
    <n v="150"/>
    <n v="100"/>
    <n v="180.53299999999999"/>
    <n v="19.466999999999999"/>
    <n v="90.27"/>
    <n v="54"/>
    <n v="5.5469999999999998E-2"/>
    <n v="3.4029999999999998E-4"/>
    <n v="158.96972905883706"/>
    <n v="3.0709914479454903"/>
    <n v="3"/>
  </r>
  <r>
    <n v="1978"/>
    <s v="MOF"/>
    <n v="1"/>
    <n v="120"/>
    <n v="200"/>
    <n v="11"/>
    <n v="25"/>
    <n v="150"/>
    <n v="100"/>
    <n v="147.191"/>
    <n v="52.808999999999997"/>
    <n v="73.599999999999994"/>
    <n v="61"/>
    <n v="5.6840000000000002E-2"/>
    <n v="3.6979999999999999E-4"/>
    <n v="127.64825858116012"/>
    <n v="2.9726039345650133"/>
    <n v="1"/>
  </r>
  <r>
    <n v="1979"/>
    <s v="MOF"/>
    <n v="1"/>
    <n v="120"/>
    <n v="200"/>
    <n v="11"/>
    <n v="25"/>
    <n v="150"/>
    <n v="100"/>
    <n v="137.56299999999999"/>
    <n v="62.436999999999998"/>
    <n v="68.78"/>
    <n v="59"/>
    <n v="5.314E-2"/>
    <n v="3.501E-4"/>
    <n v="117.27136726121333"/>
    <n v="3.0102086207227328"/>
    <n v="2"/>
  </r>
  <r>
    <n v="1980"/>
    <s v="MOF"/>
    <n v="1"/>
    <n v="120"/>
    <n v="200"/>
    <n v="11"/>
    <n v="25"/>
    <n v="150"/>
    <n v="100"/>
    <n v="136.952"/>
    <n v="63.048000000000002"/>
    <n v="68.48"/>
    <n v="50.8"/>
    <n v="5.1209999999999999E-2"/>
    <n v="3.6640000000000002E-4"/>
    <n v="117.44735113262639"/>
    <n v="2.9706528406111699"/>
    <n v="3"/>
  </r>
  <r>
    <n v="1981"/>
    <s v="MOF"/>
    <n v="1"/>
    <n v="240"/>
    <n v="25"/>
    <n v="3"/>
    <n v="25"/>
    <n v="150"/>
    <n v="100"/>
    <n v="12.028"/>
    <n v="12.972"/>
    <n v="48.11"/>
    <n v="64.099999999999994"/>
    <n v="4.8090000000000001E-2"/>
    <n v="3.9510000000000001E-4"/>
    <n v="6.4088652311949375"/>
    <n v="1.7261776963245636"/>
    <n v="1"/>
  </r>
  <r>
    <n v="1982"/>
    <s v="MOF"/>
    <n v="1"/>
    <n v="240"/>
    <n v="25"/>
    <n v="3"/>
    <n v="25"/>
    <n v="150"/>
    <n v="100"/>
    <n v="10.772"/>
    <n v="14.228"/>
    <n v="43.09"/>
    <n v="59.5"/>
    <n v="5.0020000000000002E-2"/>
    <n v="3.5500000000000001E-4"/>
    <n v="5.1550723780649061"/>
    <n v="1.7257848279296397"/>
    <n v="2"/>
  </r>
  <r>
    <n v="1983"/>
    <s v="MOF"/>
    <n v="1"/>
    <n v="240"/>
    <n v="25"/>
    <n v="3"/>
    <n v="25"/>
    <n v="150"/>
    <n v="100"/>
    <n v="11.259"/>
    <n v="13.741"/>
    <n v="45.04"/>
    <n v="42.4"/>
    <n v="5.8349999999999999E-2"/>
    <n v="3.971E-4"/>
    <n v="5.8278136224724397"/>
    <n v="1.6921575958138282"/>
    <n v="3"/>
  </r>
  <r>
    <n v="1984"/>
    <s v="MOF"/>
    <n v="1"/>
    <n v="240"/>
    <n v="25"/>
    <n v="7"/>
    <n v="25"/>
    <n v="150"/>
    <n v="100"/>
    <n v="16.09"/>
    <n v="8.91"/>
    <n v="64.36"/>
    <n v="65.7"/>
    <n v="5.3960000000000001E-2"/>
    <n v="3.7970000000000001E-4"/>
    <n v="9.5659237175644751"/>
    <n v="1.8754993772770934"/>
    <n v="1"/>
  </r>
  <r>
    <n v="1985"/>
    <s v="MOF"/>
    <n v="1"/>
    <n v="240"/>
    <n v="25"/>
    <n v="7"/>
    <n v="25"/>
    <n v="150"/>
    <n v="100"/>
    <n v="13.759"/>
    <n v="11.241"/>
    <n v="55.04"/>
    <n v="74.3"/>
    <n v="6.3229999999999995E-2"/>
    <n v="3.4000000000000002E-4"/>
    <n v="7.2772658744306398"/>
    <n v="1.8689880865330675"/>
    <n v="2"/>
  </r>
  <r>
    <n v="1986"/>
    <s v="MOF"/>
    <n v="1"/>
    <n v="240"/>
    <n v="25"/>
    <n v="7"/>
    <n v="25"/>
    <n v="150"/>
    <n v="100"/>
    <n v="14.04"/>
    <n v="10.96"/>
    <n v="56.16"/>
    <n v="56.9"/>
    <n v="4.7059999999999998E-2"/>
    <n v="3.656E-4"/>
    <n v="7.7494681858952132"/>
    <n v="1.8390456162805271"/>
    <n v="3"/>
  </r>
  <r>
    <n v="1987"/>
    <s v="MOF"/>
    <n v="1"/>
    <n v="240"/>
    <n v="25"/>
    <n v="11"/>
    <n v="25"/>
    <n v="150"/>
    <n v="100"/>
    <n v="13.468"/>
    <n v="11.532"/>
    <n v="53.87"/>
    <n v="46.8"/>
    <n v="6.1170000000000002E-2"/>
    <n v="3.7819999999999998E-4"/>
    <n v="7.4080577509796619"/>
    <n v="1.8017002701711831"/>
    <n v="1"/>
  </r>
  <r>
    <n v="1988"/>
    <s v="MOF"/>
    <n v="1"/>
    <n v="240"/>
    <n v="25"/>
    <n v="11"/>
    <n v="25"/>
    <n v="150"/>
    <n v="100"/>
    <n v="13.984999999999999"/>
    <n v="11.015000000000001"/>
    <n v="55.94"/>
    <n v="54.6"/>
    <n v="4.7210000000000002E-2"/>
    <n v="3.8420000000000001E-4"/>
    <n v="7.8767564560268832"/>
    <n v="1.8096392595105832"/>
    <n v="2"/>
  </r>
  <r>
    <n v="1989"/>
    <s v="MOF"/>
    <n v="1"/>
    <n v="240"/>
    <n v="25"/>
    <n v="11"/>
    <n v="25"/>
    <n v="150"/>
    <n v="100"/>
    <n v="12.843"/>
    <n v="12.157"/>
    <n v="51.37"/>
    <n v="43.2"/>
    <n v="6.2440000000000002E-2"/>
    <n v="4.2349999999999999E-4"/>
    <n v="7.2720757359931385"/>
    <n v="1.7175609762607307"/>
    <n v="3"/>
  </r>
  <r>
    <n v="1990"/>
    <s v="MOF"/>
    <n v="1"/>
    <n v="240"/>
    <n v="50"/>
    <n v="3"/>
    <n v="25"/>
    <n v="150"/>
    <n v="100"/>
    <n v="27.279"/>
    <n v="22.721"/>
    <n v="54.56"/>
    <n v="72.2"/>
    <n v="5.5500000000000001E-2"/>
    <n v="3.367E-4"/>
    <n v="18.765915387390049"/>
    <n v="2.1416043460760612"/>
    <n v="1"/>
  </r>
  <r>
    <n v="1991"/>
    <s v="MOF"/>
    <n v="1"/>
    <n v="240"/>
    <n v="50"/>
    <n v="3"/>
    <n v="25"/>
    <n v="150"/>
    <n v="100"/>
    <n v="26.151"/>
    <n v="23.849"/>
    <n v="52.3"/>
    <n v="67.900000000000006"/>
    <n v="5.0709999999999998E-2"/>
    <n v="3.7570000000000002E-4"/>
    <n v="18.363290195000154"/>
    <n v="2.0525468250026493"/>
    <n v="2"/>
  </r>
  <r>
    <n v="1992"/>
    <s v="MOF"/>
    <n v="1"/>
    <n v="240"/>
    <n v="50"/>
    <n v="3"/>
    <n v="25"/>
    <n v="150"/>
    <n v="100"/>
    <n v="26.286999999999999"/>
    <n v="23.713000000000001"/>
    <n v="52.57"/>
    <n v="50.8"/>
    <n v="6.0670000000000002E-2"/>
    <n v="3.367E-4"/>
    <n v="17.873005737451059"/>
    <n v="2.1298963032746974"/>
    <n v="3"/>
  </r>
  <r>
    <n v="1993"/>
    <s v="MOF"/>
    <n v="1"/>
    <n v="240"/>
    <n v="50"/>
    <n v="7"/>
    <n v="25"/>
    <n v="150"/>
    <n v="100"/>
    <n v="37.752000000000002"/>
    <n v="12.247999999999999"/>
    <n v="75.5"/>
    <n v="63.8"/>
    <n v="6.3789999999999999E-2"/>
    <n v="3.726E-4"/>
    <n v="29.124814881543692"/>
    <n v="2.1549182778978726"/>
    <n v="1"/>
  </r>
  <r>
    <n v="1994"/>
    <s v="MOF"/>
    <n v="1"/>
    <n v="240"/>
    <n v="50"/>
    <n v="7"/>
    <n v="25"/>
    <n v="150"/>
    <n v="100"/>
    <n v="37.072000000000003"/>
    <n v="12.928000000000001"/>
    <n v="74.14"/>
    <n v="50.4"/>
    <n v="5.5440000000000003E-2"/>
    <n v="3.612E-4"/>
    <n v="28.274026324084037"/>
    <n v="2.1745214308688539"/>
    <n v="2"/>
  </r>
  <r>
    <n v="1995"/>
    <s v="MOF"/>
    <n v="1"/>
    <n v="240"/>
    <n v="50"/>
    <n v="7"/>
    <n v="25"/>
    <n v="150"/>
    <n v="100"/>
    <n v="36.165999999999997"/>
    <n v="13.834"/>
    <n v="72.33"/>
    <n v="60.5"/>
    <n v="5.5469999999999998E-2"/>
    <n v="2.9E-4"/>
    <n v="25.883253178820503"/>
    <n v="2.3304674248391639"/>
    <n v="3"/>
  </r>
  <r>
    <n v="1996"/>
    <s v="MOF"/>
    <n v="1"/>
    <n v="240"/>
    <n v="50"/>
    <n v="11"/>
    <n v="25"/>
    <n v="150"/>
    <n v="100"/>
    <n v="29.847999999999999"/>
    <n v="20.152000000000001"/>
    <n v="59.7"/>
    <n v="50.4"/>
    <n v="5.4600000000000003E-2"/>
    <n v="4.1609999999999998E-4"/>
    <n v="22.349897898060313"/>
    <n v="2.0146499354442242"/>
    <n v="1"/>
  </r>
  <r>
    <n v="1997"/>
    <s v="MOF"/>
    <n v="1"/>
    <n v="240"/>
    <n v="50"/>
    <n v="11"/>
    <n v="25"/>
    <n v="150"/>
    <n v="100"/>
    <n v="32.457000000000001"/>
    <n v="17.542999999999999"/>
    <n v="64.91"/>
    <n v="47.7"/>
    <n v="5.6210000000000003E-2"/>
    <n v="3.3770000000000002E-4"/>
    <n v="23.517093629203639"/>
    <n v="2.1905251160652957"/>
    <n v="2"/>
  </r>
  <r>
    <n v="1998"/>
    <s v="MOF"/>
    <n v="1"/>
    <n v="240"/>
    <n v="50"/>
    <n v="11"/>
    <n v="25"/>
    <n v="150"/>
    <n v="100"/>
    <n v="32.65"/>
    <n v="17.350000000000001"/>
    <n v="65.3"/>
    <n v="59.3"/>
    <n v="6.1650000000000003E-2"/>
    <n v="3.4909999999999997E-4"/>
    <n v="23.909648250767837"/>
    <n v="2.167950434765169"/>
    <n v="3"/>
  </r>
  <r>
    <n v="1999"/>
    <s v="MOF"/>
    <n v="1"/>
    <n v="240"/>
    <n v="100"/>
    <n v="3"/>
    <n v="25"/>
    <n v="150"/>
    <n v="100"/>
    <n v="69.122"/>
    <n v="30.878"/>
    <n v="69.12"/>
    <n v="62"/>
    <n v="5.1110000000000003E-2"/>
    <n v="4.2729999999999998E-4"/>
    <n v="60.576391908869418"/>
    <n v="2.1454174774212342"/>
    <n v="1"/>
  </r>
  <r>
    <n v="2000"/>
    <s v="MOF"/>
    <n v="1"/>
    <n v="240"/>
    <n v="100"/>
    <n v="3"/>
    <n v="25"/>
    <n v="150"/>
    <n v="100"/>
    <n v="63.427999999999997"/>
    <n v="36.572000000000003"/>
    <n v="63.43"/>
    <n v="47.7"/>
    <n v="6.4089999999999994E-2"/>
    <n v="4.2269999999999997E-4"/>
    <n v="54.896589190815163"/>
    <n v="2.1437547416358438"/>
    <n v="2"/>
  </r>
  <r>
    <n v="2001"/>
    <s v="MOF"/>
    <n v="1"/>
    <n v="240"/>
    <n v="100"/>
    <n v="3"/>
    <n v="25"/>
    <n v="150"/>
    <n v="100"/>
    <n v="61.865000000000002"/>
    <n v="38.134999999999998"/>
    <n v="61.87"/>
    <n v="50.4"/>
    <n v="5.4050000000000001E-2"/>
    <n v="3.7500000000000001E-4"/>
    <n v="52.445631409060802"/>
    <n v="2.2427680577790396"/>
    <n v="3"/>
  </r>
  <r>
    <n v="2002"/>
    <s v="MOF"/>
    <n v="1"/>
    <n v="240"/>
    <n v="100"/>
    <n v="7"/>
    <n v="25"/>
    <n v="150"/>
    <n v="100"/>
    <n v="93.337999999999994"/>
    <n v="6.6619999999999999"/>
    <n v="93.34"/>
    <n v="59.2"/>
    <n v="5.5559999999999998E-2"/>
    <n v="4.0240000000000002E-4"/>
    <n v="84.017445149696442"/>
    <n v="2.2322221602198362"/>
    <n v="1"/>
  </r>
  <r>
    <n v="2003"/>
    <s v="MOF"/>
    <n v="1"/>
    <n v="240"/>
    <n v="100"/>
    <n v="7"/>
    <n v="25"/>
    <n v="150"/>
    <n v="100"/>
    <n v="83.798000000000002"/>
    <n v="16.202000000000002"/>
    <n v="83.8"/>
    <n v="63"/>
    <n v="5.3420000000000002E-2"/>
    <n v="3.6509999999999998E-4"/>
    <n v="73.753549190199749"/>
    <n v="2.3070203237807623"/>
    <n v="2"/>
  </r>
  <r>
    <n v="2004"/>
    <s v="MOF"/>
    <n v="1"/>
    <n v="240"/>
    <n v="100"/>
    <n v="7"/>
    <n v="25"/>
    <n v="150"/>
    <n v="100"/>
    <n v="84.992999999999995"/>
    <n v="15.007"/>
    <n v="84.99"/>
    <n v="54.1"/>
    <n v="5.2920000000000002E-2"/>
    <n v="3.971E-4"/>
    <n v="75.653287315913303"/>
    <n v="2.2342754898925086"/>
    <n v="3"/>
  </r>
  <r>
    <n v="2005"/>
    <s v="MOF"/>
    <n v="1"/>
    <n v="240"/>
    <n v="100"/>
    <n v="11"/>
    <n v="25"/>
    <n v="150"/>
    <n v="100"/>
    <n v="67.786000000000001"/>
    <n v="32.213999999999999"/>
    <n v="67.790000000000006"/>
    <n v="48.5"/>
    <n v="6.6669999999999993E-2"/>
    <n v="3.8420000000000001E-4"/>
    <n v="58.436737532319214"/>
    <n v="2.2352974597274207"/>
    <n v="1"/>
  </r>
  <r>
    <n v="2006"/>
    <s v="MOF"/>
    <n v="1"/>
    <n v="240"/>
    <n v="100"/>
    <n v="11"/>
    <n v="25"/>
    <n v="150"/>
    <n v="100"/>
    <n v="59.523000000000003"/>
    <n v="40.476999999999997"/>
    <n v="59.52"/>
    <n v="49.9"/>
    <n v="4.5030000000000001E-2"/>
    <n v="3.167E-4"/>
    <n v="48.748093331223146"/>
    <n v="2.3772199741218434"/>
    <n v="2"/>
  </r>
  <r>
    <n v="2007"/>
    <s v="MOF"/>
    <n v="1"/>
    <n v="240"/>
    <n v="100"/>
    <n v="11"/>
    <n v="25"/>
    <n v="150"/>
    <n v="100"/>
    <n v="55.753999999999998"/>
    <n v="44.246000000000002"/>
    <n v="55.75"/>
    <n v="53.4"/>
    <n v="4.8719999999999999E-2"/>
    <n v="3.5209999999999999E-4"/>
    <n v="45.992181808601039"/>
    <n v="2.2784786731775069"/>
    <n v="3"/>
  </r>
  <r>
    <n v="2008"/>
    <s v="MOF"/>
    <n v="1"/>
    <n v="240"/>
    <n v="200"/>
    <n v="3"/>
    <n v="25"/>
    <n v="150"/>
    <n v="100"/>
    <n v="115.593"/>
    <n v="84.406999999999996"/>
    <n v="57.8"/>
    <n v="55.2"/>
    <n v="5.2720000000000003E-2"/>
    <n v="4.0259999999999997E-4"/>
    <n v="106.0940724991175"/>
    <n v="2.251178897589468"/>
    <n v="1"/>
  </r>
  <r>
    <n v="2009"/>
    <s v="MOF"/>
    <n v="1"/>
    <n v="240"/>
    <n v="200"/>
    <n v="3"/>
    <n v="25"/>
    <n v="150"/>
    <n v="100"/>
    <n v="143.316"/>
    <n v="56.683999999999997"/>
    <n v="71.66"/>
    <n v="61"/>
    <n v="5.3199999999999997E-2"/>
    <n v="4.1950000000000001E-4"/>
    <n v="134.02729105997452"/>
    <n v="2.2287995700814931"/>
    <n v="2"/>
  </r>
  <r>
    <n v="2010"/>
    <s v="MOF"/>
    <n v="1"/>
    <n v="240"/>
    <n v="200"/>
    <n v="3"/>
    <n v="25"/>
    <n v="150"/>
    <n v="100"/>
    <n v="116.251"/>
    <n v="83.748999999999995"/>
    <n v="58.13"/>
    <n v="43.1"/>
    <n v="5.4539999999999998E-2"/>
    <n v="4.2890000000000002E-4"/>
    <n v="107.2854518122479"/>
    <n v="2.1933892527339083"/>
    <n v="3"/>
  </r>
  <r>
    <n v="2011"/>
    <s v="MOF"/>
    <n v="1"/>
    <n v="240"/>
    <n v="200"/>
    <n v="7"/>
    <n v="25"/>
    <n v="150"/>
    <n v="100"/>
    <n v="174.79300000000001"/>
    <n v="25.207000000000001"/>
    <n v="87.4"/>
    <n v="53"/>
    <n v="4.7070000000000001E-2"/>
    <n v="3.8309999999999999E-4"/>
    <n v="164.55392296803925"/>
    <n v="2.326211481951503"/>
    <n v="1"/>
  </r>
  <r>
    <n v="2012"/>
    <s v="MOF"/>
    <n v="1"/>
    <n v="240"/>
    <n v="200"/>
    <n v="7"/>
    <n v="25"/>
    <n v="150"/>
    <n v="100"/>
    <n v="189.13499999999999"/>
    <n v="10.865"/>
    <n v="94.57"/>
    <n v="61"/>
    <n v="5.1540000000000002E-2"/>
    <n v="3.2529999999999999E-4"/>
    <n v="177.13872777428222"/>
    <n v="2.4845959536701074"/>
    <n v="2"/>
  </r>
  <r>
    <n v="2013"/>
    <s v="MOF"/>
    <n v="1"/>
    <n v="240"/>
    <n v="200"/>
    <n v="7"/>
    <n v="25"/>
    <n v="150"/>
    <n v="100"/>
    <n v="161.255"/>
    <n v="38.744999999999997"/>
    <n v="80.63"/>
    <n v="55.2"/>
    <n v="4.9059999999999999E-2"/>
    <n v="3.0880000000000002E-4"/>
    <n v="148.80377116722028"/>
    <n v="2.5218193194681411"/>
    <n v="3"/>
  </r>
  <r>
    <n v="2014"/>
    <s v="MOF"/>
    <n v="1"/>
    <n v="240"/>
    <n v="200"/>
    <n v="11"/>
    <n v="25"/>
    <n v="150"/>
    <n v="100"/>
    <n v="144.74199999999999"/>
    <n v="55.258000000000003"/>
    <n v="72.37"/>
    <n v="50.5"/>
    <n v="5.2040000000000003E-2"/>
    <n v="3.6630000000000001E-4"/>
    <n v="134.19579570143736"/>
    <n v="2.3557660130581932"/>
    <n v="1"/>
  </r>
  <r>
    <n v="2015"/>
    <s v="MOF"/>
    <n v="1"/>
    <n v="240"/>
    <n v="200"/>
    <n v="11"/>
    <n v="25"/>
    <n v="150"/>
    <n v="100"/>
    <n v="149.99199999999999"/>
    <n v="50.008000000000003"/>
    <n v="75"/>
    <n v="52.2"/>
    <n v="5.6009999999999997E-2"/>
    <n v="3.1530000000000002E-4"/>
    <n v="137.8470901774032"/>
    <n v="2.4969101373624931"/>
    <n v="2"/>
  </r>
  <r>
    <n v="2016"/>
    <s v="MOF"/>
    <n v="1"/>
    <n v="240"/>
    <n v="200"/>
    <n v="11"/>
    <n v="25"/>
    <n v="150"/>
    <n v="100"/>
    <n v="150.26499999999999"/>
    <n v="49.734999999999999"/>
    <n v="75.13"/>
    <n v="55.8"/>
    <n v="4.6730000000000001E-2"/>
    <n v="3.8479999999999997E-4"/>
    <n v="140.16469484515645"/>
    <n v="2.3125656367416449"/>
    <n v="3"/>
  </r>
  <r>
    <n v="2017"/>
    <s v="MOF"/>
    <n v="2"/>
    <n v="30"/>
    <n v="25"/>
    <n v="3"/>
    <n v="25"/>
    <n v="150"/>
    <n v="100"/>
    <n v="0.74"/>
    <n v="23.518999999999998"/>
    <n v="5.92"/>
    <n v="55.3"/>
    <n v="6.1400000000000003E-2"/>
    <n v="3.8240000000000003E-4"/>
    <n v="6.2291858967504351E-3"/>
    <n v="-0.30955854149156392"/>
    <n v="1"/>
  </r>
  <r>
    <n v="2018"/>
    <s v="MOF"/>
    <n v="2"/>
    <n v="30"/>
    <n v="25"/>
    <n v="3"/>
    <n v="25"/>
    <n v="150"/>
    <n v="100"/>
    <n v="0.79100000000000004"/>
    <n v="23.417999999999999"/>
    <n v="6.33"/>
    <n v="51.6"/>
    <n v="6.021E-2"/>
    <n v="3.7359999999999997E-4"/>
    <n v="6.9510082893822489E-3"/>
    <n v="-0.24328377115730365"/>
    <n v="2"/>
  </r>
  <r>
    <n v="2019"/>
    <s v="MOF"/>
    <n v="2"/>
    <n v="30"/>
    <n v="25"/>
    <n v="3"/>
    <n v="25"/>
    <n v="150"/>
    <n v="100"/>
    <n v="0.755"/>
    <n v="23.49"/>
    <n v="6.04"/>
    <n v="48"/>
    <n v="4.36E-2"/>
    <n v="3.5540000000000002E-4"/>
    <n v="6.0290736526204007E-3"/>
    <n v="-0.28905511284396368"/>
    <n v="3"/>
  </r>
  <r>
    <n v="2020"/>
    <s v="MOF"/>
    <n v="2"/>
    <n v="30"/>
    <n v="25"/>
    <n v="7"/>
    <n v="25"/>
    <n v="150"/>
    <n v="100"/>
    <n v="1.355"/>
    <n v="22.291"/>
    <n v="10.84"/>
    <n v="63.8"/>
    <n v="5.697E-2"/>
    <n v="3.9669999999999999E-4"/>
    <n v="2.1503766898048272E-2"/>
    <n v="0.28780423981550846"/>
    <n v="1"/>
  </r>
  <r>
    <n v="2021"/>
    <s v="MOF"/>
    <n v="2"/>
    <n v="30"/>
    <n v="25"/>
    <n v="7"/>
    <n v="25"/>
    <n v="150"/>
    <n v="100"/>
    <n v="1.296"/>
    <n v="22.408000000000001"/>
    <n v="10.37"/>
    <n v="63.9"/>
    <n v="5.2089999999999997E-2"/>
    <n v="3.7720000000000001E-4"/>
    <n v="1.8731822439665476E-2"/>
    <n v="0.24472356092263295"/>
    <n v="2"/>
  </r>
  <r>
    <n v="2022"/>
    <s v="MOF"/>
    <n v="2"/>
    <n v="30"/>
    <n v="25"/>
    <n v="7"/>
    <n v="25"/>
    <n v="150"/>
    <n v="100"/>
    <n v="1.2230000000000001"/>
    <n v="22.553000000000001"/>
    <n v="9.7899999999999991"/>
    <n v="56.5"/>
    <n v="4.4080000000000001E-2"/>
    <n v="3.4069999999999999E-4"/>
    <n v="1.5099103047855644E-2"/>
    <n v="0.18888405720034451"/>
    <n v="3"/>
  </r>
  <r>
    <n v="2023"/>
    <s v="MOF"/>
    <n v="2"/>
    <n v="30"/>
    <n v="25"/>
    <n v="11"/>
    <n v="25"/>
    <n v="150"/>
    <n v="100"/>
    <n v="1.0329999999999999"/>
    <n v="22.934999999999999"/>
    <n v="8.26"/>
    <n v="50.3"/>
    <n v="4.922E-2"/>
    <n v="3.7960000000000001E-4"/>
    <n v="1.2010717801879378E-2"/>
    <n v="2.0772041770056301E-2"/>
    <n v="1"/>
  </r>
  <r>
    <n v="2024"/>
    <s v="MOF"/>
    <n v="2"/>
    <n v="30"/>
    <n v="25"/>
    <n v="11"/>
    <n v="25"/>
    <n v="150"/>
    <n v="100"/>
    <n v="0.995"/>
    <n v="23.010999999999999"/>
    <n v="7.96"/>
    <n v="50.5"/>
    <n v="5.5230000000000001E-2"/>
    <n v="4.4230000000000002E-4"/>
    <n v="1.2965463187618672E-2"/>
    <n v="-1.8128801376074498E-2"/>
    <n v="2"/>
  </r>
  <r>
    <n v="2025"/>
    <s v="MOF"/>
    <n v="2"/>
    <n v="30"/>
    <n v="25"/>
    <n v="11"/>
    <n v="25"/>
    <n v="150"/>
    <n v="100"/>
    <n v="1.083"/>
    <n v="22.835000000000001"/>
    <n v="8.66"/>
    <n v="64.099999999999994"/>
    <n v="5.74E-2"/>
    <n v="3.5579999999999997E-4"/>
    <n v="1.2376347328708273E-2"/>
    <n v="6.8241331644823142E-2"/>
    <n v="3"/>
  </r>
  <r>
    <n v="2026"/>
    <s v="MOF"/>
    <n v="2"/>
    <n v="30"/>
    <n v="50"/>
    <n v="3"/>
    <n v="25"/>
    <n v="150"/>
    <n v="100"/>
    <n v="2.411"/>
    <n v="45.177999999999997"/>
    <n v="9.64"/>
    <n v="49"/>
    <n v="5.2359999999999997E-2"/>
    <n v="2.8439999999999997E-4"/>
    <n v="4.8596186726325735E-2"/>
    <n v="0.85967966559869191"/>
    <n v="1"/>
  </r>
  <r>
    <n v="2027"/>
    <s v="MOF"/>
    <n v="2"/>
    <n v="30"/>
    <n v="50"/>
    <n v="3"/>
    <n v="25"/>
    <n v="150"/>
    <n v="100"/>
    <n v="2.6619999999999999"/>
    <n v="44.676000000000002"/>
    <n v="10.65"/>
    <n v="38.299999999999997"/>
    <n v="5.4789999999999998E-2"/>
    <n v="3.7869999999999999E-4"/>
    <n v="7.8143524868000497E-2"/>
    <n v="0.94928304069818137"/>
    <n v="2"/>
  </r>
  <r>
    <n v="2028"/>
    <s v="MOF"/>
    <n v="2"/>
    <n v="30"/>
    <n v="50"/>
    <n v="3"/>
    <n v="25"/>
    <n v="150"/>
    <n v="100"/>
    <n v="3.121"/>
    <n v="43.756999999999998"/>
    <n v="12.49"/>
    <n v="57.9"/>
    <n v="4.9700000000000001E-2"/>
    <n v="2.8239999999999998E-4"/>
    <n v="8.0396926416174158E-2"/>
    <n v="1.1120558752118892"/>
    <n v="3"/>
  </r>
  <r>
    <n v="2029"/>
    <s v="MOF"/>
    <n v="2"/>
    <n v="30"/>
    <n v="50"/>
    <n v="7"/>
    <n v="25"/>
    <n v="150"/>
    <n v="100"/>
    <n v="4.2839999999999998"/>
    <n v="41.433"/>
    <n v="17.13"/>
    <n v="44.2"/>
    <n v="5.0110000000000002E-2"/>
    <n v="3.4440000000000002E-4"/>
    <n v="0.18158238976068436"/>
    <n v="1.4115764609624855"/>
    <n v="1"/>
  </r>
  <r>
    <n v="2030"/>
    <s v="MOF"/>
    <n v="2"/>
    <n v="30"/>
    <n v="50"/>
    <n v="7"/>
    <n v="25"/>
    <n v="150"/>
    <n v="100"/>
    <n v="4.5380000000000003"/>
    <n v="40.924999999999997"/>
    <n v="18.149999999999999"/>
    <n v="57.3"/>
    <n v="5.3719999999999997E-2"/>
    <n v="3.5040000000000001E-4"/>
    <n v="0.20662171350897982"/>
    <n v="1.4658858023321135"/>
    <n v="2"/>
  </r>
  <r>
    <n v="2031"/>
    <s v="MOF"/>
    <n v="2"/>
    <n v="30"/>
    <n v="50"/>
    <n v="7"/>
    <n v="25"/>
    <n v="150"/>
    <n v="100"/>
    <n v="5.274"/>
    <n v="39.451999999999998"/>
    <n v="21.1"/>
    <n v="44.9"/>
    <n v="5.7299999999999997E-2"/>
    <n v="3.4949999999999998E-4"/>
    <n v="0.2763590021581489"/>
    <n v="1.6089660006696278"/>
    <n v="3"/>
  </r>
  <r>
    <n v="2032"/>
    <s v="MOF"/>
    <n v="2"/>
    <n v="30"/>
    <n v="50"/>
    <n v="11"/>
    <n v="25"/>
    <n v="150"/>
    <n v="100"/>
    <n v="3.5569999999999999"/>
    <n v="42.887"/>
    <n v="14.23"/>
    <n v="61.8"/>
    <n v="5.9830000000000001E-2"/>
    <n v="3.1690000000000001E-4"/>
    <n v="0.11635038035704441"/>
    <n v="1.2356602964761911"/>
    <n v="1"/>
  </r>
  <r>
    <n v="2033"/>
    <s v="MOF"/>
    <n v="2"/>
    <n v="30"/>
    <n v="50"/>
    <n v="11"/>
    <n v="25"/>
    <n v="150"/>
    <n v="100"/>
    <n v="3.5950000000000002"/>
    <n v="42.81"/>
    <n v="14.38"/>
    <n v="56.8"/>
    <n v="5.3499999999999999E-2"/>
    <n v="3.7050000000000001E-4"/>
    <n v="0.13813103910860669"/>
    <n v="1.2403632547803274"/>
    <n v="2"/>
  </r>
  <r>
    <n v="2034"/>
    <s v="MOF"/>
    <n v="2"/>
    <n v="30"/>
    <n v="50"/>
    <n v="11"/>
    <n v="25"/>
    <n v="150"/>
    <n v="100"/>
    <n v="3.7130000000000001"/>
    <n v="42.573"/>
    <n v="14.85"/>
    <n v="69.5"/>
    <n v="4.6580000000000003E-2"/>
    <n v="3.457E-4"/>
    <n v="0.1376768388600301"/>
    <n v="1.2740555667850813"/>
    <n v="3"/>
  </r>
  <r>
    <n v="2035"/>
    <s v="MOF"/>
    <n v="2"/>
    <n v="30"/>
    <n v="100"/>
    <n v="3"/>
    <n v="25"/>
    <n v="150"/>
    <n v="100"/>
    <n v="9.3140000000000001"/>
    <n v="81.373000000000005"/>
    <n v="18.63"/>
    <n v="59.5"/>
    <n v="4.6109999999999998E-2"/>
    <n v="3.6210000000000002E-4"/>
    <n v="0.85578511353489817"/>
    <n v="2.1351381450251625"/>
    <n v="1"/>
  </r>
  <r>
    <n v="2036"/>
    <s v="MOF"/>
    <n v="2"/>
    <n v="30"/>
    <n v="100"/>
    <n v="3"/>
    <n v="25"/>
    <n v="150"/>
    <n v="100"/>
    <n v="9.5079999999999991"/>
    <n v="80.984999999999999"/>
    <n v="19.02"/>
    <n v="48.5"/>
    <n v="4.7039999999999998E-2"/>
    <n v="3.3369999999999998E-4"/>
    <n v="0.82635847200581658"/>
    <n v="2.1612106269204201"/>
    <n v="2"/>
  </r>
  <r>
    <n v="2037"/>
    <s v="MOF"/>
    <n v="2"/>
    <n v="30"/>
    <n v="100"/>
    <n v="3"/>
    <n v="25"/>
    <n v="150"/>
    <n v="100"/>
    <n v="10.701000000000001"/>
    <n v="78.596999999999994"/>
    <n v="21.4"/>
    <n v="54.3"/>
    <n v="5.8450000000000002E-2"/>
    <n v="4.083E-4"/>
    <n v="1.2401018764725533"/>
    <n v="2.2471673176194571"/>
    <n v="3"/>
  </r>
  <r>
    <n v="2038"/>
    <s v="MOF"/>
    <n v="2"/>
    <n v="30"/>
    <n v="100"/>
    <n v="7"/>
    <n v="25"/>
    <n v="150"/>
    <n v="100"/>
    <n v="16.469000000000001"/>
    <n v="67.061999999999998"/>
    <n v="32.94"/>
    <n v="50"/>
    <n v="5.7570000000000003E-2"/>
    <n v="3.3090000000000002E-4"/>
    <n v="2.3141454981052521"/>
    <n v="2.6500576395915538"/>
    <n v="1"/>
  </r>
  <r>
    <n v="2039"/>
    <s v="MOF"/>
    <n v="2"/>
    <n v="30"/>
    <n v="100"/>
    <n v="7"/>
    <n v="25"/>
    <n v="150"/>
    <n v="100"/>
    <n v="15.599"/>
    <n v="68.801000000000002"/>
    <n v="31.2"/>
    <n v="42.1"/>
    <n v="6.0089999999999998E-2"/>
    <n v="3.3649999999999999E-4"/>
    <n v="2.1222150062424192"/>
    <n v="2.6009685750912817"/>
    <n v="2"/>
  </r>
  <r>
    <n v="2040"/>
    <s v="MOF"/>
    <n v="2"/>
    <n v="30"/>
    <n v="100"/>
    <n v="7"/>
    <n v="25"/>
    <n v="150"/>
    <n v="100"/>
    <n v="16.376000000000001"/>
    <n v="67.247"/>
    <n v="32.75"/>
    <n v="46.1"/>
    <n v="5.74E-2"/>
    <n v="3.233E-4"/>
    <n v="2.244515351124281"/>
    <n v="2.648405261868739"/>
    <n v="3"/>
  </r>
  <r>
    <n v="2041"/>
    <s v="MOF"/>
    <n v="2"/>
    <n v="30"/>
    <n v="100"/>
    <n v="11"/>
    <n v="25"/>
    <n v="150"/>
    <n v="100"/>
    <n v="12.193"/>
    <n v="75.614999999999995"/>
    <n v="24.39"/>
    <n v="61.7"/>
    <n v="5.935E-2"/>
    <n v="3.4919999999999998E-4"/>
    <n v="1.38105194560318"/>
    <n v="2.3806518239628538"/>
    <n v="1"/>
  </r>
  <r>
    <n v="2042"/>
    <s v="MOF"/>
    <n v="2"/>
    <n v="30"/>
    <n v="100"/>
    <n v="11"/>
    <n v="25"/>
    <n v="150"/>
    <n v="100"/>
    <n v="10.791"/>
    <n v="78.418999999999997"/>
    <n v="21.58"/>
    <n v="79"/>
    <n v="6.4600000000000005E-2"/>
    <n v="3.7530000000000002E-4"/>
    <n v="1.1690296492558905"/>
    <n v="2.264049061869907"/>
    <n v="2"/>
  </r>
  <r>
    <n v="2043"/>
    <s v="MOF"/>
    <n v="2"/>
    <n v="30"/>
    <n v="100"/>
    <n v="11"/>
    <n v="25"/>
    <n v="150"/>
    <n v="100"/>
    <n v="11.666"/>
    <n v="76.668999999999997"/>
    <n v="23.33"/>
    <n v="53.6"/>
    <n v="5.2010000000000001E-2"/>
    <n v="3.9419999999999999E-4"/>
    <n v="1.4143406205062103"/>
    <n v="2.3274395831638559"/>
    <n v="3"/>
  </r>
  <r>
    <n v="2044"/>
    <s v="MOF"/>
    <n v="2"/>
    <n v="30"/>
    <n v="200"/>
    <n v="3"/>
    <n v="25"/>
    <n v="150"/>
    <n v="100"/>
    <n v="31.521000000000001"/>
    <n v="136.95699999999999"/>
    <n v="31.52"/>
    <n v="48.1"/>
    <n v="5.2409999999999998E-2"/>
    <n v="3.8919999999999997E-4"/>
    <n v="8.4799935053293591"/>
    <n v="3.1372755195380675"/>
    <n v="1"/>
  </r>
  <r>
    <n v="2045"/>
    <s v="MOF"/>
    <n v="2"/>
    <n v="30"/>
    <n v="200"/>
    <n v="3"/>
    <n v="25"/>
    <n v="150"/>
    <n v="100"/>
    <n v="34.42"/>
    <n v="131.161"/>
    <n v="34.42"/>
    <n v="67"/>
    <n v="5.9159999999999997E-2"/>
    <n v="3.412E-4"/>
    <n v="8.9675031144923434"/>
    <n v="3.2368138476343171"/>
    <n v="2"/>
  </r>
  <r>
    <n v="2046"/>
    <s v="MOF"/>
    <n v="2"/>
    <n v="30"/>
    <n v="200"/>
    <n v="3"/>
    <n v="25"/>
    <n v="150"/>
    <n v="100"/>
    <n v="23.928999999999998"/>
    <n v="152.14099999999999"/>
    <n v="23.93"/>
    <n v="57"/>
    <n v="5.4989999999999997E-2"/>
    <n v="3.5490000000000001E-4"/>
    <n v="4.8586041045185429"/>
    <n v="2.948137179516475"/>
    <n v="3"/>
  </r>
  <r>
    <n v="2047"/>
    <s v="MOF"/>
    <n v="2"/>
    <n v="30"/>
    <n v="200"/>
    <n v="7"/>
    <n v="25"/>
    <n v="150"/>
    <n v="100"/>
    <n v="48.204999999999998"/>
    <n v="103.59099999999999"/>
    <n v="48.2"/>
    <n v="43.7"/>
    <n v="5.8069999999999997E-2"/>
    <n v="3.7209999999999999E-4"/>
    <n v="16.864637923798956"/>
    <n v="3.4449067900264545"/>
    <n v="1"/>
  </r>
  <r>
    <n v="2048"/>
    <s v="MOF"/>
    <n v="2"/>
    <n v="30"/>
    <n v="200"/>
    <n v="7"/>
    <n v="25"/>
    <n v="150"/>
    <n v="100"/>
    <n v="50.317"/>
    <n v="99.366"/>
    <n v="50.32"/>
    <n v="62.3"/>
    <n v="5.8319999999999997E-2"/>
    <n v="3.3560000000000003E-4"/>
    <n v="16.919096102548448"/>
    <n v="3.5084931404519861"/>
    <n v="2"/>
  </r>
  <r>
    <n v="2049"/>
    <s v="MOF"/>
    <n v="2"/>
    <n v="30"/>
    <n v="200"/>
    <n v="7"/>
    <n v="25"/>
    <n v="150"/>
    <n v="100"/>
    <n v="47.784999999999997"/>
    <n v="104.43"/>
    <n v="47.79"/>
    <n v="55.3"/>
    <n v="5.5590000000000001E-2"/>
    <n v="3.8489999999999998E-4"/>
    <n v="16.99119972351053"/>
    <n v="3.4273133799936653"/>
    <n v="3"/>
  </r>
  <r>
    <n v="2050"/>
    <s v="MOF"/>
    <n v="2"/>
    <n v="30"/>
    <n v="200"/>
    <n v="11"/>
    <n v="25"/>
    <n v="150"/>
    <n v="100"/>
    <n v="39.258000000000003"/>
    <n v="121.48399999999999"/>
    <n v="39.26"/>
    <n v="71.5"/>
    <n v="6.7140000000000005E-2"/>
    <n v="3.5280000000000001E-4"/>
    <n v="11.523761245383945"/>
    <n v="3.3226677060281595"/>
    <n v="1"/>
  </r>
  <r>
    <n v="2051"/>
    <s v="MOF"/>
    <n v="2"/>
    <n v="30"/>
    <n v="200"/>
    <n v="11"/>
    <n v="25"/>
    <n v="150"/>
    <n v="100"/>
    <n v="27.477"/>
    <n v="145.04599999999999"/>
    <n v="27.48"/>
    <n v="64.7"/>
    <n v="5.203E-2"/>
    <n v="3.2190000000000002E-4"/>
    <n v="5.7619803390716742"/>
    <n v="3.0780041713940811"/>
    <n v="2"/>
  </r>
  <r>
    <n v="2052"/>
    <s v="MOF"/>
    <n v="2"/>
    <n v="30"/>
    <n v="200"/>
    <n v="11"/>
    <n v="25"/>
    <n v="150"/>
    <n v="100"/>
    <n v="36.518000000000001"/>
    <n v="126.964"/>
    <n v="36.520000000000003"/>
    <n v="50.9"/>
    <n v="5.8369999999999998E-2"/>
    <n v="2.9540000000000002E-4"/>
    <n v="8.9285630128159603"/>
    <n v="3.3174329816122836"/>
    <n v="3"/>
  </r>
  <r>
    <n v="2053"/>
    <s v="MOF"/>
    <n v="2"/>
    <n v="60"/>
    <n v="25"/>
    <n v="3"/>
    <n v="25"/>
    <n v="150"/>
    <n v="100"/>
    <n v="1.34"/>
    <n v="22.32"/>
    <n v="10.72"/>
    <n v="57.4"/>
    <n v="5.8430000000000003E-2"/>
    <n v="3.725E-4"/>
    <n v="3.8964706019424276E-2"/>
    <n v="0.26316032751026891"/>
    <n v="1"/>
  </r>
  <r>
    <n v="2054"/>
    <s v="MOF"/>
    <n v="2"/>
    <n v="60"/>
    <n v="25"/>
    <n v="3"/>
    <n v="25"/>
    <n v="150"/>
    <n v="100"/>
    <n v="1.37"/>
    <n v="22.260999999999999"/>
    <n v="10.96"/>
    <n v="46.5"/>
    <n v="5.2209999999999999E-2"/>
    <n v="3.5839999999999998E-4"/>
    <n v="3.9205834885473217E-2"/>
    <n v="0.28577588065792808"/>
    <n v="2"/>
  </r>
  <r>
    <n v="2055"/>
    <s v="MOF"/>
    <n v="2"/>
    <n v="60"/>
    <n v="25"/>
    <n v="3"/>
    <n v="25"/>
    <n v="150"/>
    <n v="100"/>
    <n v="1.6"/>
    <n v="21.8"/>
    <n v="12.8"/>
    <n v="37.799999999999997"/>
    <n v="5.3789999999999998E-2"/>
    <n v="3.034E-4"/>
    <n v="4.5283300476987094E-2"/>
    <n v="0.44129334223124522"/>
    <n v="3"/>
  </r>
  <r>
    <n v="2056"/>
    <s v="MOF"/>
    <n v="2"/>
    <n v="60"/>
    <n v="25"/>
    <n v="7"/>
    <n v="25"/>
    <n v="150"/>
    <n v="100"/>
    <n v="2.161"/>
    <n v="20.678000000000001"/>
    <n v="17.29"/>
    <n v="62.5"/>
    <n v="5.8000000000000003E-2"/>
    <n v="3.657E-4"/>
    <n v="9.7828696353123329E-2"/>
    <n v="0.72424426682545495"/>
    <n v="1"/>
  </r>
  <r>
    <n v="2057"/>
    <s v="MOF"/>
    <n v="2"/>
    <n v="60"/>
    <n v="25"/>
    <n v="7"/>
    <n v="25"/>
    <n v="150"/>
    <n v="100"/>
    <n v="2.601"/>
    <n v="19.797000000000001"/>
    <n v="20.81"/>
    <n v="50.6"/>
    <n v="5.262E-2"/>
    <n v="4.2650000000000001E-4"/>
    <n v="0.16231769440092889"/>
    <n v="0.89145785474279182"/>
    <n v="2"/>
  </r>
  <r>
    <n v="2058"/>
    <s v="MOF"/>
    <n v="2"/>
    <n v="60"/>
    <n v="25"/>
    <n v="7"/>
    <n v="25"/>
    <n v="150"/>
    <n v="100"/>
    <n v="2.4020000000000001"/>
    <n v="20.196999999999999"/>
    <n v="19.21"/>
    <n v="60.6"/>
    <n v="5.5039999999999999E-2"/>
    <n v="2.853E-4"/>
    <n v="9.4863535905665139E-2"/>
    <n v="0.83600712962872936"/>
    <n v="3"/>
  </r>
  <r>
    <n v="2059"/>
    <s v="MOF"/>
    <n v="2"/>
    <n v="60"/>
    <n v="25"/>
    <n v="11"/>
    <n v="25"/>
    <n v="150"/>
    <n v="100"/>
    <n v="1.5609999999999999"/>
    <n v="21.876999999999999"/>
    <n v="12.49"/>
    <n v="49.8"/>
    <n v="6.0810000000000003E-2"/>
    <n v="3.7760000000000002E-4"/>
    <n v="5.332061331246167E-2"/>
    <n v="0.41057163868402785"/>
    <n v="1"/>
  </r>
  <r>
    <n v="2060"/>
    <s v="MOF"/>
    <n v="2"/>
    <n v="60"/>
    <n v="25"/>
    <n v="11"/>
    <n v="25"/>
    <n v="150"/>
    <n v="100"/>
    <n v="1.9390000000000001"/>
    <n v="21.123000000000001"/>
    <n v="15.51"/>
    <n v="46.5"/>
    <n v="6.3890000000000002E-2"/>
    <n v="3.1619999999999999E-4"/>
    <n v="6.879855447761006E-2"/>
    <n v="0.62604614994287067"/>
    <n v="2"/>
  </r>
  <r>
    <n v="2061"/>
    <s v="MOF"/>
    <n v="2"/>
    <n v="60"/>
    <n v="25"/>
    <n v="11"/>
    <n v="25"/>
    <n v="150"/>
    <n v="100"/>
    <n v="1.849"/>
    <n v="21.300999999999998"/>
    <n v="14.79"/>
    <n v="54.5"/>
    <n v="5.4039999999999998E-2"/>
    <n v="3.969E-4"/>
    <n v="7.798163304149637E-2"/>
    <n v="0.57155472970033672"/>
    <n v="3"/>
  </r>
  <r>
    <n v="2062"/>
    <s v="MOF"/>
    <n v="2"/>
    <n v="60"/>
    <n v="50"/>
    <n v="3"/>
    <n v="25"/>
    <n v="150"/>
    <n v="100"/>
    <n v="4.7350000000000003"/>
    <n v="40.53"/>
    <n v="18.940000000000001"/>
    <n v="43.5"/>
    <n v="5.5109999999999999E-2"/>
    <n v="3.3599999999999998E-4"/>
    <n v="0.41260541348200053"/>
    <n v="1.4638095511218929"/>
    <n v="1"/>
  </r>
  <r>
    <n v="2063"/>
    <s v="MOF"/>
    <n v="2"/>
    <n v="60"/>
    <n v="50"/>
    <n v="3"/>
    <n v="25"/>
    <n v="150"/>
    <n v="100"/>
    <n v="6.1580000000000004"/>
    <n v="37.683999999999997"/>
    <n v="24.63"/>
    <n v="60.1"/>
    <n v="5.2749999999999998E-2"/>
    <n v="3.1300000000000002E-4"/>
    <n v="0.63833412425239378"/>
    <n v="1.708317328701136"/>
    <n v="2"/>
  </r>
  <r>
    <n v="2064"/>
    <s v="MOF"/>
    <n v="2"/>
    <n v="60"/>
    <n v="50"/>
    <n v="3"/>
    <n v="25"/>
    <n v="150"/>
    <n v="100"/>
    <n v="4.3250000000000002"/>
    <n v="41.35"/>
    <n v="17.3"/>
    <n v="46.2"/>
    <n v="5.5629999999999999E-2"/>
    <n v="4.0000000000000002E-4"/>
    <n v="0.40671770248233374"/>
    <n v="1.3656533683605789"/>
    <n v="3"/>
  </r>
  <r>
    <n v="2065"/>
    <s v="MOF"/>
    <n v="2"/>
    <n v="60"/>
    <n v="50"/>
    <n v="7"/>
    <n v="25"/>
    <n v="150"/>
    <n v="100"/>
    <n v="8.7330000000000005"/>
    <n v="32.533999999999999"/>
    <n v="34.93"/>
    <n v="56.4"/>
    <n v="5.3220000000000003E-2"/>
    <n v="3.5940000000000001E-4"/>
    <n v="1.3839596150227789"/>
    <n v="1.9945697448340194"/>
    <n v="1"/>
  </r>
  <r>
    <n v="2066"/>
    <s v="MOF"/>
    <n v="2"/>
    <n v="60"/>
    <n v="50"/>
    <n v="7"/>
    <n v="25"/>
    <n v="150"/>
    <n v="100"/>
    <n v="7.8029999999999999"/>
    <n v="34.393999999999998"/>
    <n v="31.21"/>
    <n v="68.599999999999994"/>
    <n v="5.3960000000000001E-2"/>
    <n v="3.4699999999999998E-4"/>
    <n v="1.0905020755580375"/>
    <n v="1.9039711506270338"/>
    <n v="2"/>
  </r>
  <r>
    <n v="2067"/>
    <s v="MOF"/>
    <n v="2"/>
    <n v="60"/>
    <n v="50"/>
    <n v="7"/>
    <n v="25"/>
    <n v="150"/>
    <n v="100"/>
    <n v="6.8410000000000002"/>
    <n v="36.317999999999998"/>
    <n v="27.36"/>
    <n v="52.9"/>
    <n v="5.96E-2"/>
    <n v="3.1260000000000001E-4"/>
    <n v="0.77794885548968518"/>
    <n v="1.8022131625661895"/>
    <n v="3"/>
  </r>
  <r>
    <n v="2068"/>
    <s v="MOF"/>
    <n v="2"/>
    <n v="60"/>
    <n v="50"/>
    <n v="11"/>
    <n v="25"/>
    <n v="150"/>
    <n v="100"/>
    <n v="5.843"/>
    <n v="38.314999999999998"/>
    <n v="23.37"/>
    <n v="61"/>
    <n v="4.6879999999999998E-2"/>
    <n v="3.8699999999999997E-4"/>
    <n v="0.6980397091786319"/>
    <n v="1.6380176512428894"/>
    <n v="1"/>
  </r>
  <r>
    <n v="2069"/>
    <s v="MOF"/>
    <n v="2"/>
    <n v="60"/>
    <n v="50"/>
    <n v="11"/>
    <n v="25"/>
    <n v="150"/>
    <n v="100"/>
    <n v="5.9370000000000003"/>
    <n v="38.125999999999998"/>
    <n v="23.75"/>
    <n v="51.4"/>
    <n v="4.8820000000000002E-2"/>
    <n v="3.6319999999999999E-4"/>
    <n v="0.68012923005878456"/>
    <n v="1.6595359390624951"/>
    <n v="2"/>
  </r>
  <r>
    <n v="2070"/>
    <s v="MOF"/>
    <n v="2"/>
    <n v="60"/>
    <n v="50"/>
    <n v="11"/>
    <n v="25"/>
    <n v="150"/>
    <n v="100"/>
    <n v="7.2290000000000001"/>
    <n v="35.542999999999999"/>
    <n v="28.91"/>
    <n v="60.9"/>
    <n v="5.0250000000000003E-2"/>
    <n v="3.8969999999999999E-4"/>
    <n v="1.0452327641773669"/>
    <n v="1.8219276708326517"/>
    <n v="3"/>
  </r>
  <r>
    <n v="2071"/>
    <s v="MOF"/>
    <n v="2"/>
    <n v="60"/>
    <n v="100"/>
    <n v="3"/>
    <n v="25"/>
    <n v="150"/>
    <n v="100"/>
    <n v="15.191000000000001"/>
    <n v="69.619"/>
    <n v="30.38"/>
    <n v="65.8"/>
    <n v="5.944E-2"/>
    <n v="2.4699999999999999E-4"/>
    <n v="2.7915058138208972"/>
    <n v="2.5176556803418286"/>
    <n v="1"/>
  </r>
  <r>
    <n v="2072"/>
    <s v="MOF"/>
    <n v="2"/>
    <n v="60"/>
    <n v="100"/>
    <n v="3"/>
    <n v="25"/>
    <n v="150"/>
    <n v="100"/>
    <n v="14.443"/>
    <n v="71.114000000000004"/>
    <n v="28.89"/>
    <n v="62.3"/>
    <n v="5.5829999999999998E-2"/>
    <n v="3.1419999999999999E-4"/>
    <n v="3.0909341005398439"/>
    <n v="2.4293997449378049"/>
    <n v="2"/>
  </r>
  <r>
    <n v="2073"/>
    <s v="MOF"/>
    <n v="2"/>
    <n v="60"/>
    <n v="100"/>
    <n v="3"/>
    <n v="25"/>
    <n v="150"/>
    <n v="100"/>
    <n v="14.846"/>
    <n v="70.308000000000007"/>
    <n v="29.69"/>
    <n v="38.9"/>
    <n v="5.4510000000000003E-2"/>
    <n v="4.2739999999999998E-4"/>
    <n v="4.093567454428821"/>
    <n v="2.3751320122844124"/>
    <n v="3"/>
  </r>
  <r>
    <n v="2074"/>
    <s v="MOF"/>
    <n v="2"/>
    <n v="60"/>
    <n v="100"/>
    <n v="7"/>
    <n v="25"/>
    <n v="150"/>
    <n v="100"/>
    <n v="25.456"/>
    <n v="49.088000000000001"/>
    <n v="50.91"/>
    <n v="72.5"/>
    <n v="5.985E-2"/>
    <n v="3.86E-4"/>
    <n v="9.4415150946837532"/>
    <n v="2.7734936192791984"/>
    <n v="1"/>
  </r>
  <r>
    <n v="2075"/>
    <s v="MOF"/>
    <n v="2"/>
    <n v="60"/>
    <n v="100"/>
    <n v="7"/>
    <n v="25"/>
    <n v="150"/>
    <n v="100"/>
    <n v="27.428000000000001"/>
    <n v="45.143000000000001"/>
    <n v="54.86"/>
    <n v="57.6"/>
    <n v="5.3969999999999997E-2"/>
    <n v="3.8610000000000001E-4"/>
    <n v="10.656537660904471"/>
    <n v="2.819678771740989"/>
    <n v="2"/>
  </r>
  <r>
    <n v="2076"/>
    <s v="MOF"/>
    <n v="2"/>
    <n v="60"/>
    <n v="100"/>
    <n v="7"/>
    <n v="25"/>
    <n v="150"/>
    <n v="100"/>
    <n v="26.550999999999998"/>
    <n v="46.898000000000003"/>
    <n v="53.1"/>
    <n v="50.6"/>
    <n v="5.1029999999999999E-2"/>
    <n v="3.5490000000000001E-4"/>
    <n v="9.5895906386969667"/>
    <n v="2.8309407260446489"/>
    <n v="3"/>
  </r>
  <r>
    <n v="2077"/>
    <s v="MOF"/>
    <n v="2"/>
    <n v="60"/>
    <n v="100"/>
    <n v="11"/>
    <n v="25"/>
    <n v="150"/>
    <n v="100"/>
    <n v="19.95"/>
    <n v="60.100999999999999"/>
    <n v="39.9"/>
    <n v="61.1"/>
    <n v="4.7169999999999997E-2"/>
    <n v="4.169E-4"/>
    <n v="6.6413875532653019"/>
    <n v="2.5884113780421969"/>
    <n v="1"/>
  </r>
  <r>
    <n v="2078"/>
    <s v="MOF"/>
    <n v="2"/>
    <n v="60"/>
    <n v="100"/>
    <n v="11"/>
    <n v="25"/>
    <n v="150"/>
    <n v="100"/>
    <n v="18.006"/>
    <n v="63.987000000000002"/>
    <n v="36.01"/>
    <n v="52.4"/>
    <n v="5.0040000000000001E-2"/>
    <n v="4.4440000000000001E-4"/>
    <n v="5.8407042692412929"/>
    <n v="2.498587285907838"/>
    <n v="2"/>
  </r>
  <r>
    <n v="2079"/>
    <s v="MOF"/>
    <n v="2"/>
    <n v="60"/>
    <n v="100"/>
    <n v="11"/>
    <n v="25"/>
    <n v="150"/>
    <n v="100"/>
    <n v="19.172000000000001"/>
    <n v="61.655999999999999"/>
    <n v="38.340000000000003"/>
    <n v="47.6"/>
    <n v="5.9749999999999998E-2"/>
    <n v="3.769E-4"/>
    <n v="5.7982599839098814"/>
    <n v="2.5932930839400794"/>
    <n v="3"/>
  </r>
  <r>
    <n v="2080"/>
    <s v="MOF"/>
    <n v="2"/>
    <n v="60"/>
    <n v="200"/>
    <n v="3"/>
    <n v="25"/>
    <n v="150"/>
    <n v="100"/>
    <n v="42.497999999999998"/>
    <n v="115.004"/>
    <n v="42.5"/>
    <n v="61.4"/>
    <n v="5.0459999999999998E-2"/>
    <n v="3.3270000000000001E-4"/>
    <n v="19.505540122340228"/>
    <n v="3.1351663307745898"/>
    <n v="1"/>
  </r>
  <r>
    <n v="2081"/>
    <s v="MOF"/>
    <n v="2"/>
    <n v="60"/>
    <n v="200"/>
    <n v="3"/>
    <n v="25"/>
    <n v="150"/>
    <n v="100"/>
    <n v="37.003999999999998"/>
    <n v="125.991"/>
    <n v="37"/>
    <n v="43.7"/>
    <n v="6.4939999999999998E-2"/>
    <n v="4.0749999999999998E-4"/>
    <n v="17.576756141259221"/>
    <n v="2.9666764035459763"/>
    <n v="2"/>
  </r>
  <r>
    <n v="2082"/>
    <s v="MOF"/>
    <n v="2"/>
    <n v="60"/>
    <n v="200"/>
    <n v="3"/>
    <n v="25"/>
    <n v="150"/>
    <n v="100"/>
    <n v="43.262"/>
    <n v="113.47499999999999"/>
    <n v="43.26"/>
    <n v="68.2"/>
    <n v="5.4120000000000001E-2"/>
    <n v="3.4150000000000001E-4"/>
    <n v="20.328836394624247"/>
    <n v="3.1325840553154185"/>
    <n v="3"/>
  </r>
  <r>
    <n v="2083"/>
    <s v="MOF"/>
    <n v="2"/>
    <n v="60"/>
    <n v="200"/>
    <n v="7"/>
    <n v="25"/>
    <n v="150"/>
    <n v="100"/>
    <n v="63.896000000000001"/>
    <n v="72.206999999999994"/>
    <n v="63.9"/>
    <n v="53.5"/>
    <n v="5.382E-2"/>
    <n v="3.8999999999999999E-4"/>
    <n v="38.288088639859851"/>
    <n v="3.2429013412487375"/>
    <n v="1"/>
  </r>
  <r>
    <n v="2084"/>
    <s v="MOF"/>
    <n v="2"/>
    <n v="60"/>
    <n v="200"/>
    <n v="7"/>
    <n v="25"/>
    <n v="150"/>
    <n v="100"/>
    <n v="64.313000000000002"/>
    <n v="71.373000000000005"/>
    <n v="64.31"/>
    <n v="60.4"/>
    <n v="6.0670000000000002E-2"/>
    <n v="3.636E-4"/>
    <n v="37.549954888750811"/>
    <n v="3.2870220221810129"/>
    <n v="2"/>
  </r>
  <r>
    <n v="2085"/>
    <s v="MOF"/>
    <n v="2"/>
    <n v="60"/>
    <n v="200"/>
    <n v="7"/>
    <n v="25"/>
    <n v="150"/>
    <n v="100"/>
    <n v="59.322000000000003"/>
    <n v="81.355999999999995"/>
    <n v="59.32"/>
    <n v="43.5"/>
    <n v="5.5820000000000002E-2"/>
    <n v="3.4400000000000001E-4"/>
    <n v="32.653308283422788"/>
    <n v="3.2834902824941694"/>
    <n v="3"/>
  </r>
  <r>
    <n v="2086"/>
    <s v="MOF"/>
    <n v="2"/>
    <n v="60"/>
    <n v="200"/>
    <n v="11"/>
    <n v="25"/>
    <n v="150"/>
    <n v="100"/>
    <n v="51.473999999999997"/>
    <n v="97.052000000000007"/>
    <n v="51.47"/>
    <n v="54.4"/>
    <n v="6.9209999999999994E-2"/>
    <n v="3.034E-4"/>
    <n v="24.900364920791201"/>
    <n v="3.2799195618255919"/>
    <n v="1"/>
  </r>
  <r>
    <n v="2087"/>
    <s v="MOF"/>
    <n v="2"/>
    <n v="60"/>
    <n v="200"/>
    <n v="11"/>
    <n v="25"/>
    <n v="150"/>
    <n v="100"/>
    <n v="44.034999999999997"/>
    <n v="111.931"/>
    <n v="44.03"/>
    <n v="57.3"/>
    <n v="5.2929999999999998E-2"/>
    <n v="3.611E-4"/>
    <n v="21.499894658348946"/>
    <n v="3.1150743307112752"/>
    <n v="2"/>
  </r>
  <r>
    <n v="2088"/>
    <s v="MOF"/>
    <n v="2"/>
    <n v="60"/>
    <n v="200"/>
    <n v="11"/>
    <n v="25"/>
    <n v="150"/>
    <n v="100"/>
    <n v="53.252000000000002"/>
    <n v="93.495999999999995"/>
    <n v="53.25"/>
    <n v="65.099999999999994"/>
    <n v="4.6710000000000002E-2"/>
    <n v="3.3050000000000001E-4"/>
    <n v="27.351060034985824"/>
    <n v="3.25427926013244"/>
    <n v="3"/>
  </r>
  <r>
    <n v="2089"/>
    <s v="MOF"/>
    <n v="2"/>
    <n v="120"/>
    <n v="25"/>
    <n v="3"/>
    <n v="25"/>
    <n v="150"/>
    <n v="100"/>
    <n v="2.5670000000000002"/>
    <n v="19.866"/>
    <n v="20.53"/>
    <n v="60.8"/>
    <n v="6.7059999999999995E-2"/>
    <n v="3.834E-4"/>
    <n v="0.27114616070596237"/>
    <n v="0.83110481758694965"/>
    <n v="1"/>
  </r>
  <r>
    <n v="2090"/>
    <s v="MOF"/>
    <n v="2"/>
    <n v="120"/>
    <n v="25"/>
    <n v="3"/>
    <n v="25"/>
    <n v="150"/>
    <n v="100"/>
    <n v="2.4820000000000002"/>
    <n v="20.036000000000001"/>
    <n v="19.86"/>
    <n v="47.3"/>
    <n v="5.1900000000000002E-2"/>
    <n v="3.2929999999999998E-4"/>
    <n v="0.22168844594084075"/>
    <n v="0.81550265956134904"/>
    <n v="2"/>
  </r>
  <r>
    <n v="2091"/>
    <s v="MOF"/>
    <n v="2"/>
    <n v="120"/>
    <n v="25"/>
    <n v="3"/>
    <n v="25"/>
    <n v="150"/>
    <n v="100"/>
    <n v="2.6059999999999999"/>
    <n v="19.786999999999999"/>
    <n v="20.85"/>
    <n v="56.6"/>
    <n v="4.7719999999999999E-2"/>
    <n v="3.347E-4"/>
    <n v="0.24691885236651465"/>
    <n v="0.85827219900027796"/>
    <n v="3"/>
  </r>
  <r>
    <n v="2092"/>
    <s v="MOF"/>
    <n v="2"/>
    <n v="120"/>
    <n v="25"/>
    <n v="7"/>
    <n v="25"/>
    <n v="150"/>
    <n v="100"/>
    <n v="4.3"/>
    <n v="16.399999999999999"/>
    <n v="34.4"/>
    <n v="57.4"/>
    <n v="5.8130000000000001E-2"/>
    <n v="3.634E-4"/>
    <n v="0.67899127791629299"/>
    <n v="1.2867526395305913"/>
    <n v="1"/>
  </r>
  <r>
    <n v="2093"/>
    <s v="MOF"/>
    <n v="2"/>
    <n v="120"/>
    <n v="25"/>
    <n v="7"/>
    <n v="25"/>
    <n v="150"/>
    <n v="100"/>
    <n v="4.5119999999999996"/>
    <n v="15.975"/>
    <n v="36.1"/>
    <n v="56.5"/>
    <n v="5.2880000000000003E-2"/>
    <n v="3.1789999999999998E-4"/>
    <n v="0.66257718955442446"/>
    <n v="1.347923217695876"/>
    <n v="2"/>
  </r>
  <r>
    <n v="2094"/>
    <s v="MOF"/>
    <n v="2"/>
    <n v="120"/>
    <n v="25"/>
    <n v="7"/>
    <n v="25"/>
    <n v="150"/>
    <n v="100"/>
    <n v="4.1219999999999999"/>
    <n v="16.756"/>
    <n v="32.979999999999997"/>
    <n v="34.6"/>
    <n v="5.3990000000000003E-2"/>
    <n v="3.4279999999999998E-4"/>
    <n v="0.59760547148553111"/>
    <n v="1.2597086565505073"/>
    <n v="3"/>
  </r>
  <r>
    <n v="2095"/>
    <s v="MOF"/>
    <n v="2"/>
    <n v="120"/>
    <n v="25"/>
    <n v="11"/>
    <n v="25"/>
    <n v="150"/>
    <n v="100"/>
    <n v="2.7909999999999999"/>
    <n v="19.419"/>
    <n v="22.33"/>
    <n v="47"/>
    <n v="5.9450000000000003E-2"/>
    <n v="3.5809999999999998E-4"/>
    <n v="0.29889075363108702"/>
    <n v="0.91312943879614028"/>
    <n v="1"/>
  </r>
  <r>
    <n v="2096"/>
    <s v="MOF"/>
    <n v="2"/>
    <n v="120"/>
    <n v="25"/>
    <n v="11"/>
    <n v="25"/>
    <n v="150"/>
    <n v="100"/>
    <n v="3.1070000000000002"/>
    <n v="18.785"/>
    <n v="24.86"/>
    <n v="57.1"/>
    <n v="5.5509999999999997E-2"/>
    <n v="3.9350000000000002E-4"/>
    <n v="0.39751537188212849"/>
    <n v="0.99675844267997082"/>
    <n v="2"/>
  </r>
  <r>
    <n v="2097"/>
    <s v="MOF"/>
    <n v="2"/>
    <n v="120"/>
    <n v="25"/>
    <n v="11"/>
    <n v="25"/>
    <n v="150"/>
    <n v="100"/>
    <n v="3.1120000000000001"/>
    <n v="18.776"/>
    <n v="24.9"/>
    <n v="42.6"/>
    <n v="6.3969999999999999E-2"/>
    <n v="3.6299999999999999E-4"/>
    <n v="0.37149883067253459"/>
    <n v="1.0081408121879296"/>
    <n v="3"/>
  </r>
  <r>
    <n v="2098"/>
    <s v="MOF"/>
    <n v="2"/>
    <n v="120"/>
    <n v="50"/>
    <n v="3"/>
    <n v="25"/>
    <n v="150"/>
    <n v="100"/>
    <n v="7.4569999999999999"/>
    <n v="35.085000000000001"/>
    <n v="29.83"/>
    <n v="44.3"/>
    <n v="5.7180000000000002E-2"/>
    <n v="3.4590000000000001E-4"/>
    <n v="1.7625694914806203"/>
    <n v="1.739488593394902"/>
    <n v="1"/>
  </r>
  <r>
    <n v="2099"/>
    <s v="MOF"/>
    <n v="2"/>
    <n v="120"/>
    <n v="50"/>
    <n v="3"/>
    <n v="25"/>
    <n v="150"/>
    <n v="100"/>
    <n v="8.6349999999999998"/>
    <n v="32.728999999999999"/>
    <n v="34.54"/>
    <n v="51.7"/>
    <n v="5.0389999999999997E-2"/>
    <n v="3.814E-4"/>
    <n v="2.445952797330357"/>
    <n v="1.8227811495934887"/>
    <n v="2"/>
  </r>
  <r>
    <n v="2100"/>
    <s v="MOF"/>
    <n v="2"/>
    <n v="120"/>
    <n v="50"/>
    <n v="3"/>
    <n v="25"/>
    <n v="150"/>
    <n v="100"/>
    <n v="8.282"/>
    <n v="33.436"/>
    <n v="33.130000000000003"/>
    <n v="55.9"/>
    <n v="5.8720000000000001E-2"/>
    <n v="3.4870000000000002E-4"/>
    <n v="2.1314763285815843"/>
    <n v="1.8165372280175187"/>
    <n v="3"/>
  </r>
  <r>
    <n v="2101"/>
    <s v="MOF"/>
    <n v="2"/>
    <n v="120"/>
    <n v="50"/>
    <n v="7"/>
    <n v="25"/>
    <n v="150"/>
    <n v="100"/>
    <n v="12.263"/>
    <n v="25.475000000000001"/>
    <n v="49.05"/>
    <n v="64.099999999999994"/>
    <n v="5.8439999999999999E-2"/>
    <n v="3.4410000000000002E-4"/>
    <n v="4.1222042423196958"/>
    <n v="2.0968879341651405"/>
    <n v="1"/>
  </r>
  <r>
    <n v="2102"/>
    <s v="MOF"/>
    <n v="2"/>
    <n v="120"/>
    <n v="50"/>
    <n v="7"/>
    <n v="25"/>
    <n v="150"/>
    <n v="100"/>
    <n v="13.207000000000001"/>
    <n v="23.585000000000001"/>
    <n v="52.83"/>
    <n v="35.200000000000003"/>
    <n v="6.6290000000000002E-2"/>
    <n v="2.9030000000000001E-4"/>
    <n v="4.161599354117711"/>
    <n v="2.2022564126017414"/>
    <n v="2"/>
  </r>
  <r>
    <n v="2103"/>
    <s v="MOF"/>
    <n v="2"/>
    <n v="120"/>
    <n v="50"/>
    <n v="7"/>
    <n v="25"/>
    <n v="150"/>
    <n v="100"/>
    <n v="11.536"/>
    <n v="26.928999999999998"/>
    <n v="46.14"/>
    <n v="54.2"/>
    <n v="5.4190000000000002E-2"/>
    <n v="3.8519999999999998E-4"/>
    <n v="4.0120640744644671"/>
    <n v="2.018089395391828"/>
    <n v="3"/>
  </r>
  <r>
    <n v="2104"/>
    <s v="MOF"/>
    <n v="2"/>
    <n v="120"/>
    <n v="50"/>
    <n v="11"/>
    <n v="25"/>
    <n v="150"/>
    <n v="100"/>
    <n v="8.74"/>
    <n v="32.520000000000003"/>
    <n v="34.96"/>
    <n v="56.7"/>
    <n v="5.1819999999999998E-2"/>
    <n v="3.6029999999999998E-4"/>
    <n v="2.3969343815812936"/>
    <n v="1.8473621876114474"/>
    <n v="1"/>
  </r>
  <r>
    <n v="2105"/>
    <s v="MOF"/>
    <n v="2"/>
    <n v="120"/>
    <n v="50"/>
    <n v="11"/>
    <n v="25"/>
    <n v="150"/>
    <n v="100"/>
    <n v="9.3960000000000008"/>
    <n v="31.207999999999998"/>
    <n v="37.58"/>
    <n v="55.3"/>
    <n v="5.1979999999999998E-2"/>
    <n v="3.321E-4"/>
    <n v="2.5598079548875821"/>
    <n v="1.9222308580583312"/>
    <n v="2"/>
  </r>
  <r>
    <n v="2106"/>
    <s v="MOF"/>
    <n v="2"/>
    <n v="120"/>
    <n v="50"/>
    <n v="11"/>
    <n v="25"/>
    <n v="150"/>
    <n v="100"/>
    <n v="9.6289999999999996"/>
    <n v="30.742000000000001"/>
    <n v="38.520000000000003"/>
    <n v="62.3"/>
    <n v="5.1709999999999999E-2"/>
    <n v="3.1960000000000002E-4"/>
    <n v="2.5968956986488294"/>
    <n v="1.9504859926606999"/>
    <n v="3"/>
  </r>
  <r>
    <n v="2107"/>
    <s v="MOF"/>
    <n v="2"/>
    <n v="120"/>
    <n v="100"/>
    <n v="3"/>
    <n v="25"/>
    <n v="150"/>
    <n v="100"/>
    <n v="22.532"/>
    <n v="54.935000000000002"/>
    <n v="45.06"/>
    <n v="54.3"/>
    <n v="5.9569999999999998E-2"/>
    <n v="3.1829999999999998E-4"/>
    <n v="10.422138025080971"/>
    <n v="2.4940201598880765"/>
    <n v="1"/>
  </r>
  <r>
    <n v="2108"/>
    <s v="MOF"/>
    <n v="2"/>
    <n v="120"/>
    <n v="100"/>
    <n v="3"/>
    <n v="25"/>
    <n v="150"/>
    <n v="100"/>
    <n v="18.913"/>
    <n v="62.173000000000002"/>
    <n v="37.83"/>
    <n v="50.2"/>
    <n v="5.0790000000000002E-2"/>
    <n v="3.4719999999999998E-4"/>
    <n v="8.3352076364186551"/>
    <n v="2.3587567433701508"/>
    <n v="2"/>
  </r>
  <r>
    <n v="2109"/>
    <s v="MOF"/>
    <n v="2"/>
    <n v="120"/>
    <n v="100"/>
    <n v="3"/>
    <n v="25"/>
    <n v="150"/>
    <n v="100"/>
    <n v="20.640999999999998"/>
    <n v="58.716999999999999"/>
    <n v="41.28"/>
    <n v="60.6"/>
    <n v="5.3420000000000002E-2"/>
    <n v="3.5530000000000002E-4"/>
    <n v="9.6620347824873107"/>
    <n v="2.3959811891550991"/>
    <n v="3"/>
  </r>
  <r>
    <n v="2110"/>
    <s v="MOF"/>
    <n v="2"/>
    <n v="120"/>
    <n v="100"/>
    <n v="7"/>
    <n v="25"/>
    <n v="150"/>
    <n v="100"/>
    <n v="32.277000000000001"/>
    <n v="35.447000000000003"/>
    <n v="64.55"/>
    <n v="56.1"/>
    <n v="5.4870000000000002E-2"/>
    <n v="3.679E-4"/>
    <n v="18.966704777907651"/>
    <n v="2.5885378126337906"/>
    <n v="1"/>
  </r>
  <r>
    <n v="2111"/>
    <s v="MOF"/>
    <n v="2"/>
    <n v="120"/>
    <n v="100"/>
    <n v="7"/>
    <n v="25"/>
    <n v="150"/>
    <n v="100"/>
    <n v="30.146000000000001"/>
    <n v="39.707000000000001"/>
    <n v="60.29"/>
    <n v="66"/>
    <n v="5.3699999999999998E-2"/>
    <n v="3.0410000000000002E-4"/>
    <n v="15.791362284066604"/>
    <n v="2.6640730757716864"/>
    <n v="2"/>
  </r>
  <r>
    <n v="2112"/>
    <s v="MOF"/>
    <n v="2"/>
    <n v="120"/>
    <n v="100"/>
    <n v="7"/>
    <n v="25"/>
    <n v="150"/>
    <n v="100"/>
    <n v="32.344999999999999"/>
    <n v="35.311"/>
    <n v="64.69"/>
    <n v="47.6"/>
    <n v="5.8659999999999997E-2"/>
    <n v="4.2729999999999998E-4"/>
    <n v="20.178466368394691"/>
    <n v="2.4986890374719506"/>
    <n v="3"/>
  </r>
  <r>
    <n v="2113"/>
    <s v="MOF"/>
    <n v="2"/>
    <n v="120"/>
    <n v="100"/>
    <n v="11"/>
    <n v="25"/>
    <n v="150"/>
    <n v="100"/>
    <n v="24.251999999999999"/>
    <n v="51.496000000000002"/>
    <n v="48.5"/>
    <n v="57.3"/>
    <n v="4.5339999999999998E-2"/>
    <n v="3.659E-4"/>
    <n v="12.506875683351016"/>
    <n v="2.4634382026993022"/>
    <n v="1"/>
  </r>
  <r>
    <n v="2114"/>
    <s v="MOF"/>
    <n v="2"/>
    <n v="120"/>
    <n v="100"/>
    <n v="11"/>
    <n v="25"/>
    <n v="150"/>
    <n v="100"/>
    <n v="24.074000000000002"/>
    <n v="51.853000000000002"/>
    <n v="48.15"/>
    <n v="49.4"/>
    <n v="4.8939999999999997E-2"/>
    <n v="3.7560000000000002E-4"/>
    <n v="12.528067712613858"/>
    <n v="2.4463331920265463"/>
    <n v="2"/>
  </r>
  <r>
    <n v="2115"/>
    <s v="MOF"/>
    <n v="2"/>
    <n v="120"/>
    <n v="100"/>
    <n v="11"/>
    <n v="25"/>
    <n v="150"/>
    <n v="100"/>
    <n v="27.475000000000001"/>
    <n v="45.051000000000002"/>
    <n v="54.95"/>
    <n v="54.7"/>
    <n v="5.0250000000000003E-2"/>
    <n v="4.0559999999999999E-4"/>
    <n v="15.719798446319615"/>
    <n v="2.4642958280534932"/>
    <n v="3"/>
  </r>
  <r>
    <n v="2116"/>
    <s v="MOF"/>
    <n v="2"/>
    <n v="120"/>
    <n v="200"/>
    <n v="3"/>
    <n v="25"/>
    <n v="150"/>
    <n v="100"/>
    <n v="50.725999999999999"/>
    <n v="98.548000000000002"/>
    <n v="50.73"/>
    <n v="36.9"/>
    <n v="5.7520000000000002E-2"/>
    <n v="3.1129999999999998E-4"/>
    <n v="33.203584178568534"/>
    <n v="2.8634809653534936"/>
    <n v="1"/>
  </r>
  <r>
    <n v="2117"/>
    <s v="MOF"/>
    <n v="2"/>
    <n v="120"/>
    <n v="200"/>
    <n v="3"/>
    <n v="25"/>
    <n v="150"/>
    <n v="100"/>
    <n v="57.244"/>
    <n v="85.513000000000005"/>
    <n v="57.24"/>
    <n v="51.4"/>
    <n v="5.8319999999999997E-2"/>
    <n v="3.991E-4"/>
    <n v="41.944375144535002"/>
    <n v="2.7278283088471342"/>
    <n v="2"/>
  </r>
  <r>
    <n v="2118"/>
    <s v="MOF"/>
    <n v="2"/>
    <n v="120"/>
    <n v="200"/>
    <n v="3"/>
    <n v="25"/>
    <n v="150"/>
    <n v="100"/>
    <n v="49.008000000000003"/>
    <n v="101.98399999999999"/>
    <n v="49.01"/>
    <n v="49.9"/>
    <n v="5.4579999999999997E-2"/>
    <n v="4.038E-4"/>
    <n v="34.485956438686294"/>
    <n v="2.6756677406308529"/>
    <n v="3"/>
  </r>
  <r>
    <n v="2119"/>
    <s v="MOF"/>
    <n v="2"/>
    <n v="120"/>
    <n v="200"/>
    <n v="7"/>
    <n v="25"/>
    <n v="150"/>
    <n v="100"/>
    <n v="72.504000000000005"/>
    <n v="54.993000000000002"/>
    <n v="72.5"/>
    <n v="49.7"/>
    <n v="5.7630000000000001E-2"/>
    <n v="3.2979999999999999E-4"/>
    <n v="53.766299833272306"/>
    <n v="2.9305375460522542"/>
    <n v="1"/>
  </r>
  <r>
    <n v="2120"/>
    <s v="MOF"/>
    <n v="2"/>
    <n v="120"/>
    <n v="200"/>
    <n v="7"/>
    <n v="25"/>
    <n v="150"/>
    <n v="100"/>
    <n v="76.817999999999998"/>
    <n v="46.363999999999997"/>
    <n v="76.819999999999993"/>
    <n v="41.9"/>
    <n v="6.7180000000000004E-2"/>
    <n v="3.0279999999999999E-4"/>
    <n v="56.556128394867109"/>
    <n v="3.008740873879244"/>
    <n v="2"/>
  </r>
  <r>
    <n v="2121"/>
    <s v="MOF"/>
    <n v="2"/>
    <n v="120"/>
    <n v="200"/>
    <n v="7"/>
    <n v="25"/>
    <n v="150"/>
    <n v="100"/>
    <n v="74.295000000000002"/>
    <n v="51.411000000000001"/>
    <n v="74.290000000000006"/>
    <n v="54.3"/>
    <n v="6.5519999999999995E-2"/>
    <n v="3.0360000000000001E-4"/>
    <n v="54.251648627983165"/>
    <n v="2.9978974963671718"/>
    <n v="3"/>
  </r>
  <r>
    <n v="2122"/>
    <s v="MOF"/>
    <n v="2"/>
    <n v="120"/>
    <n v="200"/>
    <n v="11"/>
    <n v="25"/>
    <n v="150"/>
    <n v="100"/>
    <n v="71.138000000000005"/>
    <n v="57.723999999999997"/>
    <n v="71.14"/>
    <n v="60.7"/>
    <n v="5.7290000000000001E-2"/>
    <n v="3.1550000000000003E-4"/>
    <n v="51.876554927750661"/>
    <n v="2.9581054332671952"/>
    <n v="1"/>
  </r>
  <r>
    <n v="2123"/>
    <s v="MOF"/>
    <n v="2"/>
    <n v="120"/>
    <n v="200"/>
    <n v="11"/>
    <n v="25"/>
    <n v="150"/>
    <n v="100"/>
    <n v="64.962000000000003"/>
    <n v="70.075999999999993"/>
    <n v="64.959999999999994"/>
    <n v="48.6"/>
    <n v="6.1969999999999997E-2"/>
    <n v="3.1599999999999998E-4"/>
    <n v="46.205065114034497"/>
    <n v="2.9315635446196815"/>
    <n v="2"/>
  </r>
  <r>
    <n v="2124"/>
    <s v="MOF"/>
    <n v="2"/>
    <n v="120"/>
    <n v="200"/>
    <n v="11"/>
    <n v="25"/>
    <n v="150"/>
    <n v="100"/>
    <n v="61.97"/>
    <n v="76.061000000000007"/>
    <n v="61.97"/>
    <n v="50"/>
    <n v="4.9570000000000003E-2"/>
    <n v="3.7589999999999998E-4"/>
    <n v="45.642093953379849"/>
    <n v="2.7928756713643441"/>
    <n v="3"/>
  </r>
  <r>
    <n v="2125"/>
    <s v="MOF"/>
    <n v="2"/>
    <n v="240"/>
    <n v="25"/>
    <n v="3"/>
    <n v="25"/>
    <n v="150"/>
    <n v="100"/>
    <n v="4.0369999999999999"/>
    <n v="16.925000000000001"/>
    <n v="32.299999999999997"/>
    <n v="64.400000000000006"/>
    <n v="4.521E-2"/>
    <n v="3.8719999999999998E-4"/>
    <n v="1.1013209732670275"/>
    <n v="1.0769387814562073"/>
    <n v="1"/>
  </r>
  <r>
    <n v="2126"/>
    <s v="MOF"/>
    <n v="2"/>
    <n v="240"/>
    <n v="25"/>
    <n v="3"/>
    <n v="25"/>
    <n v="150"/>
    <n v="100"/>
    <n v="4.5739999999999998"/>
    <n v="15.852"/>
    <n v="36.590000000000003"/>
    <n v="50.9"/>
    <n v="6.5420000000000006E-2"/>
    <n v="3.4079999999999999E-4"/>
    <n v="1.2453159761183819"/>
    <n v="1.2025770378614486"/>
    <n v="2"/>
  </r>
  <r>
    <n v="2127"/>
    <s v="MOF"/>
    <n v="2"/>
    <n v="240"/>
    <n v="25"/>
    <n v="3"/>
    <n v="25"/>
    <n v="150"/>
    <n v="100"/>
    <n v="3.5179999999999998"/>
    <n v="17.965"/>
    <n v="28.14"/>
    <n v="52"/>
    <n v="6.0769999999999998E-2"/>
    <n v="3.2069999999999999E-4"/>
    <n v="0.7496071979799287"/>
    <n v="1.0182669359316461"/>
    <n v="3"/>
  </r>
  <r>
    <n v="2128"/>
    <s v="MOF"/>
    <n v="2"/>
    <n v="240"/>
    <n v="25"/>
    <n v="7"/>
    <n v="25"/>
    <n v="150"/>
    <n v="100"/>
    <n v="5.782"/>
    <n v="13.435"/>
    <n v="46.26"/>
    <n v="59.4"/>
    <n v="5.5019999999999999E-2"/>
    <n v="3.7050000000000001E-4"/>
    <n v="1.9633191559666552"/>
    <n v="1.3399050341916852"/>
    <n v="1"/>
  </r>
  <r>
    <n v="2129"/>
    <s v="MOF"/>
    <n v="2"/>
    <n v="240"/>
    <n v="25"/>
    <n v="7"/>
    <n v="25"/>
    <n v="150"/>
    <n v="100"/>
    <n v="6.1369999999999996"/>
    <n v="12.727"/>
    <n v="49.09"/>
    <n v="58.5"/>
    <n v="5.262E-2"/>
    <n v="3.5809999999999998E-4"/>
    <n v="2.1191618408412753"/>
    <n v="1.3907439866265026"/>
    <n v="2"/>
  </r>
  <r>
    <n v="2130"/>
    <s v="MOF"/>
    <n v="2"/>
    <n v="240"/>
    <n v="25"/>
    <n v="7"/>
    <n v="25"/>
    <n v="150"/>
    <n v="100"/>
    <n v="5.6440000000000001"/>
    <n v="13.712"/>
    <n v="45.15"/>
    <n v="65.099999999999994"/>
    <n v="5.151E-2"/>
    <n v="3.8949999999999998E-4"/>
    <n v="1.9493182364778574"/>
    <n v="1.3068944244453882"/>
    <n v="3"/>
  </r>
  <r>
    <n v="2131"/>
    <s v="MOF"/>
    <n v="2"/>
    <n v="240"/>
    <n v="25"/>
    <n v="11"/>
    <n v="25"/>
    <n v="150"/>
    <n v="100"/>
    <n v="4.6449999999999996"/>
    <n v="15.71"/>
    <n v="37.159999999999997"/>
    <n v="56.2"/>
    <n v="5.228E-2"/>
    <n v="3.144E-4"/>
    <n v="1.2055156137337448"/>
    <n v="1.2353215724377231"/>
    <n v="1"/>
  </r>
  <r>
    <n v="2132"/>
    <s v="MOF"/>
    <n v="2"/>
    <n v="240"/>
    <n v="25"/>
    <n v="11"/>
    <n v="25"/>
    <n v="150"/>
    <n v="100"/>
    <n v="4.1459999999999999"/>
    <n v="16.709"/>
    <n v="33.159999999999997"/>
    <n v="45.9"/>
    <n v="5.3220000000000003E-2"/>
    <n v="3.5740000000000001E-4"/>
    <n v="1.0876372684192395"/>
    <n v="1.117879717732295"/>
    <n v="2"/>
  </r>
  <r>
    <n v="2133"/>
    <s v="MOF"/>
    <n v="2"/>
    <n v="240"/>
    <n v="25"/>
    <n v="11"/>
    <n v="25"/>
    <n v="150"/>
    <n v="100"/>
    <n v="5.056"/>
    <n v="14.887"/>
    <n v="40.450000000000003"/>
    <n v="50.9"/>
    <n v="5.015E-2"/>
    <n v="2.9950000000000002E-4"/>
    <n v="1.34769264046505"/>
    <n v="1.3105755351893142"/>
    <n v="3"/>
  </r>
  <r>
    <n v="2134"/>
    <s v="MOF"/>
    <n v="2"/>
    <n v="240"/>
    <n v="50"/>
    <n v="3"/>
    <n v="25"/>
    <n v="150"/>
    <n v="100"/>
    <n v="11.179"/>
    <n v="27.641999999999999"/>
    <n v="44.72"/>
    <n v="65.900000000000006"/>
    <n v="6.1960000000000001E-2"/>
    <n v="3.748E-4"/>
    <n v="5.6050329961455096"/>
    <n v="1.7181070093892914"/>
    <n v="1"/>
  </r>
  <r>
    <n v="2135"/>
    <s v="MOF"/>
    <n v="2"/>
    <n v="240"/>
    <n v="50"/>
    <n v="3"/>
    <n v="25"/>
    <n v="150"/>
    <n v="100"/>
    <n v="11.298999999999999"/>
    <n v="27.402000000000001"/>
    <n v="45.2"/>
    <n v="68.400000000000006"/>
    <n v="5.6829999999999999E-2"/>
    <n v="3.726E-4"/>
    <n v="5.6787303927570738"/>
    <n v="1.7263796355739667"/>
    <n v="2"/>
  </r>
  <r>
    <n v="2136"/>
    <s v="MOF"/>
    <n v="2"/>
    <n v="240"/>
    <n v="50"/>
    <n v="3"/>
    <n v="25"/>
    <n v="150"/>
    <n v="100"/>
    <n v="10.573"/>
    <n v="28.853999999999999"/>
    <n v="42.29"/>
    <n v="43.4"/>
    <n v="5.1240000000000001E-2"/>
    <n v="3.4969999999999999E-4"/>
    <n v="4.9710269729135961"/>
    <n v="1.7231188619542088"/>
    <n v="3"/>
  </r>
  <r>
    <n v="2137"/>
    <s v="MOF"/>
    <n v="2"/>
    <n v="240"/>
    <n v="50"/>
    <n v="7"/>
    <n v="25"/>
    <n v="150"/>
    <n v="100"/>
    <n v="16.048999999999999"/>
    <n v="17.902000000000001"/>
    <n v="64.2"/>
    <n v="70.3"/>
    <n v="5.5449999999999999E-2"/>
    <n v="3.9130000000000002E-4"/>
    <n v="9.6478192388908095"/>
    <n v="1.8564824672720261"/>
    <n v="1"/>
  </r>
  <r>
    <n v="2138"/>
    <s v="MOF"/>
    <n v="2"/>
    <n v="240"/>
    <n v="50"/>
    <n v="7"/>
    <n v="25"/>
    <n v="150"/>
    <n v="100"/>
    <n v="15.494"/>
    <n v="19.010999999999999"/>
    <n v="61.98"/>
    <n v="52"/>
    <n v="4.7690000000000003E-2"/>
    <n v="3.2400000000000001E-4"/>
    <n v="8.4666480622324212"/>
    <n v="1.9498099546000862"/>
    <n v="2"/>
  </r>
  <r>
    <n v="2139"/>
    <s v="MOF"/>
    <n v="2"/>
    <n v="240"/>
    <n v="50"/>
    <n v="7"/>
    <n v="25"/>
    <n v="150"/>
    <n v="100"/>
    <n v="16.57"/>
    <n v="16.859000000000002"/>
    <n v="66.28"/>
    <n v="54.6"/>
    <n v="6.019E-2"/>
    <n v="3.5629999999999999E-4"/>
    <n v="9.7142062145979136"/>
    <n v="1.9250941028679358"/>
    <n v="3"/>
  </r>
  <r>
    <n v="2140"/>
    <s v="MOF"/>
    <n v="2"/>
    <n v="240"/>
    <n v="50"/>
    <n v="11"/>
    <n v="25"/>
    <n v="150"/>
    <n v="100"/>
    <n v="12.531000000000001"/>
    <n v="24.937999999999999"/>
    <n v="50.12"/>
    <n v="72.099999999999994"/>
    <n v="5.4480000000000001E-2"/>
    <n v="3.9070000000000001E-4"/>
    <n v="6.7696387233781952"/>
    <n v="1.7511737795324567"/>
    <n v="1"/>
  </r>
  <r>
    <n v="2141"/>
    <s v="MOF"/>
    <n v="2"/>
    <n v="240"/>
    <n v="50"/>
    <n v="11"/>
    <n v="25"/>
    <n v="150"/>
    <n v="100"/>
    <n v="12.487"/>
    <n v="25.026"/>
    <n v="49.95"/>
    <n v="60.4"/>
    <n v="6.0100000000000001E-2"/>
    <n v="3.5730000000000001E-4"/>
    <n v="6.4569202721373111"/>
    <n v="1.7967602325194618"/>
    <n v="2"/>
  </r>
  <r>
    <n v="2142"/>
    <s v="MOF"/>
    <n v="2"/>
    <n v="240"/>
    <n v="50"/>
    <n v="11"/>
    <n v="25"/>
    <n v="150"/>
    <n v="100"/>
    <n v="10.73"/>
    <n v="28.539000000000001"/>
    <n v="42.92"/>
    <n v="54.7"/>
    <n v="6.1769999999999999E-2"/>
    <n v="3.6850000000000001E-4"/>
    <n v="5.2245030203782408"/>
    <n v="1.7057470439602893"/>
    <n v="3"/>
  </r>
  <r>
    <n v="2143"/>
    <s v="MOF"/>
    <n v="2"/>
    <n v="240"/>
    <n v="100"/>
    <n v="3"/>
    <n v="25"/>
    <n v="150"/>
    <n v="100"/>
    <n v="27.687999999999999"/>
    <n v="44.625"/>
    <n v="55.38"/>
    <n v="40.5"/>
    <n v="5.1040000000000002E-2"/>
    <n v="3.6440000000000002E-4"/>
    <n v="19.595599630472144"/>
    <n v="2.0909253952846885"/>
    <n v="1"/>
  </r>
  <r>
    <n v="2144"/>
    <s v="MOF"/>
    <n v="2"/>
    <n v="240"/>
    <n v="100"/>
    <n v="3"/>
    <n v="25"/>
    <n v="150"/>
    <n v="100"/>
    <n v="27.620999999999999"/>
    <n v="44.758000000000003"/>
    <n v="55.24"/>
    <n v="64.5"/>
    <n v="5.4199999999999998E-2"/>
    <n v="3.6420000000000002E-4"/>
    <n v="19.531192606923685"/>
    <n v="2.0906049227618073"/>
    <n v="2"/>
  </r>
  <r>
    <n v="2145"/>
    <s v="MOF"/>
    <n v="2"/>
    <n v="240"/>
    <n v="100"/>
    <n v="3"/>
    <n v="25"/>
    <n v="150"/>
    <n v="100"/>
    <n v="26.881"/>
    <n v="46.238999999999997"/>
    <n v="53.76"/>
    <n v="46.5"/>
    <n v="4.2590000000000003E-2"/>
    <n v="3.6509999999999998E-4"/>
    <n v="18.869784104626135"/>
    <n v="2.0808425467355067"/>
    <n v="3"/>
  </r>
  <r>
    <n v="2146"/>
    <s v="MOF"/>
    <n v="2"/>
    <n v="240"/>
    <n v="100"/>
    <n v="7"/>
    <n v="25"/>
    <n v="150"/>
    <n v="100"/>
    <n v="38.576999999999998"/>
    <n v="22.846"/>
    <n v="77.150000000000006"/>
    <n v="49.5"/>
    <n v="4.6089999999999999E-2"/>
    <n v="3.7199999999999999E-4"/>
    <n v="29.89660883016634"/>
    <n v="2.1610665933058719"/>
    <n v="1"/>
  </r>
  <r>
    <n v="2147"/>
    <s v="MOF"/>
    <n v="2"/>
    <n v="240"/>
    <n v="100"/>
    <n v="7"/>
    <n v="25"/>
    <n v="150"/>
    <n v="100"/>
    <n v="37.404000000000003"/>
    <n v="25.193000000000001"/>
    <n v="74.81"/>
    <n v="59.1"/>
    <n v="6.5250000000000002E-2"/>
    <n v="2.7500000000000002E-4"/>
    <n v="26.620597514201435"/>
    <n v="2.3780081451607322"/>
    <n v="2"/>
  </r>
  <r>
    <n v="2148"/>
    <s v="MOF"/>
    <n v="2"/>
    <n v="240"/>
    <n v="100"/>
    <n v="7"/>
    <n v="25"/>
    <n v="150"/>
    <n v="100"/>
    <n v="36.247"/>
    <n v="27.507000000000001"/>
    <n v="72.489999999999995"/>
    <n v="52.8"/>
    <n v="6.3E-2"/>
    <n v="2.9270000000000001E-4"/>
    <n v="26.02586472457768"/>
    <n v="2.3244576623070352"/>
    <n v="3"/>
  </r>
  <r>
    <n v="2149"/>
    <s v="MOF"/>
    <n v="2"/>
    <n v="240"/>
    <n v="100"/>
    <n v="11"/>
    <n v="25"/>
    <n v="150"/>
    <n v="100"/>
    <n v="35.569000000000003"/>
    <n v="28.861000000000001"/>
    <n v="71.14"/>
    <n v="55.7"/>
    <n v="5.4469999999999998E-2"/>
    <n v="3.4309999999999999E-4"/>
    <n v="26.515815467650516"/>
    <n v="2.2031165778434412"/>
    <n v="1"/>
  </r>
  <r>
    <n v="2150"/>
    <s v="MOF"/>
    <n v="2"/>
    <n v="240"/>
    <n v="100"/>
    <n v="11"/>
    <n v="25"/>
    <n v="150"/>
    <n v="100"/>
    <n v="30.367999999999999"/>
    <n v="39.264000000000003"/>
    <n v="60.74"/>
    <n v="63.1"/>
    <n v="4.9119999999999997E-2"/>
    <n v="3.6210000000000002E-4"/>
    <n v="22.023081093618067"/>
    <n v="2.121652839437095"/>
    <n v="2"/>
  </r>
  <r>
    <n v="2151"/>
    <s v="MOF"/>
    <n v="2"/>
    <n v="240"/>
    <n v="100"/>
    <n v="11"/>
    <n v="25"/>
    <n v="150"/>
    <n v="100"/>
    <n v="30.481999999999999"/>
    <n v="39.036000000000001"/>
    <n v="60.96"/>
    <n v="48.3"/>
    <n v="6.9220000000000004E-2"/>
    <n v="3.6469999999999997E-4"/>
    <n v="22.171813742384838"/>
    <n v="2.1174820222882755"/>
    <n v="3"/>
  </r>
  <r>
    <n v="2152"/>
    <s v="MOF"/>
    <n v="2"/>
    <n v="240"/>
    <n v="200"/>
    <n v="3"/>
    <n v="25"/>
    <n v="150"/>
    <n v="100"/>
    <n v="63.567999999999998"/>
    <n v="72.864999999999995"/>
    <n v="63.57"/>
    <n v="63.9"/>
    <n v="4.718E-2"/>
    <n v="4.1130000000000002E-4"/>
    <n v="54.830039800689519"/>
    <n v="2.1676767756219237"/>
    <n v="1"/>
  </r>
  <r>
    <n v="2153"/>
    <s v="MOF"/>
    <n v="2"/>
    <n v="240"/>
    <n v="200"/>
    <n v="3"/>
    <n v="25"/>
    <n v="150"/>
    <n v="100"/>
    <n v="50.246000000000002"/>
    <n v="99.507000000000005"/>
    <n v="50.25"/>
    <n v="48.3"/>
    <n v="5.2479999999999999E-2"/>
    <n v="3.704E-4"/>
    <n v="41.054661477813703"/>
    <n v="2.2182615756187363"/>
    <n v="2"/>
  </r>
  <r>
    <n v="2154"/>
    <s v="MOF"/>
    <n v="2"/>
    <n v="240"/>
    <n v="200"/>
    <n v="3"/>
    <n v="25"/>
    <n v="150"/>
    <n v="100"/>
    <n v="61.884"/>
    <n v="76.230999999999995"/>
    <n v="61.88"/>
    <n v="53.2"/>
    <n v="5.493E-2"/>
    <n v="3.1579999999999998E-4"/>
    <n v="51.00867390048942"/>
    <n v="2.3864965626870642"/>
    <n v="3"/>
  </r>
  <r>
    <n v="2155"/>
    <s v="MOF"/>
    <n v="2"/>
    <n v="240"/>
    <n v="200"/>
    <n v="7"/>
    <n v="25"/>
    <n v="150"/>
    <n v="100"/>
    <n v="75.358999999999995"/>
    <n v="49.281999999999996"/>
    <n v="75.36"/>
    <n v="60.5"/>
    <n v="5.8819999999999997E-2"/>
    <n v="4.0549999999999999E-4"/>
    <n v="66.316575988075385"/>
    <n v="2.2019272813722139"/>
    <n v="1"/>
  </r>
  <r>
    <n v="2156"/>
    <s v="MOF"/>
    <n v="2"/>
    <n v="240"/>
    <n v="200"/>
    <n v="7"/>
    <n v="25"/>
    <n v="150"/>
    <n v="100"/>
    <n v="79.527000000000001"/>
    <n v="40.947000000000003"/>
    <n v="79.53"/>
    <n v="60.2"/>
    <n v="5.3440000000000001E-2"/>
    <n v="3.9169999999999998E-4"/>
    <n v="70.144583124957322"/>
    <n v="2.238837392413338"/>
    <n v="2"/>
  </r>
  <r>
    <n v="2157"/>
    <s v="MOF"/>
    <n v="2"/>
    <n v="240"/>
    <n v="200"/>
    <n v="7"/>
    <n v="25"/>
    <n v="150"/>
    <n v="100"/>
    <n v="90.203999999999994"/>
    <n v="19.591999999999999"/>
    <n v="90.2"/>
    <n v="56.3"/>
    <n v="5.3129999999999997E-2"/>
    <n v="3.836E-4"/>
    <n v="80.509378905085029"/>
    <n v="2.271571205405341"/>
    <n v="3"/>
  </r>
  <r>
    <n v="2158"/>
    <s v="MOF"/>
    <n v="2"/>
    <n v="240"/>
    <n v="200"/>
    <n v="11"/>
    <n v="25"/>
    <n v="150"/>
    <n v="100"/>
    <n v="73.402000000000001"/>
    <n v="53.197000000000003"/>
    <n v="73.400000000000006"/>
    <n v="48.9"/>
    <n v="4.7699999999999999E-2"/>
    <n v="3.3990000000000002E-4"/>
    <n v="62.897754954691059"/>
    <n v="2.3517794654897073"/>
    <n v="1"/>
  </r>
  <r>
    <n v="2159"/>
    <s v="MOF"/>
    <n v="2"/>
    <n v="240"/>
    <n v="200"/>
    <n v="11"/>
    <n v="25"/>
    <n v="150"/>
    <n v="100"/>
    <n v="77.671000000000006"/>
    <n v="44.658000000000001"/>
    <n v="77.67"/>
    <n v="63.9"/>
    <n v="4.888E-2"/>
    <n v="3.0909999999999998E-4"/>
    <n v="66.18451280285926"/>
    <n v="2.4411713181489141"/>
    <n v="2"/>
  </r>
  <r>
    <n v="2160"/>
    <s v="MOF"/>
    <n v="2"/>
    <n v="240"/>
    <n v="200"/>
    <n v="11"/>
    <n v="25"/>
    <n v="150"/>
    <n v="100"/>
    <n v="76.486999999999995"/>
    <n v="47.024999999999999"/>
    <n v="76.489999999999995"/>
    <n v="45.3"/>
    <n v="5.7799999999999997E-2"/>
    <n v="3.2840000000000001E-4"/>
    <n v="65.604436882277838"/>
    <n v="2.3871617943560195"/>
    <n v="3"/>
  </r>
  <r>
    <n v="2161"/>
    <s v="MOF"/>
    <n v="4"/>
    <n v="30"/>
    <n v="25"/>
    <n v="3"/>
    <n v="25"/>
    <n v="150"/>
    <n v="100"/>
    <n v="0.217"/>
    <n v="24.131"/>
    <n v="3.48"/>
    <n v="48.2"/>
    <n v="6.1289999999999997E-2"/>
    <n v="3.5649999999999999E-4"/>
    <n v="5.0245075974003389E-4"/>
    <n v="-1.5301760515100837"/>
    <n v="1"/>
  </r>
  <r>
    <n v="2162"/>
    <s v="MOF"/>
    <n v="4"/>
    <n v="30"/>
    <n v="25"/>
    <n v="3"/>
    <n v="25"/>
    <n v="150"/>
    <n v="100"/>
    <n v="0.19900000000000001"/>
    <n v="24.206"/>
    <n v="3.18"/>
    <n v="38.4"/>
    <n v="4.2880000000000001E-2"/>
    <n v="3.4230000000000003E-4"/>
    <n v="4.0583333599705665E-4"/>
    <n v="-1.6164919000884259"/>
    <n v="2"/>
  </r>
  <r>
    <n v="2163"/>
    <s v="MOF"/>
    <n v="4"/>
    <n v="30"/>
    <n v="25"/>
    <n v="3"/>
    <n v="25"/>
    <n v="150"/>
    <n v="100"/>
    <n v="0.19900000000000001"/>
    <n v="24.206"/>
    <n v="3.18"/>
    <n v="45.3"/>
    <n v="4.9009999999999998E-2"/>
    <n v="3.6969999999999999E-4"/>
    <n v="4.3824743115048094E-4"/>
    <n v="-1.6166551311705057"/>
    <n v="3"/>
  </r>
  <r>
    <n v="2164"/>
    <s v="MOF"/>
    <n v="4"/>
    <n v="30"/>
    <n v="25"/>
    <n v="7"/>
    <n v="25"/>
    <n v="150"/>
    <n v="100"/>
    <n v="0.35499999999999998"/>
    <n v="23.58"/>
    <n v="5.68"/>
    <n v="53.4"/>
    <n v="5.9290000000000002E-2"/>
    <n v="3.0889999999999997E-4"/>
    <n v="1.1640442197864099E-3"/>
    <n v="-1.038921875002945"/>
    <n v="1"/>
  </r>
  <r>
    <n v="2165"/>
    <s v="MOF"/>
    <n v="4"/>
    <n v="30"/>
    <n v="25"/>
    <n v="7"/>
    <n v="25"/>
    <n v="150"/>
    <n v="100"/>
    <n v="0.33300000000000002"/>
    <n v="23.667000000000002"/>
    <n v="5.33"/>
    <n v="68"/>
    <n v="5.5379999999999999E-2"/>
    <n v="3.5439999999999999E-4"/>
    <n v="1.1748124761200459E-3"/>
    <n v="-1.1031469923411827"/>
    <n v="2"/>
  </r>
  <r>
    <n v="2166"/>
    <s v="MOF"/>
    <n v="4"/>
    <n v="30"/>
    <n v="25"/>
    <n v="7"/>
    <n v="25"/>
    <n v="150"/>
    <n v="100"/>
    <n v="0.39700000000000002"/>
    <n v="23.413"/>
    <n v="6.35"/>
    <n v="43.1"/>
    <n v="5.9380000000000002E-2"/>
    <n v="4.082E-4"/>
    <n v="1.9207418164989168E-3"/>
    <n v="-0.92866888058014541"/>
    <n v="3"/>
  </r>
  <r>
    <n v="2167"/>
    <s v="MOF"/>
    <n v="4"/>
    <n v="30"/>
    <n v="25"/>
    <n v="11"/>
    <n v="25"/>
    <n v="150"/>
    <n v="100"/>
    <n v="0.24299999999999999"/>
    <n v="24.026"/>
    <n v="3.9"/>
    <n v="61.6"/>
    <n v="4.9599999999999998E-2"/>
    <n v="3.2600000000000001E-4"/>
    <n v="5.7613002395287506E-4"/>
    <n v="-1.4170675561366302"/>
    <n v="1"/>
  </r>
  <r>
    <n v="2168"/>
    <s v="MOF"/>
    <n v="4"/>
    <n v="30"/>
    <n v="25"/>
    <n v="11"/>
    <n v="25"/>
    <n v="150"/>
    <n v="100"/>
    <n v="0.25600000000000001"/>
    <n v="23.977"/>
    <n v="4.09"/>
    <n v="61.1"/>
    <n v="6.1170000000000002E-2"/>
    <n v="4.0489999999999998E-4"/>
    <n v="7.9359799428184539E-4"/>
    <n v="-1.3656826415968533"/>
    <n v="2"/>
  </r>
  <r>
    <n v="2169"/>
    <s v="MOF"/>
    <n v="4"/>
    <n v="30"/>
    <n v="25"/>
    <n v="11"/>
    <n v="25"/>
    <n v="150"/>
    <n v="100"/>
    <n v="0.248"/>
    <n v="24.007999999999999"/>
    <n v="3.97"/>
    <n v="64.3"/>
    <n v="5.3120000000000001E-2"/>
    <n v="3.8160000000000001E-4"/>
    <n v="7.0210444446330638E-4"/>
    <n v="-1.3971616141733976"/>
    <n v="3"/>
  </r>
  <r>
    <n v="2170"/>
    <s v="MOF"/>
    <n v="4"/>
    <n v="30"/>
    <n v="50"/>
    <n v="3"/>
    <n v="25"/>
    <n v="150"/>
    <n v="100"/>
    <n v="0.75700000000000001"/>
    <n v="46.973999999999997"/>
    <n v="6.05"/>
    <n v="58.2"/>
    <n v="5.7329999999999999E-2"/>
    <n v="2.9379999999999999E-4"/>
    <n v="5.0173769535254414E-3"/>
    <n v="-0.28504206295024781"/>
    <n v="1"/>
  </r>
  <r>
    <n v="2171"/>
    <s v="MOF"/>
    <n v="4"/>
    <n v="30"/>
    <n v="50"/>
    <n v="3"/>
    <n v="25"/>
    <n v="150"/>
    <n v="100"/>
    <n v="0.68700000000000006"/>
    <n v="47.252000000000002"/>
    <n v="5.5"/>
    <n v="55.4"/>
    <n v="4.5719999999999997E-2"/>
    <n v="3.791E-4"/>
    <n v="5.3260893639510212E-3"/>
    <n v="-0.38320387237985959"/>
    <n v="2"/>
  </r>
  <r>
    <n v="2172"/>
    <s v="MOF"/>
    <n v="4"/>
    <n v="30"/>
    <n v="50"/>
    <n v="3"/>
    <n v="25"/>
    <n v="150"/>
    <n v="100"/>
    <n v="0.79100000000000004"/>
    <n v="46.835000000000001"/>
    <n v="6.33"/>
    <n v="57.2"/>
    <n v="4.8829999999999998E-2"/>
    <n v="3.9829999999999998E-4"/>
    <n v="7.406260817289915E-3"/>
    <n v="-0.24386458275644429"/>
    <n v="3"/>
  </r>
  <r>
    <n v="2173"/>
    <s v="MOF"/>
    <n v="4"/>
    <n v="30"/>
    <n v="50"/>
    <n v="7"/>
    <n v="25"/>
    <n v="150"/>
    <n v="100"/>
    <n v="1.4710000000000001"/>
    <n v="44.116"/>
    <n v="11.77"/>
    <n v="55.7"/>
    <n v="5.781E-2"/>
    <n v="3.5710000000000001E-4"/>
    <n v="2.2821587278499082E-2"/>
    <n v="0.37030649957885753"/>
    <n v="1"/>
  </r>
  <r>
    <n v="2174"/>
    <s v="MOF"/>
    <n v="4"/>
    <n v="30"/>
    <n v="50"/>
    <n v="7"/>
    <n v="25"/>
    <n v="150"/>
    <n v="100"/>
    <n v="1.335"/>
    <n v="44.658999999999999"/>
    <n v="10.68"/>
    <n v="53.6"/>
    <n v="5.4809999999999998E-2"/>
    <n v="3.8170000000000001E-4"/>
    <n v="2.0100973189272866E-2"/>
    <n v="0.27375987698629084"/>
    <n v="2"/>
  </r>
  <r>
    <n v="2175"/>
    <s v="MOF"/>
    <n v="4"/>
    <n v="30"/>
    <n v="50"/>
    <n v="7"/>
    <n v="25"/>
    <n v="150"/>
    <n v="100"/>
    <n v="1.4990000000000001"/>
    <n v="44.005000000000003"/>
    <n v="11.99"/>
    <n v="43.1"/>
    <n v="5.4429999999999999E-2"/>
    <n v="3.0870000000000002E-4"/>
    <n v="2.0524549558659351E-2"/>
    <n v="0.39101145580415436"/>
    <n v="3"/>
  </r>
  <r>
    <n v="2176"/>
    <s v="MOF"/>
    <n v="4"/>
    <n v="30"/>
    <n v="50"/>
    <n v="11"/>
    <n v="25"/>
    <n v="150"/>
    <n v="100"/>
    <n v="1.052"/>
    <n v="45.792000000000002"/>
    <n v="8.42"/>
    <n v="49.7"/>
    <n v="4.7059999999999998E-2"/>
    <n v="3.723E-4"/>
    <n v="1.2217227147074038E-2"/>
    <n v="3.9011819079631617E-2"/>
    <n v="1"/>
  </r>
  <r>
    <n v="2177"/>
    <s v="MOF"/>
    <n v="4"/>
    <n v="30"/>
    <n v="50"/>
    <n v="11"/>
    <n v="25"/>
    <n v="150"/>
    <n v="100"/>
    <n v="1.0620000000000001"/>
    <n v="45.750999999999998"/>
    <n v="8.5"/>
    <n v="60"/>
    <n v="5.6129999999999999E-2"/>
    <n v="3.6430000000000002E-4"/>
    <n v="1.2184783195730008E-2"/>
    <n v="4.861416468649829E-2"/>
    <n v="2"/>
  </r>
  <r>
    <n v="2178"/>
    <s v="MOF"/>
    <n v="4"/>
    <n v="30"/>
    <n v="50"/>
    <n v="11"/>
    <n v="25"/>
    <n v="150"/>
    <n v="100"/>
    <n v="1.04"/>
    <n v="45.838999999999999"/>
    <n v="8.32"/>
    <n v="47.4"/>
    <n v="5.4379999999999998E-2"/>
    <n v="3.3419999999999999E-4"/>
    <n v="1.0732216350821333E-2"/>
    <n v="2.8847659778681315E-2"/>
    <n v="3"/>
  </r>
  <r>
    <n v="2179"/>
    <s v="MOF"/>
    <n v="4"/>
    <n v="30"/>
    <n v="100"/>
    <n v="3"/>
    <n v="25"/>
    <n v="150"/>
    <n v="100"/>
    <n v="2.5139999999999998"/>
    <n v="89.944999999999993"/>
    <n v="10.050000000000001"/>
    <n v="51.9"/>
    <n v="6.1089999999999998E-2"/>
    <n v="3.6979999999999999E-4"/>
    <n v="6.8213751343484785E-2"/>
    <n v="0.89436664532561294"/>
    <n v="1"/>
  </r>
  <r>
    <n v="2180"/>
    <s v="MOF"/>
    <n v="4"/>
    <n v="30"/>
    <n v="100"/>
    <n v="3"/>
    <n v="25"/>
    <n v="150"/>
    <n v="100"/>
    <n v="2.8610000000000002"/>
    <n v="88.555999999999997"/>
    <n v="11.44"/>
    <n v="55.7"/>
    <n v="5.7880000000000001E-2"/>
    <n v="3.2200000000000002E-4"/>
    <n v="7.6943688145367575E-2"/>
    <n v="1.0239089692268899"/>
    <n v="2"/>
  </r>
  <r>
    <n v="2181"/>
    <s v="MOF"/>
    <n v="4"/>
    <n v="30"/>
    <n v="100"/>
    <n v="3"/>
    <n v="25"/>
    <n v="150"/>
    <n v="100"/>
    <n v="2.6779999999999999"/>
    <n v="89.287000000000006"/>
    <n v="10.71"/>
    <n v="56.1"/>
    <n v="5.6529999999999997E-2"/>
    <n v="3.612E-4"/>
    <n v="7.5520842981521091E-2"/>
    <n v="0.95646451264436039"/>
    <n v="3"/>
  </r>
  <r>
    <n v="2182"/>
    <s v="MOF"/>
    <n v="4"/>
    <n v="30"/>
    <n v="100"/>
    <n v="7"/>
    <n v="25"/>
    <n v="150"/>
    <n v="100"/>
    <n v="4.57"/>
    <n v="81.72"/>
    <n v="18.28"/>
    <n v="51.5"/>
    <n v="7.2370000000000004E-2"/>
    <n v="3.8170000000000001E-4"/>
    <n v="0.22726021944785876"/>
    <n v="1.4685054347767348"/>
    <n v="1"/>
  </r>
  <r>
    <n v="2183"/>
    <s v="MOF"/>
    <n v="4"/>
    <n v="30"/>
    <n v="100"/>
    <n v="7"/>
    <n v="25"/>
    <n v="150"/>
    <n v="100"/>
    <n v="4.7480000000000002"/>
    <n v="81.007999999999996"/>
    <n v="18.989999999999998"/>
    <n v="52.6"/>
    <n v="5.2519999999999997E-2"/>
    <n v="3.4539999999999999E-4"/>
    <n v="0.22264207106547373"/>
    <n v="1.5096966743406468"/>
    <n v="2"/>
  </r>
  <r>
    <n v="2184"/>
    <s v="MOF"/>
    <n v="4"/>
    <n v="30"/>
    <n v="100"/>
    <n v="7"/>
    <n v="25"/>
    <n v="150"/>
    <n v="100"/>
    <n v="4.7089999999999996"/>
    <n v="81.162999999999997"/>
    <n v="18.84"/>
    <n v="39.200000000000003"/>
    <n v="4.6370000000000001E-2"/>
    <n v="3.277E-4"/>
    <n v="0.20835372430280907"/>
    <n v="1.5042210032859638"/>
    <n v="3"/>
  </r>
  <r>
    <n v="2185"/>
    <s v="MOF"/>
    <n v="4"/>
    <n v="30"/>
    <n v="100"/>
    <n v="11"/>
    <n v="25"/>
    <n v="150"/>
    <n v="100"/>
    <n v="3.4910000000000001"/>
    <n v="86.037000000000006"/>
    <n v="13.96"/>
    <n v="52.6"/>
    <n v="6.3130000000000006E-2"/>
    <n v="2.9809999999999998E-4"/>
    <n v="0.10568943970155475"/>
    <n v="1.2194456481819578"/>
    <n v="1"/>
  </r>
  <r>
    <n v="2186"/>
    <s v="MOF"/>
    <n v="4"/>
    <n v="30"/>
    <n v="100"/>
    <n v="11"/>
    <n v="25"/>
    <n v="150"/>
    <n v="100"/>
    <n v="3.26"/>
    <n v="86.96"/>
    <n v="13.04"/>
    <n v="67"/>
    <n v="5.5719999999999999E-2"/>
    <n v="3.8099999999999999E-4"/>
    <n v="0.11710974799226193"/>
    <n v="1.1451428389772473"/>
    <n v="2"/>
  </r>
  <r>
    <n v="2187"/>
    <s v="MOF"/>
    <n v="4"/>
    <n v="30"/>
    <n v="100"/>
    <n v="11"/>
    <n v="25"/>
    <n v="150"/>
    <n v="100"/>
    <n v="3.9350000000000001"/>
    <n v="84.26"/>
    <n v="15.74"/>
    <n v="48.9"/>
    <n v="5.4449999999999998E-2"/>
    <n v="3.4049999999999998E-4"/>
    <n v="0.15205918362839352"/>
    <n v="1.3305017009003368"/>
    <n v="3"/>
  </r>
  <r>
    <n v="2188"/>
    <s v="MOF"/>
    <n v="4"/>
    <n v="30"/>
    <n v="200"/>
    <n v="3"/>
    <n v="25"/>
    <n v="150"/>
    <n v="100"/>
    <n v="8.1150000000000002"/>
    <n v="167.541"/>
    <n v="16.23"/>
    <n v="52"/>
    <n v="5.985E-2"/>
    <n v="3.6890000000000002E-4"/>
    <n v="0.66873905276339307"/>
    <n v="2.0077120201274292"/>
    <n v="1"/>
  </r>
  <r>
    <n v="2189"/>
    <s v="MOF"/>
    <n v="4"/>
    <n v="30"/>
    <n v="200"/>
    <n v="3"/>
    <n v="25"/>
    <n v="150"/>
    <n v="100"/>
    <n v="9.8079999999999998"/>
    <n v="160.767"/>
    <n v="19.62"/>
    <n v="51.5"/>
    <n v="5.1389999999999998E-2"/>
    <n v="3.9439999999999999E-4"/>
    <n v="1.0198495349362384"/>
    <n v="2.1734042760261953"/>
    <n v="2"/>
  </r>
  <r>
    <n v="2190"/>
    <s v="MOF"/>
    <n v="4"/>
    <n v="30"/>
    <n v="200"/>
    <n v="3"/>
    <n v="25"/>
    <n v="150"/>
    <n v="100"/>
    <n v="9.0739999999999998"/>
    <n v="163.70500000000001"/>
    <n v="18.149999999999999"/>
    <n v="57"/>
    <n v="5.5899999999999998E-2"/>
    <n v="4.0119999999999999E-4"/>
    <n v="0.89343739611433759"/>
    <n v="2.1017609262306909"/>
    <n v="3"/>
  </r>
  <r>
    <n v="2191"/>
    <s v="MOF"/>
    <n v="4"/>
    <n v="30"/>
    <n v="200"/>
    <n v="7"/>
    <n v="25"/>
    <n v="150"/>
    <n v="100"/>
    <n v="16.318000000000001"/>
    <n v="134.72800000000001"/>
    <n v="32.64"/>
    <n v="43.9"/>
    <n v="4.8469999999999999E-2"/>
    <n v="3.703E-4"/>
    <n v="2.5041318987101104"/>
    <n v="2.6256730224302234"/>
    <n v="1"/>
  </r>
  <r>
    <n v="2192"/>
    <s v="MOF"/>
    <n v="4"/>
    <n v="30"/>
    <n v="200"/>
    <n v="7"/>
    <n v="25"/>
    <n v="150"/>
    <n v="100"/>
    <n v="15.21"/>
    <n v="139.15899999999999"/>
    <n v="30.42"/>
    <n v="50.8"/>
    <n v="6.0589999999999998E-2"/>
    <n v="3.5659999999999999E-4"/>
    <n v="2.1285661737101917"/>
    <n v="2.5711939597681743"/>
    <n v="2"/>
  </r>
  <r>
    <n v="2193"/>
    <s v="MOF"/>
    <n v="4"/>
    <n v="30"/>
    <n v="200"/>
    <n v="7"/>
    <n v="25"/>
    <n v="150"/>
    <n v="100"/>
    <n v="15.335000000000001"/>
    <n v="138.65899999999999"/>
    <n v="30.67"/>
    <n v="60.9"/>
    <n v="5.2940000000000001E-2"/>
    <n v="4.0489999999999998E-4"/>
    <n v="2.4079723209998551"/>
    <n v="2.5593202884769104"/>
    <n v="3"/>
  </r>
  <r>
    <n v="2194"/>
    <s v="MOF"/>
    <n v="4"/>
    <n v="30"/>
    <n v="200"/>
    <n v="11"/>
    <n v="25"/>
    <n v="150"/>
    <n v="100"/>
    <n v="10.996"/>
    <n v="156.01499999999999"/>
    <n v="21.99"/>
    <n v="59.9"/>
    <n v="6.2890000000000001E-2"/>
    <n v="3.0180000000000002E-4"/>
    <n v="0.99561606383389523"/>
    <n v="2.3026234858736401"/>
    <n v="1"/>
  </r>
  <r>
    <n v="2195"/>
    <s v="MOF"/>
    <n v="4"/>
    <n v="30"/>
    <n v="200"/>
    <n v="11"/>
    <n v="25"/>
    <n v="150"/>
    <n v="100"/>
    <n v="11.358000000000001"/>
    <n v="154.566"/>
    <n v="22.72"/>
    <n v="63.9"/>
    <n v="6.1359999999999998E-2"/>
    <n v="3.4400000000000001E-4"/>
    <n v="1.1916448461609739"/>
    <n v="2.3190837538698257"/>
    <n v="2"/>
  </r>
  <r>
    <n v="2196"/>
    <s v="MOF"/>
    <n v="4"/>
    <n v="30"/>
    <n v="200"/>
    <n v="11"/>
    <n v="25"/>
    <n v="150"/>
    <n v="100"/>
    <n v="11.04"/>
    <n v="155.84100000000001"/>
    <n v="22.08"/>
    <n v="62.4"/>
    <n v="6.1510000000000002E-2"/>
    <n v="3.0919999999999998E-4"/>
    <n v="1.0255501648465524"/>
    <n v="2.3040290335253193"/>
    <n v="3"/>
  </r>
  <r>
    <n v="2197"/>
    <s v="MOF"/>
    <n v="4"/>
    <n v="60"/>
    <n v="25"/>
    <n v="3"/>
    <n v="25"/>
    <n v="150"/>
    <n v="100"/>
    <n v="0.34200000000000003"/>
    <n v="23.634"/>
    <n v="5.46"/>
    <n v="56.4"/>
    <n v="5.8459999999999998E-2"/>
    <n v="3.3950000000000001E-4"/>
    <n v="2.3660733354655458E-3"/>
    <n v="-1.0798869276957717"/>
    <n v="1"/>
  </r>
  <r>
    <n v="2198"/>
    <s v="MOF"/>
    <n v="4"/>
    <n v="60"/>
    <n v="25"/>
    <n v="3"/>
    <n v="25"/>
    <n v="150"/>
    <n v="100"/>
    <n v="0.39100000000000001"/>
    <n v="23.437000000000001"/>
    <n v="6.25"/>
    <n v="48.7"/>
    <n v="4.3369999999999999E-2"/>
    <n v="3.3520000000000002E-4"/>
    <n v="3.0507521913238854E-3"/>
    <n v="-0.94688075253134774"/>
    <n v="2"/>
  </r>
  <r>
    <n v="2199"/>
    <s v="MOF"/>
    <n v="4"/>
    <n v="60"/>
    <n v="25"/>
    <n v="3"/>
    <n v="25"/>
    <n v="150"/>
    <n v="100"/>
    <n v="0.375"/>
    <n v="23.501999999999999"/>
    <n v="5.99"/>
    <n v="52.3"/>
    <n v="4.863E-2"/>
    <n v="2.8650000000000003E-4"/>
    <n v="2.4018607551073894E-3"/>
    <n v="-0.98725481480217903"/>
    <n v="3"/>
  </r>
  <r>
    <n v="2200"/>
    <s v="MOF"/>
    <n v="4"/>
    <n v="60"/>
    <n v="25"/>
    <n v="7"/>
    <n v="25"/>
    <n v="150"/>
    <n v="100"/>
    <n v="0.621"/>
    <n v="22.516999999999999"/>
    <n v="9.93"/>
    <n v="61.9"/>
    <n v="6.191E-2"/>
    <n v="3.9159999999999998E-4"/>
    <n v="8.9307127631810205E-3"/>
    <n v="-0.49090978843883526"/>
    <n v="1"/>
  </r>
  <r>
    <n v="2201"/>
    <s v="MOF"/>
    <n v="4"/>
    <n v="60"/>
    <n v="25"/>
    <n v="7"/>
    <n v="25"/>
    <n v="150"/>
    <n v="100"/>
    <n v="0.60699999999999998"/>
    <n v="22.571999999999999"/>
    <n v="9.7100000000000009"/>
    <n v="45.1"/>
    <n v="5.7729999999999997E-2"/>
    <n v="3.7219999999999999E-4"/>
    <n v="8.1181571933300421E-3"/>
    <n v="-0.51269095774240436"/>
    <n v="2"/>
  </r>
  <r>
    <n v="2202"/>
    <s v="MOF"/>
    <n v="4"/>
    <n v="60"/>
    <n v="25"/>
    <n v="7"/>
    <n v="25"/>
    <n v="150"/>
    <n v="100"/>
    <n v="0.66200000000000003"/>
    <n v="22.353000000000002"/>
    <n v="10.59"/>
    <n v="38.1"/>
    <n v="5.0229999999999997E-2"/>
    <n v="3.4900000000000003E-4"/>
    <n v="9.0513569160497829E-3"/>
    <n v="-0.42625680044951303"/>
    <n v="3"/>
  </r>
  <r>
    <n v="2203"/>
    <s v="MOF"/>
    <n v="4"/>
    <n v="60"/>
    <n v="25"/>
    <n v="11"/>
    <n v="25"/>
    <n v="150"/>
    <n v="100"/>
    <n v="0.49"/>
    <n v="23.042000000000002"/>
    <n v="7.83"/>
    <n v="60.8"/>
    <n v="5.5789999999999999E-2"/>
    <n v="3.6160000000000001E-4"/>
    <n v="5.1544128310169451E-3"/>
    <n v="-0.72392481570853051"/>
    <n v="1"/>
  </r>
  <r>
    <n v="2204"/>
    <s v="MOF"/>
    <n v="4"/>
    <n v="60"/>
    <n v="25"/>
    <n v="11"/>
    <n v="25"/>
    <n v="150"/>
    <n v="100"/>
    <n v="0.47599999999999998"/>
    <n v="23.094999999999999"/>
    <n v="7.62"/>
    <n v="60.2"/>
    <n v="5.672E-2"/>
    <n v="3.523E-4"/>
    <n v="4.7416544404167123E-3"/>
    <n v="-0.75234883096646998"/>
    <n v="2"/>
  </r>
  <r>
    <n v="2205"/>
    <s v="MOF"/>
    <n v="4"/>
    <n v="60"/>
    <n v="25"/>
    <n v="11"/>
    <n v="25"/>
    <n v="150"/>
    <n v="100"/>
    <n v="0.46400000000000002"/>
    <n v="23.141999999999999"/>
    <n v="7.43"/>
    <n v="55.2"/>
    <n v="5.7669999999999999E-2"/>
    <n v="3.5940000000000001E-4"/>
    <n v="4.5966502588912139E-3"/>
    <n v="-0.77782669719710773"/>
    <n v="3"/>
  </r>
  <r>
    <n v="2206"/>
    <s v="MOF"/>
    <n v="4"/>
    <n v="60"/>
    <n v="50"/>
    <n v="3"/>
    <n v="25"/>
    <n v="150"/>
    <n v="100"/>
    <n v="1.4059999999999999"/>
    <n v="44.377000000000002"/>
    <n v="11.25"/>
    <n v="65.5"/>
    <n v="5.6460000000000003E-2"/>
    <n v="3.2729999999999999E-4"/>
    <n v="3.7778015523593618E-2"/>
    <n v="0.31351207539020937"/>
    <n v="1"/>
  </r>
  <r>
    <n v="2207"/>
    <s v="MOF"/>
    <n v="4"/>
    <n v="60"/>
    <n v="50"/>
    <n v="3"/>
    <n v="25"/>
    <n v="150"/>
    <n v="100"/>
    <n v="1.454"/>
    <n v="44.183999999999997"/>
    <n v="11.63"/>
    <n v="43.4"/>
    <n v="4.9050000000000003E-2"/>
    <n v="3.6180000000000001E-4"/>
    <n v="4.4489004460949125E-2"/>
    <n v="0.34324283256256782"/>
    <n v="2"/>
  </r>
  <r>
    <n v="2208"/>
    <s v="MOF"/>
    <n v="4"/>
    <n v="60"/>
    <n v="50"/>
    <n v="3"/>
    <n v="25"/>
    <n v="150"/>
    <n v="100"/>
    <n v="1.419"/>
    <n v="44.325000000000003"/>
    <n v="11.35"/>
    <n v="44.4"/>
    <n v="5.289E-2"/>
    <n v="3.2880000000000002E-4"/>
    <n v="3.86417918504025E-2"/>
    <n v="0.32234303660925473"/>
    <n v="3"/>
  </r>
  <r>
    <n v="2209"/>
    <s v="MOF"/>
    <n v="4"/>
    <n v="60"/>
    <n v="50"/>
    <n v="7"/>
    <n v="25"/>
    <n v="150"/>
    <n v="100"/>
    <n v="2.2290000000000001"/>
    <n v="41.082000000000001"/>
    <n v="17.84"/>
    <n v="62.3"/>
    <n v="5.8889999999999998E-2"/>
    <n v="3.4929999999999998E-4"/>
    <n v="9.9481280459485982E-2"/>
    <n v="0.75589600092268405"/>
    <n v="1"/>
  </r>
  <r>
    <n v="2210"/>
    <s v="MOF"/>
    <n v="4"/>
    <n v="60"/>
    <n v="50"/>
    <n v="7"/>
    <n v="25"/>
    <n v="150"/>
    <n v="100"/>
    <n v="2.2200000000000002"/>
    <n v="41.12"/>
    <n v="17.760000000000002"/>
    <n v="43.5"/>
    <n v="6.2810000000000005E-2"/>
    <n v="3.7070000000000001E-4"/>
    <n v="0.10445954859855737"/>
    <n v="0.74931031243286728"/>
    <n v="2"/>
  </r>
  <r>
    <n v="2211"/>
    <s v="MOF"/>
    <n v="4"/>
    <n v="60"/>
    <n v="50"/>
    <n v="7"/>
    <n v="25"/>
    <n v="150"/>
    <n v="100"/>
    <n v="2.194"/>
    <n v="41.223999999999997"/>
    <n v="17.55"/>
    <n v="60.4"/>
    <n v="5.4609999999999999E-2"/>
    <n v="3.4000000000000002E-4"/>
    <n v="9.3991347275195702E-2"/>
    <n v="0.74194146506603365"/>
    <n v="3"/>
  </r>
  <r>
    <n v="2212"/>
    <s v="MOF"/>
    <n v="4"/>
    <n v="60"/>
    <n v="50"/>
    <n v="11"/>
    <n v="25"/>
    <n v="150"/>
    <n v="100"/>
    <n v="1.774"/>
    <n v="42.905999999999999"/>
    <n v="14.19"/>
    <n v="48.5"/>
    <n v="5.3109999999999997E-2"/>
    <n v="3.5429999999999999E-4"/>
    <n v="6.446929539654836E-2"/>
    <n v="0.53621889109617171"/>
    <n v="1"/>
  </r>
  <r>
    <n v="2213"/>
    <s v="MOF"/>
    <n v="4"/>
    <n v="60"/>
    <n v="50"/>
    <n v="11"/>
    <n v="25"/>
    <n v="150"/>
    <n v="100"/>
    <n v="1.661"/>
    <n v="43.356000000000002"/>
    <n v="13.29"/>
    <n v="60"/>
    <n v="6.5280000000000005E-2"/>
    <n v="3.2360000000000001E-4"/>
    <n v="5.1893641444850959E-2"/>
    <n v="0.47567896809727717"/>
    <n v="2"/>
  </r>
  <r>
    <n v="2214"/>
    <s v="MOF"/>
    <n v="4"/>
    <n v="60"/>
    <n v="50"/>
    <n v="11"/>
    <n v="25"/>
    <n v="150"/>
    <n v="100"/>
    <n v="1.52"/>
    <n v="43.917999999999999"/>
    <n v="12.16"/>
    <n v="38.200000000000003"/>
    <n v="5.4170000000000003E-2"/>
    <n v="3.2679999999999997E-4"/>
    <n v="4.3991202366088701E-2"/>
    <n v="0.38934168661709678"/>
    <n v="3"/>
  </r>
  <r>
    <n v="2215"/>
    <s v="MOF"/>
    <n v="4"/>
    <n v="60"/>
    <n v="100"/>
    <n v="3"/>
    <n v="25"/>
    <n v="150"/>
    <n v="100"/>
    <n v="4.7729999999999997"/>
    <n v="80.91"/>
    <n v="19.09"/>
    <n v="55.6"/>
    <n v="4.6179999999999999E-2"/>
    <n v="2.8650000000000003E-4"/>
    <n v="0.36191973975236413"/>
    <n v="1.484119616433947"/>
    <n v="1"/>
  </r>
  <r>
    <n v="2216"/>
    <s v="MOF"/>
    <n v="4"/>
    <n v="60"/>
    <n v="100"/>
    <n v="3"/>
    <n v="25"/>
    <n v="150"/>
    <n v="100"/>
    <n v="4.8019999999999996"/>
    <n v="80.793999999999997"/>
    <n v="19.21"/>
    <n v="55.7"/>
    <n v="5.2659999999999998E-2"/>
    <n v="2.92E-4"/>
    <n v="0.37264614624446135"/>
    <n v="1.4882537164788272"/>
    <n v="2"/>
  </r>
  <r>
    <n v="2217"/>
    <s v="MOF"/>
    <n v="4"/>
    <n v="60"/>
    <n v="100"/>
    <n v="3"/>
    <n v="25"/>
    <n v="150"/>
    <n v="100"/>
    <n v="4.859"/>
    <n v="80.563000000000002"/>
    <n v="19.440000000000001"/>
    <n v="65"/>
    <n v="5.6529999999999997E-2"/>
    <n v="3.2029999999999998E-4"/>
    <n v="0.41498343149896744"/>
    <n v="1.4915586000559944"/>
    <n v="3"/>
  </r>
  <r>
    <n v="2218"/>
    <s v="MOF"/>
    <n v="4"/>
    <n v="60"/>
    <n v="100"/>
    <n v="7"/>
    <n v="25"/>
    <n v="150"/>
    <n v="100"/>
    <n v="7.6689999999999996"/>
    <n v="69.323999999999998"/>
    <n v="30.68"/>
    <n v="43.4"/>
    <n v="6.0819999999999999E-2"/>
    <n v="3.5290000000000001E-4"/>
    <n v="1.0713490352545518"/>
    <n v="1.8867136712472978"/>
    <n v="1"/>
  </r>
  <r>
    <n v="2219"/>
    <s v="MOF"/>
    <n v="4"/>
    <n v="60"/>
    <n v="100"/>
    <n v="7"/>
    <n v="25"/>
    <n v="150"/>
    <n v="100"/>
    <n v="6.6989999999999998"/>
    <n v="73.203999999999994"/>
    <n v="26.8"/>
    <n v="52.1"/>
    <n v="5.7549999999999997E-2"/>
    <n v="3.3829999999999998E-4"/>
    <n v="0.80186993821460906"/>
    <n v="1.7744658023602558"/>
    <n v="2"/>
  </r>
  <r>
    <n v="2220"/>
    <s v="MOF"/>
    <n v="4"/>
    <n v="60"/>
    <n v="100"/>
    <n v="7"/>
    <n v="25"/>
    <n v="150"/>
    <n v="100"/>
    <n v="7.4980000000000002"/>
    <n v="70.010000000000005"/>
    <n v="29.99"/>
    <n v="44.5"/>
    <n v="5.8119999999999998E-2"/>
    <n v="3.2729999999999999E-4"/>
    <n v="0.96234696321430779"/>
    <n v="1.8772722712015366"/>
    <n v="3"/>
  </r>
  <r>
    <n v="2221"/>
    <s v="MOF"/>
    <n v="4"/>
    <n v="60"/>
    <n v="100"/>
    <n v="11"/>
    <n v="25"/>
    <n v="150"/>
    <n v="100"/>
    <n v="4.944"/>
    <n v="80.221999999999994"/>
    <n v="19.78"/>
    <n v="51.5"/>
    <n v="6.0400000000000002E-2"/>
    <n v="3.3649999999999999E-4"/>
    <n v="0.44871633814483863"/>
    <n v="1.503028772018165"/>
    <n v="1"/>
  </r>
  <r>
    <n v="2222"/>
    <s v="MOF"/>
    <n v="4"/>
    <n v="60"/>
    <n v="100"/>
    <n v="11"/>
    <n v="25"/>
    <n v="150"/>
    <n v="100"/>
    <n v="6.532"/>
    <n v="73.872"/>
    <n v="26.13"/>
    <n v="58.1"/>
    <n v="5.6860000000000001E-2"/>
    <n v="3.455E-4"/>
    <n v="0.77900378285042737"/>
    <n v="1.7497208003369757"/>
    <n v="2"/>
  </r>
  <r>
    <n v="2223"/>
    <s v="MOF"/>
    <n v="4"/>
    <n v="60"/>
    <n v="100"/>
    <n v="11"/>
    <n v="25"/>
    <n v="150"/>
    <n v="100"/>
    <n v="5.7960000000000003"/>
    <n v="76.816999999999993"/>
    <n v="23.18"/>
    <n v="52.4"/>
    <n v="5.3339999999999999E-2"/>
    <n v="3.6860000000000001E-4"/>
    <n v="0.65854168308183303"/>
    <n v="1.636558466294191"/>
    <n v="3"/>
  </r>
  <r>
    <n v="2224"/>
    <s v="MOF"/>
    <n v="4"/>
    <n v="60"/>
    <n v="200"/>
    <n v="3"/>
    <n v="25"/>
    <n v="150"/>
    <n v="100"/>
    <n v="13.711"/>
    <n v="145.15700000000001"/>
    <n v="27.42"/>
    <n v="45.7"/>
    <n v="4.8820000000000002E-2"/>
    <n v="4.216E-4"/>
    <n v="3.5308252063616692"/>
    <n v="2.3204421812734295"/>
    <n v="1"/>
  </r>
  <r>
    <n v="2225"/>
    <s v="MOF"/>
    <n v="4"/>
    <n v="60"/>
    <n v="200"/>
    <n v="3"/>
    <n v="25"/>
    <n v="150"/>
    <n v="100"/>
    <n v="15.215999999999999"/>
    <n v="139.13399999999999"/>
    <n v="30.43"/>
    <n v="57"/>
    <n v="4.9180000000000001E-2"/>
    <n v="3.7179999999999998E-4"/>
    <n v="3.8560161844530718"/>
    <n v="2.4300969886042201"/>
    <n v="2"/>
  </r>
  <r>
    <n v="2226"/>
    <s v="MOF"/>
    <n v="4"/>
    <n v="60"/>
    <n v="200"/>
    <n v="3"/>
    <n v="25"/>
    <n v="150"/>
    <n v="100"/>
    <n v="14.552"/>
    <n v="141.792"/>
    <n v="29.1"/>
    <n v="56.3"/>
    <n v="4.9630000000000001E-2"/>
    <n v="3.5560000000000002E-4"/>
    <n v="3.4476842878584395"/>
    <n v="2.4073338356496645"/>
    <n v="3"/>
  </r>
  <r>
    <n v="2227"/>
    <s v="MOF"/>
    <n v="4"/>
    <n v="60"/>
    <n v="200"/>
    <n v="7"/>
    <n v="25"/>
    <n v="150"/>
    <n v="100"/>
    <n v="22.076000000000001"/>
    <n v="111.694"/>
    <n v="44.15"/>
    <n v="48.3"/>
    <n v="5.9040000000000002E-2"/>
    <n v="2.9619999999999999E-4"/>
    <n v="6.2206166328033516"/>
    <n v="2.7635090872751982"/>
    <n v="1"/>
  </r>
  <r>
    <n v="2228"/>
    <s v="MOF"/>
    <n v="4"/>
    <n v="60"/>
    <n v="200"/>
    <n v="7"/>
    <n v="25"/>
    <n v="150"/>
    <n v="100"/>
    <n v="23.651"/>
    <n v="105.39700000000001"/>
    <n v="47.3"/>
    <n v="60.1"/>
    <n v="5.0160000000000003E-2"/>
    <n v="3.213E-4"/>
    <n v="7.4065562869329016"/>
    <n v="2.7877509249562284"/>
    <n v="2"/>
  </r>
  <r>
    <n v="2229"/>
    <s v="MOF"/>
    <n v="4"/>
    <n v="60"/>
    <n v="200"/>
    <n v="7"/>
    <n v="25"/>
    <n v="150"/>
    <n v="100"/>
    <n v="22.396000000000001"/>
    <n v="110.41500000000001"/>
    <n v="44.79"/>
    <n v="56.9"/>
    <n v="5.416E-2"/>
    <n v="3.6519999999999999E-4"/>
    <n v="7.3726004178839508"/>
    <n v="2.7096089577506652"/>
    <n v="3"/>
  </r>
  <r>
    <n v="2230"/>
    <s v="MOF"/>
    <n v="4"/>
    <n v="60"/>
    <n v="200"/>
    <n v="11"/>
    <n v="25"/>
    <n v="150"/>
    <n v="100"/>
    <n v="19.998999999999999"/>
    <n v="120.003"/>
    <n v="40"/>
    <n v="50.4"/>
    <n v="4.5569999999999999E-2"/>
    <n v="3.7889999999999999E-4"/>
    <n v="6.250744333568675"/>
    <n v="2.6209119554419145"/>
    <n v="1"/>
  </r>
  <r>
    <n v="2231"/>
    <s v="MOF"/>
    <n v="4"/>
    <n v="60"/>
    <n v="200"/>
    <n v="11"/>
    <n v="25"/>
    <n v="150"/>
    <n v="100"/>
    <n v="19.899999999999999"/>
    <n v="120.4"/>
    <n v="39.799999999999997"/>
    <n v="57.8"/>
    <n v="4.9020000000000001E-2"/>
    <n v="3.457E-4"/>
    <n v="5.8141550566980023"/>
    <n v="2.6451703884039066"/>
    <n v="2"/>
  </r>
  <r>
    <n v="2232"/>
    <s v="MOF"/>
    <n v="4"/>
    <n v="60"/>
    <n v="200"/>
    <n v="11"/>
    <n v="25"/>
    <n v="150"/>
    <n v="100"/>
    <n v="16.408000000000001"/>
    <n v="134.36600000000001"/>
    <n v="32.82"/>
    <n v="59.8"/>
    <n v="4.7570000000000001E-2"/>
    <n v="3.3950000000000001E-4"/>
    <n v="4.1102790716833617"/>
    <n v="2.5094139548292276"/>
    <n v="3"/>
  </r>
  <r>
    <n v="2233"/>
    <s v="MOF"/>
    <n v="4"/>
    <n v="120"/>
    <n v="25"/>
    <n v="3"/>
    <n v="25"/>
    <n v="150"/>
    <n v="100"/>
    <n v="0.63700000000000001"/>
    <n v="22.454000000000001"/>
    <n v="10.19"/>
    <n v="55.6"/>
    <n v="5.2990000000000002E-2"/>
    <n v="3.5619999999999998E-4"/>
    <n v="1.6884461241010961E-2"/>
    <n v="-0.47784946546745377"/>
    <n v="1"/>
  </r>
  <r>
    <n v="2234"/>
    <s v="MOF"/>
    <n v="4"/>
    <n v="120"/>
    <n v="25"/>
    <n v="3"/>
    <n v="25"/>
    <n v="150"/>
    <n v="100"/>
    <n v="0.68600000000000005"/>
    <n v="22.257000000000001"/>
    <n v="10.97"/>
    <n v="46.5"/>
    <n v="5.8450000000000002E-2"/>
    <n v="3.4830000000000001E-4"/>
    <n v="1.9120797829857646E-2"/>
    <n v="-0.40514635565991053"/>
    <n v="2"/>
  </r>
  <r>
    <n v="2235"/>
    <s v="MOF"/>
    <n v="4"/>
    <n v="120"/>
    <n v="25"/>
    <n v="3"/>
    <n v="25"/>
    <n v="150"/>
    <n v="100"/>
    <n v="0.63700000000000001"/>
    <n v="22.451000000000001"/>
    <n v="10.199999999999999"/>
    <n v="72.900000000000006"/>
    <n v="5.7619999999999998E-2"/>
    <n v="3.4459999999999997E-4"/>
    <n v="1.6348714536287591E-2"/>
    <n v="-0.47698589186513113"/>
    <n v="3"/>
  </r>
  <r>
    <n v="2236"/>
    <s v="MOF"/>
    <n v="4"/>
    <n v="120"/>
    <n v="25"/>
    <n v="7"/>
    <n v="25"/>
    <n v="150"/>
    <n v="100"/>
    <n v="1.2689999999999999"/>
    <n v="19.925999999999998"/>
    <n v="20.3"/>
    <n v="69.599999999999994"/>
    <n v="5.4199999999999998E-2"/>
    <n v="3.6220000000000002E-4"/>
    <n v="6.6334023319263011E-2"/>
    <n v="0.18454073981874666"/>
    <n v="1"/>
  </r>
  <r>
    <n v="2237"/>
    <s v="MOF"/>
    <n v="4"/>
    <n v="120"/>
    <n v="25"/>
    <n v="7"/>
    <n v="25"/>
    <n v="150"/>
    <n v="100"/>
    <n v="1.0740000000000001"/>
    <n v="20.702000000000002"/>
    <n v="17.190000000000001"/>
    <n v="53.3"/>
    <n v="5.391E-2"/>
    <n v="3.5649999999999999E-4"/>
    <n v="4.7178072758880842E-2"/>
    <n v="2.6468524715856472E-2"/>
    <n v="2"/>
  </r>
  <r>
    <n v="2238"/>
    <s v="MOF"/>
    <n v="4"/>
    <n v="120"/>
    <n v="25"/>
    <n v="7"/>
    <n v="25"/>
    <n v="150"/>
    <n v="100"/>
    <n v="1.181"/>
    <n v="20.274999999999999"/>
    <n v="18.899999999999999"/>
    <n v="59.1"/>
    <n v="5.6309999999999999E-2"/>
    <n v="3.076E-4"/>
    <n v="4.933284765232708E-2"/>
    <n v="0.12369190151565905"/>
    <n v="3"/>
  </r>
  <r>
    <n v="2239"/>
    <s v="MOF"/>
    <n v="4"/>
    <n v="120"/>
    <n v="25"/>
    <n v="11"/>
    <n v="25"/>
    <n v="150"/>
    <n v="100"/>
    <n v="0.80400000000000005"/>
    <n v="21.783000000000001"/>
    <n v="12.87"/>
    <n v="50.1"/>
    <n v="5.3449999999999998E-2"/>
    <n v="3.8680000000000002E-4"/>
    <n v="2.8924622569911195E-2"/>
    <n v="-0.25479499315823934"/>
    <n v="1"/>
  </r>
  <r>
    <n v="2240"/>
    <s v="MOF"/>
    <n v="4"/>
    <n v="120"/>
    <n v="25"/>
    <n v="11"/>
    <n v="25"/>
    <n v="150"/>
    <n v="100"/>
    <n v="0.79100000000000004"/>
    <n v="21.837"/>
    <n v="12.65"/>
    <n v="51.6"/>
    <n v="6.0240000000000002E-2"/>
    <n v="3.3950000000000001E-4"/>
    <n v="2.4694456677453781E-2"/>
    <n v="-0.26617430715154833"/>
    <n v="2"/>
  </r>
  <r>
    <n v="2241"/>
    <s v="MOF"/>
    <n v="4"/>
    <n v="120"/>
    <n v="25"/>
    <n v="11"/>
    <n v="25"/>
    <n v="150"/>
    <n v="100"/>
    <n v="0.88800000000000001"/>
    <n v="21.446000000000002"/>
    <n v="14.21"/>
    <n v="53.4"/>
    <n v="5.6410000000000002E-2"/>
    <n v="3.4200000000000002E-4"/>
    <n v="3.1223935637129559E-2"/>
    <n v="-0.15457869632323595"/>
    <n v="3"/>
  </r>
  <r>
    <n v="2242"/>
    <s v="MOF"/>
    <n v="4"/>
    <n v="120"/>
    <n v="50"/>
    <n v="3"/>
    <n v="25"/>
    <n v="150"/>
    <n v="100"/>
    <n v="2.4630000000000001"/>
    <n v="40.149000000000001"/>
    <n v="19.7"/>
    <n v="41.9"/>
    <n v="5.2999999999999999E-2"/>
    <n v="3.6039999999999998E-4"/>
    <n v="0.23710223786465123"/>
    <n v="0.80016032283872485"/>
    <n v="1"/>
  </r>
  <r>
    <n v="2243"/>
    <s v="MOF"/>
    <n v="4"/>
    <n v="120"/>
    <n v="50"/>
    <n v="3"/>
    <n v="25"/>
    <n v="150"/>
    <n v="100"/>
    <n v="2.4409999999999998"/>
    <n v="40.237000000000002"/>
    <n v="19.53"/>
    <n v="66.8"/>
    <n v="5.2850000000000001E-2"/>
    <n v="4.0180000000000001E-4"/>
    <n v="0.2570415489855134"/>
    <n v="0.78113903344092872"/>
    <n v="2"/>
  </r>
  <r>
    <n v="2244"/>
    <s v="MOF"/>
    <n v="4"/>
    <n v="120"/>
    <n v="50"/>
    <n v="3"/>
    <n v="25"/>
    <n v="150"/>
    <n v="100"/>
    <n v="2.2440000000000002"/>
    <n v="41.023000000000003"/>
    <n v="17.95"/>
    <n v="65.400000000000006"/>
    <n v="5.9499999999999997E-2"/>
    <n v="3.1799999999999998E-4"/>
    <n v="0.17699941018635582"/>
    <n v="0.72609856604726553"/>
    <n v="3"/>
  </r>
  <r>
    <n v="2245"/>
    <s v="MOF"/>
    <n v="4"/>
    <n v="120"/>
    <n v="50"/>
    <n v="7"/>
    <n v="25"/>
    <n v="150"/>
    <n v="100"/>
    <n v="3.9060000000000001"/>
    <n v="34.375999999999998"/>
    <n v="31.25"/>
    <n v="54.1"/>
    <n v="5.8439999999999999E-2"/>
    <n v="3.4220000000000002E-4"/>
    <n v="0.53990768853264159"/>
    <n v="1.2137525200709243"/>
    <n v="1"/>
  </r>
  <r>
    <n v="2246"/>
    <s v="MOF"/>
    <n v="4"/>
    <n v="120"/>
    <n v="50"/>
    <n v="7"/>
    <n v="25"/>
    <n v="150"/>
    <n v="100"/>
    <n v="3.742"/>
    <n v="35.033999999999999"/>
    <n v="29.93"/>
    <n v="65.7"/>
    <n v="5.4460000000000001E-2"/>
    <n v="3.7889999999999999E-4"/>
    <n v="0.54409548991408263"/>
    <n v="1.1624957547057775"/>
    <n v="2"/>
  </r>
  <r>
    <n v="2247"/>
    <s v="MOF"/>
    <n v="4"/>
    <n v="120"/>
    <n v="50"/>
    <n v="7"/>
    <n v="25"/>
    <n v="150"/>
    <n v="100"/>
    <n v="3.7639999999999998"/>
    <n v="34.945999999999998"/>
    <n v="30.11"/>
    <n v="68.2"/>
    <n v="5.1270000000000003E-2"/>
    <n v="3.2850000000000002E-4"/>
    <n v="0.48633039035059639"/>
    <n v="1.1871326850190833"/>
    <n v="3"/>
  </r>
  <r>
    <n v="2248"/>
    <s v="MOF"/>
    <n v="4"/>
    <n v="120"/>
    <n v="50"/>
    <n v="11"/>
    <n v="25"/>
    <n v="150"/>
    <n v="100"/>
    <n v="3.2240000000000002"/>
    <n v="37.106000000000002"/>
    <n v="25.79"/>
    <n v="50.9"/>
    <n v="6.3810000000000006E-2"/>
    <n v="3.812E-4"/>
    <n v="0.41436168285817776"/>
    <n v="1.033055762300539"/>
    <n v="1"/>
  </r>
  <r>
    <n v="2249"/>
    <s v="MOF"/>
    <n v="4"/>
    <n v="120"/>
    <n v="50"/>
    <n v="11"/>
    <n v="25"/>
    <n v="150"/>
    <n v="100"/>
    <n v="2.8809999999999998"/>
    <n v="38.475000000000001"/>
    <n v="23.05"/>
    <n v="39.700000000000003"/>
    <n v="5.4890000000000001E-2"/>
    <n v="3.5359999999999998E-4"/>
    <n v="0.31382802501929985"/>
    <n v="0.9428048941836138"/>
    <n v="2"/>
  </r>
  <r>
    <n v="2250"/>
    <s v="MOF"/>
    <n v="4"/>
    <n v="120"/>
    <n v="50"/>
    <n v="11"/>
    <n v="25"/>
    <n v="150"/>
    <n v="100"/>
    <n v="3.1509999999999998"/>
    <n v="37.396999999999998"/>
    <n v="25.21"/>
    <n v="67.5"/>
    <n v="5.1229999999999998E-2"/>
    <n v="3.7800000000000003E-4"/>
    <n v="0.39404921172031132"/>
    <n v="1.0141252821470188"/>
    <n v="3"/>
  </r>
  <r>
    <n v="2251"/>
    <s v="MOF"/>
    <n v="4"/>
    <n v="120"/>
    <n v="100"/>
    <n v="3"/>
    <n v="25"/>
    <n v="150"/>
    <n v="100"/>
    <n v="7.734"/>
    <n v="69.063000000000002"/>
    <n v="30.94"/>
    <n v="63.3"/>
    <n v="5.774E-2"/>
    <n v="2.8200000000000002E-4"/>
    <n v="1.6042653308040424"/>
    <n v="1.8131514650302578"/>
    <n v="1"/>
  </r>
  <r>
    <n v="2252"/>
    <s v="MOF"/>
    <n v="4"/>
    <n v="120"/>
    <n v="100"/>
    <n v="3"/>
    <n v="25"/>
    <n v="150"/>
    <n v="100"/>
    <n v="7.2610000000000001"/>
    <n v="70.954999999999998"/>
    <n v="29.04"/>
    <n v="45.1"/>
    <n v="5.389E-2"/>
    <n v="3.8430000000000002E-4"/>
    <n v="1.8214304769690548"/>
    <n v="1.6936999259409835"/>
    <n v="2"/>
  </r>
  <r>
    <n v="2253"/>
    <s v="MOF"/>
    <n v="4"/>
    <n v="120"/>
    <n v="100"/>
    <n v="3"/>
    <n v="25"/>
    <n v="150"/>
    <n v="100"/>
    <n v="7.4980000000000002"/>
    <n v="70.009"/>
    <n v="29.99"/>
    <n v="63.9"/>
    <n v="5.688E-2"/>
    <n v="3.0459999999999998E-4"/>
    <n v="1.6129087041344805"/>
    <n v="1.7724222539080559"/>
    <n v="3"/>
  </r>
  <r>
    <n v="2254"/>
    <s v="MOF"/>
    <n v="4"/>
    <n v="120"/>
    <n v="100"/>
    <n v="7"/>
    <n v="25"/>
    <n v="150"/>
    <n v="100"/>
    <n v="9.375"/>
    <n v="62.502000000000002"/>
    <n v="37.5"/>
    <n v="55.8"/>
    <n v="5.382E-2"/>
    <n v="3.1579999999999998E-4"/>
    <n v="2.4575847152791868"/>
    <n v="1.9340421860872672"/>
    <n v="1"/>
  </r>
  <r>
    <n v="2255"/>
    <s v="MOF"/>
    <n v="4"/>
    <n v="120"/>
    <n v="100"/>
    <n v="7"/>
    <n v="25"/>
    <n v="150"/>
    <n v="100"/>
    <n v="10.028"/>
    <n v="59.887"/>
    <n v="40.11"/>
    <n v="48.5"/>
    <n v="5.3929999999999999E-2"/>
    <n v="3.7330000000000002E-4"/>
    <n v="3.1083883987100194"/>
    <n v="1.9343596410731836"/>
    <n v="2"/>
  </r>
  <r>
    <n v="2256"/>
    <s v="MOF"/>
    <n v="4"/>
    <n v="120"/>
    <n v="100"/>
    <n v="7"/>
    <n v="25"/>
    <n v="150"/>
    <n v="100"/>
    <n v="11.534000000000001"/>
    <n v="53.866"/>
    <n v="46.13"/>
    <n v="67.7"/>
    <n v="4.9299999999999997E-2"/>
    <n v="3.8079999999999999E-4"/>
    <n v="3.9809126006757012"/>
    <n v="2.0219564067358697"/>
    <n v="3"/>
  </r>
  <r>
    <n v="2257"/>
    <s v="MOF"/>
    <n v="4"/>
    <n v="120"/>
    <n v="100"/>
    <n v="11"/>
    <n v="25"/>
    <n v="150"/>
    <n v="100"/>
    <n v="8.9369999999999994"/>
    <n v="64.253"/>
    <n v="35.75"/>
    <n v="60.2"/>
    <n v="5.2600000000000001E-2"/>
    <n v="3.8749999999999999E-4"/>
    <n v="2.6236443599947861"/>
    <n v="1.8426673323473417"/>
    <n v="1"/>
  </r>
  <r>
    <n v="2258"/>
    <s v="MOF"/>
    <n v="4"/>
    <n v="120"/>
    <n v="100"/>
    <n v="11"/>
    <n v="25"/>
    <n v="150"/>
    <n v="100"/>
    <n v="9.0909999999999993"/>
    <n v="63.634999999999998"/>
    <n v="36.369999999999997"/>
    <n v="49"/>
    <n v="5.493E-2"/>
    <n v="3.4160000000000001E-4"/>
    <n v="2.4680843148352074"/>
    <n v="1.8905357088110255"/>
    <n v="2"/>
  </r>
  <r>
    <n v="2259"/>
    <s v="MOF"/>
    <n v="4"/>
    <n v="120"/>
    <n v="100"/>
    <n v="11"/>
    <n v="25"/>
    <n v="150"/>
    <n v="100"/>
    <n v="9.2119999999999997"/>
    <n v="63.151000000000003"/>
    <n v="36.85"/>
    <n v="44.9"/>
    <n v="5.484E-2"/>
    <n v="3.6380000000000001E-4"/>
    <n v="2.6421320128676529"/>
    <n v="1.8824937390118985"/>
    <n v="3"/>
  </r>
  <r>
    <n v="2260"/>
    <s v="MOF"/>
    <n v="4"/>
    <n v="120"/>
    <n v="200"/>
    <n v="3"/>
    <n v="25"/>
    <n v="150"/>
    <n v="100"/>
    <n v="20.434000000000001"/>
    <n v="118.264"/>
    <n v="40.869999999999997"/>
    <n v="65.599999999999994"/>
    <n v="5.926E-2"/>
    <n v="3.4969999999999999E-4"/>
    <n v="9.4331473106320853"/>
    <n v="2.3979727870093317"/>
    <n v="1"/>
  </r>
  <r>
    <n v="2261"/>
    <s v="MOF"/>
    <n v="4"/>
    <n v="120"/>
    <n v="200"/>
    <n v="3"/>
    <n v="25"/>
    <n v="150"/>
    <n v="100"/>
    <n v="20.696000000000002"/>
    <n v="117.215"/>
    <n v="41.39"/>
    <n v="57"/>
    <n v="5.722E-2"/>
    <n v="2.8610000000000002E-4"/>
    <n v="8.5968619356738945"/>
    <n v="2.4931342157121943"/>
    <n v="2"/>
  </r>
  <r>
    <n v="2262"/>
    <s v="MOF"/>
    <n v="4"/>
    <n v="120"/>
    <n v="200"/>
    <n v="3"/>
    <n v="25"/>
    <n v="150"/>
    <n v="100"/>
    <n v="19.957000000000001"/>
    <n v="120.173"/>
    <n v="39.909999999999997"/>
    <n v="42.4"/>
    <n v="6.2030000000000002E-2"/>
    <n v="3.479E-4"/>
    <n v="9.0703630712955725"/>
    <n v="2.3875360672756618"/>
    <n v="3"/>
  </r>
  <r>
    <n v="2263"/>
    <s v="MOF"/>
    <n v="4"/>
    <n v="120"/>
    <n v="200"/>
    <n v="7"/>
    <n v="25"/>
    <n v="150"/>
    <n v="100"/>
    <n v="29.707999999999998"/>
    <n v="81.168999999999997"/>
    <n v="59.42"/>
    <n v="61.9"/>
    <n v="5.7320000000000003E-2"/>
    <n v="3.1050000000000001E-4"/>
    <n v="15.607797395257631"/>
    <n v="2.6461891664115522"/>
    <n v="1"/>
  </r>
  <r>
    <n v="2264"/>
    <s v="MOF"/>
    <n v="4"/>
    <n v="120"/>
    <n v="200"/>
    <n v="7"/>
    <n v="25"/>
    <n v="150"/>
    <n v="100"/>
    <n v="29.966000000000001"/>
    <n v="80.137"/>
    <n v="59.93"/>
    <n v="51.8"/>
    <n v="4.5409999999999999E-2"/>
    <n v="3.258E-4"/>
    <n v="16.166644772777715"/>
    <n v="2.6246218684065696"/>
    <n v="2"/>
  </r>
  <r>
    <n v="2265"/>
    <s v="MOF"/>
    <n v="4"/>
    <n v="120"/>
    <n v="200"/>
    <n v="7"/>
    <n v="25"/>
    <n v="150"/>
    <n v="100"/>
    <n v="29.728000000000002"/>
    <n v="81.085999999999999"/>
    <n v="59.46"/>
    <n v="53.6"/>
    <n v="4.6850000000000003E-2"/>
    <n v="3.903E-4"/>
    <n v="17.301675796586238"/>
    <n v="2.5198171420313691"/>
    <n v="3"/>
  </r>
  <r>
    <n v="2266"/>
    <s v="MOF"/>
    <n v="4"/>
    <n v="120"/>
    <n v="200"/>
    <n v="11"/>
    <n v="25"/>
    <n v="150"/>
    <n v="100"/>
    <n v="24.042000000000002"/>
    <n v="103.833"/>
    <n v="48.08"/>
    <n v="54.9"/>
    <n v="5.7200000000000001E-2"/>
    <n v="3.2239999999999998E-4"/>
    <n v="11.585888700420968"/>
    <n v="2.522211369910774"/>
    <n v="1"/>
  </r>
  <r>
    <n v="2267"/>
    <s v="MOF"/>
    <n v="4"/>
    <n v="120"/>
    <n v="200"/>
    <n v="11"/>
    <n v="25"/>
    <n v="150"/>
    <n v="100"/>
    <n v="24.988"/>
    <n v="100.04600000000001"/>
    <n v="49.98"/>
    <n v="51.5"/>
    <n v="5.0070000000000003E-2"/>
    <n v="3.701E-4"/>
    <n v="13.144038398203142"/>
    <n v="2.4718181682378768"/>
    <n v="2"/>
  </r>
  <r>
    <n v="2268"/>
    <s v="MOF"/>
    <n v="4"/>
    <n v="120"/>
    <n v="200"/>
    <n v="11"/>
    <n v="25"/>
    <n v="150"/>
    <n v="100"/>
    <n v="26.742999999999999"/>
    <n v="93.027000000000001"/>
    <n v="53.49"/>
    <n v="60.5"/>
    <n v="6.0080000000000001E-2"/>
    <n v="3.3179999999999999E-4"/>
    <n v="13.791135789554769"/>
    <n v="2.5612397322596308"/>
    <n v="3"/>
  </r>
  <r>
    <n v="2269"/>
    <s v="MOF"/>
    <n v="4"/>
    <n v="240"/>
    <n v="25"/>
    <n v="3"/>
    <n v="25"/>
    <n v="150"/>
    <n v="100"/>
    <n v="1.0449999999999999"/>
    <n v="20.82"/>
    <n v="16.72"/>
    <n v="66.7"/>
    <n v="6.6299999999999998E-2"/>
    <n v="4.0400000000000001E-4"/>
    <n v="9.614139064717786E-2"/>
    <n v="-5.2495480562995508E-2"/>
    <n v="1"/>
  </r>
  <r>
    <n v="2270"/>
    <s v="MOF"/>
    <n v="4"/>
    <n v="240"/>
    <n v="25"/>
    <n v="3"/>
    <n v="25"/>
    <n v="150"/>
    <n v="100"/>
    <n v="1.149"/>
    <n v="20.404"/>
    <n v="18.38"/>
    <n v="45.1"/>
    <n v="4.9140000000000003E-2"/>
    <n v="2.9109999999999997E-4"/>
    <n v="8.5380695272221252E-2"/>
    <n v="6.1677530586602511E-2"/>
    <n v="2"/>
  </r>
  <r>
    <n v="2271"/>
    <s v="MOF"/>
    <n v="4"/>
    <n v="240"/>
    <n v="25"/>
    <n v="3"/>
    <n v="25"/>
    <n v="150"/>
    <n v="100"/>
    <n v="1.1679999999999999"/>
    <n v="20.329000000000001"/>
    <n v="18.68"/>
    <n v="67.7"/>
    <n v="5.4219999999999997E-2"/>
    <n v="3.6059999999999998E-4"/>
    <n v="0.1072265758559366"/>
    <n v="5.8998287481097478E-2"/>
    <n v="3"/>
  </r>
  <r>
    <n v="2272"/>
    <s v="MOF"/>
    <n v="4"/>
    <n v="240"/>
    <n v="25"/>
    <n v="7"/>
    <n v="25"/>
    <n v="150"/>
    <n v="100"/>
    <n v="2.0960000000000001"/>
    <n v="16.614999999999998"/>
    <n v="33.54"/>
    <n v="51.2"/>
    <n v="6.6199999999999995E-2"/>
    <n v="4.1970000000000001E-4"/>
    <n v="0.36537891364766212"/>
    <n v="0.5484803535334325"/>
    <n v="1"/>
  </r>
  <r>
    <n v="2273"/>
    <s v="MOF"/>
    <n v="4"/>
    <n v="240"/>
    <n v="25"/>
    <n v="7"/>
    <n v="25"/>
    <n v="150"/>
    <n v="100"/>
    <n v="1.895"/>
    <n v="17.420999999999999"/>
    <n v="30.31"/>
    <n v="49.8"/>
    <n v="5.883E-2"/>
    <n v="3.3780000000000003E-4"/>
    <n v="0.25236099563999398"/>
    <n v="0.49630409754307359"/>
    <n v="2"/>
  </r>
  <r>
    <n v="2274"/>
    <s v="MOF"/>
    <n v="4"/>
    <n v="240"/>
    <n v="25"/>
    <n v="7"/>
    <n v="25"/>
    <n v="150"/>
    <n v="100"/>
    <n v="1.7569999999999999"/>
    <n v="17.97"/>
    <n v="28.12"/>
    <n v="65"/>
    <n v="6.1690000000000002E-2"/>
    <n v="3.5540000000000002E-4"/>
    <n v="0.22899463416695556"/>
    <n v="0.42396320240900337"/>
    <n v="3"/>
  </r>
  <r>
    <n v="2275"/>
    <s v="MOF"/>
    <n v="4"/>
    <n v="240"/>
    <n v="25"/>
    <n v="11"/>
    <n v="25"/>
    <n v="150"/>
    <n v="100"/>
    <n v="1.3280000000000001"/>
    <n v="19.689"/>
    <n v="21.25"/>
    <n v="44.5"/>
    <n v="5.5590000000000001E-2"/>
    <n v="3.325E-4"/>
    <n v="0.12724887954006892"/>
    <n v="0.18294729469576235"/>
    <n v="1"/>
  </r>
  <r>
    <n v="2276"/>
    <s v="MOF"/>
    <n v="4"/>
    <n v="240"/>
    <n v="25"/>
    <n v="11"/>
    <n v="25"/>
    <n v="150"/>
    <n v="100"/>
    <n v="1.4219999999999999"/>
    <n v="19.312999999999999"/>
    <n v="22.75"/>
    <n v="62.9"/>
    <n v="5.9029999999999999E-2"/>
    <n v="3.9819999999999998E-4"/>
    <n v="0.17012669749441942"/>
    <n v="0.22464107147543319"/>
    <n v="2"/>
  </r>
  <r>
    <n v="2277"/>
    <s v="MOF"/>
    <n v="4"/>
    <n v="240"/>
    <n v="25"/>
    <n v="11"/>
    <n v="25"/>
    <n v="150"/>
    <n v="100"/>
    <n v="1.3560000000000001"/>
    <n v="19.577999999999999"/>
    <n v="21.69"/>
    <n v="51.7"/>
    <n v="5.917E-2"/>
    <n v="3.657E-4"/>
    <n v="0.14421827307363239"/>
    <n v="0.19209177813330186"/>
    <n v="3"/>
  </r>
  <r>
    <n v="2278"/>
    <s v="MOF"/>
    <n v="4"/>
    <n v="240"/>
    <n v="50"/>
    <n v="3"/>
    <n v="25"/>
    <n v="150"/>
    <n v="100"/>
    <n v="4.0650000000000004"/>
    <n v="33.738"/>
    <n v="32.520000000000003"/>
    <n v="58"/>
    <n v="6.5159999999999996E-2"/>
    <n v="3.6890000000000002E-4"/>
    <n v="1.0758070685610706"/>
    <n v="1.0950034283712589"/>
    <n v="1"/>
  </r>
  <r>
    <n v="2279"/>
    <s v="MOF"/>
    <n v="4"/>
    <n v="240"/>
    <n v="50"/>
    <n v="3"/>
    <n v="25"/>
    <n v="150"/>
    <n v="100"/>
    <n v="3.9449999999999998"/>
    <n v="34.220999999999997"/>
    <n v="31.56"/>
    <n v="51.9"/>
    <n v="5.5079999999999997E-2"/>
    <n v="3.8190000000000001E-4"/>
    <n v="1.0476369807870385"/>
    <n v="1.0638010196053473"/>
    <n v="2"/>
  </r>
  <r>
    <n v="2280"/>
    <s v="MOF"/>
    <n v="4"/>
    <n v="240"/>
    <n v="50"/>
    <n v="3"/>
    <n v="25"/>
    <n v="150"/>
    <n v="100"/>
    <n v="4.0860000000000003"/>
    <n v="33.655000000000001"/>
    <n v="32.69"/>
    <n v="60.5"/>
    <n v="5.4539999999999998E-2"/>
    <n v="3.9819999999999998E-4"/>
    <n v="1.1474693323030056"/>
    <n v="1.0779096835303141"/>
    <n v="3"/>
  </r>
  <r>
    <n v="2281"/>
    <s v="MOF"/>
    <n v="4"/>
    <n v="240"/>
    <n v="50"/>
    <n v="7"/>
    <n v="25"/>
    <n v="150"/>
    <n v="100"/>
    <n v="4.82"/>
    <n v="30.721"/>
    <n v="38.56"/>
    <n v="42.9"/>
    <n v="5.8749999999999997E-2"/>
    <n v="3.5050000000000001E-4"/>
    <n v="1.3905139333899887"/>
    <n v="1.2324104151439155"/>
    <n v="1"/>
  </r>
  <r>
    <n v="2282"/>
    <s v="MOF"/>
    <n v="4"/>
    <n v="240"/>
    <n v="50"/>
    <n v="7"/>
    <n v="25"/>
    <n v="150"/>
    <n v="100"/>
    <n v="5.9349999999999996"/>
    <n v="26.260999999999999"/>
    <n v="47.48"/>
    <n v="55.1"/>
    <n v="5.8139999999999997E-2"/>
    <n v="3.2150000000000001E-4"/>
    <n v="1.8642006019981829"/>
    <n v="1.4038393924535946"/>
    <n v="2"/>
  </r>
  <r>
    <n v="2283"/>
    <s v="MOF"/>
    <n v="4"/>
    <n v="240"/>
    <n v="50"/>
    <n v="7"/>
    <n v="25"/>
    <n v="150"/>
    <n v="100"/>
    <n v="5.9210000000000003"/>
    <n v="26.317"/>
    <n v="47.37"/>
    <n v="62.7"/>
    <n v="6.1710000000000001E-2"/>
    <n v="4.2049999999999998E-4"/>
    <n v="2.2146935101240071"/>
    <n v="1.3100358254355327"/>
    <n v="3"/>
  </r>
  <r>
    <n v="2284"/>
    <s v="MOF"/>
    <n v="4"/>
    <n v="240"/>
    <n v="50"/>
    <n v="11"/>
    <n v="25"/>
    <n v="150"/>
    <n v="100"/>
    <n v="4.5309999999999997"/>
    <n v="31.876000000000001"/>
    <n v="36.25"/>
    <n v="56.8"/>
    <n v="4.6620000000000002E-2"/>
    <n v="3.3139999999999998E-4"/>
    <n v="1.2003071491996673"/>
    <n v="1.2031803456535883"/>
    <n v="1"/>
  </r>
  <r>
    <n v="2285"/>
    <s v="MOF"/>
    <n v="4"/>
    <n v="240"/>
    <n v="50"/>
    <n v="11"/>
    <n v="25"/>
    <n v="150"/>
    <n v="100"/>
    <n v="4.3949999999999996"/>
    <n v="32.420999999999999"/>
    <n v="35.159999999999997"/>
    <n v="63.1"/>
    <n v="5.1639999999999998E-2"/>
    <n v="3.7790000000000002E-4"/>
    <n v="1.252591899242284"/>
    <n v="1.1449894170634711"/>
    <n v="2"/>
  </r>
  <r>
    <n v="2286"/>
    <s v="MOF"/>
    <n v="4"/>
    <n v="240"/>
    <n v="50"/>
    <n v="11"/>
    <n v="25"/>
    <n v="150"/>
    <n v="100"/>
    <n v="4.4539999999999997"/>
    <n v="32.182000000000002"/>
    <n v="35.64"/>
    <n v="53.1"/>
    <n v="5.6370000000000003E-2"/>
    <n v="3.3629999999999999E-4"/>
    <n v="1.177774421826951"/>
    <n v="1.1866920214264141"/>
    <n v="3"/>
  </r>
  <r>
    <n v="2287"/>
    <s v="MOF"/>
    <n v="4"/>
    <n v="240"/>
    <n v="100"/>
    <n v="3"/>
    <n v="25"/>
    <n v="150"/>
    <n v="100"/>
    <n v="9.8940000000000001"/>
    <n v="60.426000000000002"/>
    <n v="39.57"/>
    <n v="40.6"/>
    <n v="5.364E-2"/>
    <n v="3.3320000000000002E-4"/>
    <n v="4.3703391783483188"/>
    <n v="1.7090408328023561"/>
    <n v="1"/>
  </r>
  <r>
    <n v="2288"/>
    <s v="MOF"/>
    <n v="4"/>
    <n v="240"/>
    <n v="100"/>
    <n v="3"/>
    <n v="25"/>
    <n v="150"/>
    <n v="100"/>
    <n v="9.8309999999999995"/>
    <n v="60.673999999999999"/>
    <n v="39.33"/>
    <n v="58"/>
    <n v="5.8619999999999998E-2"/>
    <n v="3.5809999999999998E-4"/>
    <n v="4.5023005599263586"/>
    <n v="1.6731072009122077"/>
    <n v="2"/>
  </r>
  <r>
    <n v="2289"/>
    <s v="MOF"/>
    <n v="4"/>
    <n v="240"/>
    <n v="100"/>
    <n v="3"/>
    <n v="25"/>
    <n v="150"/>
    <n v="100"/>
    <n v="10.911"/>
    <n v="56.357999999999997"/>
    <n v="43.64"/>
    <n v="59.3"/>
    <n v="5.3379999999999997E-2"/>
    <n v="3.3379999999999998E-4"/>
    <n v="5.0890117551251866"/>
    <n v="1.7616418262342775"/>
    <n v="3"/>
  </r>
  <r>
    <n v="2290"/>
    <s v="MOF"/>
    <n v="4"/>
    <n v="240"/>
    <n v="100"/>
    <n v="7"/>
    <n v="25"/>
    <n v="150"/>
    <n v="100"/>
    <n v="15.397"/>
    <n v="38.414000000000001"/>
    <n v="61.59"/>
    <n v="59.2"/>
    <n v="6.2689999999999996E-2"/>
    <n v="3.9169999999999998E-4"/>
    <n v="9.1059397077300801"/>
    <n v="1.8391296244348174"/>
    <n v="1"/>
  </r>
  <r>
    <n v="2291"/>
    <s v="MOF"/>
    <n v="4"/>
    <n v="240"/>
    <n v="100"/>
    <n v="7"/>
    <n v="25"/>
    <n v="150"/>
    <n v="100"/>
    <n v="14.496"/>
    <n v="42.018000000000001"/>
    <n v="57.98"/>
    <n v="53.7"/>
    <n v="5.8689999999999999E-2"/>
    <n v="3.8739999999999998E-4"/>
    <n v="8.3216568301701788"/>
    <n v="1.8204025075981016"/>
    <n v="2"/>
  </r>
  <r>
    <n v="2292"/>
    <s v="MOF"/>
    <n v="4"/>
    <n v="240"/>
    <n v="100"/>
    <n v="7"/>
    <n v="25"/>
    <n v="150"/>
    <n v="100"/>
    <n v="16.056999999999999"/>
    <n v="35.771999999999998"/>
    <n v="64.23"/>
    <n v="54"/>
    <n v="4.8099999999999997E-2"/>
    <n v="3.1500000000000001E-4"/>
    <n v="8.8042183592714629"/>
    <n v="1.9813850698655577"/>
    <n v="3"/>
  </r>
  <r>
    <n v="2293"/>
    <s v="MOF"/>
    <n v="4"/>
    <n v="240"/>
    <n v="100"/>
    <n v="11"/>
    <n v="25"/>
    <n v="150"/>
    <n v="100"/>
    <n v="12.346"/>
    <n v="50.616"/>
    <n v="49.38"/>
    <n v="57.3"/>
    <n v="4.8959999999999997E-2"/>
    <n v="3.5159999999999998E-4"/>
    <n v="6.2993888778119791"/>
    <n v="1.7994979700099896"/>
    <n v="1"/>
  </r>
  <r>
    <n v="2294"/>
    <s v="MOF"/>
    <n v="4"/>
    <n v="240"/>
    <n v="100"/>
    <n v="11"/>
    <n v="25"/>
    <n v="150"/>
    <n v="100"/>
    <n v="12.65"/>
    <n v="49.399000000000001"/>
    <n v="50.6"/>
    <n v="45.1"/>
    <n v="6.1080000000000002E-2"/>
    <n v="3.368E-4"/>
    <n v="6.395441341436209"/>
    <n v="1.8333105832462819"/>
    <n v="2"/>
  </r>
  <r>
    <n v="2295"/>
    <s v="MOF"/>
    <n v="4"/>
    <n v="240"/>
    <n v="100"/>
    <n v="11"/>
    <n v="25"/>
    <n v="150"/>
    <n v="100"/>
    <n v="13.180999999999999"/>
    <n v="47.274999999999999"/>
    <n v="52.73"/>
    <n v="50.2"/>
    <n v="4.9349999999999998E-2"/>
    <n v="3.3399999999999999E-4"/>
    <n v="6.7718437435159613"/>
    <n v="1.8577276330150279"/>
    <n v="3"/>
  </r>
  <r>
    <n v="2296"/>
    <s v="MOF"/>
    <n v="4"/>
    <n v="240"/>
    <n v="200"/>
    <n v="3"/>
    <n v="25"/>
    <n v="150"/>
    <n v="100"/>
    <n v="25.149000000000001"/>
    <n v="99.402000000000001"/>
    <n v="50.3"/>
    <n v="51.4"/>
    <n v="5.3809999999999997E-2"/>
    <n v="3.6170000000000001E-4"/>
    <n v="17.248296824159979"/>
    <n v="2.0669517651118592"/>
    <n v="1"/>
  </r>
  <r>
    <n v="2297"/>
    <s v="MOF"/>
    <n v="4"/>
    <n v="240"/>
    <n v="200"/>
    <n v="3"/>
    <n v="25"/>
    <n v="150"/>
    <n v="100"/>
    <n v="25.015000000000001"/>
    <n v="99.941000000000003"/>
    <n v="50.03"/>
    <n v="54"/>
    <n v="4.5600000000000002E-2"/>
    <n v="3.637E-4"/>
    <n v="17.157319218968077"/>
    <n v="2.0614914968740972"/>
    <n v="2"/>
  </r>
  <r>
    <n v="2298"/>
    <s v="MOF"/>
    <n v="4"/>
    <n v="240"/>
    <n v="200"/>
    <n v="3"/>
    <n v="25"/>
    <n v="150"/>
    <n v="100"/>
    <n v="25.16"/>
    <n v="99.36"/>
    <n v="50.32"/>
    <n v="67.7"/>
    <n v="4.9829999999999999E-2"/>
    <n v="2.8669999999999998E-4"/>
    <n v="15.947963344940012"/>
    <n v="2.2205109610061009"/>
    <n v="3"/>
  </r>
  <r>
    <n v="2299"/>
    <s v="MOF"/>
    <n v="4"/>
    <n v="240"/>
    <n v="200"/>
    <n v="7"/>
    <n v="25"/>
    <n v="150"/>
    <n v="100"/>
    <n v="37.484999999999999"/>
    <n v="50.061999999999998"/>
    <n v="74.97"/>
    <n v="57.4"/>
    <n v="4.9450000000000001E-2"/>
    <n v="2.965E-4"/>
    <n v="27.263953265562403"/>
    <n v="2.3244489997303415"/>
    <n v="1"/>
  </r>
  <r>
    <n v="2300"/>
    <s v="MOF"/>
    <n v="4"/>
    <n v="240"/>
    <n v="200"/>
    <n v="7"/>
    <n v="25"/>
    <n v="150"/>
    <n v="100"/>
    <n v="39.796999999999997"/>
    <n v="40.813000000000002"/>
    <n v="79.59"/>
    <n v="66.099999999999994"/>
    <n v="4.1320000000000003E-2"/>
    <n v="3.3399999999999999E-4"/>
    <n v="30.299198367461621"/>
    <n v="2.2510603647265173"/>
    <n v="2"/>
  </r>
  <r>
    <n v="2301"/>
    <s v="MOF"/>
    <n v="4"/>
    <n v="240"/>
    <n v="200"/>
    <n v="7"/>
    <n v="25"/>
    <n v="150"/>
    <n v="100"/>
    <n v="40.116"/>
    <n v="39.536999999999999"/>
    <n v="80.23"/>
    <n v="50.7"/>
    <n v="5.2299999999999999E-2"/>
    <n v="3.4010000000000003E-4"/>
    <n v="30.730885454588073"/>
    <n v="2.2391248751224264"/>
    <n v="3"/>
  </r>
  <r>
    <n v="2302"/>
    <s v="MOF"/>
    <n v="4"/>
    <n v="240"/>
    <n v="200"/>
    <n v="11"/>
    <n v="25"/>
    <n v="150"/>
    <n v="100"/>
    <n v="27.216999999999999"/>
    <n v="91.132000000000005"/>
    <n v="54.43"/>
    <n v="40.6"/>
    <n v="6.0789999999999997E-2"/>
    <n v="2.855E-4"/>
    <n v="17.716872240262969"/>
    <n v="2.2513052469094377"/>
    <n v="1"/>
  </r>
  <r>
    <n v="2303"/>
    <s v="MOF"/>
    <n v="4"/>
    <n v="240"/>
    <n v="200"/>
    <n v="11"/>
    <n v="25"/>
    <n v="150"/>
    <n v="100"/>
    <n v="30.045000000000002"/>
    <n v="79.817999999999998"/>
    <n v="60.09"/>
    <n v="61.8"/>
    <n v="4.7019999999999999E-2"/>
    <n v="3.1770000000000002E-4"/>
    <n v="20.915198637615461"/>
    <n v="2.2115439377858115"/>
    <n v="2"/>
  </r>
  <r>
    <n v="2304"/>
    <s v="MOF"/>
    <n v="4"/>
    <n v="240"/>
    <n v="200"/>
    <n v="11"/>
    <n v="25"/>
    <n v="150"/>
    <n v="100"/>
    <n v="32.042000000000002"/>
    <n v="71.831000000000003"/>
    <n v="64.08"/>
    <n v="58.9"/>
    <n v="5.16E-2"/>
    <n v="3.9209999999999999E-4"/>
    <n v="24.061984393777209"/>
    <n v="2.0769403671268218"/>
    <n v="3"/>
  </r>
  <r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5D9C0-8FC2-4E5B-A08A-58DD3FA0B620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Min of qe_mg_g" fld="9" subtotal="min" baseField="0" baseItem="0"/>
    <dataField name="Max of qe_mg_g" fld="9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586EE6-A29E-4FB2-ADC4-AB4C6C2C0AB2}" name="Table1" displayName="Table1" ref="A1:R2305" totalsRowShown="0" headerRowDxfId="39" dataDxfId="38">
  <autoFilter ref="A1:R2305" xr:uid="{D1586EE6-A29E-4FB2-ADC4-AB4C6C2C0AB2}"/>
  <tableColumns count="18">
    <tableColumn id="1" xr3:uid="{D35FC194-8A92-4F6D-9D87-1F53534B3E76}" name="Experiment_ID" dataDxfId="37"/>
    <tableColumn id="2" xr3:uid="{3BB6C361-0F69-4AEC-9BD7-D4F7E20F8436}" name="Adsorbent_Type" dataDxfId="36"/>
    <tableColumn id="3" xr3:uid="{B9B1AC9E-E237-4B28-A52B-5A6D02250A3B}" name="Dosage_g_L" dataDxfId="35"/>
    <tableColumn id="4" xr3:uid="{36BC2D74-C49D-4CA6-B72E-55062964E9DD}" name="Contact_Time_min" dataDxfId="34"/>
    <tableColumn id="5" xr3:uid="{BE60F47D-21A0-4BBA-9B91-AE365483E595}" name="Initial_Concentration_mg_L" dataDxfId="33"/>
    <tableColumn id="6" xr3:uid="{20FA877B-181D-405F-B570-FB1EAC6DD989}" name="pH" dataDxfId="32"/>
    <tableColumn id="7" xr3:uid="{F32ACE88-A723-4013-8C78-E9452E2E7CED}" name="Temperature_C" dataDxfId="31"/>
    <tableColumn id="8" xr3:uid="{9743769C-3F37-4729-9F77-7CA6966DDB15}" name="Agitation_Speed_rpm" dataDxfId="30"/>
    <tableColumn id="9" xr3:uid="{47AA74FC-A675-481B-833B-6646918F8216}" name="Solution_Volume_mL" dataDxfId="29"/>
    <tableColumn id="10" xr3:uid="{308E6E5A-26D7-4056-A2B6-2CA87D0E37CB}" name="qe_mg_g" dataDxfId="28"/>
    <tableColumn id="11" xr3:uid="{B6723734-6130-4C04-B39B-55346DEB2AB7}" name="Ce_mg_L" dataDxfId="27"/>
    <tableColumn id="12" xr3:uid="{3F817976-498A-435E-97AB-13DEC1EA3595}" name="Removal_Efficiency_%" dataDxfId="26"/>
    <tableColumn id="13" xr3:uid="{1FA10F57-1627-4F93-961E-A597F7D373D7}" name="Equilibrium_Time_min" dataDxfId="25"/>
    <tableColumn id="14" xr3:uid="{0FCB57C2-C336-4BF8-8949-2C403CE2D082}" name="Rate_Constant_k1_min-1" dataDxfId="24"/>
    <tableColumn id="15" xr3:uid="{03722756-B151-4F42-BB96-976452827F92}" name="Rate_Constant_k2_g_mg_min" dataDxfId="22"/>
    <tableColumn id="18" xr3:uid="{0A008701-4214-4B0F-8138-3BA03EA133A0}" name="qt" dataDxfId="23">
      <calculatedColumnFormula>(Table1[[#This Row],[Rate_Constant_k2_g_mg_min]]*Table1[[#This Row],[Contact_Time_min]]*Table1[[#This Row],[qe_mg_g]]^2)/(1+Table1[[#This Row],[Contact_Time_min]]*Table1[[#This Row],[qe_mg_g]]*Table1[[#This Row],[Rate_Constant_k2_g_mg_min]])</calculatedColumnFormula>
    </tableColumn>
    <tableColumn id="17" xr3:uid="{04650049-0DD8-4A48-A91F-5D464DE7BFA9}" name="ln(qe - qt) " dataDxfId="21">
      <calculatedColumnFormula>LN(Table1[[#This Row],[qe_mg_g]]-Table1[[#This Row],[qt]])</calculatedColumnFormula>
    </tableColumn>
    <tableColumn id="16" xr3:uid="{65538AAB-DEB4-4947-8611-7FAF9EC0BB07}" name="Replicate" dataDxfId="2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57B7CB-4A36-49D0-994E-82AE72332D11}" name="Table13" displayName="Table13" ref="A1:R2305" totalsRowShown="0" headerRowDxfId="19" dataDxfId="18">
  <autoFilter ref="A1:R2305" xr:uid="{EA57B7CB-4A36-49D0-994E-82AE72332D11}">
    <filterColumn colId="1">
      <filters>
        <filter val="Activated_Carbon"/>
      </filters>
    </filterColumn>
  </autoFilter>
  <tableColumns count="18">
    <tableColumn id="1" xr3:uid="{10541D71-BA6C-4CC5-887D-177EF62DA32B}" name="Experiment_ID" dataDxfId="17"/>
    <tableColumn id="2" xr3:uid="{767DB3CE-BAA2-4B56-B730-D3089764FC0C}" name="Adsorbent_Type" dataDxfId="16"/>
    <tableColumn id="3" xr3:uid="{8F469F86-525E-47F7-938A-F2E496307D5B}" name="Dosage_g_L" dataDxfId="15"/>
    <tableColumn id="4" xr3:uid="{1582E9C7-3508-41D1-9C36-4155CCD76FB4}" name="Contact_Time_min" dataDxfId="14"/>
    <tableColumn id="5" xr3:uid="{F7ACB602-69BB-4865-9051-4DBFB3C27DCD}" name="Initial_Concentration_mg_L" dataDxfId="13"/>
    <tableColumn id="6" xr3:uid="{FBA17F91-0672-4F75-969A-46D0C6322C70}" name="pH" dataDxfId="12"/>
    <tableColumn id="7" xr3:uid="{45382BDA-343B-4BCF-88BA-E4A0F21B84D5}" name="Temperature_C" dataDxfId="11"/>
    <tableColumn id="8" xr3:uid="{A1BAE1C4-9366-4B5B-B145-1E87E10F38B0}" name="Agitation_Speed_rpm" dataDxfId="10"/>
    <tableColumn id="9" xr3:uid="{BE1AE8B4-6A0D-4F1F-BBEF-C5467A58201A}" name="Solution_Volume_mL" dataDxfId="9"/>
    <tableColumn id="10" xr3:uid="{A37AA56A-3047-46DC-906B-186640BD4017}" name="qe_mg_g" dataDxfId="8"/>
    <tableColumn id="11" xr3:uid="{13211460-4651-49F1-9FE8-98A0A813C322}" name="Ce_mg_L" dataDxfId="7"/>
    <tableColumn id="12" xr3:uid="{BB5F6923-1E4B-4E7A-A9B0-8162265AC00D}" name="Removal_Efficiency_%" dataDxfId="6"/>
    <tableColumn id="13" xr3:uid="{432BF06D-E0FD-43CF-A715-EA8354A27095}" name="Equilibrium_Time_min" dataDxfId="5"/>
    <tableColumn id="14" xr3:uid="{4358A5D4-9AE8-4517-A327-3D60A481F2D1}" name="Rate_Constant_k1_min-1" dataDxfId="4"/>
    <tableColumn id="15" xr3:uid="{D0C02F79-7424-4F55-AE1F-702E0A9B600B}" name="Rate_Constant_k2_g_mg_min" dataDxfId="3"/>
    <tableColumn id="18" xr3:uid="{C9D93D4B-5E10-40FC-B31B-31327BAEFF65}" name="qt" dataDxfId="2">
      <calculatedColumnFormula>(Table13[[#This Row],[Rate_Constant_k2_g_mg_min]]*Table13[[#This Row],[Contact_Time_min]]*Table13[[#This Row],[qe_mg_g]]^2)/(1+Table13[[#This Row],[Contact_Time_min]]*Table13[[#This Row],[qe_mg_g]]*Table13[[#This Row],[Rate_Constant_k2_g_mg_min]])</calculatedColumnFormula>
    </tableColumn>
    <tableColumn id="17" xr3:uid="{3C9D1FB0-B4AD-441B-AE15-AC7E6F9A0159}" name="ln(qe - qt) " dataDxfId="1">
      <calculatedColumnFormula>LN(Table13[[#This Row],[qe_mg_g]]-Table13[[#This Row],[qt]])</calculatedColumnFormula>
    </tableColumn>
    <tableColumn id="16" xr3:uid="{C3DD02DF-F3B1-498F-87EA-FB17857CABC8}" name="Replicat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05"/>
  <sheetViews>
    <sheetView workbookViewId="0">
      <selection activeCell="C18" sqref="C18"/>
    </sheetView>
  </sheetViews>
  <sheetFormatPr defaultRowHeight="14.4" x14ac:dyDescent="0.3"/>
  <cols>
    <col min="1" max="1" width="15.21875" style="1" customWidth="1"/>
    <col min="2" max="2" width="18" customWidth="1"/>
    <col min="3" max="3" width="13.88671875" style="1" customWidth="1"/>
    <col min="4" max="4" width="20.6640625" style="1" customWidth="1"/>
    <col min="5" max="5" width="26.109375" style="1" customWidth="1"/>
    <col min="6" max="6" width="8.88671875" style="1"/>
    <col min="7" max="7" width="15.88671875" style="1" customWidth="1"/>
    <col min="8" max="8" width="22.33203125" style="1" customWidth="1"/>
    <col min="9" max="9" width="21" style="1" customWidth="1"/>
    <col min="10" max="10" width="12.21875" style="1" customWidth="1"/>
    <col min="11" max="11" width="13.33203125" style="1" customWidth="1"/>
    <col min="12" max="12" width="22.109375" style="1" customWidth="1"/>
    <col min="13" max="13" width="22.88671875" style="1" customWidth="1"/>
    <col min="14" max="14" width="25.5546875" style="1" customWidth="1"/>
    <col min="15" max="15" width="28.77734375" style="1" customWidth="1"/>
    <col min="16" max="16" width="16.33203125" style="1" customWidth="1"/>
    <col min="17" max="17" width="17.33203125" style="1" customWidth="1"/>
    <col min="18" max="18" width="11.109375" style="1" customWidth="1"/>
  </cols>
  <sheetData>
    <row r="1" spans="1:18" s="2" customFormat="1" ht="24" customHeigh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21</v>
      </c>
      <c r="Q1" s="3" t="s">
        <v>20</v>
      </c>
      <c r="R1" s="2" t="s">
        <v>15</v>
      </c>
    </row>
    <row r="2" spans="1:18" x14ac:dyDescent="0.3">
      <c r="A2" s="1">
        <v>1</v>
      </c>
      <c r="B2" s="1" t="s">
        <v>16</v>
      </c>
      <c r="C2" s="1">
        <v>0.5</v>
      </c>
      <c r="D2" s="1">
        <v>30</v>
      </c>
      <c r="E2" s="1">
        <v>25</v>
      </c>
      <c r="F2" s="1">
        <v>3</v>
      </c>
      <c r="G2" s="1">
        <v>25</v>
      </c>
      <c r="H2" s="1">
        <v>150</v>
      </c>
      <c r="I2" s="1">
        <v>100</v>
      </c>
      <c r="J2" s="1">
        <v>8.8000000000000007</v>
      </c>
      <c r="K2" s="1">
        <v>20.6</v>
      </c>
      <c r="L2" s="1">
        <v>17.600000000000001</v>
      </c>
      <c r="M2" s="1">
        <v>65.3</v>
      </c>
      <c r="N2" s="1">
        <v>4.7910000000000001E-2</v>
      </c>
      <c r="O2" s="1">
        <v>3.457E-4</v>
      </c>
      <c r="P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0.73596274708026876</v>
      </c>
      <c r="Q2" s="1">
        <f>LN(Table1[[#This Row],[qe_mg_g]]-Table1[[#This Row],[qt]])</f>
        <v>2.0874143309760469</v>
      </c>
      <c r="R2" s="1">
        <v>1</v>
      </c>
    </row>
    <row r="3" spans="1:18" x14ac:dyDescent="0.3">
      <c r="A3" s="1">
        <v>2</v>
      </c>
      <c r="B3" s="1" t="s">
        <v>16</v>
      </c>
      <c r="C3" s="1">
        <v>0.5</v>
      </c>
      <c r="D3" s="1">
        <v>30</v>
      </c>
      <c r="E3" s="1">
        <v>25</v>
      </c>
      <c r="F3" s="1">
        <v>3</v>
      </c>
      <c r="G3" s="1">
        <v>25</v>
      </c>
      <c r="H3" s="1">
        <v>150</v>
      </c>
      <c r="I3" s="1">
        <v>100</v>
      </c>
      <c r="J3" s="1">
        <v>8.3059999999999992</v>
      </c>
      <c r="K3" s="1">
        <v>20.847000000000001</v>
      </c>
      <c r="L3" s="1">
        <v>16.61</v>
      </c>
      <c r="M3" s="1">
        <v>64.3</v>
      </c>
      <c r="N3" s="1">
        <v>5.2109999999999997E-2</v>
      </c>
      <c r="O3" s="1">
        <v>3.2299999999999999E-4</v>
      </c>
      <c r="P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0.61871241731283766</v>
      </c>
      <c r="Q3" s="1">
        <f>LN(Table1[[#This Row],[qe_mg_g]]-Table1[[#This Row],[qt]])</f>
        <v>2.0395680012305095</v>
      </c>
      <c r="R3" s="1">
        <v>2</v>
      </c>
    </row>
    <row r="4" spans="1:18" x14ac:dyDescent="0.3">
      <c r="A4" s="1">
        <v>3</v>
      </c>
      <c r="B4" s="1" t="s">
        <v>16</v>
      </c>
      <c r="C4" s="1">
        <v>0.5</v>
      </c>
      <c r="D4" s="1">
        <v>30</v>
      </c>
      <c r="E4" s="1">
        <v>25</v>
      </c>
      <c r="F4" s="1">
        <v>3</v>
      </c>
      <c r="G4" s="1">
        <v>25</v>
      </c>
      <c r="H4" s="1">
        <v>150</v>
      </c>
      <c r="I4" s="1">
        <v>100</v>
      </c>
      <c r="J4" s="1">
        <v>8.1460000000000008</v>
      </c>
      <c r="K4" s="1">
        <v>20.927</v>
      </c>
      <c r="L4" s="1">
        <v>16.29</v>
      </c>
      <c r="M4" s="1">
        <v>72.099999999999994</v>
      </c>
      <c r="N4" s="1">
        <v>4.2909999999999997E-2</v>
      </c>
      <c r="O4" s="1">
        <v>2.8600000000000001E-4</v>
      </c>
      <c r="P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0.53215222603448431</v>
      </c>
      <c r="Q4" s="1">
        <f>LN(Table1[[#This Row],[qe_mg_g]]-Table1[[#This Row],[qt]])</f>
        <v>2.0299686648481141</v>
      </c>
      <c r="R4" s="1">
        <v>3</v>
      </c>
    </row>
    <row r="5" spans="1:18" x14ac:dyDescent="0.3">
      <c r="A5" s="1">
        <v>4</v>
      </c>
      <c r="B5" s="1" t="s">
        <v>16</v>
      </c>
      <c r="C5" s="1">
        <v>0.5</v>
      </c>
      <c r="D5" s="1">
        <v>30</v>
      </c>
      <c r="E5" s="1">
        <v>25</v>
      </c>
      <c r="F5" s="1">
        <v>7</v>
      </c>
      <c r="G5" s="1">
        <v>25</v>
      </c>
      <c r="H5" s="1">
        <v>150</v>
      </c>
      <c r="I5" s="1">
        <v>100</v>
      </c>
      <c r="J5" s="1">
        <v>14.2</v>
      </c>
      <c r="K5" s="1">
        <v>17.899999999999999</v>
      </c>
      <c r="L5" s="1">
        <v>28.4</v>
      </c>
      <c r="M5" s="1">
        <v>47.5</v>
      </c>
      <c r="N5" s="1">
        <v>3.7240000000000002E-2</v>
      </c>
      <c r="O5" s="1">
        <v>2.831E-4</v>
      </c>
      <c r="P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1.5282238114097031</v>
      </c>
      <c r="Q5" s="1">
        <f>LN(Table1[[#This Row],[qe_mg_g]]-Table1[[#This Row],[qt]])</f>
        <v>2.5393771730308616</v>
      </c>
      <c r="R5" s="1">
        <v>1</v>
      </c>
    </row>
    <row r="6" spans="1:18" x14ac:dyDescent="0.3">
      <c r="A6" s="1">
        <v>5</v>
      </c>
      <c r="B6" s="1" t="s">
        <v>16</v>
      </c>
      <c r="C6" s="1">
        <v>0.5</v>
      </c>
      <c r="D6" s="1">
        <v>30</v>
      </c>
      <c r="E6" s="1">
        <v>25</v>
      </c>
      <c r="F6" s="1">
        <v>7</v>
      </c>
      <c r="G6" s="1">
        <v>25</v>
      </c>
      <c r="H6" s="1">
        <v>150</v>
      </c>
      <c r="I6" s="1">
        <v>100</v>
      </c>
      <c r="J6" s="1">
        <v>12.802</v>
      </c>
      <c r="K6" s="1">
        <v>18.599</v>
      </c>
      <c r="L6" s="1">
        <v>25.6</v>
      </c>
      <c r="M6" s="1">
        <v>69.8</v>
      </c>
      <c r="N6" s="1">
        <v>4.0910000000000002E-2</v>
      </c>
      <c r="O6" s="1">
        <v>2.5759999999999997E-4</v>
      </c>
      <c r="P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1.1525272586669673</v>
      </c>
      <c r="Q6" s="1">
        <f>LN(Table1[[#This Row],[qe_mg_g]]-Table1[[#This Row],[qt]])</f>
        <v>2.4552609207328486</v>
      </c>
      <c r="R6" s="1">
        <v>2</v>
      </c>
    </row>
    <row r="7" spans="1:18" x14ac:dyDescent="0.3">
      <c r="A7" s="1">
        <v>6</v>
      </c>
      <c r="B7" s="1" t="s">
        <v>16</v>
      </c>
      <c r="C7" s="1">
        <v>0.5</v>
      </c>
      <c r="D7" s="1">
        <v>30</v>
      </c>
      <c r="E7" s="1">
        <v>25</v>
      </c>
      <c r="F7" s="1">
        <v>7</v>
      </c>
      <c r="G7" s="1">
        <v>25</v>
      </c>
      <c r="H7" s="1">
        <v>150</v>
      </c>
      <c r="I7" s="1">
        <v>100</v>
      </c>
      <c r="J7" s="1">
        <v>15.564</v>
      </c>
      <c r="K7" s="1">
        <v>17.218</v>
      </c>
      <c r="L7" s="1">
        <v>31.13</v>
      </c>
      <c r="M7" s="1">
        <v>64.400000000000006</v>
      </c>
      <c r="N7" s="1">
        <v>4.53E-2</v>
      </c>
      <c r="O7" s="1">
        <v>2.5730000000000002E-4</v>
      </c>
      <c r="P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1.6692898568483832</v>
      </c>
      <c r="Q7" s="1">
        <f>LN(Table1[[#This Row],[qe_mg_g]]-Table1[[#This Row],[qt]])</f>
        <v>2.6315082024624261</v>
      </c>
      <c r="R7" s="1">
        <v>3</v>
      </c>
    </row>
    <row r="8" spans="1:18" x14ac:dyDescent="0.3">
      <c r="A8" s="1">
        <v>7</v>
      </c>
      <c r="B8" s="1" t="s">
        <v>16</v>
      </c>
      <c r="C8" s="1">
        <v>0.5</v>
      </c>
      <c r="D8" s="1">
        <v>30</v>
      </c>
      <c r="E8" s="1">
        <v>25</v>
      </c>
      <c r="F8" s="1">
        <v>11</v>
      </c>
      <c r="G8" s="1">
        <v>25</v>
      </c>
      <c r="H8" s="1">
        <v>150</v>
      </c>
      <c r="I8" s="1">
        <v>100</v>
      </c>
      <c r="J8" s="1">
        <v>10.074999999999999</v>
      </c>
      <c r="K8" s="1">
        <v>19.962</v>
      </c>
      <c r="L8" s="1">
        <v>20.149999999999999</v>
      </c>
      <c r="M8" s="1">
        <v>67.8</v>
      </c>
      <c r="N8" s="1">
        <v>3.9820000000000001E-2</v>
      </c>
      <c r="O8" s="1">
        <v>3.1129999999999998E-4</v>
      </c>
      <c r="P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0.86643755416742607</v>
      </c>
      <c r="Q8" s="1">
        <f>LN(Table1[[#This Row],[qe_mg_g]]-Table1[[#This Row],[qt]])</f>
        <v>2.220133751855673</v>
      </c>
      <c r="R8" s="1">
        <v>1</v>
      </c>
    </row>
    <row r="9" spans="1:18" x14ac:dyDescent="0.3">
      <c r="A9" s="1">
        <v>8</v>
      </c>
      <c r="B9" s="1" t="s">
        <v>16</v>
      </c>
      <c r="C9" s="1">
        <v>0.5</v>
      </c>
      <c r="D9" s="1">
        <v>30</v>
      </c>
      <c r="E9" s="1">
        <v>25</v>
      </c>
      <c r="F9" s="1">
        <v>11</v>
      </c>
      <c r="G9" s="1">
        <v>25</v>
      </c>
      <c r="H9" s="1">
        <v>150</v>
      </c>
      <c r="I9" s="1">
        <v>100</v>
      </c>
      <c r="J9" s="1">
        <v>10.028</v>
      </c>
      <c r="K9" s="1">
        <v>19.986000000000001</v>
      </c>
      <c r="L9" s="1">
        <v>20.059999999999999</v>
      </c>
      <c r="M9" s="1">
        <v>63.7</v>
      </c>
      <c r="N9" s="1">
        <v>4.2290000000000001E-2</v>
      </c>
      <c r="O9" s="1">
        <v>3.5560000000000002E-4</v>
      </c>
      <c r="P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0.96910847501904618</v>
      </c>
      <c r="Q9" s="1">
        <f>LN(Table1[[#This Row],[qe_mg_g]]-Table1[[#This Row],[qt]])</f>
        <v>2.2037467643336344</v>
      </c>
      <c r="R9" s="1">
        <v>2</v>
      </c>
    </row>
    <row r="10" spans="1:18" x14ac:dyDescent="0.3">
      <c r="A10" s="1">
        <v>9</v>
      </c>
      <c r="B10" s="1" t="s">
        <v>16</v>
      </c>
      <c r="C10" s="1">
        <v>0.5</v>
      </c>
      <c r="D10" s="1">
        <v>30</v>
      </c>
      <c r="E10" s="1">
        <v>25</v>
      </c>
      <c r="F10" s="1">
        <v>11</v>
      </c>
      <c r="G10" s="1">
        <v>25</v>
      </c>
      <c r="H10" s="1">
        <v>150</v>
      </c>
      <c r="I10" s="1">
        <v>100</v>
      </c>
      <c r="J10" s="1">
        <v>10.523</v>
      </c>
      <c r="K10" s="1">
        <v>19.739000000000001</v>
      </c>
      <c r="L10" s="1">
        <v>21.05</v>
      </c>
      <c r="M10" s="1">
        <v>56.1</v>
      </c>
      <c r="N10" s="1">
        <v>4.87E-2</v>
      </c>
      <c r="O10" s="1">
        <v>2.6340000000000001E-4</v>
      </c>
      <c r="P1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0.80784206049365426</v>
      </c>
      <c r="Q10" s="1">
        <f>LN(Table1[[#This Row],[qe_mg_g]]-Table1[[#This Row],[qt]])</f>
        <v>2.2736873399804614</v>
      </c>
      <c r="R10" s="1">
        <v>3</v>
      </c>
    </row>
    <row r="11" spans="1:18" x14ac:dyDescent="0.3">
      <c r="A11" s="1">
        <v>10</v>
      </c>
      <c r="B11" s="1" t="s">
        <v>16</v>
      </c>
      <c r="C11" s="1">
        <v>0.5</v>
      </c>
      <c r="D11" s="1">
        <v>30</v>
      </c>
      <c r="E11" s="1">
        <v>50</v>
      </c>
      <c r="F11" s="1">
        <v>3</v>
      </c>
      <c r="G11" s="1">
        <v>25</v>
      </c>
      <c r="H11" s="1">
        <v>150</v>
      </c>
      <c r="I11" s="1">
        <v>100</v>
      </c>
      <c r="J11" s="1">
        <v>26.974</v>
      </c>
      <c r="K11" s="1">
        <v>36.512999999999998</v>
      </c>
      <c r="L11" s="1">
        <v>26.97</v>
      </c>
      <c r="M11" s="1">
        <v>47.1</v>
      </c>
      <c r="N11" s="1">
        <v>3.9019999999999999E-2</v>
      </c>
      <c r="O11" s="1">
        <v>3.0590000000000001E-4</v>
      </c>
      <c r="P11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5.352255290775763</v>
      </c>
      <c r="Q11" s="1">
        <f>LN(Table1[[#This Row],[qe_mg_g]]-Table1[[#This Row],[qt]])</f>
        <v>3.07369950780912</v>
      </c>
      <c r="R11" s="1">
        <v>1</v>
      </c>
    </row>
    <row r="12" spans="1:18" x14ac:dyDescent="0.3">
      <c r="A12" s="1">
        <v>11</v>
      </c>
      <c r="B12" s="1" t="s">
        <v>16</v>
      </c>
      <c r="C12" s="1">
        <v>0.5</v>
      </c>
      <c r="D12" s="1">
        <v>30</v>
      </c>
      <c r="E12" s="1">
        <v>50</v>
      </c>
      <c r="F12" s="1">
        <v>3</v>
      </c>
      <c r="G12" s="1">
        <v>25</v>
      </c>
      <c r="H12" s="1">
        <v>150</v>
      </c>
      <c r="I12" s="1">
        <v>100</v>
      </c>
      <c r="J12" s="1">
        <v>28.097999999999999</v>
      </c>
      <c r="K12" s="1">
        <v>35.951000000000001</v>
      </c>
      <c r="L12" s="1">
        <v>28.1</v>
      </c>
      <c r="M12" s="1">
        <v>68.400000000000006</v>
      </c>
      <c r="N12" s="1">
        <v>4.4479999999999999E-2</v>
      </c>
      <c r="O12" s="1">
        <v>2.9100000000000003E-4</v>
      </c>
      <c r="P1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5.5346814162042213</v>
      </c>
      <c r="Q12" s="1">
        <f>LN(Table1[[#This Row],[qe_mg_g]]-Table1[[#This Row],[qt]])</f>
        <v>3.1163255161572208</v>
      </c>
      <c r="R12" s="1">
        <v>2</v>
      </c>
    </row>
    <row r="13" spans="1:18" x14ac:dyDescent="0.3">
      <c r="A13" s="1">
        <v>12</v>
      </c>
      <c r="B13" s="1" t="s">
        <v>16</v>
      </c>
      <c r="C13" s="1">
        <v>0.5</v>
      </c>
      <c r="D13" s="1">
        <v>30</v>
      </c>
      <c r="E13" s="1">
        <v>50</v>
      </c>
      <c r="F13" s="1">
        <v>3</v>
      </c>
      <c r="G13" s="1">
        <v>25</v>
      </c>
      <c r="H13" s="1">
        <v>150</v>
      </c>
      <c r="I13" s="1">
        <v>100</v>
      </c>
      <c r="J13" s="1">
        <v>23.391999999999999</v>
      </c>
      <c r="K13" s="1">
        <v>38.304000000000002</v>
      </c>
      <c r="L13" s="1">
        <v>23.39</v>
      </c>
      <c r="M13" s="1">
        <v>59.5</v>
      </c>
      <c r="N13" s="1">
        <v>4.2930000000000003E-2</v>
      </c>
      <c r="O13" s="1">
        <v>3.3169999999999999E-4</v>
      </c>
      <c r="P1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4.4169048513192273</v>
      </c>
      <c r="Q13" s="1">
        <f>LN(Table1[[#This Row],[qe_mg_g]]-Table1[[#This Row],[qt]])</f>
        <v>2.9431273376923506</v>
      </c>
      <c r="R13" s="1">
        <v>3</v>
      </c>
    </row>
    <row r="14" spans="1:18" x14ac:dyDescent="0.3">
      <c r="A14" s="1">
        <v>13</v>
      </c>
      <c r="B14" s="1" t="s">
        <v>16</v>
      </c>
      <c r="C14" s="1">
        <v>0.5</v>
      </c>
      <c r="D14" s="1">
        <v>30</v>
      </c>
      <c r="E14" s="1">
        <v>50</v>
      </c>
      <c r="F14" s="1">
        <v>7</v>
      </c>
      <c r="G14" s="1">
        <v>25</v>
      </c>
      <c r="H14" s="1">
        <v>150</v>
      </c>
      <c r="I14" s="1">
        <v>100</v>
      </c>
      <c r="J14" s="1">
        <v>42.966999999999999</v>
      </c>
      <c r="K14" s="1">
        <v>28.515999999999998</v>
      </c>
      <c r="L14" s="1">
        <v>42.97</v>
      </c>
      <c r="M14" s="1">
        <v>49</v>
      </c>
      <c r="N14" s="1">
        <v>4.6460000000000001E-2</v>
      </c>
      <c r="O14" s="1">
        <v>2.8840000000000002E-4</v>
      </c>
      <c r="P14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11.644248157617561</v>
      </c>
      <c r="Q14" s="1">
        <f>LN(Table1[[#This Row],[qe_mg_g]]-Table1[[#This Row],[qt]])</f>
        <v>3.4443447294079834</v>
      </c>
      <c r="R14" s="1">
        <v>1</v>
      </c>
    </row>
    <row r="15" spans="1:18" x14ac:dyDescent="0.3">
      <c r="A15" s="1">
        <v>14</v>
      </c>
      <c r="B15" s="1" t="s">
        <v>16</v>
      </c>
      <c r="C15" s="1">
        <v>0.5</v>
      </c>
      <c r="D15" s="1">
        <v>30</v>
      </c>
      <c r="E15" s="1">
        <v>50</v>
      </c>
      <c r="F15" s="1">
        <v>7</v>
      </c>
      <c r="G15" s="1">
        <v>25</v>
      </c>
      <c r="H15" s="1">
        <v>150</v>
      </c>
      <c r="I15" s="1">
        <v>100</v>
      </c>
      <c r="J15" s="1">
        <v>39.552999999999997</v>
      </c>
      <c r="K15" s="1">
        <v>30.222999999999999</v>
      </c>
      <c r="L15" s="1">
        <v>39.549999999999997</v>
      </c>
      <c r="M15" s="1">
        <v>72.8</v>
      </c>
      <c r="N15" s="1">
        <v>4.9639999999999997E-2</v>
      </c>
      <c r="O15" s="1">
        <v>3.279E-4</v>
      </c>
      <c r="P15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11.078816702161442</v>
      </c>
      <c r="Q15" s="1">
        <f>LN(Table1[[#This Row],[qe_mg_g]]-Table1[[#This Row],[qt]])</f>
        <v>3.3489978275466354</v>
      </c>
      <c r="R15" s="1">
        <v>2</v>
      </c>
    </row>
    <row r="16" spans="1:18" x14ac:dyDescent="0.3">
      <c r="A16" s="1">
        <v>15</v>
      </c>
      <c r="B16" s="1" t="s">
        <v>16</v>
      </c>
      <c r="C16" s="1">
        <v>0.5</v>
      </c>
      <c r="D16" s="1">
        <v>30</v>
      </c>
      <c r="E16" s="1">
        <v>50</v>
      </c>
      <c r="F16" s="1">
        <v>7</v>
      </c>
      <c r="G16" s="1">
        <v>25</v>
      </c>
      <c r="H16" s="1">
        <v>150</v>
      </c>
      <c r="I16" s="1">
        <v>100</v>
      </c>
      <c r="J16" s="1">
        <v>39.01</v>
      </c>
      <c r="K16" s="1">
        <v>30.495000000000001</v>
      </c>
      <c r="L16" s="1">
        <v>39.01</v>
      </c>
      <c r="M16" s="1">
        <v>63.6</v>
      </c>
      <c r="N16" s="1">
        <v>4.6489999999999997E-2</v>
      </c>
      <c r="O16" s="1">
        <v>3.2929999999999998E-4</v>
      </c>
      <c r="P16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10.851656503448774</v>
      </c>
      <c r="Q16" s="1">
        <f>LN(Table1[[#This Row],[qe_mg_g]]-Table1[[#This Row],[qt]])</f>
        <v>3.3378437048632672</v>
      </c>
      <c r="R16" s="1">
        <v>3</v>
      </c>
    </row>
    <row r="17" spans="1:18" x14ac:dyDescent="0.3">
      <c r="A17" s="1">
        <v>16</v>
      </c>
      <c r="B17" s="1" t="s">
        <v>16</v>
      </c>
      <c r="C17" s="1">
        <v>0.5</v>
      </c>
      <c r="D17" s="1">
        <v>30</v>
      </c>
      <c r="E17" s="1">
        <v>50</v>
      </c>
      <c r="F17" s="1">
        <v>11</v>
      </c>
      <c r="G17" s="1">
        <v>25</v>
      </c>
      <c r="H17" s="1">
        <v>150</v>
      </c>
      <c r="I17" s="1">
        <v>100</v>
      </c>
      <c r="J17" s="1">
        <v>31.175999999999998</v>
      </c>
      <c r="K17" s="1">
        <v>34.411999999999999</v>
      </c>
      <c r="L17" s="1">
        <v>31.18</v>
      </c>
      <c r="M17" s="1">
        <v>64.8</v>
      </c>
      <c r="N17" s="1">
        <v>4.002E-2</v>
      </c>
      <c r="O17" s="1">
        <v>2.6410000000000002E-4</v>
      </c>
      <c r="P17" s="1">
        <f>(Table1[[#This Row],[Rate_Constant_k2_g_mg_min]]*Table1[[#This Row],[Contact_Time_min]]*Table1[[#This Row],[qe_mg_g]]^2)/(1+Table1[[#This Row],[Contact_Time_min]]*Table1[[#This Row],[qe_mg_g]]*Table1[[#This Row],[Rate_Constant_k2_g_mg_min]])</f>
        <v>6.1753473976428088</v>
      </c>
      <c r="Q17" s="1">
        <f>LN(Table1[[#This Row],[qe_mg_g]]-Table1[[#This Row],[qt]])</f>
        <v>3.2189019286217824</v>
      </c>
      <c r="R17" s="1">
        <v>1</v>
      </c>
    </row>
    <row r="18" spans="1:18" x14ac:dyDescent="0.3">
      <c r="A18" s="1">
        <v>17</v>
      </c>
      <c r="B18" s="1" t="s">
        <v>16</v>
      </c>
      <c r="C18" s="1">
        <v>0.5</v>
      </c>
      <c r="D18" s="1">
        <v>30</v>
      </c>
      <c r="E18" s="1">
        <v>50</v>
      </c>
      <c r="F18" s="1">
        <v>11</v>
      </c>
      <c r="G18" s="1">
        <v>25</v>
      </c>
      <c r="H18" s="1">
        <v>150</v>
      </c>
      <c r="I18" s="1">
        <v>100</v>
      </c>
      <c r="J18" s="1">
        <v>34.526000000000003</v>
      </c>
      <c r="K18" s="1">
        <v>32.737000000000002</v>
      </c>
      <c r="L18" s="1">
        <v>34.53</v>
      </c>
      <c r="M18" s="1">
        <v>80.2</v>
      </c>
      <c r="N18" s="1">
        <v>4.4679999999999997E-2</v>
      </c>
      <c r="O18" s="1">
        <v>3.301E-4</v>
      </c>
      <c r="P18" s="1">
        <f>(Table1[[#This Row],[Rate_Constant_k2_g_mg_min]]*Table1[[#This Row],[Contact_Time_min]]*Table1[[#This Row],[qe_mg_g]]^2)/(1+Table1[[#This Row],[Contact_Time_min]]*Table1[[#This Row],[qe_mg_g]]*Table1[[#This Row],[Rate_Constant_k2_g_mg_min]])</f>
        <v>8.797020532630297</v>
      </c>
      <c r="Q18" s="1">
        <f>LN(Table1[[#This Row],[qe_mg_g]]-Table1[[#This Row],[qt]])</f>
        <v>3.247617962365569</v>
      </c>
      <c r="R18" s="1">
        <v>2</v>
      </c>
    </row>
    <row r="19" spans="1:18" x14ac:dyDescent="0.3">
      <c r="A19" s="1">
        <v>18</v>
      </c>
      <c r="B19" s="1" t="s">
        <v>16</v>
      </c>
      <c r="C19" s="1">
        <v>0.5</v>
      </c>
      <c r="D19" s="1">
        <v>30</v>
      </c>
      <c r="E19" s="1">
        <v>50</v>
      </c>
      <c r="F19" s="1">
        <v>11</v>
      </c>
      <c r="G19" s="1">
        <v>25</v>
      </c>
      <c r="H19" s="1">
        <v>150</v>
      </c>
      <c r="I19" s="1">
        <v>100</v>
      </c>
      <c r="J19" s="1">
        <v>33.356999999999999</v>
      </c>
      <c r="K19" s="1">
        <v>33.322000000000003</v>
      </c>
      <c r="L19" s="1">
        <v>33.36</v>
      </c>
      <c r="M19" s="1">
        <v>60.2</v>
      </c>
      <c r="N19" s="1">
        <v>4.6629999999999998E-2</v>
      </c>
      <c r="O19" s="1">
        <v>3.4610000000000001E-4</v>
      </c>
      <c r="P1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8.5810459252438473</v>
      </c>
      <c r="Q19" s="1">
        <f>LN(Table1[[#This Row],[qe_mg_g]]-Table1[[#This Row],[qt]])</f>
        <v>3.2098735890510111</v>
      </c>
      <c r="R19" s="1">
        <v>3</v>
      </c>
    </row>
    <row r="20" spans="1:18" x14ac:dyDescent="0.3">
      <c r="A20" s="1">
        <v>19</v>
      </c>
      <c r="B20" s="1" t="s">
        <v>16</v>
      </c>
      <c r="C20" s="1">
        <v>0.5</v>
      </c>
      <c r="D20" s="1">
        <v>30</v>
      </c>
      <c r="E20" s="1">
        <v>100</v>
      </c>
      <c r="F20" s="1">
        <v>3</v>
      </c>
      <c r="G20" s="1">
        <v>25</v>
      </c>
      <c r="H20" s="1">
        <v>150</v>
      </c>
      <c r="I20" s="1">
        <v>100</v>
      </c>
      <c r="J20" s="1">
        <v>68.572999999999993</v>
      </c>
      <c r="K20" s="1">
        <v>65.713999999999999</v>
      </c>
      <c r="L20" s="1">
        <v>34.29</v>
      </c>
      <c r="M20" s="1">
        <v>82.3</v>
      </c>
      <c r="N20" s="1">
        <v>3.3210000000000003E-2</v>
      </c>
      <c r="O20" s="1">
        <v>3.2469999999999998E-4</v>
      </c>
      <c r="P20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27.461339279216098</v>
      </c>
      <c r="Q20" s="1">
        <f>LN(Table1[[#This Row],[qe_mg_g]]-Table1[[#This Row],[qt]])</f>
        <v>3.7162917970966207</v>
      </c>
      <c r="R20" s="1">
        <v>1</v>
      </c>
    </row>
    <row r="21" spans="1:18" x14ac:dyDescent="0.3">
      <c r="A21" s="1">
        <v>20</v>
      </c>
      <c r="B21" s="1" t="s">
        <v>16</v>
      </c>
      <c r="C21" s="1">
        <v>0.5</v>
      </c>
      <c r="D21" s="1">
        <v>30</v>
      </c>
      <c r="E21" s="1">
        <v>100</v>
      </c>
      <c r="F21" s="1">
        <v>3</v>
      </c>
      <c r="G21" s="1">
        <v>25</v>
      </c>
      <c r="H21" s="1">
        <v>150</v>
      </c>
      <c r="I21" s="1">
        <v>100</v>
      </c>
      <c r="J21" s="1">
        <v>69.248999999999995</v>
      </c>
      <c r="K21" s="1">
        <v>65.376000000000005</v>
      </c>
      <c r="L21" s="1">
        <v>34.619999999999997</v>
      </c>
      <c r="M21" s="1">
        <v>63.7</v>
      </c>
      <c r="N21" s="1">
        <v>4.5409999999999999E-2</v>
      </c>
      <c r="O21" s="1">
        <v>2.4039999999999999E-4</v>
      </c>
      <c r="P21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23.065258916121714</v>
      </c>
      <c r="Q21" s="1">
        <f>LN(Table1[[#This Row],[qe_mg_g]]-Table1[[#This Row],[qt]])</f>
        <v>3.8326278115563226</v>
      </c>
      <c r="R21" s="1">
        <v>2</v>
      </c>
    </row>
    <row r="22" spans="1:18" x14ac:dyDescent="0.3">
      <c r="A22" s="1">
        <v>21</v>
      </c>
      <c r="B22" s="1" t="s">
        <v>16</v>
      </c>
      <c r="C22" s="1">
        <v>0.5</v>
      </c>
      <c r="D22" s="1">
        <v>30</v>
      </c>
      <c r="E22" s="1">
        <v>100</v>
      </c>
      <c r="F22" s="1">
        <v>3</v>
      </c>
      <c r="G22" s="1">
        <v>25</v>
      </c>
      <c r="H22" s="1">
        <v>150</v>
      </c>
      <c r="I22" s="1">
        <v>100</v>
      </c>
      <c r="J22" s="1">
        <v>67.561000000000007</v>
      </c>
      <c r="K22" s="1">
        <v>66.218999999999994</v>
      </c>
      <c r="L22" s="1">
        <v>33.78</v>
      </c>
      <c r="M22" s="1">
        <v>70.2</v>
      </c>
      <c r="N22" s="1">
        <v>5.1650000000000001E-2</v>
      </c>
      <c r="O22" s="1">
        <v>2.8449999999999998E-4</v>
      </c>
      <c r="P22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24.709560118267465</v>
      </c>
      <c r="Q22" s="1">
        <f>LN(Table1[[#This Row],[qe_mg_g]]-Table1[[#This Row],[qt]])</f>
        <v>3.7577392473201257</v>
      </c>
      <c r="R22" s="1">
        <v>3</v>
      </c>
    </row>
    <row r="23" spans="1:18" x14ac:dyDescent="0.3">
      <c r="A23" s="1">
        <v>22</v>
      </c>
      <c r="B23" s="1" t="s">
        <v>16</v>
      </c>
      <c r="C23" s="1">
        <v>0.5</v>
      </c>
      <c r="D23" s="1">
        <v>30</v>
      </c>
      <c r="E23" s="1">
        <v>100</v>
      </c>
      <c r="F23" s="1">
        <v>7</v>
      </c>
      <c r="G23" s="1">
        <v>25</v>
      </c>
      <c r="H23" s="1">
        <v>150</v>
      </c>
      <c r="I23" s="1">
        <v>100</v>
      </c>
      <c r="J23" s="1">
        <v>97.018000000000001</v>
      </c>
      <c r="K23" s="1">
        <v>51.491</v>
      </c>
      <c r="L23" s="1">
        <v>48.51</v>
      </c>
      <c r="M23" s="1">
        <v>61.6</v>
      </c>
      <c r="N23" s="1">
        <v>4.9119999999999997E-2</v>
      </c>
      <c r="O23" s="1">
        <v>3.099E-4</v>
      </c>
      <c r="P23" s="1">
        <f>(Table1[[#This Row],[Rate_Constant_k2_g_mg_min]]*Table1[[#This Row],[Contact_Time_min]]*Table1[[#This Row],[qe_mg_g]]^2)/(1+Table1[[#This Row],[Contact_Time_min]]*Table1[[#This Row],[qe_mg_g]]*Table1[[#This Row],[Rate_Constant_k2_g_mg_min]])</f>
        <v>46.00895343428629</v>
      </c>
      <c r="Q23" s="1">
        <f>LN(Table1[[#This Row],[qe_mg_g]]-Table1[[#This Row],[qt]])</f>
        <v>3.9320030006351532</v>
      </c>
      <c r="R23" s="1">
        <v>1</v>
      </c>
    </row>
    <row r="24" spans="1:18" x14ac:dyDescent="0.3">
      <c r="A24" s="1">
        <v>23</v>
      </c>
      <c r="B24" s="1" t="s">
        <v>16</v>
      </c>
      <c r="C24" s="1">
        <v>0.5</v>
      </c>
      <c r="D24" s="1">
        <v>30</v>
      </c>
      <c r="E24" s="1">
        <v>100</v>
      </c>
      <c r="F24" s="1">
        <v>7</v>
      </c>
      <c r="G24" s="1">
        <v>25</v>
      </c>
      <c r="H24" s="1">
        <v>150</v>
      </c>
      <c r="I24" s="1">
        <v>100</v>
      </c>
      <c r="J24" s="1">
        <v>99.331000000000003</v>
      </c>
      <c r="K24" s="1">
        <v>50.334000000000003</v>
      </c>
      <c r="L24" s="1">
        <v>49.67</v>
      </c>
      <c r="M24" s="1">
        <v>71.8</v>
      </c>
      <c r="N24" s="1">
        <v>4.5440000000000001E-2</v>
      </c>
      <c r="O24" s="1">
        <v>3.2909999999999998E-4</v>
      </c>
      <c r="P24" s="1">
        <f>(Table1[[#This Row],[Rate_Constant_k2_g_mg_min]]*Table1[[#This Row],[Contact_Time_min]]*Table1[[#This Row],[qe_mg_g]]^2)/(1+Table1[[#This Row],[Contact_Time_min]]*Table1[[#This Row],[qe_mg_g]]*Table1[[#This Row],[Rate_Constant_k2_g_mg_min]])</f>
        <v>49.181430351197896</v>
      </c>
      <c r="Q24" s="1">
        <f>LN(Table1[[#This Row],[qe_mg_g]]-Table1[[#This Row],[qt]])</f>
        <v>3.9150099330910075</v>
      </c>
      <c r="R24" s="1">
        <v>2</v>
      </c>
    </row>
    <row r="25" spans="1:18" x14ac:dyDescent="0.3">
      <c r="A25" s="1">
        <v>24</v>
      </c>
      <c r="B25" s="1" t="s">
        <v>16</v>
      </c>
      <c r="C25" s="1">
        <v>0.5</v>
      </c>
      <c r="D25" s="1">
        <v>30</v>
      </c>
      <c r="E25" s="1">
        <v>100</v>
      </c>
      <c r="F25" s="1">
        <v>7</v>
      </c>
      <c r="G25" s="1">
        <v>25</v>
      </c>
      <c r="H25" s="1">
        <v>150</v>
      </c>
      <c r="I25" s="1">
        <v>100</v>
      </c>
      <c r="J25" s="1">
        <v>97.902000000000001</v>
      </c>
      <c r="K25" s="1">
        <v>51.048999999999999</v>
      </c>
      <c r="L25" s="1">
        <v>48.95</v>
      </c>
      <c r="M25" s="1">
        <v>63.4</v>
      </c>
      <c r="N25" s="1">
        <v>4.3240000000000001E-2</v>
      </c>
      <c r="O25" s="1">
        <v>2.5609999999999999E-4</v>
      </c>
      <c r="P25" s="1">
        <f>(Table1[[#This Row],[Rate_Constant_k2_g_mg_min]]*Table1[[#This Row],[Contact_Time_min]]*Table1[[#This Row],[qe_mg_g]]^2)/(1+Table1[[#This Row],[Contact_Time_min]]*Table1[[#This Row],[qe_mg_g]]*Table1[[#This Row],[Rate_Constant_k2_g_mg_min]])</f>
        <v>42.027637527006583</v>
      </c>
      <c r="Q25" s="1">
        <f>LN(Table1[[#This Row],[qe_mg_g]]-Table1[[#This Row],[qt]])</f>
        <v>4.0231056429893277</v>
      </c>
      <c r="R25" s="1">
        <v>3</v>
      </c>
    </row>
    <row r="26" spans="1:18" x14ac:dyDescent="0.3">
      <c r="A26" s="1">
        <v>25</v>
      </c>
      <c r="B26" s="1" t="s">
        <v>16</v>
      </c>
      <c r="C26" s="1">
        <v>0.5</v>
      </c>
      <c r="D26" s="1">
        <v>30</v>
      </c>
      <c r="E26" s="1">
        <v>100</v>
      </c>
      <c r="F26" s="1">
        <v>11</v>
      </c>
      <c r="G26" s="1">
        <v>25</v>
      </c>
      <c r="H26" s="1">
        <v>150</v>
      </c>
      <c r="I26" s="1">
        <v>100</v>
      </c>
      <c r="J26" s="1">
        <v>84.393000000000001</v>
      </c>
      <c r="K26" s="1">
        <v>57.802999999999997</v>
      </c>
      <c r="L26" s="1">
        <v>42.2</v>
      </c>
      <c r="M26" s="1">
        <v>69.3</v>
      </c>
      <c r="N26" s="1">
        <v>4.5019999999999998E-2</v>
      </c>
      <c r="O26" s="1">
        <v>2.9300000000000002E-4</v>
      </c>
      <c r="P26" s="1">
        <f>(Table1[[#This Row],[Rate_Constant_k2_g_mg_min]]*Table1[[#This Row],[Contact_Time_min]]*Table1[[#This Row],[qe_mg_g]]^2)/(1+Table1[[#This Row],[Contact_Time_min]]*Table1[[#This Row],[qe_mg_g]]*Table1[[#This Row],[Rate_Constant_k2_g_mg_min]])</f>
        <v>35.941800716990258</v>
      </c>
      <c r="Q26" s="1">
        <f>LN(Table1[[#This Row],[qe_mg_g]]-Table1[[#This Row],[qt]])</f>
        <v>3.8805570910337219</v>
      </c>
      <c r="R26" s="1">
        <v>1</v>
      </c>
    </row>
    <row r="27" spans="1:18" x14ac:dyDescent="0.3">
      <c r="A27" s="1">
        <v>26</v>
      </c>
      <c r="B27" s="1" t="s">
        <v>16</v>
      </c>
      <c r="C27" s="1">
        <v>0.5</v>
      </c>
      <c r="D27" s="1">
        <v>30</v>
      </c>
      <c r="E27" s="1">
        <v>100</v>
      </c>
      <c r="F27" s="1">
        <v>11</v>
      </c>
      <c r="G27" s="1">
        <v>25</v>
      </c>
      <c r="H27" s="1">
        <v>150</v>
      </c>
      <c r="I27" s="1">
        <v>100</v>
      </c>
      <c r="J27" s="1">
        <v>73.105000000000004</v>
      </c>
      <c r="K27" s="1">
        <v>63.447000000000003</v>
      </c>
      <c r="L27" s="1">
        <v>36.549999999999997</v>
      </c>
      <c r="M27" s="1">
        <v>62.5</v>
      </c>
      <c r="N27" s="1">
        <v>4.3459999999999999E-2</v>
      </c>
      <c r="O27" s="1">
        <v>2.7589999999999998E-4</v>
      </c>
      <c r="P27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27.559269773898706</v>
      </c>
      <c r="Q27" s="1">
        <f>LN(Table1[[#This Row],[qe_mg_g]]-Table1[[#This Row],[qt]])</f>
        <v>3.8187168811366674</v>
      </c>
      <c r="R27" s="1">
        <v>2</v>
      </c>
    </row>
    <row r="28" spans="1:18" x14ac:dyDescent="0.3">
      <c r="A28" s="1">
        <v>27</v>
      </c>
      <c r="B28" s="1" t="s">
        <v>16</v>
      </c>
      <c r="C28" s="1">
        <v>0.5</v>
      </c>
      <c r="D28" s="1">
        <v>30</v>
      </c>
      <c r="E28" s="1">
        <v>100</v>
      </c>
      <c r="F28" s="1">
        <v>11</v>
      </c>
      <c r="G28" s="1">
        <v>25</v>
      </c>
      <c r="H28" s="1">
        <v>150</v>
      </c>
      <c r="I28" s="1">
        <v>100</v>
      </c>
      <c r="J28" s="1">
        <v>81.376000000000005</v>
      </c>
      <c r="K28" s="1">
        <v>59.311999999999998</v>
      </c>
      <c r="L28" s="1">
        <v>40.69</v>
      </c>
      <c r="M28" s="1">
        <v>70.7</v>
      </c>
      <c r="N28" s="1">
        <v>5.3490000000000003E-2</v>
      </c>
      <c r="O28" s="1">
        <v>3.0519999999999999E-4</v>
      </c>
      <c r="P28" s="1">
        <f>(Table1[[#This Row],[Rate_Constant_k2_g_mg_min]]*Table1[[#This Row],[Contact_Time_min]]*Table1[[#This Row],[qe_mg_g]]^2)/(1+Table1[[#This Row],[Contact_Time_min]]*Table1[[#This Row],[qe_mg_g]]*Table1[[#This Row],[Rate_Constant_k2_g_mg_min]])</f>
        <v>34.744291039369628</v>
      </c>
      <c r="Q28" s="1">
        <f>LN(Table1[[#This Row],[qe_mg_g]]-Table1[[#This Row],[qt]])</f>
        <v>3.8422807595295363</v>
      </c>
      <c r="R28" s="1">
        <v>3</v>
      </c>
    </row>
    <row r="29" spans="1:18" x14ac:dyDescent="0.3">
      <c r="A29" s="1">
        <v>28</v>
      </c>
      <c r="B29" s="1" t="s">
        <v>16</v>
      </c>
      <c r="C29" s="1">
        <v>0.5</v>
      </c>
      <c r="D29" s="1">
        <v>30</v>
      </c>
      <c r="E29" s="1">
        <v>200</v>
      </c>
      <c r="F29" s="1">
        <v>3</v>
      </c>
      <c r="G29" s="1">
        <v>25</v>
      </c>
      <c r="H29" s="1">
        <v>150</v>
      </c>
      <c r="I29" s="1">
        <v>100</v>
      </c>
      <c r="J29" s="1">
        <v>108.15300000000001</v>
      </c>
      <c r="K29" s="1">
        <v>145.92400000000001</v>
      </c>
      <c r="L29" s="1">
        <v>27.04</v>
      </c>
      <c r="M29" s="1">
        <v>65.900000000000006</v>
      </c>
      <c r="N29" s="1">
        <v>3.637E-2</v>
      </c>
      <c r="O29" s="1">
        <v>2.9920000000000001E-4</v>
      </c>
      <c r="P29" s="1">
        <f>(Table1[[#This Row],[Rate_Constant_k2_g_mg_min]]*Table1[[#This Row],[Contact_Time_min]]*Table1[[#This Row],[qe_mg_g]]^2)/(1+Table1[[#This Row],[Contact_Time_min]]*Table1[[#This Row],[qe_mg_g]]*Table1[[#This Row],[Rate_Constant_k2_g_mg_min]])</f>
        <v>53.274765432110897</v>
      </c>
      <c r="Q29" s="1">
        <f>LN(Table1[[#This Row],[qe_mg_g]]-Table1[[#This Row],[qt]])</f>
        <v>4.0051168139477404</v>
      </c>
      <c r="R29" s="1">
        <v>1</v>
      </c>
    </row>
    <row r="30" spans="1:18" x14ac:dyDescent="0.3">
      <c r="A30" s="1">
        <v>29</v>
      </c>
      <c r="B30" s="1" t="s">
        <v>16</v>
      </c>
      <c r="C30" s="1">
        <v>0.5</v>
      </c>
      <c r="D30" s="1">
        <v>30</v>
      </c>
      <c r="E30" s="1">
        <v>200</v>
      </c>
      <c r="F30" s="1">
        <v>3</v>
      </c>
      <c r="G30" s="1">
        <v>25</v>
      </c>
      <c r="H30" s="1">
        <v>150</v>
      </c>
      <c r="I30" s="1">
        <v>100</v>
      </c>
      <c r="J30" s="1">
        <v>106.48</v>
      </c>
      <c r="K30" s="1">
        <v>146.76</v>
      </c>
      <c r="L30" s="1">
        <v>26.62</v>
      </c>
      <c r="M30" s="1">
        <v>91.3</v>
      </c>
      <c r="N30" s="1">
        <v>4.4130000000000003E-2</v>
      </c>
      <c r="O30" s="1">
        <v>3.0899999999999998E-4</v>
      </c>
      <c r="P30" s="1">
        <f>(Table1[[#This Row],[Rate_Constant_k2_g_mg_min]]*Table1[[#This Row],[Contact_Time_min]]*Table1[[#This Row],[qe_mg_g]]^2)/(1+Table1[[#This Row],[Contact_Time_min]]*Table1[[#This Row],[qe_mg_g]]*Table1[[#This Row],[Rate_Constant_k2_g_mg_min]])</f>
        <v>52.893552902223455</v>
      </c>
      <c r="Q30" s="1">
        <f>LN(Table1[[#This Row],[qe_mg_g]]-Table1[[#This Row],[qt]])</f>
        <v>3.9812961834507119</v>
      </c>
      <c r="R30" s="1">
        <v>2</v>
      </c>
    </row>
    <row r="31" spans="1:18" x14ac:dyDescent="0.3">
      <c r="A31" s="1">
        <v>30</v>
      </c>
      <c r="B31" s="1" t="s">
        <v>16</v>
      </c>
      <c r="C31" s="1">
        <v>0.5</v>
      </c>
      <c r="D31" s="1">
        <v>30</v>
      </c>
      <c r="E31" s="1">
        <v>200</v>
      </c>
      <c r="F31" s="1">
        <v>3</v>
      </c>
      <c r="G31" s="1">
        <v>25</v>
      </c>
      <c r="H31" s="1">
        <v>150</v>
      </c>
      <c r="I31" s="1">
        <v>100</v>
      </c>
      <c r="J31" s="1">
        <v>105.675</v>
      </c>
      <c r="K31" s="1">
        <v>147.16200000000001</v>
      </c>
      <c r="L31" s="1">
        <v>26.42</v>
      </c>
      <c r="M31" s="1">
        <v>55</v>
      </c>
      <c r="N31" s="1">
        <v>5.0139999999999997E-2</v>
      </c>
      <c r="O31" s="1">
        <v>3.2259999999999998E-4</v>
      </c>
      <c r="P31" s="1">
        <f>(Table1[[#This Row],[Rate_Constant_k2_g_mg_min]]*Table1[[#This Row],[Contact_Time_min]]*Table1[[#This Row],[qe_mg_g]]^2)/(1+Table1[[#This Row],[Contact_Time_min]]*Table1[[#This Row],[qe_mg_g]]*Table1[[#This Row],[Rate_Constant_k2_g_mg_min]])</f>
        <v>53.43106037733348</v>
      </c>
      <c r="Q31" s="1">
        <f>LN(Table1[[#This Row],[qe_mg_g]]-Table1[[#This Row],[qt]])</f>
        <v>3.9559238960348448</v>
      </c>
      <c r="R31" s="1">
        <v>3</v>
      </c>
    </row>
    <row r="32" spans="1:18" x14ac:dyDescent="0.3">
      <c r="A32" s="1">
        <v>31</v>
      </c>
      <c r="B32" s="1" t="s">
        <v>16</v>
      </c>
      <c r="C32" s="1">
        <v>0.5</v>
      </c>
      <c r="D32" s="1">
        <v>30</v>
      </c>
      <c r="E32" s="1">
        <v>200</v>
      </c>
      <c r="F32" s="1">
        <v>7</v>
      </c>
      <c r="G32" s="1">
        <v>25</v>
      </c>
      <c r="H32" s="1">
        <v>150</v>
      </c>
      <c r="I32" s="1">
        <v>100</v>
      </c>
      <c r="J32" s="1">
        <v>166.46700000000001</v>
      </c>
      <c r="K32" s="1">
        <v>116.76600000000001</v>
      </c>
      <c r="L32" s="1">
        <v>41.62</v>
      </c>
      <c r="M32" s="1">
        <v>57.6</v>
      </c>
      <c r="N32" s="1">
        <v>5.1310000000000001E-2</v>
      </c>
      <c r="O32" s="1">
        <v>2.5789999999999998E-4</v>
      </c>
      <c r="P32" s="1">
        <f>(Table1[[#This Row],[Rate_Constant_k2_g_mg_min]]*Table1[[#This Row],[Contact_Time_min]]*Table1[[#This Row],[qe_mg_g]]^2)/(1+Table1[[#This Row],[Contact_Time_min]]*Table1[[#This Row],[qe_mg_g]]*Table1[[#This Row],[Rate_Constant_k2_g_mg_min]])</f>
        <v>93.709018756347334</v>
      </c>
      <c r="Q32" s="1">
        <f>LN(Table1[[#This Row],[qe_mg_g]]-Table1[[#This Row],[qt]])</f>
        <v>4.2871386078506708</v>
      </c>
      <c r="R32" s="1">
        <v>1</v>
      </c>
    </row>
    <row r="33" spans="1:18" x14ac:dyDescent="0.3">
      <c r="A33" s="1">
        <v>32</v>
      </c>
      <c r="B33" s="1" t="s">
        <v>16</v>
      </c>
      <c r="C33" s="1">
        <v>0.5</v>
      </c>
      <c r="D33" s="1">
        <v>30</v>
      </c>
      <c r="E33" s="1">
        <v>200</v>
      </c>
      <c r="F33" s="1">
        <v>7</v>
      </c>
      <c r="G33" s="1">
        <v>25</v>
      </c>
      <c r="H33" s="1">
        <v>150</v>
      </c>
      <c r="I33" s="1">
        <v>100</v>
      </c>
      <c r="J33" s="1">
        <v>163.91</v>
      </c>
      <c r="K33" s="1">
        <v>118.045</v>
      </c>
      <c r="L33" s="1">
        <v>40.98</v>
      </c>
      <c r="M33" s="1">
        <v>88.6</v>
      </c>
      <c r="N33" s="1">
        <v>4.054E-2</v>
      </c>
      <c r="O33" s="1">
        <v>2.8299999999999999E-4</v>
      </c>
      <c r="P33" s="1">
        <f>(Table1[[#This Row],[Rate_Constant_k2_g_mg_min]]*Table1[[#This Row],[Contact_Time_min]]*Table1[[#This Row],[qe_mg_g]]^2)/(1+Table1[[#This Row],[Contact_Time_min]]*Table1[[#This Row],[qe_mg_g]]*Table1[[#This Row],[Rate_Constant_k2_g_mg_min]])</f>
        <v>95.374174194310982</v>
      </c>
      <c r="Q33" s="1">
        <f>LN(Table1[[#This Row],[qe_mg_g]]-Table1[[#This Row],[qt]])</f>
        <v>4.2273566130116267</v>
      </c>
      <c r="R33" s="1">
        <v>2</v>
      </c>
    </row>
    <row r="34" spans="1:18" x14ac:dyDescent="0.3">
      <c r="A34" s="1">
        <v>33</v>
      </c>
      <c r="B34" s="1" t="s">
        <v>16</v>
      </c>
      <c r="C34" s="1">
        <v>0.5</v>
      </c>
      <c r="D34" s="1">
        <v>30</v>
      </c>
      <c r="E34" s="1">
        <v>200</v>
      </c>
      <c r="F34" s="1">
        <v>7</v>
      </c>
      <c r="G34" s="1">
        <v>25</v>
      </c>
      <c r="H34" s="1">
        <v>150</v>
      </c>
      <c r="I34" s="1">
        <v>100</v>
      </c>
      <c r="J34" s="1">
        <v>157.80799999999999</v>
      </c>
      <c r="K34" s="1">
        <v>121.096</v>
      </c>
      <c r="L34" s="1">
        <v>39.450000000000003</v>
      </c>
      <c r="M34" s="1">
        <v>61.6</v>
      </c>
      <c r="N34" s="1">
        <v>3.8019999999999998E-2</v>
      </c>
      <c r="O34" s="1">
        <v>3.0210000000000002E-4</v>
      </c>
      <c r="P34" s="1">
        <f>(Table1[[#This Row],[Rate_Constant_k2_g_mg_min]]*Table1[[#This Row],[Contact_Time_min]]*Table1[[#This Row],[qe_mg_g]]^2)/(1+Table1[[#This Row],[Contact_Time_min]]*Table1[[#This Row],[qe_mg_g]]*Table1[[#This Row],[Rate_Constant_k2_g_mg_min]])</f>
        <v>92.872152278835785</v>
      </c>
      <c r="Q34" s="1">
        <f>LN(Table1[[#This Row],[qe_mg_g]]-Table1[[#This Row],[qt]])</f>
        <v>4.1733998243958226</v>
      </c>
      <c r="R34" s="1">
        <v>3</v>
      </c>
    </row>
    <row r="35" spans="1:18" x14ac:dyDescent="0.3">
      <c r="A35" s="1">
        <v>34</v>
      </c>
      <c r="B35" s="1" t="s">
        <v>16</v>
      </c>
      <c r="C35" s="1">
        <v>0.5</v>
      </c>
      <c r="D35" s="1">
        <v>30</v>
      </c>
      <c r="E35" s="1">
        <v>200</v>
      </c>
      <c r="F35" s="1">
        <v>11</v>
      </c>
      <c r="G35" s="1">
        <v>25</v>
      </c>
      <c r="H35" s="1">
        <v>150</v>
      </c>
      <c r="I35" s="1">
        <v>100</v>
      </c>
      <c r="J35" s="1">
        <v>115.178</v>
      </c>
      <c r="K35" s="1">
        <v>142.411</v>
      </c>
      <c r="L35" s="1">
        <v>28.79</v>
      </c>
      <c r="M35" s="1">
        <v>71.400000000000006</v>
      </c>
      <c r="N35" s="1">
        <v>4.086E-2</v>
      </c>
      <c r="O35" s="1">
        <v>3.4650000000000002E-4</v>
      </c>
      <c r="P35" s="1">
        <f>(Table1[[#This Row],[Rate_Constant_k2_g_mg_min]]*Table1[[#This Row],[Contact_Time_min]]*Table1[[#This Row],[qe_mg_g]]^2)/(1+Table1[[#This Row],[Contact_Time_min]]*Table1[[#This Row],[qe_mg_g]]*Table1[[#This Row],[Rate_Constant_k2_g_mg_min]])</f>
        <v>62.759443492395128</v>
      </c>
      <c r="Q35" s="1">
        <f>LN(Table1[[#This Row],[qe_mg_g]]-Table1[[#This Row],[qt]])</f>
        <v>3.9592606604616423</v>
      </c>
      <c r="R35" s="1">
        <v>1</v>
      </c>
    </row>
    <row r="36" spans="1:18" x14ac:dyDescent="0.3">
      <c r="A36" s="1">
        <v>35</v>
      </c>
      <c r="B36" s="1" t="s">
        <v>16</v>
      </c>
      <c r="C36" s="1">
        <v>0.5</v>
      </c>
      <c r="D36" s="1">
        <v>30</v>
      </c>
      <c r="E36" s="1">
        <v>200</v>
      </c>
      <c r="F36" s="1">
        <v>11</v>
      </c>
      <c r="G36" s="1">
        <v>25</v>
      </c>
      <c r="H36" s="1">
        <v>150</v>
      </c>
      <c r="I36" s="1">
        <v>100</v>
      </c>
      <c r="J36" s="1">
        <v>117.988</v>
      </c>
      <c r="K36" s="1">
        <v>141.006</v>
      </c>
      <c r="L36" s="1">
        <v>29.5</v>
      </c>
      <c r="M36" s="1">
        <v>63.4</v>
      </c>
      <c r="N36" s="1">
        <v>4.8660000000000002E-2</v>
      </c>
      <c r="O36" s="1">
        <v>2.631E-4</v>
      </c>
      <c r="P36" s="1">
        <f>(Table1[[#This Row],[Rate_Constant_k2_g_mg_min]]*Table1[[#This Row],[Contact_Time_min]]*Table1[[#This Row],[qe_mg_g]]^2)/(1+Table1[[#This Row],[Contact_Time_min]]*Table1[[#This Row],[qe_mg_g]]*Table1[[#This Row],[Rate_Constant_k2_g_mg_min]])</f>
        <v>56.894816338014429</v>
      </c>
      <c r="Q36" s="1">
        <f>LN(Table1[[#This Row],[qe_mg_g]]-Table1[[#This Row],[qt]])</f>
        <v>4.1124002995939284</v>
      </c>
      <c r="R36" s="1">
        <v>2</v>
      </c>
    </row>
    <row r="37" spans="1:18" x14ac:dyDescent="0.3">
      <c r="A37" s="1">
        <v>36</v>
      </c>
      <c r="B37" s="1" t="s">
        <v>16</v>
      </c>
      <c r="C37" s="1">
        <v>0.5</v>
      </c>
      <c r="D37" s="1">
        <v>30</v>
      </c>
      <c r="E37" s="1">
        <v>200</v>
      </c>
      <c r="F37" s="1">
        <v>11</v>
      </c>
      <c r="G37" s="1">
        <v>25</v>
      </c>
      <c r="H37" s="1">
        <v>150</v>
      </c>
      <c r="I37" s="1">
        <v>100</v>
      </c>
      <c r="J37" s="1">
        <v>128.166</v>
      </c>
      <c r="K37" s="1">
        <v>135.917</v>
      </c>
      <c r="L37" s="1">
        <v>32.04</v>
      </c>
      <c r="M37" s="1">
        <v>79.7</v>
      </c>
      <c r="N37" s="1">
        <v>3.7769999999999998E-2</v>
      </c>
      <c r="O37" s="1">
        <v>3.055E-4</v>
      </c>
      <c r="P37" s="1">
        <f>(Table1[[#This Row],[Rate_Constant_k2_g_mg_min]]*Table1[[#This Row],[Contact_Time_min]]*Table1[[#This Row],[qe_mg_g]]^2)/(1+Table1[[#This Row],[Contact_Time_min]]*Table1[[#This Row],[qe_mg_g]]*Table1[[#This Row],[Rate_Constant_k2_g_mg_min]])</f>
        <v>69.229386087763203</v>
      </c>
      <c r="Q37" s="1">
        <f>LN(Table1[[#This Row],[qe_mg_g]]-Table1[[#This Row],[qt]])</f>
        <v>4.0764625259177629</v>
      </c>
      <c r="R37" s="1">
        <v>3</v>
      </c>
    </row>
    <row r="38" spans="1:18" x14ac:dyDescent="0.3">
      <c r="A38" s="1">
        <v>37</v>
      </c>
      <c r="B38" s="1" t="s">
        <v>16</v>
      </c>
      <c r="C38" s="1">
        <v>0.5</v>
      </c>
      <c r="D38" s="1">
        <v>60</v>
      </c>
      <c r="E38" s="1">
        <v>25</v>
      </c>
      <c r="F38" s="1">
        <v>3</v>
      </c>
      <c r="G38" s="1">
        <v>25</v>
      </c>
      <c r="H38" s="1">
        <v>150</v>
      </c>
      <c r="I38" s="1">
        <v>100</v>
      </c>
      <c r="J38" s="1">
        <v>13.93</v>
      </c>
      <c r="K38" s="1">
        <v>18.035</v>
      </c>
      <c r="L38" s="1">
        <v>27.86</v>
      </c>
      <c r="M38" s="1">
        <v>74.5</v>
      </c>
      <c r="N38" s="1">
        <v>3.943E-2</v>
      </c>
      <c r="O38" s="1">
        <v>2.6039999999999999E-4</v>
      </c>
      <c r="P3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2.489858859044912</v>
      </c>
      <c r="Q38" s="1">
        <f>LN(Table1[[#This Row],[qe_mg_g]]-Table1[[#This Row],[qt]])</f>
        <v>2.4371283233716197</v>
      </c>
      <c r="R38" s="1">
        <v>1</v>
      </c>
    </row>
    <row r="39" spans="1:18" x14ac:dyDescent="0.3">
      <c r="A39" s="1">
        <v>38</v>
      </c>
      <c r="B39" s="1" t="s">
        <v>16</v>
      </c>
      <c r="C39" s="1">
        <v>0.5</v>
      </c>
      <c r="D39" s="1">
        <v>60</v>
      </c>
      <c r="E39" s="1">
        <v>25</v>
      </c>
      <c r="F39" s="1">
        <v>3</v>
      </c>
      <c r="G39" s="1">
        <v>25</v>
      </c>
      <c r="H39" s="1">
        <v>150</v>
      </c>
      <c r="I39" s="1">
        <v>100</v>
      </c>
      <c r="J39" s="1">
        <v>14.215999999999999</v>
      </c>
      <c r="K39" s="1">
        <v>17.891999999999999</v>
      </c>
      <c r="L39" s="1">
        <v>28.43</v>
      </c>
      <c r="M39" s="1">
        <v>69.599999999999994</v>
      </c>
      <c r="N39" s="1">
        <v>4.6129999999999997E-2</v>
      </c>
      <c r="O39" s="1">
        <v>3.1040000000000001E-4</v>
      </c>
      <c r="P3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2.9759120244576218</v>
      </c>
      <c r="Q39" s="1">
        <f>LN(Table1[[#This Row],[qe_mg_g]]-Table1[[#This Row],[qt]])</f>
        <v>2.4194866714404637</v>
      </c>
      <c r="R39" s="1">
        <v>2</v>
      </c>
    </row>
    <row r="40" spans="1:18" x14ac:dyDescent="0.3">
      <c r="A40" s="1">
        <v>39</v>
      </c>
      <c r="B40" s="1" t="s">
        <v>16</v>
      </c>
      <c r="C40" s="1">
        <v>0.5</v>
      </c>
      <c r="D40" s="1">
        <v>60</v>
      </c>
      <c r="E40" s="1">
        <v>25</v>
      </c>
      <c r="F40" s="1">
        <v>3</v>
      </c>
      <c r="G40" s="1">
        <v>25</v>
      </c>
      <c r="H40" s="1">
        <v>150</v>
      </c>
      <c r="I40" s="1">
        <v>100</v>
      </c>
      <c r="J40" s="1">
        <v>12.904</v>
      </c>
      <c r="K40" s="1">
        <v>18.547999999999998</v>
      </c>
      <c r="L40" s="1">
        <v>25.81</v>
      </c>
      <c r="M40" s="1">
        <v>69</v>
      </c>
      <c r="N40" s="1">
        <v>4.632E-2</v>
      </c>
      <c r="O40" s="1">
        <v>2.786E-4</v>
      </c>
      <c r="P4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2.289567693926994</v>
      </c>
      <c r="Q40" s="1">
        <f>LN(Table1[[#This Row],[qe_mg_g]]-Table1[[#This Row],[qt]])</f>
        <v>2.3622146133739883</v>
      </c>
      <c r="R40" s="1">
        <v>3</v>
      </c>
    </row>
    <row r="41" spans="1:18" x14ac:dyDescent="0.3">
      <c r="A41" s="1">
        <v>40</v>
      </c>
      <c r="B41" s="1" t="s">
        <v>16</v>
      </c>
      <c r="C41" s="1">
        <v>0.5</v>
      </c>
      <c r="D41" s="1">
        <v>60</v>
      </c>
      <c r="E41" s="1">
        <v>25</v>
      </c>
      <c r="F41" s="1">
        <v>7</v>
      </c>
      <c r="G41" s="1">
        <v>25</v>
      </c>
      <c r="H41" s="1">
        <v>150</v>
      </c>
      <c r="I41" s="1">
        <v>100</v>
      </c>
      <c r="J41" s="1">
        <v>24.689</v>
      </c>
      <c r="K41" s="1">
        <v>12.654999999999999</v>
      </c>
      <c r="L41" s="1">
        <v>49.38</v>
      </c>
      <c r="M41" s="1">
        <v>71.400000000000006</v>
      </c>
      <c r="N41" s="1">
        <v>3.9640000000000002E-2</v>
      </c>
      <c r="O41" s="1">
        <v>3.1970000000000002E-4</v>
      </c>
      <c r="P41" s="1">
        <f>(Table1[[#This Row],[Rate_Constant_k2_g_mg_min]]*Table1[[#This Row],[Contact_Time_min]]*Table1[[#This Row],[qe_mg_g]]^2)/(1+Table1[[#This Row],[Contact_Time_min]]*Table1[[#This Row],[qe_mg_g]]*Table1[[#This Row],[Rate_Constant_k2_g_mg_min]])</f>
        <v>7.9346152267160477</v>
      </c>
      <c r="Q41" s="1">
        <f>LN(Table1[[#This Row],[qe_mg_g]]-Table1[[#This Row],[qt]])</f>
        <v>2.8186600015228112</v>
      </c>
      <c r="R41" s="1">
        <v>1</v>
      </c>
    </row>
    <row r="42" spans="1:18" x14ac:dyDescent="0.3">
      <c r="A42" s="1">
        <v>41</v>
      </c>
      <c r="B42" s="1" t="s">
        <v>16</v>
      </c>
      <c r="C42" s="1">
        <v>0.5</v>
      </c>
      <c r="D42" s="1">
        <v>60</v>
      </c>
      <c r="E42" s="1">
        <v>25</v>
      </c>
      <c r="F42" s="1">
        <v>7</v>
      </c>
      <c r="G42" s="1">
        <v>25</v>
      </c>
      <c r="H42" s="1">
        <v>150</v>
      </c>
      <c r="I42" s="1">
        <v>100</v>
      </c>
      <c r="J42" s="1">
        <v>19.808</v>
      </c>
      <c r="K42" s="1">
        <v>15.096</v>
      </c>
      <c r="L42" s="1">
        <v>39.619999999999997</v>
      </c>
      <c r="M42" s="1">
        <v>74.5</v>
      </c>
      <c r="N42" s="1">
        <v>5.0209999999999998E-2</v>
      </c>
      <c r="O42" s="1">
        <v>2.7540000000000003E-4</v>
      </c>
      <c r="P42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4.8845541430812727</v>
      </c>
      <c r="Q42" s="1">
        <f>LN(Table1[[#This Row],[qe_mg_g]]-Table1[[#This Row],[qt]])</f>
        <v>2.7029335236670411</v>
      </c>
      <c r="R42" s="1">
        <v>2</v>
      </c>
    </row>
    <row r="43" spans="1:18" x14ac:dyDescent="0.3">
      <c r="A43" s="1">
        <v>42</v>
      </c>
      <c r="B43" s="1" t="s">
        <v>16</v>
      </c>
      <c r="C43" s="1">
        <v>0.5</v>
      </c>
      <c r="D43" s="1">
        <v>60</v>
      </c>
      <c r="E43" s="1">
        <v>25</v>
      </c>
      <c r="F43" s="1">
        <v>7</v>
      </c>
      <c r="G43" s="1">
        <v>25</v>
      </c>
      <c r="H43" s="1">
        <v>150</v>
      </c>
      <c r="I43" s="1">
        <v>100</v>
      </c>
      <c r="J43" s="1">
        <v>23.138000000000002</v>
      </c>
      <c r="K43" s="1">
        <v>13.430999999999999</v>
      </c>
      <c r="L43" s="1">
        <v>46.28</v>
      </c>
      <c r="M43" s="1">
        <v>70.8</v>
      </c>
      <c r="N43" s="1">
        <v>4.87E-2</v>
      </c>
      <c r="O43" s="1">
        <v>3.569E-4</v>
      </c>
      <c r="P43" s="1">
        <f>(Table1[[#This Row],[Rate_Constant_k2_g_mg_min]]*Table1[[#This Row],[Contact_Time_min]]*Table1[[#This Row],[qe_mg_g]]^2)/(1+Table1[[#This Row],[Contact_Time_min]]*Table1[[#This Row],[qe_mg_g]]*Table1[[#This Row],[Rate_Constant_k2_g_mg_min]])</f>
        <v>7.666014835602315</v>
      </c>
      <c r="Q43" s="1">
        <f>LN(Table1[[#This Row],[qe_mg_g]]-Table1[[#This Row],[qt]])</f>
        <v>2.7390309798426973</v>
      </c>
      <c r="R43" s="1">
        <v>3</v>
      </c>
    </row>
    <row r="44" spans="1:18" x14ac:dyDescent="0.3">
      <c r="A44" s="1">
        <v>43</v>
      </c>
      <c r="B44" s="1" t="s">
        <v>16</v>
      </c>
      <c r="C44" s="1">
        <v>0.5</v>
      </c>
      <c r="D44" s="1">
        <v>60</v>
      </c>
      <c r="E44" s="1">
        <v>25</v>
      </c>
      <c r="F44" s="1">
        <v>11</v>
      </c>
      <c r="G44" s="1">
        <v>25</v>
      </c>
      <c r="H44" s="1">
        <v>150</v>
      </c>
      <c r="I44" s="1">
        <v>100</v>
      </c>
      <c r="J44" s="1">
        <v>16.338999999999999</v>
      </c>
      <c r="K44" s="1">
        <v>16.831</v>
      </c>
      <c r="L44" s="1">
        <v>32.68</v>
      </c>
      <c r="M44" s="1">
        <v>59.1</v>
      </c>
      <c r="N44" s="1">
        <v>4.1000000000000002E-2</v>
      </c>
      <c r="O44" s="1">
        <v>2.7549999999999997E-4</v>
      </c>
      <c r="P4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3.4744932073097194</v>
      </c>
      <c r="Q44" s="1">
        <f>LN(Table1[[#This Row],[qe_mg_g]]-Table1[[#This Row],[qt]])</f>
        <v>2.5544721078585391</v>
      </c>
      <c r="R44" s="1">
        <v>1</v>
      </c>
    </row>
    <row r="45" spans="1:18" x14ac:dyDescent="0.3">
      <c r="A45" s="1">
        <v>44</v>
      </c>
      <c r="B45" s="1" t="s">
        <v>16</v>
      </c>
      <c r="C45" s="1">
        <v>0.5</v>
      </c>
      <c r="D45" s="1">
        <v>60</v>
      </c>
      <c r="E45" s="1">
        <v>25</v>
      </c>
      <c r="F45" s="1">
        <v>11</v>
      </c>
      <c r="G45" s="1">
        <v>25</v>
      </c>
      <c r="H45" s="1">
        <v>150</v>
      </c>
      <c r="I45" s="1">
        <v>100</v>
      </c>
      <c r="J45" s="1">
        <v>16.562999999999999</v>
      </c>
      <c r="K45" s="1">
        <v>16.718</v>
      </c>
      <c r="L45" s="1">
        <v>33.130000000000003</v>
      </c>
      <c r="M45" s="1">
        <v>70.099999999999994</v>
      </c>
      <c r="N45" s="1">
        <v>4.6249999999999999E-2</v>
      </c>
      <c r="O45" s="1">
        <v>3.2479999999999998E-4</v>
      </c>
      <c r="P45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4.0416410397285292</v>
      </c>
      <c r="Q45" s="1">
        <f>LN(Table1[[#This Row],[qe_mg_g]]-Table1[[#This Row],[qt]])</f>
        <v>2.5274359029342439</v>
      </c>
      <c r="R45" s="1">
        <v>2</v>
      </c>
    </row>
    <row r="46" spans="1:18" x14ac:dyDescent="0.3">
      <c r="A46" s="1">
        <v>45</v>
      </c>
      <c r="B46" s="1" t="s">
        <v>16</v>
      </c>
      <c r="C46" s="1">
        <v>0.5</v>
      </c>
      <c r="D46" s="1">
        <v>60</v>
      </c>
      <c r="E46" s="1">
        <v>25</v>
      </c>
      <c r="F46" s="1">
        <v>11</v>
      </c>
      <c r="G46" s="1">
        <v>25</v>
      </c>
      <c r="H46" s="1">
        <v>150</v>
      </c>
      <c r="I46" s="1">
        <v>100</v>
      </c>
      <c r="J46" s="1">
        <v>16.683</v>
      </c>
      <c r="K46" s="1">
        <v>16.658000000000001</v>
      </c>
      <c r="L46" s="1">
        <v>33.369999999999997</v>
      </c>
      <c r="M46" s="1">
        <v>81.2</v>
      </c>
      <c r="N46" s="1">
        <v>4.3810000000000002E-2</v>
      </c>
      <c r="O46" s="1">
        <v>3.8160000000000001E-4</v>
      </c>
      <c r="P4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4.6111372975905436</v>
      </c>
      <c r="Q46" s="1">
        <f>LN(Table1[[#This Row],[qe_mg_g]]-Table1[[#This Row],[qt]])</f>
        <v>2.4908773481743527</v>
      </c>
      <c r="R46" s="1">
        <v>3</v>
      </c>
    </row>
    <row r="47" spans="1:18" x14ac:dyDescent="0.3">
      <c r="A47" s="1">
        <v>46</v>
      </c>
      <c r="B47" s="1" t="s">
        <v>16</v>
      </c>
      <c r="C47" s="1">
        <v>0.5</v>
      </c>
      <c r="D47" s="1">
        <v>60</v>
      </c>
      <c r="E47" s="1">
        <v>50</v>
      </c>
      <c r="F47" s="1">
        <v>3</v>
      </c>
      <c r="G47" s="1">
        <v>25</v>
      </c>
      <c r="H47" s="1">
        <v>150</v>
      </c>
      <c r="I47" s="1">
        <v>100</v>
      </c>
      <c r="J47" s="1">
        <v>40.268999999999998</v>
      </c>
      <c r="K47" s="1">
        <v>29.866</v>
      </c>
      <c r="L47" s="1">
        <v>40.270000000000003</v>
      </c>
      <c r="M47" s="1">
        <v>58.1</v>
      </c>
      <c r="N47" s="1">
        <v>4.018E-2</v>
      </c>
      <c r="O47" s="1">
        <v>3.145E-4</v>
      </c>
      <c r="P47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17.387274632105761</v>
      </c>
      <c r="Q47" s="1">
        <f>LN(Table1[[#This Row],[qe_mg_g]]-Table1[[#This Row],[qt]])</f>
        <v>3.1303385731043853</v>
      </c>
      <c r="R47" s="1">
        <v>1</v>
      </c>
    </row>
    <row r="48" spans="1:18" x14ac:dyDescent="0.3">
      <c r="A48" s="1">
        <v>47</v>
      </c>
      <c r="B48" s="1" t="s">
        <v>16</v>
      </c>
      <c r="C48" s="1">
        <v>0.5</v>
      </c>
      <c r="D48" s="1">
        <v>60</v>
      </c>
      <c r="E48" s="1">
        <v>50</v>
      </c>
      <c r="F48" s="1">
        <v>3</v>
      </c>
      <c r="G48" s="1">
        <v>25</v>
      </c>
      <c r="H48" s="1">
        <v>150</v>
      </c>
      <c r="I48" s="1">
        <v>100</v>
      </c>
      <c r="J48" s="1">
        <v>37.664000000000001</v>
      </c>
      <c r="K48" s="1">
        <v>31.167999999999999</v>
      </c>
      <c r="L48" s="1">
        <v>37.659999999999997</v>
      </c>
      <c r="M48" s="1">
        <v>73.8</v>
      </c>
      <c r="N48" s="1">
        <v>4.7129999999999998E-2</v>
      </c>
      <c r="O48" s="1">
        <v>2.9779999999999997E-4</v>
      </c>
      <c r="P48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15.150884436524452</v>
      </c>
      <c r="Q48" s="1">
        <f>LN(Table1[[#This Row],[qe_mg_g]]-Table1[[#This Row],[qt]])</f>
        <v>3.1140980533142888</v>
      </c>
      <c r="R48" s="1">
        <v>2</v>
      </c>
    </row>
    <row r="49" spans="1:18" x14ac:dyDescent="0.3">
      <c r="A49" s="1">
        <v>48</v>
      </c>
      <c r="B49" s="1" t="s">
        <v>16</v>
      </c>
      <c r="C49" s="1">
        <v>0.5</v>
      </c>
      <c r="D49" s="1">
        <v>60</v>
      </c>
      <c r="E49" s="1">
        <v>50</v>
      </c>
      <c r="F49" s="1">
        <v>3</v>
      </c>
      <c r="G49" s="1">
        <v>25</v>
      </c>
      <c r="H49" s="1">
        <v>150</v>
      </c>
      <c r="I49" s="1">
        <v>100</v>
      </c>
      <c r="J49" s="1">
        <v>35.750999999999998</v>
      </c>
      <c r="K49" s="1">
        <v>32.124000000000002</v>
      </c>
      <c r="L49" s="1">
        <v>35.75</v>
      </c>
      <c r="M49" s="1">
        <v>51.5</v>
      </c>
      <c r="N49" s="1">
        <v>4.299E-2</v>
      </c>
      <c r="O49" s="1">
        <v>3.257E-4</v>
      </c>
      <c r="P49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14.704237392584464</v>
      </c>
      <c r="Q49" s="1">
        <f>LN(Table1[[#This Row],[qe_mg_g]]-Table1[[#This Row],[qt]])</f>
        <v>3.046746752928486</v>
      </c>
      <c r="R49" s="1">
        <v>3</v>
      </c>
    </row>
    <row r="50" spans="1:18" x14ac:dyDescent="0.3">
      <c r="A50" s="1">
        <v>49</v>
      </c>
      <c r="B50" s="1" t="s">
        <v>16</v>
      </c>
      <c r="C50" s="1">
        <v>0.5</v>
      </c>
      <c r="D50" s="1">
        <v>60</v>
      </c>
      <c r="E50" s="1">
        <v>50</v>
      </c>
      <c r="F50" s="1">
        <v>7</v>
      </c>
      <c r="G50" s="1">
        <v>25</v>
      </c>
      <c r="H50" s="1">
        <v>150</v>
      </c>
      <c r="I50" s="1">
        <v>100</v>
      </c>
      <c r="J50" s="1">
        <v>58.526000000000003</v>
      </c>
      <c r="K50" s="1">
        <v>20.736999999999998</v>
      </c>
      <c r="L50" s="1">
        <v>58.53</v>
      </c>
      <c r="M50" s="1">
        <v>54.2</v>
      </c>
      <c r="N50" s="1">
        <v>4.5780000000000001E-2</v>
      </c>
      <c r="O50" s="1">
        <v>3.1159999999999998E-4</v>
      </c>
      <c r="P50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30.57931800985839</v>
      </c>
      <c r="Q50" s="1">
        <f>LN(Table1[[#This Row],[qe_mg_g]]-Table1[[#This Row],[qt]])</f>
        <v>3.3302984802158369</v>
      </c>
      <c r="R50" s="1">
        <v>1</v>
      </c>
    </row>
    <row r="51" spans="1:18" x14ac:dyDescent="0.3">
      <c r="A51" s="1">
        <v>50</v>
      </c>
      <c r="B51" s="1" t="s">
        <v>16</v>
      </c>
      <c r="C51" s="1">
        <v>0.5</v>
      </c>
      <c r="D51" s="1">
        <v>60</v>
      </c>
      <c r="E51" s="1">
        <v>50</v>
      </c>
      <c r="F51" s="1">
        <v>7</v>
      </c>
      <c r="G51" s="1">
        <v>25</v>
      </c>
      <c r="H51" s="1">
        <v>150</v>
      </c>
      <c r="I51" s="1">
        <v>100</v>
      </c>
      <c r="J51" s="1">
        <v>53.472000000000001</v>
      </c>
      <c r="K51" s="1">
        <v>23.263999999999999</v>
      </c>
      <c r="L51" s="1">
        <v>53.47</v>
      </c>
      <c r="M51" s="1">
        <v>68.2</v>
      </c>
      <c r="N51" s="1">
        <v>4.5260000000000002E-2</v>
      </c>
      <c r="O51" s="1">
        <v>2.6570000000000001E-4</v>
      </c>
      <c r="P51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24.606453298119327</v>
      </c>
      <c r="Q51" s="1">
        <f>LN(Table1[[#This Row],[qe_mg_g]]-Table1[[#This Row],[qt]])</f>
        <v>3.3626487282912958</v>
      </c>
      <c r="R51" s="1">
        <v>2</v>
      </c>
    </row>
    <row r="52" spans="1:18" x14ac:dyDescent="0.3">
      <c r="A52" s="1">
        <v>51</v>
      </c>
      <c r="B52" s="1" t="s">
        <v>16</v>
      </c>
      <c r="C52" s="1">
        <v>0.5</v>
      </c>
      <c r="D52" s="1">
        <v>60</v>
      </c>
      <c r="E52" s="1">
        <v>50</v>
      </c>
      <c r="F52" s="1">
        <v>7</v>
      </c>
      <c r="G52" s="1">
        <v>25</v>
      </c>
      <c r="H52" s="1">
        <v>150</v>
      </c>
      <c r="I52" s="1">
        <v>100</v>
      </c>
      <c r="J52" s="1">
        <v>59.186999999999998</v>
      </c>
      <c r="K52" s="1">
        <v>20.405999999999999</v>
      </c>
      <c r="L52" s="1">
        <v>59.19</v>
      </c>
      <c r="M52" s="1">
        <v>72.3</v>
      </c>
      <c r="N52" s="1">
        <v>4.9869999999999998E-2</v>
      </c>
      <c r="O52" s="1">
        <v>3.3159999999999998E-4</v>
      </c>
      <c r="P52" s="1">
        <f>(Table1[[#This Row],[Rate_Constant_k2_g_mg_min]]*Table1[[#This Row],[Contact_Time_min]]*Table1[[#This Row],[qe_mg_g]]^2)/(1+Table1[[#This Row],[Contact_Time_min]]*Table1[[#This Row],[qe_mg_g]]*Table1[[#This Row],[Rate_Constant_k2_g_mg_min]])</f>
        <v>32.006884332096419</v>
      </c>
      <c r="Q52" s="1">
        <f>LN(Table1[[#This Row],[qe_mg_g]]-Table1[[#This Row],[qt]])</f>
        <v>3.3024856643395339</v>
      </c>
      <c r="R52" s="1">
        <v>3</v>
      </c>
    </row>
    <row r="53" spans="1:18" x14ac:dyDescent="0.3">
      <c r="A53" s="1">
        <v>52</v>
      </c>
      <c r="B53" s="1" t="s">
        <v>16</v>
      </c>
      <c r="C53" s="1">
        <v>0.5</v>
      </c>
      <c r="D53" s="1">
        <v>60</v>
      </c>
      <c r="E53" s="1">
        <v>50</v>
      </c>
      <c r="F53" s="1">
        <v>11</v>
      </c>
      <c r="G53" s="1">
        <v>25</v>
      </c>
      <c r="H53" s="1">
        <v>150</v>
      </c>
      <c r="I53" s="1">
        <v>100</v>
      </c>
      <c r="J53" s="1">
        <v>40.811</v>
      </c>
      <c r="K53" s="1">
        <v>29.594000000000001</v>
      </c>
      <c r="L53" s="1">
        <v>40.81</v>
      </c>
      <c r="M53" s="1">
        <v>57.3</v>
      </c>
      <c r="N53" s="1">
        <v>4.7320000000000001E-2</v>
      </c>
      <c r="O53" s="1">
        <v>3.1540000000000002E-4</v>
      </c>
      <c r="P53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17.783955803844417</v>
      </c>
      <c r="Q53" s="1">
        <f>LN(Table1[[#This Row],[qe_mg_g]]-Table1[[#This Row],[qt]])</f>
        <v>3.1366693597925086</v>
      </c>
      <c r="R53" s="1">
        <v>1</v>
      </c>
    </row>
    <row r="54" spans="1:18" x14ac:dyDescent="0.3">
      <c r="A54" s="1">
        <v>53</v>
      </c>
      <c r="B54" s="1" t="s">
        <v>16</v>
      </c>
      <c r="C54" s="1">
        <v>0.5</v>
      </c>
      <c r="D54" s="1">
        <v>60</v>
      </c>
      <c r="E54" s="1">
        <v>50</v>
      </c>
      <c r="F54" s="1">
        <v>11</v>
      </c>
      <c r="G54" s="1">
        <v>25</v>
      </c>
      <c r="H54" s="1">
        <v>150</v>
      </c>
      <c r="I54" s="1">
        <v>100</v>
      </c>
      <c r="J54" s="1">
        <v>47.756</v>
      </c>
      <c r="K54" s="1">
        <v>26.122</v>
      </c>
      <c r="L54" s="1">
        <v>47.76</v>
      </c>
      <c r="M54" s="1">
        <v>105.2</v>
      </c>
      <c r="N54" s="1">
        <v>4.7570000000000001E-2</v>
      </c>
      <c r="O54" s="1">
        <v>3.3409999999999999E-4</v>
      </c>
      <c r="P54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23.357292245808658</v>
      </c>
      <c r="Q54" s="1">
        <f>LN(Table1[[#This Row],[qe_mg_g]]-Table1[[#This Row],[qt]])</f>
        <v>3.194530170002881</v>
      </c>
      <c r="R54" s="1">
        <v>2</v>
      </c>
    </row>
    <row r="55" spans="1:18" x14ac:dyDescent="0.3">
      <c r="A55" s="1">
        <v>54</v>
      </c>
      <c r="B55" s="1" t="s">
        <v>16</v>
      </c>
      <c r="C55" s="1">
        <v>0.5</v>
      </c>
      <c r="D55" s="1">
        <v>60</v>
      </c>
      <c r="E55" s="1">
        <v>50</v>
      </c>
      <c r="F55" s="1">
        <v>11</v>
      </c>
      <c r="G55" s="1">
        <v>25</v>
      </c>
      <c r="H55" s="1">
        <v>150</v>
      </c>
      <c r="I55" s="1">
        <v>100</v>
      </c>
      <c r="J55" s="1">
        <v>49.366999999999997</v>
      </c>
      <c r="K55" s="1">
        <v>25.317</v>
      </c>
      <c r="L55" s="1">
        <v>49.37</v>
      </c>
      <c r="M55" s="1">
        <v>73.2</v>
      </c>
      <c r="N55" s="1">
        <v>4.3580000000000001E-2</v>
      </c>
      <c r="O55" s="1">
        <v>3.2279999999999999E-4</v>
      </c>
      <c r="P55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24.130054491636052</v>
      </c>
      <c r="Q55" s="1">
        <f>LN(Table1[[#This Row],[qe_mg_g]]-Table1[[#This Row],[qt]])</f>
        <v>3.2283090124560934</v>
      </c>
      <c r="R55" s="1">
        <v>3</v>
      </c>
    </row>
    <row r="56" spans="1:18" x14ac:dyDescent="0.3">
      <c r="A56" s="1">
        <v>55</v>
      </c>
      <c r="B56" s="1" t="s">
        <v>16</v>
      </c>
      <c r="C56" s="1">
        <v>0.5</v>
      </c>
      <c r="D56" s="1">
        <v>60</v>
      </c>
      <c r="E56" s="1">
        <v>100</v>
      </c>
      <c r="F56" s="1">
        <v>3</v>
      </c>
      <c r="G56" s="1">
        <v>25</v>
      </c>
      <c r="H56" s="1">
        <v>150</v>
      </c>
      <c r="I56" s="1">
        <v>100</v>
      </c>
      <c r="J56" s="1">
        <v>84.012</v>
      </c>
      <c r="K56" s="1">
        <v>57.994</v>
      </c>
      <c r="L56" s="1">
        <v>42.01</v>
      </c>
      <c r="M56" s="1">
        <v>64.3</v>
      </c>
      <c r="N56" s="1">
        <v>4.2819999999999997E-2</v>
      </c>
      <c r="O56" s="1">
        <v>3.0249999999999998E-4</v>
      </c>
      <c r="P56" s="1">
        <f>(Table1[[#This Row],[Rate_Constant_k2_g_mg_min]]*Table1[[#This Row],[Contact_Time_min]]*Table1[[#This Row],[qe_mg_g]]^2)/(1+Table1[[#This Row],[Contact_Time_min]]*Table1[[#This Row],[qe_mg_g]]*Table1[[#This Row],[Rate_Constant_k2_g_mg_min]])</f>
        <v>50.737519758297019</v>
      </c>
      <c r="Q56" s="1">
        <f>LN(Table1[[#This Row],[qe_mg_g]]-Table1[[#This Row],[qt]])</f>
        <v>3.5047907440751227</v>
      </c>
      <c r="R56" s="1">
        <v>1</v>
      </c>
    </row>
    <row r="57" spans="1:18" x14ac:dyDescent="0.3">
      <c r="A57" s="1">
        <v>56</v>
      </c>
      <c r="B57" s="1" t="s">
        <v>16</v>
      </c>
      <c r="C57" s="1">
        <v>0.5</v>
      </c>
      <c r="D57" s="1">
        <v>60</v>
      </c>
      <c r="E57" s="1">
        <v>100</v>
      </c>
      <c r="F57" s="1">
        <v>3</v>
      </c>
      <c r="G57" s="1">
        <v>25</v>
      </c>
      <c r="H57" s="1">
        <v>150</v>
      </c>
      <c r="I57" s="1">
        <v>100</v>
      </c>
      <c r="J57" s="1">
        <v>106.13</v>
      </c>
      <c r="K57" s="1">
        <v>46.935000000000002</v>
      </c>
      <c r="L57" s="1">
        <v>53.06</v>
      </c>
      <c r="M57" s="1">
        <v>48</v>
      </c>
      <c r="N57" s="1">
        <v>4.8090000000000001E-2</v>
      </c>
      <c r="O57" s="1">
        <v>2.5159999999999999E-4</v>
      </c>
      <c r="P57" s="1">
        <f>(Table1[[#This Row],[Rate_Constant_k2_g_mg_min]]*Table1[[#This Row],[Contact_Time_min]]*Table1[[#This Row],[qe_mg_g]]^2)/(1+Table1[[#This Row],[Contact_Time_min]]*Table1[[#This Row],[qe_mg_g]]*Table1[[#This Row],[Rate_Constant_k2_g_mg_min]])</f>
        <v>65.344315142828208</v>
      </c>
      <c r="Q57" s="1">
        <f>LN(Table1[[#This Row],[qe_mg_g]]-Table1[[#This Row],[qt]])</f>
        <v>3.7083311585000449</v>
      </c>
      <c r="R57" s="1">
        <v>2</v>
      </c>
    </row>
    <row r="58" spans="1:18" x14ac:dyDescent="0.3">
      <c r="A58" s="1">
        <v>57</v>
      </c>
      <c r="B58" s="1" t="s">
        <v>16</v>
      </c>
      <c r="C58" s="1">
        <v>0.5</v>
      </c>
      <c r="D58" s="1">
        <v>60</v>
      </c>
      <c r="E58" s="1">
        <v>100</v>
      </c>
      <c r="F58" s="1">
        <v>3</v>
      </c>
      <c r="G58" s="1">
        <v>25</v>
      </c>
      <c r="H58" s="1">
        <v>150</v>
      </c>
      <c r="I58" s="1">
        <v>100</v>
      </c>
      <c r="J58" s="1">
        <v>86.167000000000002</v>
      </c>
      <c r="K58" s="1">
        <v>56.915999999999997</v>
      </c>
      <c r="L58" s="1">
        <v>43.08</v>
      </c>
      <c r="M58" s="1">
        <v>77.599999999999994</v>
      </c>
      <c r="N58" s="1">
        <v>4.5289999999999997E-2</v>
      </c>
      <c r="O58" s="1">
        <v>2.677E-4</v>
      </c>
      <c r="P58" s="1">
        <f>(Table1[[#This Row],[Rate_Constant_k2_g_mg_min]]*Table1[[#This Row],[Contact_Time_min]]*Table1[[#This Row],[qe_mg_g]]^2)/(1+Table1[[#This Row],[Contact_Time_min]]*Table1[[#This Row],[qe_mg_g]]*Table1[[#This Row],[Rate_Constant_k2_g_mg_min]])</f>
        <v>50.023341781069661</v>
      </c>
      <c r="Q58" s="1">
        <f>LN(Table1[[#This Row],[qe_mg_g]]-Table1[[#This Row],[qt]])</f>
        <v>3.5875015035867137</v>
      </c>
      <c r="R58" s="1">
        <v>3</v>
      </c>
    </row>
    <row r="59" spans="1:18" x14ac:dyDescent="0.3">
      <c r="A59" s="1">
        <v>58</v>
      </c>
      <c r="B59" s="1" t="s">
        <v>16</v>
      </c>
      <c r="C59" s="1">
        <v>0.5</v>
      </c>
      <c r="D59" s="1">
        <v>60</v>
      </c>
      <c r="E59" s="1">
        <v>100</v>
      </c>
      <c r="F59" s="1">
        <v>7</v>
      </c>
      <c r="G59" s="1">
        <v>25</v>
      </c>
      <c r="H59" s="1">
        <v>150</v>
      </c>
      <c r="I59" s="1">
        <v>100</v>
      </c>
      <c r="J59" s="1">
        <v>121.762</v>
      </c>
      <c r="K59" s="1">
        <v>39.119</v>
      </c>
      <c r="L59" s="1">
        <v>60.88</v>
      </c>
      <c r="M59" s="1">
        <v>73.5</v>
      </c>
      <c r="N59" s="1">
        <v>4.1709999999999997E-2</v>
      </c>
      <c r="O59" s="1">
        <v>3.0650000000000002E-4</v>
      </c>
      <c r="P59" s="1">
        <f>(Table1[[#This Row],[Rate_Constant_k2_g_mg_min]]*Table1[[#This Row],[Contact_Time_min]]*Table1[[#This Row],[qe_mg_g]]^2)/(1+Table1[[#This Row],[Contact_Time_min]]*Table1[[#This Row],[qe_mg_g]]*Table1[[#This Row],[Rate_Constant_k2_g_mg_min]])</f>
        <v>84.171891188116206</v>
      </c>
      <c r="Q59" s="1">
        <f>LN(Table1[[#This Row],[qe_mg_g]]-Table1[[#This Row],[qt]])</f>
        <v>3.6267409522748446</v>
      </c>
      <c r="R59" s="1">
        <v>1</v>
      </c>
    </row>
    <row r="60" spans="1:18" x14ac:dyDescent="0.3">
      <c r="A60" s="1">
        <v>59</v>
      </c>
      <c r="B60" s="1" t="s">
        <v>16</v>
      </c>
      <c r="C60" s="1">
        <v>0.5</v>
      </c>
      <c r="D60" s="1">
        <v>60</v>
      </c>
      <c r="E60" s="1">
        <v>100</v>
      </c>
      <c r="F60" s="1">
        <v>7</v>
      </c>
      <c r="G60" s="1">
        <v>25</v>
      </c>
      <c r="H60" s="1">
        <v>150</v>
      </c>
      <c r="I60" s="1">
        <v>100</v>
      </c>
      <c r="J60" s="1">
        <v>129.624</v>
      </c>
      <c r="K60" s="1">
        <v>35.188000000000002</v>
      </c>
      <c r="L60" s="1">
        <v>64.81</v>
      </c>
      <c r="M60" s="1">
        <v>60.2</v>
      </c>
      <c r="N60" s="1">
        <v>5.4649999999999997E-2</v>
      </c>
      <c r="O60" s="1">
        <v>3.19E-4</v>
      </c>
      <c r="P60" s="1">
        <f>(Table1[[#This Row],[Rate_Constant_k2_g_mg_min]]*Table1[[#This Row],[Contact_Time_min]]*Table1[[#This Row],[qe_mg_g]]^2)/(1+Table1[[#This Row],[Contact_Time_min]]*Table1[[#This Row],[qe_mg_g]]*Table1[[#This Row],[Rate_Constant_k2_g_mg_min]])</f>
        <v>92.386460533792757</v>
      </c>
      <c r="Q60" s="1">
        <f>LN(Table1[[#This Row],[qe_mg_g]]-Table1[[#This Row],[qt]])</f>
        <v>3.6173173778899903</v>
      </c>
      <c r="R60" s="1">
        <v>2</v>
      </c>
    </row>
    <row r="61" spans="1:18" x14ac:dyDescent="0.3">
      <c r="A61" s="1">
        <v>60</v>
      </c>
      <c r="B61" s="1" t="s">
        <v>16</v>
      </c>
      <c r="C61" s="1">
        <v>0.5</v>
      </c>
      <c r="D61" s="1">
        <v>60</v>
      </c>
      <c r="E61" s="1">
        <v>100</v>
      </c>
      <c r="F61" s="1">
        <v>7</v>
      </c>
      <c r="G61" s="1">
        <v>25</v>
      </c>
      <c r="H61" s="1">
        <v>150</v>
      </c>
      <c r="I61" s="1">
        <v>100</v>
      </c>
      <c r="J61" s="1">
        <v>108.229</v>
      </c>
      <c r="K61" s="1">
        <v>45.886000000000003</v>
      </c>
      <c r="L61" s="1">
        <v>54.11</v>
      </c>
      <c r="M61" s="1">
        <v>68.5</v>
      </c>
      <c r="N61" s="1">
        <v>4.2020000000000002E-2</v>
      </c>
      <c r="O61" s="1">
        <v>3.256E-4</v>
      </c>
      <c r="P61" s="1">
        <f>(Table1[[#This Row],[Rate_Constant_k2_g_mg_min]]*Table1[[#This Row],[Contact_Time_min]]*Table1[[#This Row],[qe_mg_g]]^2)/(1+Table1[[#This Row],[Contact_Time_min]]*Table1[[#This Row],[qe_mg_g]]*Table1[[#This Row],[Rate_Constant_k2_g_mg_min]])</f>
        <v>73.477417205063119</v>
      </c>
      <c r="Q61" s="1">
        <f>LN(Table1[[#This Row],[qe_mg_g]]-Table1[[#This Row],[qt]])</f>
        <v>3.5482251190292575</v>
      </c>
      <c r="R61" s="1">
        <v>3</v>
      </c>
    </row>
    <row r="62" spans="1:18" x14ac:dyDescent="0.3">
      <c r="A62" s="1">
        <v>61</v>
      </c>
      <c r="B62" s="1" t="s">
        <v>16</v>
      </c>
      <c r="C62" s="1">
        <v>0.5</v>
      </c>
      <c r="D62" s="1">
        <v>60</v>
      </c>
      <c r="E62" s="1">
        <v>100</v>
      </c>
      <c r="F62" s="1">
        <v>11</v>
      </c>
      <c r="G62" s="1">
        <v>25</v>
      </c>
      <c r="H62" s="1">
        <v>150</v>
      </c>
      <c r="I62" s="1">
        <v>100</v>
      </c>
      <c r="J62" s="1">
        <v>98.557000000000002</v>
      </c>
      <c r="K62" s="1">
        <v>50.722000000000001</v>
      </c>
      <c r="L62" s="1">
        <v>49.28</v>
      </c>
      <c r="M62" s="1">
        <v>65.5</v>
      </c>
      <c r="N62" s="1">
        <v>4.727E-2</v>
      </c>
      <c r="O62" s="1">
        <v>3.2600000000000001E-4</v>
      </c>
      <c r="P62" s="1">
        <f>(Table1[[#This Row],[Rate_Constant_k2_g_mg_min]]*Table1[[#This Row],[Contact_Time_min]]*Table1[[#This Row],[qe_mg_g]]^2)/(1+Table1[[#This Row],[Contact_Time_min]]*Table1[[#This Row],[qe_mg_g]]*Table1[[#This Row],[Rate_Constant_k2_g_mg_min]])</f>
        <v>64.894234694257179</v>
      </c>
      <c r="Q62" s="1">
        <f>LN(Table1[[#This Row],[qe_mg_g]]-Table1[[#This Row],[qt]])</f>
        <v>3.5163923394506722</v>
      </c>
      <c r="R62" s="1">
        <v>1</v>
      </c>
    </row>
    <row r="63" spans="1:18" x14ac:dyDescent="0.3">
      <c r="A63" s="1">
        <v>62</v>
      </c>
      <c r="B63" s="1" t="s">
        <v>16</v>
      </c>
      <c r="C63" s="1">
        <v>0.5</v>
      </c>
      <c r="D63" s="1">
        <v>60</v>
      </c>
      <c r="E63" s="1">
        <v>100</v>
      </c>
      <c r="F63" s="1">
        <v>11</v>
      </c>
      <c r="G63" s="1">
        <v>25</v>
      </c>
      <c r="H63" s="1">
        <v>150</v>
      </c>
      <c r="I63" s="1">
        <v>100</v>
      </c>
      <c r="J63" s="1">
        <v>95.123999999999995</v>
      </c>
      <c r="K63" s="1">
        <v>52.438000000000002</v>
      </c>
      <c r="L63" s="1">
        <v>47.56</v>
      </c>
      <c r="M63" s="1">
        <v>63.3</v>
      </c>
      <c r="N63" s="1">
        <v>4.2860000000000002E-2</v>
      </c>
      <c r="O63" s="1">
        <v>2.8039999999999999E-4</v>
      </c>
      <c r="P63" s="1">
        <f>(Table1[[#This Row],[Rate_Constant_k2_g_mg_min]]*Table1[[#This Row],[Contact_Time_min]]*Table1[[#This Row],[qe_mg_g]]^2)/(1+Table1[[#This Row],[Contact_Time_min]]*Table1[[#This Row],[qe_mg_g]]*Table1[[#This Row],[Rate_Constant_k2_g_mg_min]])</f>
        <v>58.542998109595466</v>
      </c>
      <c r="Q63" s="1">
        <f>LN(Table1[[#This Row],[qe_mg_g]]-Table1[[#This Row],[qt]])</f>
        <v>3.599529031609094</v>
      </c>
      <c r="R63" s="1">
        <v>2</v>
      </c>
    </row>
    <row r="64" spans="1:18" x14ac:dyDescent="0.3">
      <c r="A64" s="1">
        <v>63</v>
      </c>
      <c r="B64" s="1" t="s">
        <v>16</v>
      </c>
      <c r="C64" s="1">
        <v>0.5</v>
      </c>
      <c r="D64" s="1">
        <v>60</v>
      </c>
      <c r="E64" s="1">
        <v>100</v>
      </c>
      <c r="F64" s="1">
        <v>11</v>
      </c>
      <c r="G64" s="1">
        <v>25</v>
      </c>
      <c r="H64" s="1">
        <v>150</v>
      </c>
      <c r="I64" s="1">
        <v>100</v>
      </c>
      <c r="J64" s="1">
        <v>120.09</v>
      </c>
      <c r="K64" s="1">
        <v>39.954999999999998</v>
      </c>
      <c r="L64" s="1">
        <v>60.05</v>
      </c>
      <c r="M64" s="1">
        <v>70.7</v>
      </c>
      <c r="N64" s="1">
        <v>3.9329999999999997E-2</v>
      </c>
      <c r="O64" s="1">
        <v>3.2749999999999999E-4</v>
      </c>
      <c r="P64" s="1">
        <f>(Table1[[#This Row],[Rate_Constant_k2_g_mg_min]]*Table1[[#This Row],[Contact_Time_min]]*Table1[[#This Row],[qe_mg_g]]^2)/(1+Table1[[#This Row],[Contact_Time_min]]*Table1[[#This Row],[qe_mg_g]]*Table1[[#This Row],[Rate_Constant_k2_g_mg_min]])</f>
        <v>84.346465884479855</v>
      </c>
      <c r="Q64" s="1">
        <f>LN(Table1[[#This Row],[qe_mg_g]]-Table1[[#This Row],[qt]])</f>
        <v>3.5763693888806345</v>
      </c>
      <c r="R64" s="1">
        <v>3</v>
      </c>
    </row>
    <row r="65" spans="1:18" x14ac:dyDescent="0.3">
      <c r="A65" s="1">
        <v>64</v>
      </c>
      <c r="B65" s="1" t="s">
        <v>16</v>
      </c>
      <c r="C65" s="1">
        <v>0.5</v>
      </c>
      <c r="D65" s="1">
        <v>60</v>
      </c>
      <c r="E65" s="1">
        <v>200</v>
      </c>
      <c r="F65" s="1">
        <v>3</v>
      </c>
      <c r="G65" s="1">
        <v>25</v>
      </c>
      <c r="H65" s="1">
        <v>150</v>
      </c>
      <c r="I65" s="1">
        <v>100</v>
      </c>
      <c r="J65" s="1">
        <v>153.994</v>
      </c>
      <c r="K65" s="1">
        <v>123.003</v>
      </c>
      <c r="L65" s="1">
        <v>38.5</v>
      </c>
      <c r="M65" s="1">
        <v>77</v>
      </c>
      <c r="N65" s="1">
        <v>3.8159999999999999E-2</v>
      </c>
      <c r="O65" s="1">
        <v>2.855E-4</v>
      </c>
      <c r="P65" s="1">
        <f>(Table1[[#This Row],[Rate_Constant_k2_g_mg_min]]*Table1[[#This Row],[Contact_Time_min]]*Table1[[#This Row],[qe_mg_g]]^2)/(1+Table1[[#This Row],[Contact_Time_min]]*Table1[[#This Row],[qe_mg_g]]*Table1[[#This Row],[Rate_Constant_k2_g_mg_min]])</f>
        <v>111.66373499193585</v>
      </c>
      <c r="Q65" s="1">
        <f>LN(Table1[[#This Row],[qe_mg_g]]-Table1[[#This Row],[qt]])</f>
        <v>3.7455023150392015</v>
      </c>
      <c r="R65" s="1">
        <v>1</v>
      </c>
    </row>
    <row r="66" spans="1:18" x14ac:dyDescent="0.3">
      <c r="A66" s="1">
        <v>65</v>
      </c>
      <c r="B66" s="1" t="s">
        <v>16</v>
      </c>
      <c r="C66" s="1">
        <v>0.5</v>
      </c>
      <c r="D66" s="1">
        <v>60</v>
      </c>
      <c r="E66" s="1">
        <v>200</v>
      </c>
      <c r="F66" s="1">
        <v>3</v>
      </c>
      <c r="G66" s="1">
        <v>25</v>
      </c>
      <c r="H66" s="1">
        <v>150</v>
      </c>
      <c r="I66" s="1">
        <v>100</v>
      </c>
      <c r="J66" s="1">
        <v>144.98699999999999</v>
      </c>
      <c r="K66" s="1">
        <v>127.506</v>
      </c>
      <c r="L66" s="1">
        <v>36.25</v>
      </c>
      <c r="M66" s="1">
        <v>59.6</v>
      </c>
      <c r="N66" s="1">
        <v>4.7E-2</v>
      </c>
      <c r="O66" s="1">
        <v>3.232E-4</v>
      </c>
      <c r="P66" s="1">
        <f>(Table1[[#This Row],[Rate_Constant_k2_g_mg_min]]*Table1[[#This Row],[Contact_Time_min]]*Table1[[#This Row],[qe_mg_g]]^2)/(1+Table1[[#This Row],[Contact_Time_min]]*Table1[[#This Row],[qe_mg_g]]*Table1[[#This Row],[Rate_Constant_k2_g_mg_min]])</f>
        <v>106.9485226903606</v>
      </c>
      <c r="Q66" s="1">
        <f>LN(Table1[[#This Row],[qe_mg_g]]-Table1[[#This Row],[qt]])</f>
        <v>3.638598208212493</v>
      </c>
      <c r="R66" s="1">
        <v>2</v>
      </c>
    </row>
    <row r="67" spans="1:18" x14ac:dyDescent="0.3">
      <c r="A67" s="1">
        <v>66</v>
      </c>
      <c r="B67" s="1" t="s">
        <v>16</v>
      </c>
      <c r="C67" s="1">
        <v>0.5</v>
      </c>
      <c r="D67" s="1">
        <v>60</v>
      </c>
      <c r="E67" s="1">
        <v>200</v>
      </c>
      <c r="F67" s="1">
        <v>3</v>
      </c>
      <c r="G67" s="1">
        <v>25</v>
      </c>
      <c r="H67" s="1">
        <v>150</v>
      </c>
      <c r="I67" s="1">
        <v>100</v>
      </c>
      <c r="J67" s="1">
        <v>121.88200000000001</v>
      </c>
      <c r="K67" s="1">
        <v>139.059</v>
      </c>
      <c r="L67" s="1">
        <v>30.47</v>
      </c>
      <c r="M67" s="1">
        <v>66.099999999999994</v>
      </c>
      <c r="N67" s="1">
        <v>3.041E-2</v>
      </c>
      <c r="O67" s="1">
        <v>2.6929999999999999E-4</v>
      </c>
      <c r="P67" s="1">
        <f>(Table1[[#This Row],[Rate_Constant_k2_g_mg_min]]*Table1[[#This Row],[Contact_Time_min]]*Table1[[#This Row],[qe_mg_g]]^2)/(1+Table1[[#This Row],[Contact_Time_min]]*Table1[[#This Row],[qe_mg_g]]*Table1[[#This Row],[Rate_Constant_k2_g_mg_min]])</f>
        <v>80.835573844317679</v>
      </c>
      <c r="Q67" s="1">
        <f>LN(Table1[[#This Row],[qe_mg_g]]-Table1[[#This Row],[qt]])</f>
        <v>3.7147037713455138</v>
      </c>
      <c r="R67" s="1">
        <v>3</v>
      </c>
    </row>
    <row r="68" spans="1:18" x14ac:dyDescent="0.3">
      <c r="A68" s="1">
        <v>67</v>
      </c>
      <c r="B68" s="1" t="s">
        <v>16</v>
      </c>
      <c r="C68" s="1">
        <v>0.5</v>
      </c>
      <c r="D68" s="1">
        <v>60</v>
      </c>
      <c r="E68" s="1">
        <v>200</v>
      </c>
      <c r="F68" s="1">
        <v>7</v>
      </c>
      <c r="G68" s="1">
        <v>25</v>
      </c>
      <c r="H68" s="1">
        <v>150</v>
      </c>
      <c r="I68" s="1">
        <v>100</v>
      </c>
      <c r="J68" s="1">
        <v>183.06800000000001</v>
      </c>
      <c r="K68" s="1">
        <v>108.46599999999999</v>
      </c>
      <c r="L68" s="1">
        <v>45.77</v>
      </c>
      <c r="M68" s="1">
        <v>54.2</v>
      </c>
      <c r="N68" s="1">
        <v>5.2350000000000001E-2</v>
      </c>
      <c r="O68" s="1">
        <v>2.5710000000000002E-4</v>
      </c>
      <c r="P68" s="1">
        <f>(Table1[[#This Row],[Rate_Constant_k2_g_mg_min]]*Table1[[#This Row],[Contact_Time_min]]*Table1[[#This Row],[qe_mg_g]]^2)/(1+Table1[[#This Row],[Contact_Time_min]]*Table1[[#This Row],[qe_mg_g]]*Table1[[#This Row],[Rate_Constant_k2_g_mg_min]])</f>
        <v>135.19465627130211</v>
      </c>
      <c r="Q68" s="1">
        <f>LN(Table1[[#This Row],[qe_mg_g]]-Table1[[#This Row],[qt]])</f>
        <v>3.8685588511571498</v>
      </c>
      <c r="R68" s="1">
        <v>1</v>
      </c>
    </row>
    <row r="69" spans="1:18" x14ac:dyDescent="0.3">
      <c r="A69" s="1">
        <v>68</v>
      </c>
      <c r="B69" s="1" t="s">
        <v>16</v>
      </c>
      <c r="C69" s="1">
        <v>0.5</v>
      </c>
      <c r="D69" s="1">
        <v>60</v>
      </c>
      <c r="E69" s="1">
        <v>200</v>
      </c>
      <c r="F69" s="1">
        <v>7</v>
      </c>
      <c r="G69" s="1">
        <v>25</v>
      </c>
      <c r="H69" s="1">
        <v>150</v>
      </c>
      <c r="I69" s="1">
        <v>100</v>
      </c>
      <c r="J69" s="1">
        <v>180.26599999999999</v>
      </c>
      <c r="K69" s="1">
        <v>109.867</v>
      </c>
      <c r="L69" s="1">
        <v>45.07</v>
      </c>
      <c r="M69" s="1">
        <v>68</v>
      </c>
      <c r="N69" s="1">
        <v>5.1490000000000001E-2</v>
      </c>
      <c r="O69" s="1">
        <v>2.5690000000000001E-4</v>
      </c>
      <c r="P69" s="1">
        <f>(Table1[[#This Row],[Rate_Constant_k2_g_mg_min]]*Table1[[#This Row],[Contact_Time_min]]*Table1[[#This Row],[qe_mg_g]]^2)/(1+Table1[[#This Row],[Contact_Time_min]]*Table1[[#This Row],[qe_mg_g]]*Table1[[#This Row],[Rate_Constant_k2_g_mg_min]])</f>
        <v>132.55916679519171</v>
      </c>
      <c r="Q69" s="1">
        <f>LN(Table1[[#This Row],[qe_mg_g]]-Table1[[#This Row],[qt]])</f>
        <v>3.8650746414040196</v>
      </c>
      <c r="R69" s="1">
        <v>2</v>
      </c>
    </row>
    <row r="70" spans="1:18" x14ac:dyDescent="0.3">
      <c r="A70" s="1">
        <v>69</v>
      </c>
      <c r="B70" s="1" t="s">
        <v>16</v>
      </c>
      <c r="C70" s="1">
        <v>0.5</v>
      </c>
      <c r="D70" s="1">
        <v>60</v>
      </c>
      <c r="E70" s="1">
        <v>200</v>
      </c>
      <c r="F70" s="1">
        <v>7</v>
      </c>
      <c r="G70" s="1">
        <v>25</v>
      </c>
      <c r="H70" s="1">
        <v>150</v>
      </c>
      <c r="I70" s="1">
        <v>100</v>
      </c>
      <c r="J70" s="1">
        <v>204.23</v>
      </c>
      <c r="K70" s="1">
        <v>97.885000000000005</v>
      </c>
      <c r="L70" s="1">
        <v>51.06</v>
      </c>
      <c r="M70" s="1">
        <v>66.8</v>
      </c>
      <c r="N70" s="1">
        <v>4.0579999999999998E-2</v>
      </c>
      <c r="O70" s="1">
        <v>3.1389999999999999E-4</v>
      </c>
      <c r="P70" s="1">
        <f>(Table1[[#This Row],[Rate_Constant_k2_g_mg_min]]*Table1[[#This Row],[Contact_Time_min]]*Table1[[#This Row],[qe_mg_g]]^2)/(1+Table1[[#This Row],[Contact_Time_min]]*Table1[[#This Row],[qe_mg_g]]*Table1[[#This Row],[Rate_Constant_k2_g_mg_min]])</f>
        <v>162.09003176226602</v>
      </c>
      <c r="Q70" s="1">
        <f>LN(Table1[[#This Row],[qe_mg_g]]-Table1[[#This Row],[qt]])</f>
        <v>3.7409966546437694</v>
      </c>
      <c r="R70" s="1">
        <v>3</v>
      </c>
    </row>
    <row r="71" spans="1:18" x14ac:dyDescent="0.3">
      <c r="A71" s="1">
        <v>70</v>
      </c>
      <c r="B71" s="1" t="s">
        <v>16</v>
      </c>
      <c r="C71" s="1">
        <v>0.5</v>
      </c>
      <c r="D71" s="1">
        <v>60</v>
      </c>
      <c r="E71" s="1">
        <v>200</v>
      </c>
      <c r="F71" s="1">
        <v>11</v>
      </c>
      <c r="G71" s="1">
        <v>25</v>
      </c>
      <c r="H71" s="1">
        <v>150</v>
      </c>
      <c r="I71" s="1">
        <v>100</v>
      </c>
      <c r="J71" s="1">
        <v>156.02000000000001</v>
      </c>
      <c r="K71" s="1">
        <v>121.99</v>
      </c>
      <c r="L71" s="1">
        <v>39.01</v>
      </c>
      <c r="M71" s="1">
        <v>60.7</v>
      </c>
      <c r="N71" s="1">
        <v>4.5310000000000003E-2</v>
      </c>
      <c r="O71" s="1">
        <v>2.8840000000000002E-4</v>
      </c>
      <c r="P71" s="1">
        <f>(Table1[[#This Row],[Rate_Constant_k2_g_mg_min]]*Table1[[#This Row],[Contact_Time_min]]*Table1[[#This Row],[qe_mg_g]]^2)/(1+Table1[[#This Row],[Contact_Time_min]]*Table1[[#This Row],[qe_mg_g]]*Table1[[#This Row],[Rate_Constant_k2_g_mg_min]])</f>
        <v>113.84981195415256</v>
      </c>
      <c r="Q71" s="1">
        <f>LN(Table1[[#This Row],[qe_mg_g]]-Table1[[#This Row],[qt]])</f>
        <v>3.7417135269813326</v>
      </c>
      <c r="R71" s="1">
        <v>1</v>
      </c>
    </row>
    <row r="72" spans="1:18" x14ac:dyDescent="0.3">
      <c r="A72" s="1">
        <v>71</v>
      </c>
      <c r="B72" s="1" t="s">
        <v>16</v>
      </c>
      <c r="C72" s="1">
        <v>0.5</v>
      </c>
      <c r="D72" s="1">
        <v>60</v>
      </c>
      <c r="E72" s="1">
        <v>200</v>
      </c>
      <c r="F72" s="1">
        <v>11</v>
      </c>
      <c r="G72" s="1">
        <v>25</v>
      </c>
      <c r="H72" s="1">
        <v>150</v>
      </c>
      <c r="I72" s="1">
        <v>100</v>
      </c>
      <c r="J72" s="1">
        <v>154.96899999999999</v>
      </c>
      <c r="K72" s="1">
        <v>122.515</v>
      </c>
      <c r="L72" s="1">
        <v>38.74</v>
      </c>
      <c r="M72" s="1">
        <v>73.3</v>
      </c>
      <c r="N72" s="1">
        <v>5.2139999999999999E-2</v>
      </c>
      <c r="O72" s="1">
        <v>2.6289999999999999E-4</v>
      </c>
      <c r="P72" s="1">
        <f>(Table1[[#This Row],[Rate_Constant_k2_g_mg_min]]*Table1[[#This Row],[Contact_Time_min]]*Table1[[#This Row],[qe_mg_g]]^2)/(1+Table1[[#This Row],[Contact_Time_min]]*Table1[[#This Row],[qe_mg_g]]*Table1[[#This Row],[Rate_Constant_k2_g_mg_min]])</f>
        <v>109.97847755843132</v>
      </c>
      <c r="Q72" s="1">
        <f>LN(Table1[[#This Row],[qe_mg_g]]-Table1[[#This Row],[qt]])</f>
        <v>3.8064518551788264</v>
      </c>
      <c r="R72" s="1">
        <v>2</v>
      </c>
    </row>
    <row r="73" spans="1:18" x14ac:dyDescent="0.3">
      <c r="A73" s="1">
        <v>72</v>
      </c>
      <c r="B73" s="1" t="s">
        <v>16</v>
      </c>
      <c r="C73" s="1">
        <v>0.5</v>
      </c>
      <c r="D73" s="1">
        <v>60</v>
      </c>
      <c r="E73" s="1">
        <v>200</v>
      </c>
      <c r="F73" s="1">
        <v>11</v>
      </c>
      <c r="G73" s="1">
        <v>25</v>
      </c>
      <c r="H73" s="1">
        <v>150</v>
      </c>
      <c r="I73" s="1">
        <v>100</v>
      </c>
      <c r="J73" s="1">
        <v>179.78100000000001</v>
      </c>
      <c r="K73" s="1">
        <v>110.10899999999999</v>
      </c>
      <c r="L73" s="1">
        <v>44.95</v>
      </c>
      <c r="M73" s="1">
        <v>47.1</v>
      </c>
      <c r="N73" s="1">
        <v>4.4319999999999998E-2</v>
      </c>
      <c r="O73" s="1">
        <v>3.1760000000000002E-4</v>
      </c>
      <c r="P73" s="1">
        <f>(Table1[[#This Row],[Rate_Constant_k2_g_mg_min]]*Table1[[#This Row],[Contact_Time_min]]*Table1[[#This Row],[qe_mg_g]]^2)/(1+Table1[[#This Row],[Contact_Time_min]]*Table1[[#This Row],[qe_mg_g]]*Table1[[#This Row],[Rate_Constant_k2_g_mg_min]])</f>
        <v>139.16084898378574</v>
      </c>
      <c r="Q73" s="1">
        <f>LN(Table1[[#This Row],[qe_mg_g]]-Table1[[#This Row],[qt]])</f>
        <v>3.7042642739250979</v>
      </c>
      <c r="R73" s="1">
        <v>3</v>
      </c>
    </row>
    <row r="74" spans="1:18" x14ac:dyDescent="0.3">
      <c r="A74" s="1">
        <v>73</v>
      </c>
      <c r="B74" s="1" t="s">
        <v>16</v>
      </c>
      <c r="C74" s="1">
        <v>0.5</v>
      </c>
      <c r="D74" s="1">
        <v>120</v>
      </c>
      <c r="E74" s="1">
        <v>25</v>
      </c>
      <c r="F74" s="1">
        <v>3</v>
      </c>
      <c r="G74" s="1">
        <v>25</v>
      </c>
      <c r="H74" s="1">
        <v>150</v>
      </c>
      <c r="I74" s="1">
        <v>100</v>
      </c>
      <c r="J74" s="1">
        <v>20.108000000000001</v>
      </c>
      <c r="K74" s="1">
        <v>14.946</v>
      </c>
      <c r="L74" s="1">
        <v>40.22</v>
      </c>
      <c r="M74" s="1">
        <v>60.4</v>
      </c>
      <c r="N74" s="1">
        <v>4.4060000000000002E-2</v>
      </c>
      <c r="O74" s="1">
        <v>2.8519999999999999E-4</v>
      </c>
      <c r="P74" s="1">
        <f>(Table1[[#This Row],[Rate_Constant_k2_g_mg_min]]*Table1[[#This Row],[Contact_Time_min]]*Table1[[#This Row],[qe_mg_g]]^2)/(1+Table1[[#This Row],[Contact_Time_min]]*Table1[[#This Row],[qe_mg_g]]*Table1[[#This Row],[Rate_Constant_k2_g_mg_min]])</f>
        <v>8.1969209933840848</v>
      </c>
      <c r="Q74" s="1">
        <f>LN(Table1[[#This Row],[qe_mg_g]]-Table1[[#This Row],[qt]])</f>
        <v>2.4774689759567683</v>
      </c>
      <c r="R74" s="1">
        <v>1</v>
      </c>
    </row>
    <row r="75" spans="1:18" x14ac:dyDescent="0.3">
      <c r="A75" s="1">
        <v>74</v>
      </c>
      <c r="B75" s="1" t="s">
        <v>16</v>
      </c>
      <c r="C75" s="1">
        <v>0.5</v>
      </c>
      <c r="D75" s="1">
        <v>120</v>
      </c>
      <c r="E75" s="1">
        <v>25</v>
      </c>
      <c r="F75" s="1">
        <v>3</v>
      </c>
      <c r="G75" s="1">
        <v>25</v>
      </c>
      <c r="H75" s="1">
        <v>150</v>
      </c>
      <c r="I75" s="1">
        <v>100</v>
      </c>
      <c r="J75" s="1">
        <v>18.739000000000001</v>
      </c>
      <c r="K75" s="1">
        <v>15.631</v>
      </c>
      <c r="L75" s="1">
        <v>37.479999999999997</v>
      </c>
      <c r="M75" s="1">
        <v>75.2</v>
      </c>
      <c r="N75" s="1">
        <v>4.6609999999999999E-2</v>
      </c>
      <c r="O75" s="1">
        <v>2.7920000000000001E-4</v>
      </c>
      <c r="P75" s="1">
        <f>(Table1[[#This Row],[Rate_Constant_k2_g_mg_min]]*Table1[[#This Row],[Contact_Time_min]]*Table1[[#This Row],[qe_mg_g]]^2)/(1+Table1[[#This Row],[Contact_Time_min]]*Table1[[#This Row],[qe_mg_g]]*Table1[[#This Row],[Rate_Constant_k2_g_mg_min]])</f>
        <v>7.2273659601673161</v>
      </c>
      <c r="Q75" s="1">
        <f>LN(Table1[[#This Row],[qe_mg_g]]-Table1[[#This Row],[qt]])</f>
        <v>2.4433581796281283</v>
      </c>
      <c r="R75" s="1">
        <v>2</v>
      </c>
    </row>
    <row r="76" spans="1:18" x14ac:dyDescent="0.3">
      <c r="A76" s="1">
        <v>75</v>
      </c>
      <c r="B76" s="1" t="s">
        <v>16</v>
      </c>
      <c r="C76" s="1">
        <v>0.5</v>
      </c>
      <c r="D76" s="1">
        <v>120</v>
      </c>
      <c r="E76" s="1">
        <v>25</v>
      </c>
      <c r="F76" s="1">
        <v>3</v>
      </c>
      <c r="G76" s="1">
        <v>25</v>
      </c>
      <c r="H76" s="1">
        <v>150</v>
      </c>
      <c r="I76" s="1">
        <v>100</v>
      </c>
      <c r="J76" s="1">
        <v>21.081</v>
      </c>
      <c r="K76" s="1">
        <v>14.459</v>
      </c>
      <c r="L76" s="1">
        <v>42.16</v>
      </c>
      <c r="M76" s="1">
        <v>69.7</v>
      </c>
      <c r="N76" s="1">
        <v>4.8660000000000002E-2</v>
      </c>
      <c r="O76" s="1">
        <v>3.189E-4</v>
      </c>
      <c r="P7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9.4129440407895686</v>
      </c>
      <c r="Q76" s="1">
        <f>LN(Table1[[#This Row],[qe_mg_g]]-Table1[[#This Row],[qt]])</f>
        <v>2.4568548479496166</v>
      </c>
      <c r="R76" s="1">
        <v>3</v>
      </c>
    </row>
    <row r="77" spans="1:18" x14ac:dyDescent="0.3">
      <c r="A77" s="1">
        <v>76</v>
      </c>
      <c r="B77" s="1" t="s">
        <v>16</v>
      </c>
      <c r="C77" s="1">
        <v>0.5</v>
      </c>
      <c r="D77" s="1">
        <v>120</v>
      </c>
      <c r="E77" s="1">
        <v>25</v>
      </c>
      <c r="F77" s="1">
        <v>7</v>
      </c>
      <c r="G77" s="1">
        <v>25</v>
      </c>
      <c r="H77" s="1">
        <v>150</v>
      </c>
      <c r="I77" s="1">
        <v>100</v>
      </c>
      <c r="J77" s="1">
        <v>27.516999999999999</v>
      </c>
      <c r="K77" s="1">
        <v>11.242000000000001</v>
      </c>
      <c r="L77" s="1">
        <v>55.03</v>
      </c>
      <c r="M77" s="1">
        <v>61.1</v>
      </c>
      <c r="N77" s="1">
        <v>4.836E-2</v>
      </c>
      <c r="O77" s="1">
        <v>3.1829999999999998E-4</v>
      </c>
      <c r="P77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14.10087502829224</v>
      </c>
      <c r="Q77" s="1">
        <f>LN(Table1[[#This Row],[qe_mg_g]]-Table1[[#This Row],[qt]])</f>
        <v>2.5964573396018333</v>
      </c>
      <c r="R77" s="1">
        <v>1</v>
      </c>
    </row>
    <row r="78" spans="1:18" x14ac:dyDescent="0.3">
      <c r="A78" s="1">
        <v>77</v>
      </c>
      <c r="B78" s="1" t="s">
        <v>16</v>
      </c>
      <c r="C78" s="1">
        <v>0.5</v>
      </c>
      <c r="D78" s="1">
        <v>120</v>
      </c>
      <c r="E78" s="1">
        <v>25</v>
      </c>
      <c r="F78" s="1">
        <v>7</v>
      </c>
      <c r="G78" s="1">
        <v>25</v>
      </c>
      <c r="H78" s="1">
        <v>150</v>
      </c>
      <c r="I78" s="1">
        <v>100</v>
      </c>
      <c r="J78" s="1">
        <v>29.422000000000001</v>
      </c>
      <c r="K78" s="1">
        <v>10.289</v>
      </c>
      <c r="L78" s="1">
        <v>58.84</v>
      </c>
      <c r="M78" s="1">
        <v>67.8</v>
      </c>
      <c r="N78" s="1">
        <v>5.0750000000000003E-2</v>
      </c>
      <c r="O78" s="1">
        <v>2.8229999999999998E-4</v>
      </c>
      <c r="P78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14.686684312523891</v>
      </c>
      <c r="Q78" s="1">
        <f>LN(Table1[[#This Row],[qe_mg_g]]-Table1[[#This Row],[qt]])</f>
        <v>2.6902470402883658</v>
      </c>
      <c r="R78" s="1">
        <v>2</v>
      </c>
    </row>
    <row r="79" spans="1:18" x14ac:dyDescent="0.3">
      <c r="A79" s="1">
        <v>78</v>
      </c>
      <c r="B79" s="1" t="s">
        <v>16</v>
      </c>
      <c r="C79" s="1">
        <v>0.5</v>
      </c>
      <c r="D79" s="1">
        <v>120</v>
      </c>
      <c r="E79" s="1">
        <v>25</v>
      </c>
      <c r="F79" s="1">
        <v>7</v>
      </c>
      <c r="G79" s="1">
        <v>25</v>
      </c>
      <c r="H79" s="1">
        <v>150</v>
      </c>
      <c r="I79" s="1">
        <v>100</v>
      </c>
      <c r="J79" s="1">
        <v>30.760999999999999</v>
      </c>
      <c r="K79" s="1">
        <v>9.6189999999999998</v>
      </c>
      <c r="L79" s="1">
        <v>61.52</v>
      </c>
      <c r="M79" s="1">
        <v>64.599999999999994</v>
      </c>
      <c r="N79" s="1">
        <v>4.4019999999999997E-2</v>
      </c>
      <c r="O79" s="1">
        <v>3.3300000000000002E-4</v>
      </c>
      <c r="P79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16.961938416933755</v>
      </c>
      <c r="Q79" s="1">
        <f>LN(Table1[[#This Row],[qe_mg_g]]-Table1[[#This Row],[qt]])</f>
        <v>2.624600588623887</v>
      </c>
      <c r="R79" s="1">
        <v>3</v>
      </c>
    </row>
    <row r="80" spans="1:18" x14ac:dyDescent="0.3">
      <c r="A80" s="1">
        <v>79</v>
      </c>
      <c r="B80" s="1" t="s">
        <v>16</v>
      </c>
      <c r="C80" s="1">
        <v>0.5</v>
      </c>
      <c r="D80" s="1">
        <v>120</v>
      </c>
      <c r="E80" s="1">
        <v>25</v>
      </c>
      <c r="F80" s="1">
        <v>11</v>
      </c>
      <c r="G80" s="1">
        <v>25</v>
      </c>
      <c r="H80" s="1">
        <v>150</v>
      </c>
      <c r="I80" s="1">
        <v>100</v>
      </c>
      <c r="J80" s="1">
        <v>25.06</v>
      </c>
      <c r="K80" s="1">
        <v>12.47</v>
      </c>
      <c r="L80" s="1">
        <v>50.12</v>
      </c>
      <c r="M80" s="1">
        <v>74.8</v>
      </c>
      <c r="N80" s="1">
        <v>5.0869999999999999E-2</v>
      </c>
      <c r="O80" s="1">
        <v>3.0059999999999999E-4</v>
      </c>
      <c r="P80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11.897988644661153</v>
      </c>
      <c r="Q80" s="1">
        <f>LN(Table1[[#This Row],[qe_mg_g]]-Table1[[#This Row],[qt]])</f>
        <v>2.5773347527701338</v>
      </c>
      <c r="R80" s="1">
        <v>1</v>
      </c>
    </row>
    <row r="81" spans="1:18" x14ac:dyDescent="0.3">
      <c r="A81" s="1">
        <v>80</v>
      </c>
      <c r="B81" s="1" t="s">
        <v>16</v>
      </c>
      <c r="C81" s="1">
        <v>0.5</v>
      </c>
      <c r="D81" s="1">
        <v>120</v>
      </c>
      <c r="E81" s="1">
        <v>25</v>
      </c>
      <c r="F81" s="1">
        <v>11</v>
      </c>
      <c r="G81" s="1">
        <v>25</v>
      </c>
      <c r="H81" s="1">
        <v>150</v>
      </c>
      <c r="I81" s="1">
        <v>100</v>
      </c>
      <c r="J81" s="1">
        <v>24.791</v>
      </c>
      <c r="K81" s="1">
        <v>12.605</v>
      </c>
      <c r="L81" s="1">
        <v>49.58</v>
      </c>
      <c r="M81" s="1">
        <v>63.6</v>
      </c>
      <c r="N81" s="1">
        <v>4.6460000000000001E-2</v>
      </c>
      <c r="O81" s="1">
        <v>2.9609999999999999E-4</v>
      </c>
      <c r="P81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11.610424119878173</v>
      </c>
      <c r="Q81" s="1">
        <f>LN(Table1[[#This Row],[qe_mg_g]]-Table1[[#This Row],[qt]])</f>
        <v>2.5787442216040342</v>
      </c>
      <c r="R81" s="1">
        <v>2</v>
      </c>
    </row>
    <row r="82" spans="1:18" x14ac:dyDescent="0.3">
      <c r="A82" s="1">
        <v>81</v>
      </c>
      <c r="B82" s="1" t="s">
        <v>16</v>
      </c>
      <c r="C82" s="1">
        <v>0.5</v>
      </c>
      <c r="D82" s="1">
        <v>120</v>
      </c>
      <c r="E82" s="1">
        <v>25</v>
      </c>
      <c r="F82" s="1">
        <v>11</v>
      </c>
      <c r="G82" s="1">
        <v>25</v>
      </c>
      <c r="H82" s="1">
        <v>150</v>
      </c>
      <c r="I82" s="1">
        <v>100</v>
      </c>
      <c r="J82" s="1">
        <v>23.69</v>
      </c>
      <c r="K82" s="1">
        <v>13.154999999999999</v>
      </c>
      <c r="L82" s="1">
        <v>47.38</v>
      </c>
      <c r="M82" s="1">
        <v>72.599999999999994</v>
      </c>
      <c r="N82" s="1">
        <v>4.1320000000000003E-2</v>
      </c>
      <c r="O82" s="1">
        <v>3.6279999999999998E-4</v>
      </c>
      <c r="P82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12.027907328492514</v>
      </c>
      <c r="Q82" s="1">
        <f>LN(Table1[[#This Row],[qe_mg_g]]-Table1[[#This Row],[qt]])</f>
        <v>2.4563436392190421</v>
      </c>
      <c r="R82" s="1">
        <v>3</v>
      </c>
    </row>
    <row r="83" spans="1:18" x14ac:dyDescent="0.3">
      <c r="A83" s="1">
        <v>82</v>
      </c>
      <c r="B83" s="1" t="s">
        <v>16</v>
      </c>
      <c r="C83" s="1">
        <v>0.5</v>
      </c>
      <c r="D83" s="1">
        <v>120</v>
      </c>
      <c r="E83" s="1">
        <v>50</v>
      </c>
      <c r="F83" s="1">
        <v>3</v>
      </c>
      <c r="G83" s="1">
        <v>25</v>
      </c>
      <c r="H83" s="1">
        <v>150</v>
      </c>
      <c r="I83" s="1">
        <v>100</v>
      </c>
      <c r="J83" s="1">
        <v>45.368000000000002</v>
      </c>
      <c r="K83" s="1">
        <v>27.315999999999999</v>
      </c>
      <c r="L83" s="1">
        <v>45.37</v>
      </c>
      <c r="M83" s="1">
        <v>54.5</v>
      </c>
      <c r="N83" s="1">
        <v>5.0209999999999998E-2</v>
      </c>
      <c r="O83" s="1">
        <v>3.2370000000000001E-4</v>
      </c>
      <c r="P83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28.943854431202048</v>
      </c>
      <c r="Q83" s="1">
        <f>LN(Table1[[#This Row],[qe_mg_g]]-Table1[[#This Row],[qt]])</f>
        <v>2.7987525428530704</v>
      </c>
      <c r="R83" s="1">
        <v>1</v>
      </c>
    </row>
    <row r="84" spans="1:18" x14ac:dyDescent="0.3">
      <c r="A84" s="1">
        <v>83</v>
      </c>
      <c r="B84" s="1" t="s">
        <v>16</v>
      </c>
      <c r="C84" s="1">
        <v>0.5</v>
      </c>
      <c r="D84" s="1">
        <v>120</v>
      </c>
      <c r="E84" s="1">
        <v>50</v>
      </c>
      <c r="F84" s="1">
        <v>3</v>
      </c>
      <c r="G84" s="1">
        <v>25</v>
      </c>
      <c r="H84" s="1">
        <v>150</v>
      </c>
      <c r="I84" s="1">
        <v>100</v>
      </c>
      <c r="J84" s="1">
        <v>51.802</v>
      </c>
      <c r="K84" s="1">
        <v>24.099</v>
      </c>
      <c r="L84" s="1">
        <v>51.8</v>
      </c>
      <c r="M84" s="1">
        <v>73</v>
      </c>
      <c r="N84" s="1">
        <v>4.4940000000000001E-2</v>
      </c>
      <c r="O84" s="1">
        <v>2.7310000000000002E-4</v>
      </c>
      <c r="P84" s="1">
        <f>(Table1[[#This Row],[Rate_Constant_k2_g_mg_min]]*Table1[[#This Row],[Contact_Time_min]]*Table1[[#This Row],[qe_mg_g]]^2)/(1+Table1[[#This Row],[Contact_Time_min]]*Table1[[#This Row],[qe_mg_g]]*Table1[[#This Row],[Rate_Constant_k2_g_mg_min]])</f>
        <v>32.599397282148679</v>
      </c>
      <c r="Q84" s="1">
        <f>LN(Table1[[#This Row],[qe_mg_g]]-Table1[[#This Row],[qt]])</f>
        <v>2.9550458280679734</v>
      </c>
      <c r="R84" s="1">
        <v>2</v>
      </c>
    </row>
    <row r="85" spans="1:18" x14ac:dyDescent="0.3">
      <c r="A85" s="1">
        <v>84</v>
      </c>
      <c r="B85" s="1" t="s">
        <v>16</v>
      </c>
      <c r="C85" s="1">
        <v>0.5</v>
      </c>
      <c r="D85" s="1">
        <v>120</v>
      </c>
      <c r="E85" s="1">
        <v>50</v>
      </c>
      <c r="F85" s="1">
        <v>3</v>
      </c>
      <c r="G85" s="1">
        <v>25</v>
      </c>
      <c r="H85" s="1">
        <v>150</v>
      </c>
      <c r="I85" s="1">
        <v>100</v>
      </c>
      <c r="J85" s="1">
        <v>49.637999999999998</v>
      </c>
      <c r="K85" s="1">
        <v>25.181000000000001</v>
      </c>
      <c r="L85" s="1">
        <v>49.64</v>
      </c>
      <c r="M85" s="1">
        <v>59.9</v>
      </c>
      <c r="N85" s="1">
        <v>4.9390000000000003E-2</v>
      </c>
      <c r="O85" s="1">
        <v>2.9559999999999998E-4</v>
      </c>
      <c r="P85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31.658162732515901</v>
      </c>
      <c r="Q85" s="1">
        <f>LN(Table1[[#This Row],[qe_mg_g]]-Table1[[#This Row],[qt]])</f>
        <v>2.8892509782507974</v>
      </c>
      <c r="R85" s="1">
        <v>3</v>
      </c>
    </row>
    <row r="86" spans="1:18" x14ac:dyDescent="0.3">
      <c r="A86" s="1">
        <v>85</v>
      </c>
      <c r="B86" s="1" t="s">
        <v>16</v>
      </c>
      <c r="C86" s="1">
        <v>0.5</v>
      </c>
      <c r="D86" s="1">
        <v>120</v>
      </c>
      <c r="E86" s="1">
        <v>50</v>
      </c>
      <c r="F86" s="1">
        <v>7</v>
      </c>
      <c r="G86" s="1">
        <v>25</v>
      </c>
      <c r="H86" s="1">
        <v>150</v>
      </c>
      <c r="I86" s="1">
        <v>100</v>
      </c>
      <c r="J86" s="1">
        <v>66.182000000000002</v>
      </c>
      <c r="K86" s="1">
        <v>16.908999999999999</v>
      </c>
      <c r="L86" s="1">
        <v>66.180000000000007</v>
      </c>
      <c r="M86" s="1">
        <v>63.5</v>
      </c>
      <c r="N86" s="1">
        <v>4.6859999999999999E-2</v>
      </c>
      <c r="O86" s="1">
        <v>2.831E-4</v>
      </c>
      <c r="P86" s="1">
        <f>(Table1[[#This Row],[Rate_Constant_k2_g_mg_min]]*Table1[[#This Row],[Contact_Time_min]]*Table1[[#This Row],[qe_mg_g]]^2)/(1+Table1[[#This Row],[Contact_Time_min]]*Table1[[#This Row],[qe_mg_g]]*Table1[[#This Row],[Rate_Constant_k2_g_mg_min]])</f>
        <v>45.807869266588405</v>
      </c>
      <c r="Q86" s="1">
        <f>LN(Table1[[#This Row],[qe_mg_g]]-Table1[[#This Row],[qt]])</f>
        <v>3.0142659948259762</v>
      </c>
      <c r="R86" s="1">
        <v>1</v>
      </c>
    </row>
    <row r="87" spans="1:18" x14ac:dyDescent="0.3">
      <c r="A87" s="1">
        <v>86</v>
      </c>
      <c r="B87" s="1" t="s">
        <v>16</v>
      </c>
      <c r="C87" s="1">
        <v>0.5</v>
      </c>
      <c r="D87" s="1">
        <v>120</v>
      </c>
      <c r="E87" s="1">
        <v>50</v>
      </c>
      <c r="F87" s="1">
        <v>7</v>
      </c>
      <c r="G87" s="1">
        <v>25</v>
      </c>
      <c r="H87" s="1">
        <v>150</v>
      </c>
      <c r="I87" s="1">
        <v>100</v>
      </c>
      <c r="J87" s="1">
        <v>66.2</v>
      </c>
      <c r="K87" s="1">
        <v>16.899999999999999</v>
      </c>
      <c r="L87" s="1">
        <v>66.2</v>
      </c>
      <c r="M87" s="1">
        <v>69.099999999999994</v>
      </c>
      <c r="N87" s="1">
        <v>4.6100000000000002E-2</v>
      </c>
      <c r="O87" s="1">
        <v>2.8479999999999998E-4</v>
      </c>
      <c r="P87" s="1">
        <f>(Table1[[#This Row],[Rate_Constant_k2_g_mg_min]]*Table1[[#This Row],[Contact_Time_min]]*Table1[[#This Row],[qe_mg_g]]^2)/(1+Table1[[#This Row],[Contact_Time_min]]*Table1[[#This Row],[qe_mg_g]]*Table1[[#This Row],[Rate_Constant_k2_g_mg_min]])</f>
        <v>45.908508743364507</v>
      </c>
      <c r="Q87" s="1">
        <f>LN(Table1[[#This Row],[qe_mg_g]]-Table1[[#This Row],[qt]])</f>
        <v>3.0102016482604266</v>
      </c>
      <c r="R87" s="1">
        <v>2</v>
      </c>
    </row>
    <row r="88" spans="1:18" x14ac:dyDescent="0.3">
      <c r="A88" s="1">
        <v>87</v>
      </c>
      <c r="B88" s="1" t="s">
        <v>16</v>
      </c>
      <c r="C88" s="1">
        <v>0.5</v>
      </c>
      <c r="D88" s="1">
        <v>120</v>
      </c>
      <c r="E88" s="1">
        <v>50</v>
      </c>
      <c r="F88" s="1">
        <v>7</v>
      </c>
      <c r="G88" s="1">
        <v>25</v>
      </c>
      <c r="H88" s="1">
        <v>150</v>
      </c>
      <c r="I88" s="1">
        <v>100</v>
      </c>
      <c r="J88" s="1">
        <v>68.191000000000003</v>
      </c>
      <c r="K88" s="1">
        <v>15.904</v>
      </c>
      <c r="L88" s="1">
        <v>68.19</v>
      </c>
      <c r="M88" s="1">
        <v>69</v>
      </c>
      <c r="N88" s="1">
        <v>3.848E-2</v>
      </c>
      <c r="O88" s="1">
        <v>2.5779999999999998E-4</v>
      </c>
      <c r="P88" s="1">
        <f>(Table1[[#This Row],[Rate_Constant_k2_g_mg_min]]*Table1[[#This Row],[Contact_Time_min]]*Table1[[#This Row],[qe_mg_g]]^2)/(1+Table1[[#This Row],[Contact_Time_min]]*Table1[[#This Row],[qe_mg_g]]*Table1[[#This Row],[Rate_Constant_k2_g_mg_min]])</f>
        <v>46.261508142411877</v>
      </c>
      <c r="Q88" s="1">
        <f>LN(Table1[[#This Row],[qe_mg_g]]-Table1[[#This Row],[qt]])</f>
        <v>3.0878323910527299</v>
      </c>
      <c r="R88" s="1">
        <v>3</v>
      </c>
    </row>
    <row r="89" spans="1:18" x14ac:dyDescent="0.3">
      <c r="A89" s="1">
        <v>88</v>
      </c>
      <c r="B89" s="1" t="s">
        <v>16</v>
      </c>
      <c r="C89" s="1">
        <v>0.5</v>
      </c>
      <c r="D89" s="1">
        <v>120</v>
      </c>
      <c r="E89" s="1">
        <v>50</v>
      </c>
      <c r="F89" s="1">
        <v>11</v>
      </c>
      <c r="G89" s="1">
        <v>25</v>
      </c>
      <c r="H89" s="1">
        <v>150</v>
      </c>
      <c r="I89" s="1">
        <v>100</v>
      </c>
      <c r="J89" s="1">
        <v>54.542000000000002</v>
      </c>
      <c r="K89" s="1">
        <v>22.728999999999999</v>
      </c>
      <c r="L89" s="1">
        <v>54.54</v>
      </c>
      <c r="M89" s="1">
        <v>64.5</v>
      </c>
      <c r="N89" s="1">
        <v>4.6399999999999997E-2</v>
      </c>
      <c r="O89" s="1">
        <v>3.4430000000000002E-4</v>
      </c>
      <c r="P89" s="1">
        <f>(Table1[[#This Row],[Rate_Constant_k2_g_mg_min]]*Table1[[#This Row],[Contact_Time_min]]*Table1[[#This Row],[qe_mg_g]]^2)/(1+Table1[[#This Row],[Contact_Time_min]]*Table1[[#This Row],[qe_mg_g]]*Table1[[#This Row],[Rate_Constant_k2_g_mg_min]])</f>
        <v>37.777679635506217</v>
      </c>
      <c r="Q89" s="1">
        <f>LN(Table1[[#This Row],[qe_mg_g]]-Table1[[#This Row],[qt]])</f>
        <v>2.8192528401459018</v>
      </c>
      <c r="R89" s="1">
        <v>1</v>
      </c>
    </row>
    <row r="90" spans="1:18" x14ac:dyDescent="0.3">
      <c r="A90" s="1">
        <v>89</v>
      </c>
      <c r="B90" s="1" t="s">
        <v>16</v>
      </c>
      <c r="C90" s="1">
        <v>0.5</v>
      </c>
      <c r="D90" s="1">
        <v>120</v>
      </c>
      <c r="E90" s="1">
        <v>50</v>
      </c>
      <c r="F90" s="1">
        <v>11</v>
      </c>
      <c r="G90" s="1">
        <v>25</v>
      </c>
      <c r="H90" s="1">
        <v>150</v>
      </c>
      <c r="I90" s="1">
        <v>100</v>
      </c>
      <c r="J90" s="1">
        <v>61.838999999999999</v>
      </c>
      <c r="K90" s="1">
        <v>19.081</v>
      </c>
      <c r="L90" s="1">
        <v>61.84</v>
      </c>
      <c r="M90" s="1">
        <v>65.099999999999994</v>
      </c>
      <c r="N90" s="1">
        <v>4.4909999999999999E-2</v>
      </c>
      <c r="O90" s="1">
        <v>2.699E-4</v>
      </c>
      <c r="P90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41.245505691023588</v>
      </c>
      <c r="Q90" s="1">
        <f>LN(Table1[[#This Row],[qe_mg_g]]-Table1[[#This Row],[qt]])</f>
        <v>3.0249752156731149</v>
      </c>
      <c r="R90" s="1">
        <v>2</v>
      </c>
    </row>
    <row r="91" spans="1:18" x14ac:dyDescent="0.3">
      <c r="A91" s="1">
        <v>90</v>
      </c>
      <c r="B91" s="1" t="s">
        <v>16</v>
      </c>
      <c r="C91" s="1">
        <v>0.5</v>
      </c>
      <c r="D91" s="1">
        <v>120</v>
      </c>
      <c r="E91" s="1">
        <v>50</v>
      </c>
      <c r="F91" s="1">
        <v>11</v>
      </c>
      <c r="G91" s="1">
        <v>25</v>
      </c>
      <c r="H91" s="1">
        <v>150</v>
      </c>
      <c r="I91" s="1">
        <v>100</v>
      </c>
      <c r="J91" s="1">
        <v>57.781999999999996</v>
      </c>
      <c r="K91" s="1">
        <v>21.109000000000002</v>
      </c>
      <c r="L91" s="1">
        <v>57.78</v>
      </c>
      <c r="M91" s="1">
        <v>63.8</v>
      </c>
      <c r="N91" s="1">
        <v>4.6449999999999998E-2</v>
      </c>
      <c r="O91" s="1">
        <v>2.7520000000000002E-4</v>
      </c>
      <c r="P91" s="1">
        <f>(Table1[[#This Row],[Rate_Constant_k2_g_mg_min]]*Table1[[#This Row],[Contact_Time_min]]*Table1[[#This Row],[qe_mg_g]]^2)/(1+Table1[[#This Row],[Contact_Time_min]]*Table1[[#This Row],[qe_mg_g]]*Table1[[#This Row],[Rate_Constant_k2_g_mg_min]])</f>
        <v>37.913303318061203</v>
      </c>
      <c r="Q91" s="1">
        <f>LN(Table1[[#This Row],[qe_mg_g]]-Table1[[#This Row],[qt]])</f>
        <v>2.9891454621597568</v>
      </c>
      <c r="R91" s="1">
        <v>3</v>
      </c>
    </row>
    <row r="92" spans="1:18" x14ac:dyDescent="0.3">
      <c r="A92" s="1">
        <v>91</v>
      </c>
      <c r="B92" s="1" t="s">
        <v>16</v>
      </c>
      <c r="C92" s="1">
        <v>0.5</v>
      </c>
      <c r="D92" s="1">
        <v>120</v>
      </c>
      <c r="E92" s="1">
        <v>100</v>
      </c>
      <c r="F92" s="1">
        <v>3</v>
      </c>
      <c r="G92" s="1">
        <v>25</v>
      </c>
      <c r="H92" s="1">
        <v>150</v>
      </c>
      <c r="I92" s="1">
        <v>100</v>
      </c>
      <c r="J92" s="1">
        <v>109.866</v>
      </c>
      <c r="K92" s="1">
        <v>45.067</v>
      </c>
      <c r="L92" s="1">
        <v>54.93</v>
      </c>
      <c r="M92" s="1">
        <v>82</v>
      </c>
      <c r="N92" s="1">
        <v>4.4510000000000001E-2</v>
      </c>
      <c r="O92" s="1">
        <v>3.121E-4</v>
      </c>
      <c r="P92" s="1">
        <f>(Table1[[#This Row],[Rate_Constant_k2_g_mg_min]]*Table1[[#This Row],[Contact_Time_min]]*Table1[[#This Row],[qe_mg_g]]^2)/(1+Table1[[#This Row],[Contact_Time_min]]*Table1[[#This Row],[qe_mg_g]]*Table1[[#This Row],[Rate_Constant_k2_g_mg_min]])</f>
        <v>88.385567278624279</v>
      </c>
      <c r="Q92" s="1">
        <f>LN(Table1[[#This Row],[qe_mg_g]]-Table1[[#This Row],[qt]])</f>
        <v>3.0671424147531932</v>
      </c>
      <c r="R92" s="1">
        <v>1</v>
      </c>
    </row>
    <row r="93" spans="1:18" x14ac:dyDescent="0.3">
      <c r="A93" s="1">
        <v>92</v>
      </c>
      <c r="B93" s="1" t="s">
        <v>16</v>
      </c>
      <c r="C93" s="1">
        <v>0.5</v>
      </c>
      <c r="D93" s="1">
        <v>120</v>
      </c>
      <c r="E93" s="1">
        <v>100</v>
      </c>
      <c r="F93" s="1">
        <v>3</v>
      </c>
      <c r="G93" s="1">
        <v>25</v>
      </c>
      <c r="H93" s="1">
        <v>150</v>
      </c>
      <c r="I93" s="1">
        <v>100</v>
      </c>
      <c r="J93" s="1">
        <v>111.307</v>
      </c>
      <c r="K93" s="1">
        <v>44.345999999999997</v>
      </c>
      <c r="L93" s="1">
        <v>55.65</v>
      </c>
      <c r="M93" s="1">
        <v>62.7</v>
      </c>
      <c r="N93" s="1">
        <v>4.6010000000000002E-2</v>
      </c>
      <c r="O93" s="1">
        <v>3.0039999999999998E-4</v>
      </c>
      <c r="P93" s="1">
        <f>(Table1[[#This Row],[Rate_Constant_k2_g_mg_min]]*Table1[[#This Row],[Contact_Time_min]]*Table1[[#This Row],[qe_mg_g]]^2)/(1+Table1[[#This Row],[Contact_Time_min]]*Table1[[#This Row],[qe_mg_g]]*Table1[[#This Row],[Rate_Constant_k2_g_mg_min]])</f>
        <v>89.100648373187497</v>
      </c>
      <c r="Q93" s="1">
        <f>LN(Table1[[#This Row],[qe_mg_g]]-Table1[[#This Row],[qt]])</f>
        <v>3.1003783572726471</v>
      </c>
      <c r="R93" s="1">
        <v>2</v>
      </c>
    </row>
    <row r="94" spans="1:18" x14ac:dyDescent="0.3">
      <c r="A94" s="1">
        <v>93</v>
      </c>
      <c r="B94" s="1" t="s">
        <v>16</v>
      </c>
      <c r="C94" s="1">
        <v>0.5</v>
      </c>
      <c r="D94" s="1">
        <v>120</v>
      </c>
      <c r="E94" s="1">
        <v>100</v>
      </c>
      <c r="F94" s="1">
        <v>3</v>
      </c>
      <c r="G94" s="1">
        <v>25</v>
      </c>
      <c r="H94" s="1">
        <v>150</v>
      </c>
      <c r="I94" s="1">
        <v>100</v>
      </c>
      <c r="J94" s="1">
        <v>106.30800000000001</v>
      </c>
      <c r="K94" s="1">
        <v>46.845999999999997</v>
      </c>
      <c r="L94" s="1">
        <v>53.15</v>
      </c>
      <c r="M94" s="1">
        <v>58.9</v>
      </c>
      <c r="N94" s="1">
        <v>4.5109999999999997E-2</v>
      </c>
      <c r="O94" s="1">
        <v>3.1490000000000001E-4</v>
      </c>
      <c r="P94" s="1">
        <f>(Table1[[#This Row],[Rate_Constant_k2_g_mg_min]]*Table1[[#This Row],[Contact_Time_min]]*Table1[[#This Row],[qe_mg_g]]^2)/(1+Table1[[#This Row],[Contact_Time_min]]*Table1[[#This Row],[qe_mg_g]]*Table1[[#This Row],[Rate_Constant_k2_g_mg_min]])</f>
        <v>85.11914854819463</v>
      </c>
      <c r="Q94" s="1">
        <f>LN(Table1[[#This Row],[qe_mg_g]]-Table1[[#This Row],[qt]])</f>
        <v>3.053475168442418</v>
      </c>
      <c r="R94" s="1">
        <v>3</v>
      </c>
    </row>
    <row r="95" spans="1:18" x14ac:dyDescent="0.3">
      <c r="A95" s="1">
        <v>94</v>
      </c>
      <c r="B95" s="1" t="s">
        <v>16</v>
      </c>
      <c r="C95" s="1">
        <v>0.5</v>
      </c>
      <c r="D95" s="1">
        <v>120</v>
      </c>
      <c r="E95" s="1">
        <v>100</v>
      </c>
      <c r="F95" s="1">
        <v>7</v>
      </c>
      <c r="G95" s="1">
        <v>25</v>
      </c>
      <c r="H95" s="1">
        <v>150</v>
      </c>
      <c r="I95" s="1">
        <v>100</v>
      </c>
      <c r="J95" s="1">
        <v>164.28100000000001</v>
      </c>
      <c r="K95" s="1">
        <v>17.86</v>
      </c>
      <c r="L95" s="1">
        <v>82.14</v>
      </c>
      <c r="M95" s="1">
        <v>76.3</v>
      </c>
      <c r="N95" s="1">
        <v>5.4690000000000003E-2</v>
      </c>
      <c r="O95" s="1">
        <v>2.7700000000000001E-4</v>
      </c>
      <c r="P95" s="1">
        <f>(Table1[[#This Row],[Rate_Constant_k2_g_mg_min]]*Table1[[#This Row],[Contact_Time_min]]*Table1[[#This Row],[qe_mg_g]]^2)/(1+Table1[[#This Row],[Contact_Time_min]]*Table1[[#This Row],[qe_mg_g]]*Table1[[#This Row],[Rate_Constant_k2_g_mg_min]])</f>
        <v>138.85326170356228</v>
      </c>
      <c r="Q95" s="1">
        <f>LN(Table1[[#This Row],[qe_mg_g]]-Table1[[#This Row],[qt]])</f>
        <v>3.2358406370767971</v>
      </c>
      <c r="R95" s="1">
        <v>1</v>
      </c>
    </row>
    <row r="96" spans="1:18" x14ac:dyDescent="0.3">
      <c r="A96" s="1">
        <v>95</v>
      </c>
      <c r="B96" s="1" t="s">
        <v>16</v>
      </c>
      <c r="C96" s="1">
        <v>0.5</v>
      </c>
      <c r="D96" s="1">
        <v>120</v>
      </c>
      <c r="E96" s="1">
        <v>100</v>
      </c>
      <c r="F96" s="1">
        <v>7</v>
      </c>
      <c r="G96" s="1">
        <v>25</v>
      </c>
      <c r="H96" s="1">
        <v>150</v>
      </c>
      <c r="I96" s="1">
        <v>100</v>
      </c>
      <c r="J96" s="1">
        <v>157.465</v>
      </c>
      <c r="K96" s="1">
        <v>21.268000000000001</v>
      </c>
      <c r="L96" s="1">
        <v>78.73</v>
      </c>
      <c r="M96" s="1">
        <v>68.5</v>
      </c>
      <c r="N96" s="1">
        <v>5.4850000000000003E-2</v>
      </c>
      <c r="O96" s="1">
        <v>2.7579999999999998E-4</v>
      </c>
      <c r="P96" s="1">
        <f>(Table1[[#This Row],[Rate_Constant_k2_g_mg_min]]*Table1[[#This Row],[Contact_Time_min]]*Table1[[#This Row],[qe_mg_g]]^2)/(1+Table1[[#This Row],[Contact_Time_min]]*Table1[[#This Row],[qe_mg_g]]*Table1[[#This Row],[Rate_Constant_k2_g_mg_min]])</f>
        <v>132.11428399686619</v>
      </c>
      <c r="Q96" s="1">
        <f>LN(Table1[[#This Row],[qe_mg_g]]-Table1[[#This Row],[qt]])</f>
        <v>3.2328069743378767</v>
      </c>
      <c r="R96" s="1">
        <v>2</v>
      </c>
    </row>
    <row r="97" spans="1:18" x14ac:dyDescent="0.3">
      <c r="A97" s="1">
        <v>96</v>
      </c>
      <c r="B97" s="1" t="s">
        <v>16</v>
      </c>
      <c r="C97" s="1">
        <v>0.5</v>
      </c>
      <c r="D97" s="1">
        <v>120</v>
      </c>
      <c r="E97" s="1">
        <v>100</v>
      </c>
      <c r="F97" s="1">
        <v>7</v>
      </c>
      <c r="G97" s="1">
        <v>25</v>
      </c>
      <c r="H97" s="1">
        <v>150</v>
      </c>
      <c r="I97" s="1">
        <v>100</v>
      </c>
      <c r="J97" s="1">
        <v>137.30500000000001</v>
      </c>
      <c r="K97" s="1">
        <v>31.347999999999999</v>
      </c>
      <c r="L97" s="1">
        <v>68.650000000000006</v>
      </c>
      <c r="M97" s="1">
        <v>60.7</v>
      </c>
      <c r="N97" s="1">
        <v>3.5439999999999999E-2</v>
      </c>
      <c r="O97" s="1">
        <v>2.8420000000000002E-4</v>
      </c>
      <c r="P97" s="1">
        <f>(Table1[[#This Row],[Rate_Constant_k2_g_mg_min]]*Table1[[#This Row],[Contact_Time_min]]*Table1[[#This Row],[qe_mg_g]]^2)/(1+Table1[[#This Row],[Contact_Time_min]]*Table1[[#This Row],[qe_mg_g]]*Table1[[#This Row],[Rate_Constant_k2_g_mg_min]])</f>
        <v>113.14285614714962</v>
      </c>
      <c r="Q97" s="1">
        <f>LN(Table1[[#This Row],[qe_mg_g]]-Table1[[#This Row],[qt]])</f>
        <v>3.1847871047610656</v>
      </c>
      <c r="R97" s="1">
        <v>3</v>
      </c>
    </row>
    <row r="98" spans="1:18" x14ac:dyDescent="0.3">
      <c r="A98" s="1">
        <v>97</v>
      </c>
      <c r="B98" s="1" t="s">
        <v>16</v>
      </c>
      <c r="C98" s="1">
        <v>0.5</v>
      </c>
      <c r="D98" s="1">
        <v>120</v>
      </c>
      <c r="E98" s="1">
        <v>100</v>
      </c>
      <c r="F98" s="1">
        <v>11</v>
      </c>
      <c r="G98" s="1">
        <v>25</v>
      </c>
      <c r="H98" s="1">
        <v>150</v>
      </c>
      <c r="I98" s="1">
        <v>100</v>
      </c>
      <c r="J98" s="1">
        <v>114.68899999999999</v>
      </c>
      <c r="K98" s="1">
        <v>42.655999999999999</v>
      </c>
      <c r="L98" s="1">
        <v>57.34</v>
      </c>
      <c r="M98" s="1">
        <v>68.2</v>
      </c>
      <c r="N98" s="1">
        <v>4.6539999999999998E-2</v>
      </c>
      <c r="O98" s="1">
        <v>3.5629999999999999E-4</v>
      </c>
      <c r="P98" s="1">
        <f>(Table1[[#This Row],[Rate_Constant_k2_g_mg_min]]*Table1[[#This Row],[Contact_Time_min]]*Table1[[#This Row],[qe_mg_g]]^2)/(1+Table1[[#This Row],[Contact_Time_min]]*Table1[[#This Row],[qe_mg_g]]*Table1[[#This Row],[Rate_Constant_k2_g_mg_min]])</f>
        <v>95.262181296106334</v>
      </c>
      <c r="Q98" s="1">
        <f>LN(Table1[[#This Row],[qe_mg_g]]-Table1[[#This Row],[qt]])</f>
        <v>2.9666545188410525</v>
      </c>
      <c r="R98" s="1">
        <v>1</v>
      </c>
    </row>
    <row r="99" spans="1:18" x14ac:dyDescent="0.3">
      <c r="A99" s="1">
        <v>98</v>
      </c>
      <c r="B99" s="1" t="s">
        <v>16</v>
      </c>
      <c r="C99" s="1">
        <v>0.5</v>
      </c>
      <c r="D99" s="1">
        <v>120</v>
      </c>
      <c r="E99" s="1">
        <v>100</v>
      </c>
      <c r="F99" s="1">
        <v>11</v>
      </c>
      <c r="G99" s="1">
        <v>25</v>
      </c>
      <c r="H99" s="1">
        <v>150</v>
      </c>
      <c r="I99" s="1">
        <v>100</v>
      </c>
      <c r="J99" s="1">
        <v>131.38800000000001</v>
      </c>
      <c r="K99" s="1">
        <v>34.305999999999997</v>
      </c>
      <c r="L99" s="1">
        <v>65.69</v>
      </c>
      <c r="M99" s="1">
        <v>60.9</v>
      </c>
      <c r="N99" s="1">
        <v>4.0960000000000003E-2</v>
      </c>
      <c r="O99" s="1">
        <v>3.1480000000000001E-4</v>
      </c>
      <c r="P99" s="1">
        <f>(Table1[[#This Row],[Rate_Constant_k2_g_mg_min]]*Table1[[#This Row],[Contact_Time_min]]*Table1[[#This Row],[qe_mg_g]]^2)/(1+Table1[[#This Row],[Contact_Time_min]]*Table1[[#This Row],[qe_mg_g]]*Table1[[#This Row],[Rate_Constant_k2_g_mg_min]])</f>
        <v>109.35528126443798</v>
      </c>
      <c r="Q99" s="1">
        <f>LN(Table1[[#This Row],[qe_mg_g]]-Table1[[#This Row],[qt]])</f>
        <v>3.0925285638017885</v>
      </c>
      <c r="R99" s="1">
        <v>2</v>
      </c>
    </row>
    <row r="100" spans="1:18" x14ac:dyDescent="0.3">
      <c r="A100" s="1">
        <v>99</v>
      </c>
      <c r="B100" s="1" t="s">
        <v>16</v>
      </c>
      <c r="C100" s="1">
        <v>0.5</v>
      </c>
      <c r="D100" s="1">
        <v>120</v>
      </c>
      <c r="E100" s="1">
        <v>100</v>
      </c>
      <c r="F100" s="1">
        <v>11</v>
      </c>
      <c r="G100" s="1">
        <v>25</v>
      </c>
      <c r="H100" s="1">
        <v>150</v>
      </c>
      <c r="I100" s="1">
        <v>100</v>
      </c>
      <c r="J100" s="1">
        <v>109.208</v>
      </c>
      <c r="K100" s="1">
        <v>45.396000000000001</v>
      </c>
      <c r="L100" s="1">
        <v>54.6</v>
      </c>
      <c r="M100" s="1">
        <v>85</v>
      </c>
      <c r="N100" s="1">
        <v>5.0310000000000001E-2</v>
      </c>
      <c r="O100" s="1">
        <v>2.8590000000000001E-4</v>
      </c>
      <c r="P100" s="1">
        <f>(Table1[[#This Row],[Rate_Constant_k2_g_mg_min]]*Table1[[#This Row],[Contact_Time_min]]*Table1[[#This Row],[qe_mg_g]]^2)/(1+Table1[[#This Row],[Contact_Time_min]]*Table1[[#This Row],[qe_mg_g]]*Table1[[#This Row],[Rate_Constant_k2_g_mg_min]])</f>
        <v>86.20089728216999</v>
      </c>
      <c r="Q100" s="1">
        <f>LN(Table1[[#This Row],[qe_mg_g]]-Table1[[#This Row],[qt]])</f>
        <v>3.1358029820746731</v>
      </c>
      <c r="R100" s="1">
        <v>3</v>
      </c>
    </row>
    <row r="101" spans="1:18" x14ac:dyDescent="0.3">
      <c r="A101" s="1">
        <v>100</v>
      </c>
      <c r="B101" s="1" t="s">
        <v>16</v>
      </c>
      <c r="C101" s="1">
        <v>0.5</v>
      </c>
      <c r="D101" s="1">
        <v>120</v>
      </c>
      <c r="E101" s="1">
        <v>200</v>
      </c>
      <c r="F101" s="1">
        <v>3</v>
      </c>
      <c r="G101" s="1">
        <v>25</v>
      </c>
      <c r="H101" s="1">
        <v>150</v>
      </c>
      <c r="I101" s="1">
        <v>100</v>
      </c>
      <c r="J101" s="1">
        <v>129.262</v>
      </c>
      <c r="K101" s="1">
        <v>135.369</v>
      </c>
      <c r="L101" s="1">
        <v>32.32</v>
      </c>
      <c r="M101" s="1">
        <v>80.2</v>
      </c>
      <c r="N101" s="1">
        <v>4.4479999999999999E-2</v>
      </c>
      <c r="O101" s="1">
        <v>3.3710000000000001E-4</v>
      </c>
      <c r="P101" s="1">
        <f>(Table1[[#This Row],[Rate_Constant_k2_g_mg_min]]*Table1[[#This Row],[Contact_Time_min]]*Table1[[#This Row],[qe_mg_g]]^2)/(1+Table1[[#This Row],[Contact_Time_min]]*Table1[[#This Row],[qe_mg_g]]*Table1[[#This Row],[Rate_Constant_k2_g_mg_min]])</f>
        <v>108.51004272192097</v>
      </c>
      <c r="Q101" s="1">
        <f>LN(Table1[[#This Row],[qe_mg_g]]-Table1[[#This Row],[qt]])</f>
        <v>3.0326405688826394</v>
      </c>
      <c r="R101" s="1">
        <v>1</v>
      </c>
    </row>
    <row r="102" spans="1:18" x14ac:dyDescent="0.3">
      <c r="A102" s="1">
        <v>101</v>
      </c>
      <c r="B102" s="1" t="s">
        <v>16</v>
      </c>
      <c r="C102" s="1">
        <v>0.5</v>
      </c>
      <c r="D102" s="1">
        <v>120</v>
      </c>
      <c r="E102" s="1">
        <v>200</v>
      </c>
      <c r="F102" s="1">
        <v>3</v>
      </c>
      <c r="G102" s="1">
        <v>25</v>
      </c>
      <c r="H102" s="1">
        <v>150</v>
      </c>
      <c r="I102" s="1">
        <v>100</v>
      </c>
      <c r="J102" s="1">
        <v>130.684</v>
      </c>
      <c r="K102" s="1">
        <v>134.65799999999999</v>
      </c>
      <c r="L102" s="1">
        <v>32.67</v>
      </c>
      <c r="M102" s="1">
        <v>60.7</v>
      </c>
      <c r="N102" s="1">
        <v>4.5019999999999998E-2</v>
      </c>
      <c r="O102" s="1">
        <v>3.0140000000000001E-4</v>
      </c>
      <c r="P102" s="1">
        <f>(Table1[[#This Row],[Rate_Constant_k2_g_mg_min]]*Table1[[#This Row],[Contact_Time_min]]*Table1[[#This Row],[qe_mg_g]]^2)/(1+Table1[[#This Row],[Contact_Time_min]]*Table1[[#This Row],[qe_mg_g]]*Table1[[#This Row],[Rate_Constant_k2_g_mg_min]])</f>
        <v>107.86339418836039</v>
      </c>
      <c r="Q102" s="1">
        <f>LN(Table1[[#This Row],[qe_mg_g]]-Table1[[#This Row],[qt]])</f>
        <v>3.1276638914803097</v>
      </c>
      <c r="R102" s="1">
        <v>2</v>
      </c>
    </row>
    <row r="103" spans="1:18" x14ac:dyDescent="0.3">
      <c r="A103" s="1">
        <v>102</v>
      </c>
      <c r="B103" s="1" t="s">
        <v>16</v>
      </c>
      <c r="C103" s="1">
        <v>0.5</v>
      </c>
      <c r="D103" s="1">
        <v>120</v>
      </c>
      <c r="E103" s="1">
        <v>200</v>
      </c>
      <c r="F103" s="1">
        <v>3</v>
      </c>
      <c r="G103" s="1">
        <v>25</v>
      </c>
      <c r="H103" s="1">
        <v>150</v>
      </c>
      <c r="I103" s="1">
        <v>100</v>
      </c>
      <c r="J103" s="1">
        <v>144.398</v>
      </c>
      <c r="K103" s="1">
        <v>127.801</v>
      </c>
      <c r="L103" s="1">
        <v>36.1</v>
      </c>
      <c r="M103" s="1">
        <v>72.900000000000006</v>
      </c>
      <c r="N103" s="1">
        <v>4.02E-2</v>
      </c>
      <c r="O103" s="1">
        <v>2.9569999999999998E-4</v>
      </c>
      <c r="P103" s="1">
        <f>(Table1[[#This Row],[Rate_Constant_k2_g_mg_min]]*Table1[[#This Row],[Contact_Time_min]]*Table1[[#This Row],[qe_mg_g]]^2)/(1+Table1[[#This Row],[Contact_Time_min]]*Table1[[#This Row],[qe_mg_g]]*Table1[[#This Row],[Rate_Constant_k2_g_mg_min]])</f>
        <v>120.81826835258499</v>
      </c>
      <c r="Q103" s="1">
        <f>LN(Table1[[#This Row],[qe_mg_g]]-Table1[[#This Row],[qt]])</f>
        <v>3.1603875145277147</v>
      </c>
      <c r="R103" s="1">
        <v>3</v>
      </c>
    </row>
    <row r="104" spans="1:18" x14ac:dyDescent="0.3">
      <c r="A104" s="1">
        <v>103</v>
      </c>
      <c r="B104" s="1" t="s">
        <v>16</v>
      </c>
      <c r="C104" s="1">
        <v>0.5</v>
      </c>
      <c r="D104" s="1">
        <v>120</v>
      </c>
      <c r="E104" s="1">
        <v>200</v>
      </c>
      <c r="F104" s="1">
        <v>7</v>
      </c>
      <c r="G104" s="1">
        <v>25</v>
      </c>
      <c r="H104" s="1">
        <v>150</v>
      </c>
      <c r="I104" s="1">
        <v>100</v>
      </c>
      <c r="J104" s="1">
        <v>208.84</v>
      </c>
      <c r="K104" s="1">
        <v>95.58</v>
      </c>
      <c r="L104" s="1">
        <v>52.21</v>
      </c>
      <c r="M104" s="1">
        <v>71.8</v>
      </c>
      <c r="N104" s="1">
        <v>4.82E-2</v>
      </c>
      <c r="O104" s="1">
        <v>2.6630000000000002E-4</v>
      </c>
      <c r="P104" s="1">
        <f>(Table1[[#This Row],[Rate_Constant_k2_g_mg_min]]*Table1[[#This Row],[Contact_Time_min]]*Table1[[#This Row],[qe_mg_g]]^2)/(1+Table1[[#This Row],[Contact_Time_min]]*Table1[[#This Row],[qe_mg_g]]*Table1[[#This Row],[Rate_Constant_k2_g_mg_min]])</f>
        <v>181.62493505779719</v>
      </c>
      <c r="Q104" s="1">
        <f>LN(Table1[[#This Row],[qe_mg_g]]-Table1[[#This Row],[qt]])</f>
        <v>3.3037706781483469</v>
      </c>
      <c r="R104" s="1">
        <v>1</v>
      </c>
    </row>
    <row r="105" spans="1:18" x14ac:dyDescent="0.3">
      <c r="A105" s="1">
        <v>104</v>
      </c>
      <c r="B105" s="1" t="s">
        <v>16</v>
      </c>
      <c r="C105" s="1">
        <v>0.5</v>
      </c>
      <c r="D105" s="1">
        <v>120</v>
      </c>
      <c r="E105" s="1">
        <v>200</v>
      </c>
      <c r="F105" s="1">
        <v>7</v>
      </c>
      <c r="G105" s="1">
        <v>25</v>
      </c>
      <c r="H105" s="1">
        <v>150</v>
      </c>
      <c r="I105" s="1">
        <v>100</v>
      </c>
      <c r="J105" s="1">
        <v>181.46299999999999</v>
      </c>
      <c r="K105" s="1">
        <v>109.26900000000001</v>
      </c>
      <c r="L105" s="1">
        <v>45.37</v>
      </c>
      <c r="M105" s="1">
        <v>79.400000000000006</v>
      </c>
      <c r="N105" s="1">
        <v>4.65E-2</v>
      </c>
      <c r="O105" s="1">
        <v>2.7750000000000002E-4</v>
      </c>
      <c r="P105" s="1">
        <f>(Table1[[#This Row],[Rate_Constant_k2_g_mg_min]]*Table1[[#This Row],[Contact_Time_min]]*Table1[[#This Row],[qe_mg_g]]^2)/(1+Table1[[#This Row],[Contact_Time_min]]*Table1[[#This Row],[qe_mg_g]]*Table1[[#This Row],[Rate_Constant_k2_g_mg_min]])</f>
        <v>155.69695305951419</v>
      </c>
      <c r="Q105" s="1">
        <f>LN(Table1[[#This Row],[qe_mg_g]]-Table1[[#This Row],[qt]])</f>
        <v>3.2490576151671693</v>
      </c>
      <c r="R105" s="1">
        <v>2</v>
      </c>
    </row>
    <row r="106" spans="1:18" x14ac:dyDescent="0.3">
      <c r="A106" s="1">
        <v>105</v>
      </c>
      <c r="B106" s="1" t="s">
        <v>16</v>
      </c>
      <c r="C106" s="1">
        <v>0.5</v>
      </c>
      <c r="D106" s="1">
        <v>120</v>
      </c>
      <c r="E106" s="1">
        <v>200</v>
      </c>
      <c r="F106" s="1">
        <v>7</v>
      </c>
      <c r="G106" s="1">
        <v>25</v>
      </c>
      <c r="H106" s="1">
        <v>150</v>
      </c>
      <c r="I106" s="1">
        <v>100</v>
      </c>
      <c r="J106" s="1">
        <v>232.518</v>
      </c>
      <c r="K106" s="1">
        <v>83.741</v>
      </c>
      <c r="L106" s="1">
        <v>58.13</v>
      </c>
      <c r="M106" s="1">
        <v>67.8</v>
      </c>
      <c r="N106" s="1">
        <v>5.0310000000000001E-2</v>
      </c>
      <c r="O106" s="1">
        <v>3.0200000000000002E-4</v>
      </c>
      <c r="P106" s="1">
        <f>(Table1[[#This Row],[Rate_Constant_k2_g_mg_min]]*Table1[[#This Row],[Contact_Time_min]]*Table1[[#This Row],[qe_mg_g]]^2)/(1+Table1[[#This Row],[Contact_Time_min]]*Table1[[#This Row],[qe_mg_g]]*Table1[[#This Row],[Rate_Constant_k2_g_mg_min]])</f>
        <v>207.85145609708658</v>
      </c>
      <c r="Q106" s="1">
        <f>LN(Table1[[#This Row],[qe_mg_g]]-Table1[[#This Row],[qt]])</f>
        <v>3.2054478276147598</v>
      </c>
      <c r="R106" s="1">
        <v>3</v>
      </c>
    </row>
    <row r="107" spans="1:18" x14ac:dyDescent="0.3">
      <c r="A107" s="1">
        <v>106</v>
      </c>
      <c r="B107" s="1" t="s">
        <v>16</v>
      </c>
      <c r="C107" s="1">
        <v>0.5</v>
      </c>
      <c r="D107" s="1">
        <v>120</v>
      </c>
      <c r="E107" s="1">
        <v>200</v>
      </c>
      <c r="F107" s="1">
        <v>11</v>
      </c>
      <c r="G107" s="1">
        <v>25</v>
      </c>
      <c r="H107" s="1">
        <v>150</v>
      </c>
      <c r="I107" s="1">
        <v>100</v>
      </c>
      <c r="J107" s="1">
        <v>201.01</v>
      </c>
      <c r="K107" s="1">
        <v>99.495000000000005</v>
      </c>
      <c r="L107" s="1">
        <v>50.25</v>
      </c>
      <c r="M107" s="1">
        <v>84.2</v>
      </c>
      <c r="N107" s="1">
        <v>4.3880000000000002E-2</v>
      </c>
      <c r="O107" s="1">
        <v>3.2909999999999998E-4</v>
      </c>
      <c r="P107" s="1">
        <f>(Table1[[#This Row],[Rate_Constant_k2_g_mg_min]]*Table1[[#This Row],[Contact_Time_min]]*Table1[[#This Row],[qe_mg_g]]^2)/(1+Table1[[#This Row],[Contact_Time_min]]*Table1[[#This Row],[qe_mg_g]]*Table1[[#This Row],[Rate_Constant_k2_g_mg_min]])</f>
        <v>178.52135068731937</v>
      </c>
      <c r="Q107" s="1">
        <f>LN(Table1[[#This Row],[qe_mg_g]]-Table1[[#This Row],[qt]])</f>
        <v>3.1130107069280815</v>
      </c>
      <c r="R107" s="1">
        <v>1</v>
      </c>
    </row>
    <row r="108" spans="1:18" x14ac:dyDescent="0.3">
      <c r="A108" s="1">
        <v>107</v>
      </c>
      <c r="B108" s="1" t="s">
        <v>16</v>
      </c>
      <c r="C108" s="1">
        <v>0.5</v>
      </c>
      <c r="D108" s="1">
        <v>120</v>
      </c>
      <c r="E108" s="1">
        <v>200</v>
      </c>
      <c r="F108" s="1">
        <v>11</v>
      </c>
      <c r="G108" s="1">
        <v>25</v>
      </c>
      <c r="H108" s="1">
        <v>150</v>
      </c>
      <c r="I108" s="1">
        <v>100</v>
      </c>
      <c r="J108" s="1">
        <v>181.471</v>
      </c>
      <c r="K108" s="1">
        <v>109.265</v>
      </c>
      <c r="L108" s="1">
        <v>45.37</v>
      </c>
      <c r="M108" s="1">
        <v>80.400000000000006</v>
      </c>
      <c r="N108" s="1">
        <v>4.0660000000000002E-2</v>
      </c>
      <c r="O108" s="1">
        <v>3.2059999999999999E-4</v>
      </c>
      <c r="P108" s="1">
        <f>(Table1[[#This Row],[Rate_Constant_k2_g_mg_min]]*Table1[[#This Row],[Contact_Time_min]]*Table1[[#This Row],[qe_mg_g]]^2)/(1+Table1[[#This Row],[Contact_Time_min]]*Table1[[#This Row],[qe_mg_g]]*Table1[[#This Row],[Rate_Constant_k2_g_mg_min]])</f>
        <v>158.73469596962178</v>
      </c>
      <c r="Q108" s="1">
        <f>LN(Table1[[#This Row],[qe_mg_g]]-Table1[[#This Row],[qt]])</f>
        <v>3.1239629434670539</v>
      </c>
      <c r="R108" s="1">
        <v>2</v>
      </c>
    </row>
    <row r="109" spans="1:18" x14ac:dyDescent="0.3">
      <c r="A109" s="1">
        <v>108</v>
      </c>
      <c r="B109" s="1" t="s">
        <v>16</v>
      </c>
      <c r="C109" s="1">
        <v>0.5</v>
      </c>
      <c r="D109" s="1">
        <v>120</v>
      </c>
      <c r="E109" s="1">
        <v>200</v>
      </c>
      <c r="F109" s="1">
        <v>11</v>
      </c>
      <c r="G109" s="1">
        <v>25</v>
      </c>
      <c r="H109" s="1">
        <v>150</v>
      </c>
      <c r="I109" s="1">
        <v>100</v>
      </c>
      <c r="J109" s="1">
        <v>187.173</v>
      </c>
      <c r="K109" s="1">
        <v>106.414</v>
      </c>
      <c r="L109" s="1">
        <v>46.79</v>
      </c>
      <c r="M109" s="1">
        <v>49.1</v>
      </c>
      <c r="N109" s="1">
        <v>3.968E-2</v>
      </c>
      <c r="O109" s="1">
        <v>2.388E-4</v>
      </c>
      <c r="P109" s="1">
        <f>(Table1[[#This Row],[Rate_Constant_k2_g_mg_min]]*Table1[[#This Row],[Contact_Time_min]]*Table1[[#This Row],[qe_mg_g]]^2)/(1+Table1[[#This Row],[Contact_Time_min]]*Table1[[#This Row],[qe_mg_g]]*Table1[[#This Row],[Rate_Constant_k2_g_mg_min]])</f>
        <v>157.76006822058775</v>
      </c>
      <c r="Q109" s="1">
        <f>LN(Table1[[#This Row],[qe_mg_g]]-Table1[[#This Row],[qt]])</f>
        <v>3.3814344340787419</v>
      </c>
      <c r="R109" s="1">
        <v>3</v>
      </c>
    </row>
    <row r="110" spans="1:18" x14ac:dyDescent="0.3">
      <c r="A110" s="1">
        <v>109</v>
      </c>
      <c r="B110" s="1" t="s">
        <v>16</v>
      </c>
      <c r="C110" s="1">
        <v>0.5</v>
      </c>
      <c r="D110" s="1">
        <v>240</v>
      </c>
      <c r="E110" s="1">
        <v>25</v>
      </c>
      <c r="F110" s="1">
        <v>3</v>
      </c>
      <c r="G110" s="1">
        <v>25</v>
      </c>
      <c r="H110" s="1">
        <v>150</v>
      </c>
      <c r="I110" s="1">
        <v>100</v>
      </c>
      <c r="J110" s="1">
        <v>24.687000000000001</v>
      </c>
      <c r="K110" s="1">
        <v>12.656000000000001</v>
      </c>
      <c r="L110" s="1">
        <v>49.37</v>
      </c>
      <c r="M110" s="1">
        <v>73.8</v>
      </c>
      <c r="N110" s="1">
        <v>5.176E-2</v>
      </c>
      <c r="O110" s="1">
        <v>3.0219999999999997E-4</v>
      </c>
      <c r="P110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15.840194344252877</v>
      </c>
      <c r="Q110" s="1">
        <f>LN(Table1[[#This Row],[qe_mg_g]]-Table1[[#This Row],[qt]])</f>
        <v>2.1800564510108553</v>
      </c>
      <c r="R110" s="1">
        <v>1</v>
      </c>
    </row>
    <row r="111" spans="1:18" x14ac:dyDescent="0.3">
      <c r="A111" s="1">
        <v>110</v>
      </c>
      <c r="B111" s="1" t="s">
        <v>16</v>
      </c>
      <c r="C111" s="1">
        <v>0.5</v>
      </c>
      <c r="D111" s="1">
        <v>240</v>
      </c>
      <c r="E111" s="1">
        <v>25</v>
      </c>
      <c r="F111" s="1">
        <v>3</v>
      </c>
      <c r="G111" s="1">
        <v>25</v>
      </c>
      <c r="H111" s="1">
        <v>150</v>
      </c>
      <c r="I111" s="1">
        <v>100</v>
      </c>
      <c r="J111" s="1">
        <v>28.518999999999998</v>
      </c>
      <c r="K111" s="1">
        <v>10.741</v>
      </c>
      <c r="L111" s="1">
        <v>57.04</v>
      </c>
      <c r="M111" s="1">
        <v>52.9</v>
      </c>
      <c r="N111" s="1">
        <v>3.7330000000000002E-2</v>
      </c>
      <c r="O111" s="1">
        <v>2.9829999999999999E-4</v>
      </c>
      <c r="P111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19.143092564770679</v>
      </c>
      <c r="Q111" s="1">
        <f>LN(Table1[[#This Row],[qe_mg_g]]-Table1[[#This Row],[qt]])</f>
        <v>2.2381433602634528</v>
      </c>
      <c r="R111" s="1">
        <v>2</v>
      </c>
    </row>
    <row r="112" spans="1:18" x14ac:dyDescent="0.3">
      <c r="A112" s="1">
        <v>111</v>
      </c>
      <c r="B112" s="1" t="s">
        <v>16</v>
      </c>
      <c r="C112" s="1">
        <v>0.5</v>
      </c>
      <c r="D112" s="1">
        <v>240</v>
      </c>
      <c r="E112" s="1">
        <v>25</v>
      </c>
      <c r="F112" s="1">
        <v>3</v>
      </c>
      <c r="G112" s="1">
        <v>25</v>
      </c>
      <c r="H112" s="1">
        <v>150</v>
      </c>
      <c r="I112" s="1">
        <v>100</v>
      </c>
      <c r="J112" s="1">
        <v>26.006</v>
      </c>
      <c r="K112" s="1">
        <v>11.997</v>
      </c>
      <c r="L112" s="1">
        <v>52.01</v>
      </c>
      <c r="M112" s="1">
        <v>66.3</v>
      </c>
      <c r="N112" s="1">
        <v>3.5700000000000003E-2</v>
      </c>
      <c r="O112" s="1">
        <v>2.9730000000000002E-4</v>
      </c>
      <c r="P112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16.898918783572196</v>
      </c>
      <c r="Q112" s="1">
        <f>LN(Table1[[#This Row],[qe_mg_g]]-Table1[[#This Row],[qt]])</f>
        <v>2.2090522665680754</v>
      </c>
      <c r="R112" s="1">
        <v>3</v>
      </c>
    </row>
    <row r="113" spans="1:18" x14ac:dyDescent="0.3">
      <c r="A113" s="1">
        <v>112</v>
      </c>
      <c r="B113" s="1" t="s">
        <v>16</v>
      </c>
      <c r="C113" s="1">
        <v>0.5</v>
      </c>
      <c r="D113" s="1">
        <v>240</v>
      </c>
      <c r="E113" s="1">
        <v>25</v>
      </c>
      <c r="F113" s="1">
        <v>7</v>
      </c>
      <c r="G113" s="1">
        <v>25</v>
      </c>
      <c r="H113" s="1">
        <v>150</v>
      </c>
      <c r="I113" s="1">
        <v>100</v>
      </c>
      <c r="J113" s="1">
        <v>32.424999999999997</v>
      </c>
      <c r="K113" s="1">
        <v>8.7880000000000003</v>
      </c>
      <c r="L113" s="1">
        <v>64.849999999999994</v>
      </c>
      <c r="M113" s="1">
        <v>73.400000000000006</v>
      </c>
      <c r="N113" s="1">
        <v>4.6649999999999997E-2</v>
      </c>
      <c r="O113" s="1">
        <v>2.7179999999999999E-4</v>
      </c>
      <c r="P113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22.016183416156583</v>
      </c>
      <c r="Q113" s="1">
        <f>LN(Table1[[#This Row],[qe_mg_g]]-Table1[[#This Row],[qt]])</f>
        <v>2.3426531954580518</v>
      </c>
      <c r="R113" s="1">
        <v>1</v>
      </c>
    </row>
    <row r="114" spans="1:18" x14ac:dyDescent="0.3">
      <c r="A114" s="1">
        <v>113</v>
      </c>
      <c r="B114" s="1" t="s">
        <v>16</v>
      </c>
      <c r="C114" s="1">
        <v>0.5</v>
      </c>
      <c r="D114" s="1">
        <v>240</v>
      </c>
      <c r="E114" s="1">
        <v>25</v>
      </c>
      <c r="F114" s="1">
        <v>7</v>
      </c>
      <c r="G114" s="1">
        <v>25</v>
      </c>
      <c r="H114" s="1">
        <v>150</v>
      </c>
      <c r="I114" s="1">
        <v>100</v>
      </c>
      <c r="J114" s="1">
        <v>34.715000000000003</v>
      </c>
      <c r="K114" s="1">
        <v>7.6429999999999998</v>
      </c>
      <c r="L114" s="1">
        <v>69.430000000000007</v>
      </c>
      <c r="M114" s="1">
        <v>56.1</v>
      </c>
      <c r="N114" s="1">
        <v>4.4720000000000003E-2</v>
      </c>
      <c r="O114" s="1">
        <v>3.2870000000000002E-4</v>
      </c>
      <c r="P114" s="1">
        <f>(Table1[[#This Row],[Rate_Constant_k2_g_mg_min]]*Table1[[#This Row],[Contact_Time_min]]*Table1[[#This Row],[qe_mg_g]]^2)/(1+Table1[[#This Row],[Contact_Time_min]]*Table1[[#This Row],[qe_mg_g]]*Table1[[#This Row],[Rate_Constant_k2_g_mg_min]])</f>
        <v>25.429430910085919</v>
      </c>
      <c r="Q114" s="1">
        <f>LN(Table1[[#This Row],[qe_mg_g]]-Table1[[#This Row],[qt]])</f>
        <v>2.2284614842472821</v>
      </c>
      <c r="R114" s="1">
        <v>2</v>
      </c>
    </row>
    <row r="115" spans="1:18" x14ac:dyDescent="0.3">
      <c r="A115" s="1">
        <v>114</v>
      </c>
      <c r="B115" s="1" t="s">
        <v>16</v>
      </c>
      <c r="C115" s="1">
        <v>0.5</v>
      </c>
      <c r="D115" s="1">
        <v>240</v>
      </c>
      <c r="E115" s="1">
        <v>25</v>
      </c>
      <c r="F115" s="1">
        <v>7</v>
      </c>
      <c r="G115" s="1">
        <v>25</v>
      </c>
      <c r="H115" s="1">
        <v>150</v>
      </c>
      <c r="I115" s="1">
        <v>100</v>
      </c>
      <c r="J115" s="1">
        <v>33.347999999999999</v>
      </c>
      <c r="K115" s="1">
        <v>8.3260000000000005</v>
      </c>
      <c r="L115" s="1">
        <v>66.7</v>
      </c>
      <c r="M115" s="1">
        <v>71.7</v>
      </c>
      <c r="N115" s="1">
        <v>4.2610000000000002E-2</v>
      </c>
      <c r="O115" s="1">
        <v>2.7619999999999999E-4</v>
      </c>
      <c r="P115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22.961066558442884</v>
      </c>
      <c r="Q115" s="1">
        <f>LN(Table1[[#This Row],[qe_mg_g]]-Table1[[#This Row],[qt]])</f>
        <v>2.3405486163650413</v>
      </c>
      <c r="R115" s="1">
        <v>3</v>
      </c>
    </row>
    <row r="116" spans="1:18" x14ac:dyDescent="0.3">
      <c r="A116" s="1">
        <v>115</v>
      </c>
      <c r="B116" s="1" t="s">
        <v>16</v>
      </c>
      <c r="C116" s="1">
        <v>0.5</v>
      </c>
      <c r="D116" s="1">
        <v>240</v>
      </c>
      <c r="E116" s="1">
        <v>25</v>
      </c>
      <c r="F116" s="1">
        <v>11</v>
      </c>
      <c r="G116" s="1">
        <v>25</v>
      </c>
      <c r="H116" s="1">
        <v>150</v>
      </c>
      <c r="I116" s="1">
        <v>100</v>
      </c>
      <c r="J116" s="1">
        <v>29.327000000000002</v>
      </c>
      <c r="K116" s="1">
        <v>10.337</v>
      </c>
      <c r="L116" s="1">
        <v>58.65</v>
      </c>
      <c r="M116" s="1">
        <v>56.3</v>
      </c>
      <c r="N116" s="1">
        <v>4.2509999999999999E-2</v>
      </c>
      <c r="O116" s="1">
        <v>2.6410000000000002E-4</v>
      </c>
      <c r="P116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19.068724443747385</v>
      </c>
      <c r="Q116" s="1">
        <f>LN(Table1[[#This Row],[qe_mg_g]]-Table1[[#This Row],[qt]])</f>
        <v>2.328084751177216</v>
      </c>
      <c r="R116" s="1">
        <v>1</v>
      </c>
    </row>
    <row r="117" spans="1:18" x14ac:dyDescent="0.3">
      <c r="A117" s="1">
        <v>116</v>
      </c>
      <c r="B117" s="1" t="s">
        <v>16</v>
      </c>
      <c r="C117" s="1">
        <v>0.5</v>
      </c>
      <c r="D117" s="1">
        <v>240</v>
      </c>
      <c r="E117" s="1">
        <v>25</v>
      </c>
      <c r="F117" s="1">
        <v>11</v>
      </c>
      <c r="G117" s="1">
        <v>25</v>
      </c>
      <c r="H117" s="1">
        <v>150</v>
      </c>
      <c r="I117" s="1">
        <v>100</v>
      </c>
      <c r="J117" s="1">
        <v>34.229999999999997</v>
      </c>
      <c r="K117" s="1">
        <v>7.8849999999999998</v>
      </c>
      <c r="L117" s="1">
        <v>68.459999999999994</v>
      </c>
      <c r="M117" s="1">
        <v>67</v>
      </c>
      <c r="N117" s="1">
        <v>4.1849999999999998E-2</v>
      </c>
      <c r="O117" s="1">
        <v>3.0640000000000002E-4</v>
      </c>
      <c r="P117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24.497653129536072</v>
      </c>
      <c r="Q117" s="1">
        <f>LN(Table1[[#This Row],[qe_mg_g]]-Table1[[#This Row],[qt]])</f>
        <v>2.2754550665450379</v>
      </c>
      <c r="R117" s="1">
        <v>2</v>
      </c>
    </row>
    <row r="118" spans="1:18" x14ac:dyDescent="0.3">
      <c r="A118" s="1">
        <v>117</v>
      </c>
      <c r="B118" s="1" t="s">
        <v>16</v>
      </c>
      <c r="C118" s="1">
        <v>0.5</v>
      </c>
      <c r="D118" s="1">
        <v>240</v>
      </c>
      <c r="E118" s="1">
        <v>25</v>
      </c>
      <c r="F118" s="1">
        <v>11</v>
      </c>
      <c r="G118" s="1">
        <v>25</v>
      </c>
      <c r="H118" s="1">
        <v>150</v>
      </c>
      <c r="I118" s="1">
        <v>100</v>
      </c>
      <c r="J118" s="1">
        <v>29.314</v>
      </c>
      <c r="K118" s="1">
        <v>10.343</v>
      </c>
      <c r="L118" s="1">
        <v>58.63</v>
      </c>
      <c r="M118" s="1">
        <v>64.5</v>
      </c>
      <c r="N118" s="1">
        <v>4.7759999999999997E-2</v>
      </c>
      <c r="O118" s="1">
        <v>3.2269999999999998E-4</v>
      </c>
      <c r="P118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20.350325615488803</v>
      </c>
      <c r="Q118" s="1">
        <f>LN(Table1[[#This Row],[qe_mg_g]]-Table1[[#This Row],[qt]])</f>
        <v>2.1931802304809715</v>
      </c>
      <c r="R118" s="1">
        <v>3</v>
      </c>
    </row>
    <row r="119" spans="1:18" x14ac:dyDescent="0.3">
      <c r="A119" s="1">
        <v>118</v>
      </c>
      <c r="B119" s="1" t="s">
        <v>16</v>
      </c>
      <c r="C119" s="1">
        <v>0.5</v>
      </c>
      <c r="D119" s="1">
        <v>240</v>
      </c>
      <c r="E119" s="1">
        <v>50</v>
      </c>
      <c r="F119" s="1">
        <v>3</v>
      </c>
      <c r="G119" s="1">
        <v>25</v>
      </c>
      <c r="H119" s="1">
        <v>150</v>
      </c>
      <c r="I119" s="1">
        <v>100</v>
      </c>
      <c r="J119" s="1">
        <v>55.146000000000001</v>
      </c>
      <c r="K119" s="1">
        <v>22.427</v>
      </c>
      <c r="L119" s="1">
        <v>55.15</v>
      </c>
      <c r="M119" s="1">
        <v>60.9</v>
      </c>
      <c r="N119" s="1">
        <v>4.376E-2</v>
      </c>
      <c r="O119" s="1">
        <v>2.309E-4</v>
      </c>
      <c r="P119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41.549748057022462</v>
      </c>
      <c r="Q119" s="1">
        <f>LN(Table1[[#This Row],[qe_mg_g]]-Table1[[#This Row],[qt]])</f>
        <v>2.6097941623313123</v>
      </c>
      <c r="R119" s="1">
        <v>1</v>
      </c>
    </row>
    <row r="120" spans="1:18" x14ac:dyDescent="0.3">
      <c r="A120" s="1">
        <v>119</v>
      </c>
      <c r="B120" s="1" t="s">
        <v>16</v>
      </c>
      <c r="C120" s="1">
        <v>0.5</v>
      </c>
      <c r="D120" s="1">
        <v>240</v>
      </c>
      <c r="E120" s="1">
        <v>50</v>
      </c>
      <c r="F120" s="1">
        <v>3</v>
      </c>
      <c r="G120" s="1">
        <v>25</v>
      </c>
      <c r="H120" s="1">
        <v>150</v>
      </c>
      <c r="I120" s="1">
        <v>100</v>
      </c>
      <c r="J120" s="1">
        <v>50.609000000000002</v>
      </c>
      <c r="K120" s="1">
        <v>24.695</v>
      </c>
      <c r="L120" s="1">
        <v>50.61</v>
      </c>
      <c r="M120" s="1">
        <v>80.3</v>
      </c>
      <c r="N120" s="1">
        <v>5.2400000000000002E-2</v>
      </c>
      <c r="O120" s="1">
        <v>2.9250000000000001E-4</v>
      </c>
      <c r="P120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39.492865797384347</v>
      </c>
      <c r="Q120" s="1">
        <f>LN(Table1[[#This Row],[qe_mg_g]]-Table1[[#This Row],[qt]])</f>
        <v>2.4083975847307029</v>
      </c>
      <c r="R120" s="1">
        <v>2</v>
      </c>
    </row>
    <row r="121" spans="1:18" x14ac:dyDescent="0.3">
      <c r="A121" s="1">
        <v>120</v>
      </c>
      <c r="B121" s="1" t="s">
        <v>16</v>
      </c>
      <c r="C121" s="1">
        <v>0.5</v>
      </c>
      <c r="D121" s="1">
        <v>240</v>
      </c>
      <c r="E121" s="1">
        <v>50</v>
      </c>
      <c r="F121" s="1">
        <v>3</v>
      </c>
      <c r="G121" s="1">
        <v>25</v>
      </c>
      <c r="H121" s="1">
        <v>150</v>
      </c>
      <c r="I121" s="1">
        <v>100</v>
      </c>
      <c r="J121" s="1">
        <v>60.247</v>
      </c>
      <c r="K121" s="1">
        <v>19.876999999999999</v>
      </c>
      <c r="L121" s="1">
        <v>60.25</v>
      </c>
      <c r="M121" s="1">
        <v>69.8</v>
      </c>
      <c r="N121" s="1">
        <v>5.885E-2</v>
      </c>
      <c r="O121" s="1">
        <v>3.3359999999999998E-4</v>
      </c>
      <c r="P121" s="1">
        <f>(Table1[[#This Row],[Rate_Constant_k2_g_mg_min]]*Table1[[#This Row],[Contact_Time_min]]*Table1[[#This Row],[qe_mg_g]]^2)/(1+Table1[[#This Row],[Contact_Time_min]]*Table1[[#This Row],[qe_mg_g]]*Table1[[#This Row],[Rate_Constant_k2_g_mg_min]])</f>
        <v>49.901709035366366</v>
      </c>
      <c r="Q121" s="1">
        <f>LN(Table1[[#This Row],[qe_mg_g]]-Table1[[#This Row],[qt]])</f>
        <v>2.3365314369144574</v>
      </c>
      <c r="R121" s="1">
        <v>3</v>
      </c>
    </row>
    <row r="122" spans="1:18" x14ac:dyDescent="0.3">
      <c r="A122" s="1">
        <v>121</v>
      </c>
      <c r="B122" s="1" t="s">
        <v>16</v>
      </c>
      <c r="C122" s="1">
        <v>0.5</v>
      </c>
      <c r="D122" s="1">
        <v>240</v>
      </c>
      <c r="E122" s="1">
        <v>50</v>
      </c>
      <c r="F122" s="1">
        <v>7</v>
      </c>
      <c r="G122" s="1">
        <v>25</v>
      </c>
      <c r="H122" s="1">
        <v>150</v>
      </c>
      <c r="I122" s="1">
        <v>100</v>
      </c>
      <c r="J122" s="1">
        <v>79.317999999999998</v>
      </c>
      <c r="K122" s="1">
        <v>10.340999999999999</v>
      </c>
      <c r="L122" s="1">
        <v>79.319999999999993</v>
      </c>
      <c r="M122" s="1">
        <v>57.1</v>
      </c>
      <c r="N122" s="1">
        <v>3.7769999999999998E-2</v>
      </c>
      <c r="O122" s="1">
        <v>3.0610000000000001E-4</v>
      </c>
      <c r="P122" s="1">
        <f>(Table1[[#This Row],[Rate_Constant_k2_g_mg_min]]*Table1[[#This Row],[Contact_Time_min]]*Table1[[#This Row],[qe_mg_g]]^2)/(1+Table1[[#This Row],[Contact_Time_min]]*Table1[[#This Row],[qe_mg_g]]*Table1[[#This Row],[Rate_Constant_k2_g_mg_min]])</f>
        <v>67.699749512748284</v>
      </c>
      <c r="Q122" s="1">
        <f>LN(Table1[[#This Row],[qe_mg_g]]-Table1[[#This Row],[qt]])</f>
        <v>2.4525771796109215</v>
      </c>
      <c r="R122" s="1">
        <v>1</v>
      </c>
    </row>
    <row r="123" spans="1:18" x14ac:dyDescent="0.3">
      <c r="A123" s="1">
        <v>122</v>
      </c>
      <c r="B123" s="1" t="s">
        <v>16</v>
      </c>
      <c r="C123" s="1">
        <v>0.5</v>
      </c>
      <c r="D123" s="1">
        <v>240</v>
      </c>
      <c r="E123" s="1">
        <v>50</v>
      </c>
      <c r="F123" s="1">
        <v>7</v>
      </c>
      <c r="G123" s="1">
        <v>25</v>
      </c>
      <c r="H123" s="1">
        <v>150</v>
      </c>
      <c r="I123" s="1">
        <v>100</v>
      </c>
      <c r="J123" s="1">
        <v>75.289000000000001</v>
      </c>
      <c r="K123" s="1">
        <v>12.356</v>
      </c>
      <c r="L123" s="1">
        <v>75.290000000000006</v>
      </c>
      <c r="M123" s="1">
        <v>52.4</v>
      </c>
      <c r="N123" s="1">
        <v>4.2090000000000002E-2</v>
      </c>
      <c r="O123" s="1">
        <v>2.676E-4</v>
      </c>
      <c r="P123" s="1">
        <f>(Table1[[#This Row],[Rate_Constant_k2_g_mg_min]]*Table1[[#This Row],[Contact_Time_min]]*Table1[[#This Row],[qe_mg_g]]^2)/(1+Table1[[#This Row],[Contact_Time_min]]*Table1[[#This Row],[qe_mg_g]]*Table1[[#This Row],[Rate_Constant_k2_g_mg_min]])</f>
        <v>62.386798507036467</v>
      </c>
      <c r="Q123" s="1">
        <f>LN(Table1[[#This Row],[qe_mg_g]]-Table1[[#This Row],[qt]])</f>
        <v>2.5573979551764099</v>
      </c>
      <c r="R123" s="1">
        <v>2</v>
      </c>
    </row>
    <row r="124" spans="1:18" x14ac:dyDescent="0.3">
      <c r="A124" s="1">
        <v>123</v>
      </c>
      <c r="B124" s="1" t="s">
        <v>16</v>
      </c>
      <c r="C124" s="1">
        <v>0.5</v>
      </c>
      <c r="D124" s="1">
        <v>240</v>
      </c>
      <c r="E124" s="1">
        <v>50</v>
      </c>
      <c r="F124" s="1">
        <v>7</v>
      </c>
      <c r="G124" s="1">
        <v>25</v>
      </c>
      <c r="H124" s="1">
        <v>150</v>
      </c>
      <c r="I124" s="1">
        <v>100</v>
      </c>
      <c r="J124" s="1">
        <v>90.953999999999994</v>
      </c>
      <c r="K124" s="1">
        <v>4.5229999999999997</v>
      </c>
      <c r="L124" s="1">
        <v>90.95</v>
      </c>
      <c r="M124" s="1">
        <v>75.5</v>
      </c>
      <c r="N124" s="1">
        <v>4.496E-2</v>
      </c>
      <c r="O124" s="1">
        <v>3.4440000000000002E-4</v>
      </c>
      <c r="P124" s="1">
        <f>(Table1[[#This Row],[Rate_Constant_k2_g_mg_min]]*Table1[[#This Row],[Contact_Time_min]]*Table1[[#This Row],[qe_mg_g]]^2)/(1+Table1[[#This Row],[Contact_Time_min]]*Table1[[#This Row],[qe_mg_g]]*Table1[[#This Row],[Rate_Constant_k2_g_mg_min]])</f>
        <v>80.276008247657614</v>
      </c>
      <c r="Q124" s="1">
        <f>LN(Table1[[#This Row],[qe_mg_g]]-Table1[[#This Row],[qt]])</f>
        <v>2.3681847776804661</v>
      </c>
      <c r="R124" s="1">
        <v>3</v>
      </c>
    </row>
    <row r="125" spans="1:18" x14ac:dyDescent="0.3">
      <c r="A125" s="1">
        <v>124</v>
      </c>
      <c r="B125" s="1" t="s">
        <v>16</v>
      </c>
      <c r="C125" s="1">
        <v>0.5</v>
      </c>
      <c r="D125" s="1">
        <v>240</v>
      </c>
      <c r="E125" s="1">
        <v>50</v>
      </c>
      <c r="F125" s="1">
        <v>11</v>
      </c>
      <c r="G125" s="1">
        <v>25</v>
      </c>
      <c r="H125" s="1">
        <v>150</v>
      </c>
      <c r="I125" s="1">
        <v>100</v>
      </c>
      <c r="J125" s="1">
        <v>66.991</v>
      </c>
      <c r="K125" s="1">
        <v>16.504000000000001</v>
      </c>
      <c r="L125" s="1">
        <v>66.989999999999995</v>
      </c>
      <c r="M125" s="1">
        <v>58.1</v>
      </c>
      <c r="N125" s="1">
        <v>5.185E-2</v>
      </c>
      <c r="O125" s="1">
        <v>3.1619999999999999E-4</v>
      </c>
      <c r="P125" s="1">
        <f>(Table1[[#This Row],[Rate_Constant_k2_g_mg_min]]*Table1[[#This Row],[Contact_Time_min]]*Table1[[#This Row],[qe_mg_g]]^2)/(1+Table1[[#This Row],[Contact_Time_min]]*Table1[[#This Row],[qe_mg_g]]*Table1[[#This Row],[Rate_Constant_k2_g_mg_min]])</f>
        <v>55.979649073876985</v>
      </c>
      <c r="Q125" s="1">
        <f>LN(Table1[[#This Row],[qe_mg_g]]-Table1[[#This Row],[qt]])</f>
        <v>2.3989266431279157</v>
      </c>
      <c r="R125" s="1">
        <v>1</v>
      </c>
    </row>
    <row r="126" spans="1:18" x14ac:dyDescent="0.3">
      <c r="A126" s="1">
        <v>125</v>
      </c>
      <c r="B126" s="1" t="s">
        <v>16</v>
      </c>
      <c r="C126" s="1">
        <v>0.5</v>
      </c>
      <c r="D126" s="1">
        <v>240</v>
      </c>
      <c r="E126" s="1">
        <v>50</v>
      </c>
      <c r="F126" s="1">
        <v>11</v>
      </c>
      <c r="G126" s="1">
        <v>25</v>
      </c>
      <c r="H126" s="1">
        <v>150</v>
      </c>
      <c r="I126" s="1">
        <v>100</v>
      </c>
      <c r="J126" s="1">
        <v>61.054000000000002</v>
      </c>
      <c r="K126" s="1">
        <v>19.472999999999999</v>
      </c>
      <c r="L126" s="1">
        <v>61.05</v>
      </c>
      <c r="M126" s="1">
        <v>64.8</v>
      </c>
      <c r="N126" s="1">
        <v>4.1059999999999999E-2</v>
      </c>
      <c r="O126" s="1">
        <v>2.5849999999999999E-4</v>
      </c>
      <c r="P126" s="1">
        <f>(Table1[[#This Row],[Rate_Constant_k2_g_mg_min]]*Table1[[#This Row],[Contact_Time_min]]*Table1[[#This Row],[qe_mg_g]]^2)/(1+Table1[[#This Row],[Contact_Time_min]]*Table1[[#This Row],[qe_mg_g]]*Table1[[#This Row],[Rate_Constant_k2_g_mg_min]])</f>
        <v>48.30197913866801</v>
      </c>
      <c r="Q126" s="1">
        <f>LN(Table1[[#This Row],[qe_mg_g]]-Table1[[#This Row],[qt]])</f>
        <v>2.5456897579728066</v>
      </c>
      <c r="R126" s="1">
        <v>2</v>
      </c>
    </row>
    <row r="127" spans="1:18" x14ac:dyDescent="0.3">
      <c r="A127" s="1">
        <v>126</v>
      </c>
      <c r="B127" s="1" t="s">
        <v>16</v>
      </c>
      <c r="C127" s="1">
        <v>0.5</v>
      </c>
      <c r="D127" s="1">
        <v>240</v>
      </c>
      <c r="E127" s="1">
        <v>50</v>
      </c>
      <c r="F127" s="1">
        <v>11</v>
      </c>
      <c r="G127" s="1">
        <v>25</v>
      </c>
      <c r="H127" s="1">
        <v>150</v>
      </c>
      <c r="I127" s="1">
        <v>100</v>
      </c>
      <c r="J127" s="1">
        <v>71.512</v>
      </c>
      <c r="K127" s="1">
        <v>14.244</v>
      </c>
      <c r="L127" s="1">
        <v>71.510000000000005</v>
      </c>
      <c r="M127" s="1">
        <v>85.8</v>
      </c>
      <c r="N127" s="1">
        <v>3.8710000000000001E-2</v>
      </c>
      <c r="O127" s="1">
        <v>3.1690000000000001E-4</v>
      </c>
      <c r="P127" s="1">
        <f>(Table1[[#This Row],[Rate_Constant_k2_g_mg_min]]*Table1[[#This Row],[Contact_Time_min]]*Table1[[#This Row],[qe_mg_g]]^2)/(1+Table1[[#This Row],[Contact_Time_min]]*Table1[[#This Row],[qe_mg_g]]*Table1[[#This Row],[Rate_Constant_k2_g_mg_min]])</f>
        <v>60.405783901417138</v>
      </c>
      <c r="Q127" s="1">
        <f>LN(Table1[[#This Row],[qe_mg_g]]-Table1[[#This Row],[qt]])</f>
        <v>2.4075049604531706</v>
      </c>
      <c r="R127" s="1">
        <v>3</v>
      </c>
    </row>
    <row r="128" spans="1:18" x14ac:dyDescent="0.3">
      <c r="A128" s="1">
        <v>127</v>
      </c>
      <c r="B128" s="1" t="s">
        <v>16</v>
      </c>
      <c r="C128" s="1">
        <v>0.5</v>
      </c>
      <c r="D128" s="1">
        <v>240</v>
      </c>
      <c r="E128" s="1">
        <v>100</v>
      </c>
      <c r="F128" s="1">
        <v>3</v>
      </c>
      <c r="G128" s="1">
        <v>25</v>
      </c>
      <c r="H128" s="1">
        <v>150</v>
      </c>
      <c r="I128" s="1">
        <v>100</v>
      </c>
      <c r="J128" s="1">
        <v>109.759</v>
      </c>
      <c r="K128" s="1">
        <v>45.121000000000002</v>
      </c>
      <c r="L128" s="1">
        <v>54.88</v>
      </c>
      <c r="M128" s="1">
        <v>61.8</v>
      </c>
      <c r="N128" s="1">
        <v>4.233E-2</v>
      </c>
      <c r="O128" s="1">
        <v>2.7409999999999999E-4</v>
      </c>
      <c r="P128" s="1">
        <f>(Table1[[#This Row],[Rate_Constant_k2_g_mg_min]]*Table1[[#This Row],[Contact_Time_min]]*Table1[[#This Row],[qe_mg_g]]^2)/(1+Table1[[#This Row],[Contact_Time_min]]*Table1[[#This Row],[qe_mg_g]]*Table1[[#This Row],[Rate_Constant_k2_g_mg_min]])</f>
        <v>96.406950685979325</v>
      </c>
      <c r="Q128" s="1">
        <f>LN(Table1[[#This Row],[qe_mg_g]]-Table1[[#This Row],[qt]])</f>
        <v>2.5916698797335309</v>
      </c>
      <c r="R128" s="1">
        <v>1</v>
      </c>
    </row>
    <row r="129" spans="1:18" x14ac:dyDescent="0.3">
      <c r="A129" s="1">
        <v>128</v>
      </c>
      <c r="B129" s="1" t="s">
        <v>16</v>
      </c>
      <c r="C129" s="1">
        <v>0.5</v>
      </c>
      <c r="D129" s="1">
        <v>240</v>
      </c>
      <c r="E129" s="1">
        <v>100</v>
      </c>
      <c r="F129" s="1">
        <v>3</v>
      </c>
      <c r="G129" s="1">
        <v>25</v>
      </c>
      <c r="H129" s="1">
        <v>150</v>
      </c>
      <c r="I129" s="1">
        <v>100</v>
      </c>
      <c r="J129" s="1">
        <v>116.235</v>
      </c>
      <c r="K129" s="1">
        <v>41.881999999999998</v>
      </c>
      <c r="L129" s="1">
        <v>58.12</v>
      </c>
      <c r="M129" s="1">
        <v>58.4</v>
      </c>
      <c r="N129" s="1">
        <v>4.6219999999999997E-2</v>
      </c>
      <c r="O129" s="1">
        <v>2.9849999999999999E-4</v>
      </c>
      <c r="P129" s="1">
        <f>(Table1[[#This Row],[Rate_Constant_k2_g_mg_min]]*Table1[[#This Row],[Contact_Time_min]]*Table1[[#This Row],[qe_mg_g]]^2)/(1+Table1[[#This Row],[Contact_Time_min]]*Table1[[#This Row],[qe_mg_g]]*Table1[[#This Row],[Rate_Constant_k2_g_mg_min]])</f>
        <v>103.77289424710773</v>
      </c>
      <c r="Q129" s="1">
        <f>LN(Table1[[#This Row],[qe_mg_g]]-Table1[[#This Row],[qt]])</f>
        <v>2.5226925001149336</v>
      </c>
      <c r="R129" s="1">
        <v>2</v>
      </c>
    </row>
    <row r="130" spans="1:18" x14ac:dyDescent="0.3">
      <c r="A130" s="1">
        <v>129</v>
      </c>
      <c r="B130" s="1" t="s">
        <v>16</v>
      </c>
      <c r="C130" s="1">
        <v>0.5</v>
      </c>
      <c r="D130" s="1">
        <v>240</v>
      </c>
      <c r="E130" s="1">
        <v>100</v>
      </c>
      <c r="F130" s="1">
        <v>3</v>
      </c>
      <c r="G130" s="1">
        <v>25</v>
      </c>
      <c r="H130" s="1">
        <v>150</v>
      </c>
      <c r="I130" s="1">
        <v>100</v>
      </c>
      <c r="J130" s="1">
        <v>113.572</v>
      </c>
      <c r="K130" s="1">
        <v>43.213999999999999</v>
      </c>
      <c r="L130" s="1">
        <v>56.79</v>
      </c>
      <c r="M130" s="1">
        <v>57.6</v>
      </c>
      <c r="N130" s="1">
        <v>4.24E-2</v>
      </c>
      <c r="O130" s="1">
        <v>3.2269999999999998E-4</v>
      </c>
      <c r="P130" s="1">
        <f>(Table1[[#This Row],[Rate_Constant_k2_g_mg_min]]*Table1[[#This Row],[Contact_Time_min]]*Table1[[#This Row],[qe_mg_g]]^2)/(1+Table1[[#This Row],[Contact_Time_min]]*Table1[[#This Row],[qe_mg_g]]*Table1[[#This Row],[Rate_Constant_k2_g_mg_min]])</f>
        <v>101.97819863608713</v>
      </c>
      <c r="Q130" s="1">
        <f>LN(Table1[[#This Row],[qe_mg_g]]-Table1[[#This Row],[qt]])</f>
        <v>2.4504705901084392</v>
      </c>
      <c r="R130" s="1">
        <v>3</v>
      </c>
    </row>
    <row r="131" spans="1:18" x14ac:dyDescent="0.3">
      <c r="A131" s="1">
        <v>130</v>
      </c>
      <c r="B131" s="1" t="s">
        <v>16</v>
      </c>
      <c r="C131" s="1">
        <v>0.5</v>
      </c>
      <c r="D131" s="1">
        <v>240</v>
      </c>
      <c r="E131" s="1">
        <v>100</v>
      </c>
      <c r="F131" s="1">
        <v>7</v>
      </c>
      <c r="G131" s="1">
        <v>25</v>
      </c>
      <c r="H131" s="1">
        <v>150</v>
      </c>
      <c r="I131" s="1">
        <v>100</v>
      </c>
      <c r="J131" s="1">
        <v>164.58600000000001</v>
      </c>
      <c r="K131" s="1">
        <v>17.707000000000001</v>
      </c>
      <c r="L131" s="1">
        <v>82.29</v>
      </c>
      <c r="M131" s="1">
        <v>56.9</v>
      </c>
      <c r="N131" s="1">
        <v>4.5449999999999997E-2</v>
      </c>
      <c r="O131" s="1">
        <v>3.2249999999999998E-4</v>
      </c>
      <c r="P131" s="1">
        <f>(Table1[[#This Row],[Rate_Constant_k2_g_mg_min]]*Table1[[#This Row],[Contact_Time_min]]*Table1[[#This Row],[qe_mg_g]]^2)/(1+Table1[[#This Row],[Contact_Time_min]]*Table1[[#This Row],[qe_mg_g]]*Table1[[#This Row],[Rate_Constant_k2_g_mg_min]])</f>
        <v>152.60648749495996</v>
      </c>
      <c r="Q131" s="1">
        <f>LN(Table1[[#This Row],[qe_mg_g]]-Table1[[#This Row],[qt]])</f>
        <v>2.4831978994586814</v>
      </c>
      <c r="R131" s="1">
        <v>1</v>
      </c>
    </row>
    <row r="132" spans="1:18" x14ac:dyDescent="0.3">
      <c r="A132" s="1">
        <v>131</v>
      </c>
      <c r="B132" s="1" t="s">
        <v>16</v>
      </c>
      <c r="C132" s="1">
        <v>0.5</v>
      </c>
      <c r="D132" s="1">
        <v>240</v>
      </c>
      <c r="E132" s="1">
        <v>100</v>
      </c>
      <c r="F132" s="1">
        <v>7</v>
      </c>
      <c r="G132" s="1">
        <v>25</v>
      </c>
      <c r="H132" s="1">
        <v>150</v>
      </c>
      <c r="I132" s="1">
        <v>100</v>
      </c>
      <c r="J132" s="1">
        <v>137.11099999999999</v>
      </c>
      <c r="K132" s="1">
        <v>31.445</v>
      </c>
      <c r="L132" s="1">
        <v>68.56</v>
      </c>
      <c r="M132" s="1">
        <v>72.099999999999994</v>
      </c>
      <c r="N132" s="1">
        <v>4.2020000000000002E-2</v>
      </c>
      <c r="O132" s="1">
        <v>3.1710000000000001E-4</v>
      </c>
      <c r="P132" s="1">
        <f>(Table1[[#This Row],[Rate_Constant_k2_g_mg_min]]*Table1[[#This Row],[Contact_Time_min]]*Table1[[#This Row],[qe_mg_g]]^2)/(1+Table1[[#This Row],[Contact_Time_min]]*Table1[[#This Row],[qe_mg_g]]*Table1[[#This Row],[Rate_Constant_k2_g_mg_min]])</f>
        <v>125.12021288438285</v>
      </c>
      <c r="Q132" s="1">
        <f>LN(Table1[[#This Row],[qe_mg_g]]-Table1[[#This Row],[qt]])</f>
        <v>2.4841386145591988</v>
      </c>
      <c r="R132" s="1">
        <v>2</v>
      </c>
    </row>
    <row r="133" spans="1:18" x14ac:dyDescent="0.3">
      <c r="A133" s="1">
        <v>132</v>
      </c>
      <c r="B133" s="1" t="s">
        <v>16</v>
      </c>
      <c r="C133" s="1">
        <v>0.5</v>
      </c>
      <c r="D133" s="1">
        <v>240</v>
      </c>
      <c r="E133" s="1">
        <v>100</v>
      </c>
      <c r="F133" s="1">
        <v>7</v>
      </c>
      <c r="G133" s="1">
        <v>25</v>
      </c>
      <c r="H133" s="1">
        <v>150</v>
      </c>
      <c r="I133" s="1">
        <v>100</v>
      </c>
      <c r="J133" s="1">
        <v>148.58199999999999</v>
      </c>
      <c r="K133" s="1">
        <v>25.709</v>
      </c>
      <c r="L133" s="1">
        <v>74.290000000000006</v>
      </c>
      <c r="M133" s="1">
        <v>48.6</v>
      </c>
      <c r="N133" s="1">
        <v>3.7679999999999998E-2</v>
      </c>
      <c r="O133" s="1">
        <v>3.0140000000000001E-4</v>
      </c>
      <c r="P133" s="1">
        <f>(Table1[[#This Row],[Rate_Constant_k2_g_mg_min]]*Table1[[#This Row],[Contact_Time_min]]*Table1[[#This Row],[qe_mg_g]]^2)/(1+Table1[[#This Row],[Contact_Time_min]]*Table1[[#This Row],[qe_mg_g]]*Table1[[#This Row],[Rate_Constant_k2_g_mg_min]])</f>
        <v>135.93438499694312</v>
      </c>
      <c r="Q133" s="1">
        <f>LN(Table1[[#This Row],[qe_mg_g]]-Table1[[#This Row],[qt]])</f>
        <v>2.5374686600903793</v>
      </c>
      <c r="R133" s="1">
        <v>3</v>
      </c>
    </row>
    <row r="134" spans="1:18" x14ac:dyDescent="0.3">
      <c r="A134" s="1">
        <v>133</v>
      </c>
      <c r="B134" s="1" t="s">
        <v>16</v>
      </c>
      <c r="C134" s="1">
        <v>0.5</v>
      </c>
      <c r="D134" s="1">
        <v>240</v>
      </c>
      <c r="E134" s="1">
        <v>100</v>
      </c>
      <c r="F134" s="1">
        <v>11</v>
      </c>
      <c r="G134" s="1">
        <v>25</v>
      </c>
      <c r="H134" s="1">
        <v>150</v>
      </c>
      <c r="I134" s="1">
        <v>100</v>
      </c>
      <c r="J134" s="1">
        <v>135.50700000000001</v>
      </c>
      <c r="K134" s="1">
        <v>32.246000000000002</v>
      </c>
      <c r="L134" s="1">
        <v>67.75</v>
      </c>
      <c r="M134" s="1">
        <v>57.6</v>
      </c>
      <c r="N134" s="1">
        <v>4.7870000000000003E-2</v>
      </c>
      <c r="O134" s="1">
        <v>2.5020000000000001E-4</v>
      </c>
      <c r="P134" s="1">
        <f>(Table1[[#This Row],[Rate_Constant_k2_g_mg_min]]*Table1[[#This Row],[Contact_Time_min]]*Table1[[#This Row],[qe_mg_g]]^2)/(1+Table1[[#This Row],[Contact_Time_min]]*Table1[[#This Row],[qe_mg_g]]*Table1[[#This Row],[Rate_Constant_k2_g_mg_min]])</f>
        <v>120.67629822149293</v>
      </c>
      <c r="Q134" s="1">
        <f>LN(Table1[[#This Row],[qe_mg_g]]-Table1[[#This Row],[qt]])</f>
        <v>2.6966994765748562</v>
      </c>
      <c r="R134" s="1">
        <v>1</v>
      </c>
    </row>
    <row r="135" spans="1:18" x14ac:dyDescent="0.3">
      <c r="A135" s="1">
        <v>134</v>
      </c>
      <c r="B135" s="1" t="s">
        <v>16</v>
      </c>
      <c r="C135" s="1">
        <v>0.5</v>
      </c>
      <c r="D135" s="1">
        <v>240</v>
      </c>
      <c r="E135" s="1">
        <v>100</v>
      </c>
      <c r="F135" s="1">
        <v>11</v>
      </c>
      <c r="G135" s="1">
        <v>25</v>
      </c>
      <c r="H135" s="1">
        <v>150</v>
      </c>
      <c r="I135" s="1">
        <v>100</v>
      </c>
      <c r="J135" s="1">
        <v>132.047</v>
      </c>
      <c r="K135" s="1">
        <v>33.975999999999999</v>
      </c>
      <c r="L135" s="1">
        <v>66.02</v>
      </c>
      <c r="M135" s="1">
        <v>54.6</v>
      </c>
      <c r="N135" s="1">
        <v>4.2070000000000003E-2</v>
      </c>
      <c r="O135" s="1">
        <v>3.0140000000000001E-4</v>
      </c>
      <c r="P135" s="1">
        <f>(Table1[[#This Row],[Rate_Constant_k2_g_mg_min]]*Table1[[#This Row],[Contact_Time_min]]*Table1[[#This Row],[qe_mg_g]]^2)/(1+Table1[[#This Row],[Contact_Time_min]]*Table1[[#This Row],[qe_mg_g]]*Table1[[#This Row],[Rate_Constant_k2_g_mg_min]])</f>
        <v>119.53277462747808</v>
      </c>
      <c r="Q135" s="1">
        <f>LN(Table1[[#This Row],[qe_mg_g]]-Table1[[#This Row],[qt]])</f>
        <v>2.5268660270449672</v>
      </c>
      <c r="R135" s="1">
        <v>2</v>
      </c>
    </row>
    <row r="136" spans="1:18" x14ac:dyDescent="0.3">
      <c r="A136" s="1">
        <v>135</v>
      </c>
      <c r="B136" s="1" t="s">
        <v>16</v>
      </c>
      <c r="C136" s="1">
        <v>0.5</v>
      </c>
      <c r="D136" s="1">
        <v>240</v>
      </c>
      <c r="E136" s="1">
        <v>100</v>
      </c>
      <c r="F136" s="1">
        <v>11</v>
      </c>
      <c r="G136" s="1">
        <v>25</v>
      </c>
      <c r="H136" s="1">
        <v>150</v>
      </c>
      <c r="I136" s="1">
        <v>100</v>
      </c>
      <c r="J136" s="1">
        <v>123.61199999999999</v>
      </c>
      <c r="K136" s="1">
        <v>38.194000000000003</v>
      </c>
      <c r="L136" s="1">
        <v>61.81</v>
      </c>
      <c r="M136" s="1">
        <v>62.8</v>
      </c>
      <c r="N136" s="1">
        <v>4.9529999999999998E-2</v>
      </c>
      <c r="O136" s="1">
        <v>2.8269999999999999E-4</v>
      </c>
      <c r="P136" s="1">
        <f>(Table1[[#This Row],[Rate_Constant_k2_g_mg_min]]*Table1[[#This Row],[Contact_Time_min]]*Table1[[#This Row],[qe_mg_g]]^2)/(1+Table1[[#This Row],[Contact_Time_min]]*Table1[[#This Row],[qe_mg_g]]*Table1[[#This Row],[Rate_Constant_k2_g_mg_min]])</f>
        <v>110.44333285443012</v>
      </c>
      <c r="Q136" s="1">
        <f>LN(Table1[[#This Row],[qe_mg_g]]-Table1[[#This Row],[qt]])</f>
        <v>2.5778403068045694</v>
      </c>
      <c r="R136" s="1">
        <v>3</v>
      </c>
    </row>
    <row r="137" spans="1:18" x14ac:dyDescent="0.3">
      <c r="A137" s="1">
        <v>136</v>
      </c>
      <c r="B137" s="1" t="s">
        <v>16</v>
      </c>
      <c r="C137" s="1">
        <v>0.5</v>
      </c>
      <c r="D137" s="1">
        <v>240</v>
      </c>
      <c r="E137" s="1">
        <v>200</v>
      </c>
      <c r="F137" s="1">
        <v>3</v>
      </c>
      <c r="G137" s="1">
        <v>25</v>
      </c>
      <c r="H137" s="1">
        <v>150</v>
      </c>
      <c r="I137" s="1">
        <v>100</v>
      </c>
      <c r="J137" s="1">
        <v>171.63399999999999</v>
      </c>
      <c r="K137" s="1">
        <v>114.18300000000001</v>
      </c>
      <c r="L137" s="1">
        <v>42.91</v>
      </c>
      <c r="M137" s="1">
        <v>55.4</v>
      </c>
      <c r="N137" s="1">
        <v>4.7379999999999999E-2</v>
      </c>
      <c r="O137" s="1">
        <v>3.4319999999999999E-4</v>
      </c>
      <c r="P137" s="1">
        <f>(Table1[[#This Row],[Rate_Constant_k2_g_mg_min]]*Table1[[#This Row],[Contact_Time_min]]*Table1[[#This Row],[qe_mg_g]]^2)/(1+Table1[[#This Row],[Contact_Time_min]]*Table1[[#This Row],[qe_mg_g]]*Table1[[#This Row],[Rate_Constant_k2_g_mg_min]])</f>
        <v>160.29540536356228</v>
      </c>
      <c r="Q137" s="1">
        <f>LN(Table1[[#This Row],[qe_mg_g]]-Table1[[#This Row],[qt]])</f>
        <v>2.4282123608522799</v>
      </c>
      <c r="R137" s="1">
        <v>1</v>
      </c>
    </row>
    <row r="138" spans="1:18" x14ac:dyDescent="0.3">
      <c r="A138" s="1">
        <v>137</v>
      </c>
      <c r="B138" s="1" t="s">
        <v>16</v>
      </c>
      <c r="C138" s="1">
        <v>0.5</v>
      </c>
      <c r="D138" s="1">
        <v>240</v>
      </c>
      <c r="E138" s="1">
        <v>200</v>
      </c>
      <c r="F138" s="1">
        <v>3</v>
      </c>
      <c r="G138" s="1">
        <v>25</v>
      </c>
      <c r="H138" s="1">
        <v>150</v>
      </c>
      <c r="I138" s="1">
        <v>100</v>
      </c>
      <c r="J138" s="1">
        <v>129.06800000000001</v>
      </c>
      <c r="K138" s="1">
        <v>135.46600000000001</v>
      </c>
      <c r="L138" s="1">
        <v>32.270000000000003</v>
      </c>
      <c r="M138" s="1">
        <v>58.7</v>
      </c>
      <c r="N138" s="1">
        <v>4.7600000000000003E-2</v>
      </c>
      <c r="O138" s="1">
        <v>2.9389999999999999E-4</v>
      </c>
      <c r="P138" s="1">
        <f>(Table1[[#This Row],[Rate_Constant_k2_g_mg_min]]*Table1[[#This Row],[Contact_Time_min]]*Table1[[#This Row],[qe_mg_g]]^2)/(1+Table1[[#This Row],[Contact_Time_min]]*Table1[[#This Row],[qe_mg_g]]*Table1[[#This Row],[Rate_Constant_k2_g_mg_min]])</f>
        <v>116.29397380059302</v>
      </c>
      <c r="Q138" s="1">
        <f>LN(Table1[[#This Row],[qe_mg_g]]-Table1[[#This Row],[qt]])</f>
        <v>2.5474139061320482</v>
      </c>
      <c r="R138" s="1">
        <v>2</v>
      </c>
    </row>
    <row r="139" spans="1:18" x14ac:dyDescent="0.3">
      <c r="A139" s="1">
        <v>138</v>
      </c>
      <c r="B139" s="1" t="s">
        <v>16</v>
      </c>
      <c r="C139" s="1">
        <v>0.5</v>
      </c>
      <c r="D139" s="1">
        <v>240</v>
      </c>
      <c r="E139" s="1">
        <v>200</v>
      </c>
      <c r="F139" s="1">
        <v>3</v>
      </c>
      <c r="G139" s="1">
        <v>25</v>
      </c>
      <c r="H139" s="1">
        <v>150</v>
      </c>
      <c r="I139" s="1">
        <v>100</v>
      </c>
      <c r="J139" s="1">
        <v>165.65600000000001</v>
      </c>
      <c r="K139" s="1">
        <v>117.172</v>
      </c>
      <c r="L139" s="1">
        <v>41.41</v>
      </c>
      <c r="M139" s="1">
        <v>60.6</v>
      </c>
      <c r="N139" s="1">
        <v>4.539E-2</v>
      </c>
      <c r="O139" s="1">
        <v>2.9530000000000002E-4</v>
      </c>
      <c r="P139" s="1">
        <f>(Table1[[#This Row],[Rate_Constant_k2_g_mg_min]]*Table1[[#This Row],[Contact_Time_min]]*Table1[[#This Row],[qe_mg_g]]^2)/(1+Table1[[#This Row],[Contact_Time_min]]*Table1[[#This Row],[qe_mg_g]]*Table1[[#This Row],[Rate_Constant_k2_g_mg_min]])</f>
        <v>152.65355395023616</v>
      </c>
      <c r="Q139" s="1">
        <f>LN(Table1[[#This Row],[qe_mg_g]]-Table1[[#This Row],[qt]])</f>
        <v>2.5651374974362438</v>
      </c>
      <c r="R139" s="1">
        <v>3</v>
      </c>
    </row>
    <row r="140" spans="1:18" x14ac:dyDescent="0.3">
      <c r="A140" s="1">
        <v>139</v>
      </c>
      <c r="B140" s="1" t="s">
        <v>16</v>
      </c>
      <c r="C140" s="1">
        <v>0.5</v>
      </c>
      <c r="D140" s="1">
        <v>240</v>
      </c>
      <c r="E140" s="1">
        <v>200</v>
      </c>
      <c r="F140" s="1">
        <v>7</v>
      </c>
      <c r="G140" s="1">
        <v>25</v>
      </c>
      <c r="H140" s="1">
        <v>150</v>
      </c>
      <c r="I140" s="1">
        <v>100</v>
      </c>
      <c r="J140" s="1">
        <v>238.96700000000001</v>
      </c>
      <c r="K140" s="1">
        <v>80.516999999999996</v>
      </c>
      <c r="L140" s="1">
        <v>59.74</v>
      </c>
      <c r="M140" s="1">
        <v>69.2</v>
      </c>
      <c r="N140" s="1">
        <v>4.6519999999999999E-2</v>
      </c>
      <c r="O140" s="1">
        <v>2.876E-4</v>
      </c>
      <c r="P140" s="1">
        <f>(Table1[[#This Row],[Rate_Constant_k2_g_mg_min]]*Table1[[#This Row],[Contact_Time_min]]*Table1[[#This Row],[qe_mg_g]]^2)/(1+Table1[[#This Row],[Contact_Time_min]]*Table1[[#This Row],[qe_mg_g]]*Table1[[#This Row],[Rate_Constant_k2_g_mg_min]])</f>
        <v>225.30741722476876</v>
      </c>
      <c r="Q140" s="1">
        <f>LN(Table1[[#This Row],[qe_mg_g]]-Table1[[#This Row],[qt]])</f>
        <v>2.6144413101352768</v>
      </c>
      <c r="R140" s="1">
        <v>1</v>
      </c>
    </row>
    <row r="141" spans="1:18" x14ac:dyDescent="0.3">
      <c r="A141" s="1">
        <v>140</v>
      </c>
      <c r="B141" s="1" t="s">
        <v>16</v>
      </c>
      <c r="C141" s="1">
        <v>0.5</v>
      </c>
      <c r="D141" s="1">
        <v>240</v>
      </c>
      <c r="E141" s="1">
        <v>200</v>
      </c>
      <c r="F141" s="1">
        <v>7</v>
      </c>
      <c r="G141" s="1">
        <v>25</v>
      </c>
      <c r="H141" s="1">
        <v>150</v>
      </c>
      <c r="I141" s="1">
        <v>100</v>
      </c>
      <c r="J141" s="1">
        <v>210.024</v>
      </c>
      <c r="K141" s="1">
        <v>94.988</v>
      </c>
      <c r="L141" s="1">
        <v>52.51</v>
      </c>
      <c r="M141" s="1">
        <v>62.3</v>
      </c>
      <c r="N141" s="1">
        <v>4.6780000000000002E-2</v>
      </c>
      <c r="O141" s="1">
        <v>2.8739999999999999E-4</v>
      </c>
      <c r="P141" s="1">
        <f>(Table1[[#This Row],[Rate_Constant_k2_g_mg_min]]*Table1[[#This Row],[Contact_Time_min]]*Table1[[#This Row],[qe_mg_g]]^2)/(1+Table1[[#This Row],[Contact_Time_min]]*Table1[[#This Row],[qe_mg_g]]*Table1[[#This Row],[Rate_Constant_k2_g_mg_min]])</f>
        <v>196.46235374935955</v>
      </c>
      <c r="Q141" s="1">
        <f>LN(Table1[[#This Row],[qe_mg_g]]-Table1[[#This Row],[qt]])</f>
        <v>2.6072456800577566</v>
      </c>
      <c r="R141" s="1">
        <v>2</v>
      </c>
    </row>
    <row r="142" spans="1:18" x14ac:dyDescent="0.3">
      <c r="A142" s="1">
        <v>141</v>
      </c>
      <c r="B142" s="1" t="s">
        <v>16</v>
      </c>
      <c r="C142" s="1">
        <v>0.5</v>
      </c>
      <c r="D142" s="1">
        <v>240</v>
      </c>
      <c r="E142" s="1">
        <v>200</v>
      </c>
      <c r="F142" s="1">
        <v>7</v>
      </c>
      <c r="G142" s="1">
        <v>25</v>
      </c>
      <c r="H142" s="1">
        <v>150</v>
      </c>
      <c r="I142" s="1">
        <v>100</v>
      </c>
      <c r="J142" s="1">
        <v>223.61600000000001</v>
      </c>
      <c r="K142" s="1">
        <v>88.191999999999993</v>
      </c>
      <c r="L142" s="1">
        <v>55.9</v>
      </c>
      <c r="M142" s="1">
        <v>87.4</v>
      </c>
      <c r="N142" s="1">
        <v>4.8919999999999998E-2</v>
      </c>
      <c r="O142" s="1">
        <v>2.9020000000000001E-4</v>
      </c>
      <c r="P142" s="1">
        <f>(Table1[[#This Row],[Rate_Constant_k2_g_mg_min]]*Table1[[#This Row],[Contact_Time_min]]*Table1[[#This Row],[qe_mg_g]]^2)/(1+Table1[[#This Row],[Contact_Time_min]]*Table1[[#This Row],[qe_mg_g]]*Table1[[#This Row],[Rate_Constant_k2_g_mg_min]])</f>
        <v>210.12435606164351</v>
      </c>
      <c r="Q142" s="1">
        <f>LN(Table1[[#This Row],[qe_mg_g]]-Table1[[#This Row],[qt]])</f>
        <v>2.6020705262757517</v>
      </c>
      <c r="R142" s="1">
        <v>3</v>
      </c>
    </row>
    <row r="143" spans="1:18" x14ac:dyDescent="0.3">
      <c r="A143" s="1">
        <v>142</v>
      </c>
      <c r="B143" s="1" t="s">
        <v>16</v>
      </c>
      <c r="C143" s="1">
        <v>0.5</v>
      </c>
      <c r="D143" s="1">
        <v>240</v>
      </c>
      <c r="E143" s="1">
        <v>200</v>
      </c>
      <c r="F143" s="1">
        <v>11</v>
      </c>
      <c r="G143" s="1">
        <v>25</v>
      </c>
      <c r="H143" s="1">
        <v>150</v>
      </c>
      <c r="I143" s="1">
        <v>100</v>
      </c>
      <c r="J143" s="1">
        <v>201.60599999999999</v>
      </c>
      <c r="K143" s="1">
        <v>99.197000000000003</v>
      </c>
      <c r="L143" s="1">
        <v>50.4</v>
      </c>
      <c r="M143" s="1">
        <v>62.6</v>
      </c>
      <c r="N143" s="1">
        <v>3.5830000000000001E-2</v>
      </c>
      <c r="O143" s="1">
        <v>2.698E-4</v>
      </c>
      <c r="P143" s="1">
        <f>(Table1[[#This Row],[Rate_Constant_k2_g_mg_min]]*Table1[[#This Row],[Contact_Time_min]]*Table1[[#This Row],[qe_mg_g]]^2)/(1+Table1[[#This Row],[Contact_Time_min]]*Table1[[#This Row],[qe_mg_g]]*Table1[[#This Row],[Rate_Constant_k2_g_mg_min]])</f>
        <v>187.26130233315871</v>
      </c>
      <c r="Q143" s="1">
        <f>LN(Table1[[#This Row],[qe_mg_g]]-Table1[[#This Row],[qt]])</f>
        <v>2.6633803733549226</v>
      </c>
      <c r="R143" s="1">
        <v>1</v>
      </c>
    </row>
    <row r="144" spans="1:18" x14ac:dyDescent="0.3">
      <c r="A144" s="1">
        <v>143</v>
      </c>
      <c r="B144" s="1" t="s">
        <v>16</v>
      </c>
      <c r="C144" s="1">
        <v>0.5</v>
      </c>
      <c r="D144" s="1">
        <v>240</v>
      </c>
      <c r="E144" s="1">
        <v>200</v>
      </c>
      <c r="F144" s="1">
        <v>11</v>
      </c>
      <c r="G144" s="1">
        <v>25</v>
      </c>
      <c r="H144" s="1">
        <v>150</v>
      </c>
      <c r="I144" s="1">
        <v>100</v>
      </c>
      <c r="J144" s="1">
        <v>156.40299999999999</v>
      </c>
      <c r="K144" s="1">
        <v>121.798</v>
      </c>
      <c r="L144" s="1">
        <v>39.1</v>
      </c>
      <c r="M144" s="1">
        <v>63.2</v>
      </c>
      <c r="N144" s="1">
        <v>4.5080000000000002E-2</v>
      </c>
      <c r="O144" s="1">
        <v>3.503E-4</v>
      </c>
      <c r="P144" s="1">
        <f>(Table1[[#This Row],[Rate_Constant_k2_g_mg_min]]*Table1[[#This Row],[Contact_Time_min]]*Table1[[#This Row],[qe_mg_g]]^2)/(1+Table1[[#This Row],[Contact_Time_min]]*Table1[[#This Row],[qe_mg_g]]*Table1[[#This Row],[Rate_Constant_k2_g_mg_min]])</f>
        <v>145.34909154488076</v>
      </c>
      <c r="Q144" s="1">
        <f>LN(Table1[[#This Row],[qe_mg_g]]-Table1[[#This Row],[qt]])</f>
        <v>2.4027840717700504</v>
      </c>
      <c r="R144" s="1">
        <v>2</v>
      </c>
    </row>
    <row r="145" spans="1:18" x14ac:dyDescent="0.3">
      <c r="A145" s="1">
        <v>144</v>
      </c>
      <c r="B145" s="1" t="s">
        <v>16</v>
      </c>
      <c r="C145" s="1">
        <v>0.5</v>
      </c>
      <c r="D145" s="1">
        <v>240</v>
      </c>
      <c r="E145" s="1">
        <v>200</v>
      </c>
      <c r="F145" s="1">
        <v>11</v>
      </c>
      <c r="G145" s="1">
        <v>25</v>
      </c>
      <c r="H145" s="1">
        <v>150</v>
      </c>
      <c r="I145" s="1">
        <v>100</v>
      </c>
      <c r="J145" s="1">
        <v>188.74199999999999</v>
      </c>
      <c r="K145" s="1">
        <v>105.629</v>
      </c>
      <c r="L145" s="1">
        <v>47.19</v>
      </c>
      <c r="M145" s="1">
        <v>64.5</v>
      </c>
      <c r="N145" s="1">
        <v>4.8730000000000002E-2</v>
      </c>
      <c r="O145" s="1">
        <v>2.3369999999999999E-4</v>
      </c>
      <c r="P145" s="1">
        <f>(Table1[[#This Row],[Rate_Constant_k2_g_mg_min]]*Table1[[#This Row],[Contact_Time_min]]*Table1[[#This Row],[qe_mg_g]]^2)/(1+Table1[[#This Row],[Contact_Time_min]]*Table1[[#This Row],[qe_mg_g]]*Table1[[#This Row],[Rate_Constant_k2_g_mg_min]])</f>
        <v>172.45170374241545</v>
      </c>
      <c r="Q145" s="1">
        <f>LN(Table1[[#This Row],[qe_mg_g]]-Table1[[#This Row],[qt]])</f>
        <v>2.7905696089178602</v>
      </c>
      <c r="R145" s="1">
        <v>3</v>
      </c>
    </row>
    <row r="146" spans="1:18" x14ac:dyDescent="0.3">
      <c r="A146" s="1">
        <v>145</v>
      </c>
      <c r="B146" s="1" t="s">
        <v>16</v>
      </c>
      <c r="C146" s="1">
        <v>1</v>
      </c>
      <c r="D146" s="1">
        <v>30</v>
      </c>
      <c r="E146" s="1">
        <v>25</v>
      </c>
      <c r="F146" s="1">
        <v>3</v>
      </c>
      <c r="G146" s="1">
        <v>25</v>
      </c>
      <c r="H146" s="1">
        <v>150</v>
      </c>
      <c r="I146" s="1">
        <v>100</v>
      </c>
      <c r="J146" s="1">
        <v>2.5739999999999998</v>
      </c>
      <c r="K146" s="1">
        <v>22.425999999999998</v>
      </c>
      <c r="L146" s="1">
        <v>10.3</v>
      </c>
      <c r="M146" s="1">
        <v>74.400000000000006</v>
      </c>
      <c r="N146" s="1">
        <v>3.8350000000000002E-2</v>
      </c>
      <c r="O146" s="1">
        <v>3.3429999999999999E-4</v>
      </c>
      <c r="P146" s="1">
        <f>(Table1[[#This Row],[Rate_Constant_k2_g_mg_min]]*Table1[[#This Row],[Contact_Time_min]]*Table1[[#This Row],[qe_mg_g]]^2)/(1+Table1[[#This Row],[Contact_Time_min]]*Table1[[#This Row],[qe_mg_g]]*Table1[[#This Row],[Rate_Constant_k2_g_mg_min]])</f>
        <v>6.4774761272028067E-2</v>
      </c>
      <c r="Q146" s="1">
        <f>LN(Table1[[#This Row],[qe_mg_g]]-Table1[[#This Row],[qt]])</f>
        <v>0.91997403566586211</v>
      </c>
      <c r="R146" s="1">
        <v>1</v>
      </c>
    </row>
    <row r="147" spans="1:18" x14ac:dyDescent="0.3">
      <c r="A147" s="1">
        <v>146</v>
      </c>
      <c r="B147" s="1" t="s">
        <v>16</v>
      </c>
      <c r="C147" s="1">
        <v>1</v>
      </c>
      <c r="D147" s="1">
        <v>30</v>
      </c>
      <c r="E147" s="1">
        <v>25</v>
      </c>
      <c r="F147" s="1">
        <v>3</v>
      </c>
      <c r="G147" s="1">
        <v>25</v>
      </c>
      <c r="H147" s="1">
        <v>150</v>
      </c>
      <c r="I147" s="1">
        <v>100</v>
      </c>
      <c r="J147" s="1">
        <v>2.5950000000000002</v>
      </c>
      <c r="K147" s="1">
        <v>22.405000000000001</v>
      </c>
      <c r="L147" s="1">
        <v>10.38</v>
      </c>
      <c r="M147" s="1">
        <v>62.5</v>
      </c>
      <c r="N147" s="1">
        <v>4.7849999999999997E-2</v>
      </c>
      <c r="O147" s="1">
        <v>3.681E-4</v>
      </c>
      <c r="P147" s="1">
        <f>(Table1[[#This Row],[Rate_Constant_k2_g_mg_min]]*Table1[[#This Row],[Contact_Time_min]]*Table1[[#This Row],[qe_mg_g]]^2)/(1+Table1[[#This Row],[Contact_Time_min]]*Table1[[#This Row],[qe_mg_g]]*Table1[[#This Row],[Rate_Constant_k2_g_mg_min]])</f>
        <v>7.2292190765492453E-2</v>
      </c>
      <c r="Q147" s="1">
        <f>LN(Table1[[#This Row],[qe_mg_g]]-Table1[[#This Row],[qt]])</f>
        <v>0.92533285210591698</v>
      </c>
      <c r="R147" s="1">
        <v>2</v>
      </c>
    </row>
    <row r="148" spans="1:18" x14ac:dyDescent="0.3">
      <c r="A148" s="1">
        <v>147</v>
      </c>
      <c r="B148" s="1" t="s">
        <v>16</v>
      </c>
      <c r="C148" s="1">
        <v>1</v>
      </c>
      <c r="D148" s="1">
        <v>30</v>
      </c>
      <c r="E148" s="1">
        <v>25</v>
      </c>
      <c r="F148" s="1">
        <v>3</v>
      </c>
      <c r="G148" s="1">
        <v>25</v>
      </c>
      <c r="H148" s="1">
        <v>150</v>
      </c>
      <c r="I148" s="1">
        <v>100</v>
      </c>
      <c r="J148" s="1">
        <v>2.5630000000000002</v>
      </c>
      <c r="K148" s="1">
        <v>22.437000000000001</v>
      </c>
      <c r="L148" s="1">
        <v>10.25</v>
      </c>
      <c r="M148" s="1">
        <v>69.099999999999994</v>
      </c>
      <c r="N148" s="1">
        <v>4.2930000000000003E-2</v>
      </c>
      <c r="O148" s="1">
        <v>2.745E-4</v>
      </c>
      <c r="P148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5.297730456673657E-2</v>
      </c>
      <c r="Q148" s="1">
        <f>LN(Table1[[#This Row],[qe_mg_g]]-Table1[[#This Row],[qt]])</f>
        <v>0.92029179510809811</v>
      </c>
      <c r="R148" s="1">
        <v>3</v>
      </c>
    </row>
    <row r="149" spans="1:18" x14ac:dyDescent="0.3">
      <c r="A149" s="1">
        <v>148</v>
      </c>
      <c r="B149" s="1" t="s">
        <v>16</v>
      </c>
      <c r="C149" s="1">
        <v>1</v>
      </c>
      <c r="D149" s="1">
        <v>30</v>
      </c>
      <c r="E149" s="1">
        <v>25</v>
      </c>
      <c r="F149" s="1">
        <v>7</v>
      </c>
      <c r="G149" s="1">
        <v>25</v>
      </c>
      <c r="H149" s="1">
        <v>150</v>
      </c>
      <c r="I149" s="1">
        <v>100</v>
      </c>
      <c r="J149" s="1">
        <v>4.5750000000000002</v>
      </c>
      <c r="K149" s="1">
        <v>20.425000000000001</v>
      </c>
      <c r="L149" s="1">
        <v>18.3</v>
      </c>
      <c r="M149" s="1">
        <v>58.1</v>
      </c>
      <c r="N149" s="1">
        <v>4.5319999999999999E-2</v>
      </c>
      <c r="O149" s="1">
        <v>2.8570000000000001E-4</v>
      </c>
      <c r="P14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0.17262727025009064</v>
      </c>
      <c r="Q149" s="1">
        <f>LN(Table1[[#This Row],[qe_mg_g]]-Table1[[#This Row],[qt]])</f>
        <v>1.4821436523388816</v>
      </c>
      <c r="R149" s="1">
        <v>1</v>
      </c>
    </row>
    <row r="150" spans="1:18" x14ac:dyDescent="0.3">
      <c r="A150" s="1">
        <v>149</v>
      </c>
      <c r="B150" s="1" t="s">
        <v>16</v>
      </c>
      <c r="C150" s="1">
        <v>1</v>
      </c>
      <c r="D150" s="1">
        <v>30</v>
      </c>
      <c r="E150" s="1">
        <v>25</v>
      </c>
      <c r="F150" s="1">
        <v>7</v>
      </c>
      <c r="G150" s="1">
        <v>25</v>
      </c>
      <c r="H150" s="1">
        <v>150</v>
      </c>
      <c r="I150" s="1">
        <v>100</v>
      </c>
      <c r="J150" s="1">
        <v>4.4539999999999997</v>
      </c>
      <c r="K150" s="1">
        <v>20.545999999999999</v>
      </c>
      <c r="L150" s="1">
        <v>17.82</v>
      </c>
      <c r="M150" s="1">
        <v>70</v>
      </c>
      <c r="N150" s="1">
        <v>4.9669999999999999E-2</v>
      </c>
      <c r="O150" s="1">
        <v>2.8469999999999998E-4</v>
      </c>
      <c r="P15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0.1632278961371196</v>
      </c>
      <c r="Q150" s="1">
        <f>LN(Table1[[#This Row],[qe_mg_g]]-Table1[[#This Row],[qt]])</f>
        <v>1.4564666943363171</v>
      </c>
      <c r="R150" s="1">
        <v>2</v>
      </c>
    </row>
    <row r="151" spans="1:18" x14ac:dyDescent="0.3">
      <c r="A151" s="1">
        <v>150</v>
      </c>
      <c r="B151" s="1" t="s">
        <v>16</v>
      </c>
      <c r="C151" s="1">
        <v>1</v>
      </c>
      <c r="D151" s="1">
        <v>30</v>
      </c>
      <c r="E151" s="1">
        <v>25</v>
      </c>
      <c r="F151" s="1">
        <v>7</v>
      </c>
      <c r="G151" s="1">
        <v>25</v>
      </c>
      <c r="H151" s="1">
        <v>150</v>
      </c>
      <c r="I151" s="1">
        <v>100</v>
      </c>
      <c r="J151" s="1">
        <v>4.1970000000000001</v>
      </c>
      <c r="K151" s="1">
        <v>20.803000000000001</v>
      </c>
      <c r="L151" s="1">
        <v>16.79</v>
      </c>
      <c r="M151" s="1">
        <v>56.9</v>
      </c>
      <c r="N151" s="1">
        <v>4.2999999999999997E-2</v>
      </c>
      <c r="O151" s="1">
        <v>3.1129999999999998E-4</v>
      </c>
      <c r="P15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0.1583000084701075</v>
      </c>
      <c r="Q151" s="1">
        <f>LN(Table1[[#This Row],[qe_mg_g]]-Table1[[#This Row],[qt]])</f>
        <v>1.3959228559146106</v>
      </c>
      <c r="R151" s="1">
        <v>3</v>
      </c>
    </row>
    <row r="152" spans="1:18" x14ac:dyDescent="0.3">
      <c r="A152" s="1">
        <v>151</v>
      </c>
      <c r="B152" s="1" t="s">
        <v>16</v>
      </c>
      <c r="C152" s="1">
        <v>1</v>
      </c>
      <c r="D152" s="1">
        <v>30</v>
      </c>
      <c r="E152" s="1">
        <v>25</v>
      </c>
      <c r="F152" s="1">
        <v>11</v>
      </c>
      <c r="G152" s="1">
        <v>25</v>
      </c>
      <c r="H152" s="1">
        <v>150</v>
      </c>
      <c r="I152" s="1">
        <v>100</v>
      </c>
      <c r="J152" s="1">
        <v>3.3780000000000001</v>
      </c>
      <c r="K152" s="1">
        <v>21.622</v>
      </c>
      <c r="L152" s="1">
        <v>13.51</v>
      </c>
      <c r="M152" s="1">
        <v>57.4</v>
      </c>
      <c r="N152" s="1">
        <v>4.8910000000000002E-2</v>
      </c>
      <c r="O152" s="1">
        <v>3.4069999999999999E-4</v>
      </c>
      <c r="P15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0.11273818609764848</v>
      </c>
      <c r="Q152" s="1">
        <f>LN(Table1[[#This Row],[qe_mg_g]]-Table1[[#This Row],[qt]])</f>
        <v>1.183339947538729</v>
      </c>
      <c r="R152" s="1">
        <v>1</v>
      </c>
    </row>
    <row r="153" spans="1:18" x14ac:dyDescent="0.3">
      <c r="A153" s="1">
        <v>152</v>
      </c>
      <c r="B153" s="1" t="s">
        <v>16</v>
      </c>
      <c r="C153" s="1">
        <v>1</v>
      </c>
      <c r="D153" s="1">
        <v>30</v>
      </c>
      <c r="E153" s="1">
        <v>25</v>
      </c>
      <c r="F153" s="1">
        <v>11</v>
      </c>
      <c r="G153" s="1">
        <v>25</v>
      </c>
      <c r="H153" s="1">
        <v>150</v>
      </c>
      <c r="I153" s="1">
        <v>100</v>
      </c>
      <c r="J153" s="1">
        <v>3.29</v>
      </c>
      <c r="K153" s="1">
        <v>21.71</v>
      </c>
      <c r="L153" s="1">
        <v>13.16</v>
      </c>
      <c r="M153" s="1">
        <v>85.4</v>
      </c>
      <c r="N153" s="1">
        <v>4.1520000000000001E-2</v>
      </c>
      <c r="O153" s="1">
        <v>2.6269999999999999E-4</v>
      </c>
      <c r="P153" s="1">
        <f>(Table1[[#This Row],[Rate_Constant_k2_g_mg_min]]*Table1[[#This Row],[Contact_Time_min]]*Table1[[#This Row],[qe_mg_g]]^2)/(1+Table1[[#This Row],[Contact_Time_min]]*Table1[[#This Row],[qe_mg_g]]*Table1[[#This Row],[Rate_Constant_k2_g_mg_min]])</f>
        <v>8.3148809036388077E-2</v>
      </c>
      <c r="Q153" s="1">
        <f>LN(Table1[[#This Row],[qe_mg_g]]-Table1[[#This Row],[qt]])</f>
        <v>1.1652895183134617</v>
      </c>
      <c r="R153" s="1">
        <v>2</v>
      </c>
    </row>
    <row r="154" spans="1:18" x14ac:dyDescent="0.3">
      <c r="A154" s="1">
        <v>153</v>
      </c>
      <c r="B154" s="1" t="s">
        <v>16</v>
      </c>
      <c r="C154" s="1">
        <v>1</v>
      </c>
      <c r="D154" s="1">
        <v>30</v>
      </c>
      <c r="E154" s="1">
        <v>25</v>
      </c>
      <c r="F154" s="1">
        <v>11</v>
      </c>
      <c r="G154" s="1">
        <v>25</v>
      </c>
      <c r="H154" s="1">
        <v>150</v>
      </c>
      <c r="I154" s="1">
        <v>100</v>
      </c>
      <c r="J154" s="1">
        <v>2.7320000000000002</v>
      </c>
      <c r="K154" s="1">
        <v>22.268000000000001</v>
      </c>
      <c r="L154" s="1">
        <v>10.93</v>
      </c>
      <c r="M154" s="1">
        <v>81.599999999999994</v>
      </c>
      <c r="N154" s="1">
        <v>4.7940000000000003E-2</v>
      </c>
      <c r="O154" s="1">
        <v>2.9829999999999999E-4</v>
      </c>
      <c r="P154" s="1">
        <f>(Table1[[#This Row],[Rate_Constant_k2_g_mg_min]]*Table1[[#This Row],[Contact_Time_min]]*Table1[[#This Row],[qe_mg_g]]^2)/(1+Table1[[#This Row],[Contact_Time_min]]*Table1[[#This Row],[qe_mg_g]]*Table1[[#This Row],[Rate_Constant_k2_g_mg_min]])</f>
        <v>6.5199714795275629E-2</v>
      </c>
      <c r="Q154" s="1">
        <f>LN(Table1[[#This Row],[qe_mg_g]]-Table1[[#This Row],[qt]])</f>
        <v>0.98087935870818654</v>
      </c>
      <c r="R154" s="1">
        <v>3</v>
      </c>
    </row>
    <row r="155" spans="1:18" x14ac:dyDescent="0.3">
      <c r="A155" s="1">
        <v>154</v>
      </c>
      <c r="B155" s="1" t="s">
        <v>16</v>
      </c>
      <c r="C155" s="1">
        <v>1</v>
      </c>
      <c r="D155" s="1">
        <v>30</v>
      </c>
      <c r="E155" s="1">
        <v>50</v>
      </c>
      <c r="F155" s="1">
        <v>3</v>
      </c>
      <c r="G155" s="1">
        <v>25</v>
      </c>
      <c r="H155" s="1">
        <v>150</v>
      </c>
      <c r="I155" s="1">
        <v>100</v>
      </c>
      <c r="J155" s="1">
        <v>9.0020000000000007</v>
      </c>
      <c r="K155" s="1">
        <v>40.997999999999998</v>
      </c>
      <c r="L155" s="1">
        <v>18</v>
      </c>
      <c r="M155" s="1">
        <v>55.4</v>
      </c>
      <c r="N155" s="1">
        <v>5.6009999999999997E-2</v>
      </c>
      <c r="O155" s="1">
        <v>3.0390000000000001E-4</v>
      </c>
      <c r="P15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0.68276951207447034</v>
      </c>
      <c r="Q155" s="1">
        <f>LN(Table1[[#This Row],[qe_mg_g]]-Table1[[#This Row],[qt]])</f>
        <v>2.1185697611236782</v>
      </c>
      <c r="R155" s="1">
        <v>1</v>
      </c>
    </row>
    <row r="156" spans="1:18" x14ac:dyDescent="0.3">
      <c r="A156" s="1">
        <v>155</v>
      </c>
      <c r="B156" s="1" t="s">
        <v>16</v>
      </c>
      <c r="C156" s="1">
        <v>1</v>
      </c>
      <c r="D156" s="1">
        <v>30</v>
      </c>
      <c r="E156" s="1">
        <v>50</v>
      </c>
      <c r="F156" s="1">
        <v>3</v>
      </c>
      <c r="G156" s="1">
        <v>25</v>
      </c>
      <c r="H156" s="1">
        <v>150</v>
      </c>
      <c r="I156" s="1">
        <v>100</v>
      </c>
      <c r="J156" s="1">
        <v>8.8819999999999997</v>
      </c>
      <c r="K156" s="1">
        <v>41.118000000000002</v>
      </c>
      <c r="L156" s="1">
        <v>17.760000000000002</v>
      </c>
      <c r="M156" s="1">
        <v>73.900000000000006</v>
      </c>
      <c r="N156" s="1">
        <v>4.7160000000000001E-2</v>
      </c>
      <c r="O156" s="1">
        <v>3.0669999999999997E-4</v>
      </c>
      <c r="P15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0.67102761196185456</v>
      </c>
      <c r="Q156" s="1">
        <f>LN(Table1[[#This Row],[qe_mg_g]]-Table1[[#This Row],[qt]])</f>
        <v>2.1054713559196512</v>
      </c>
      <c r="R156" s="1">
        <v>2</v>
      </c>
    </row>
    <row r="157" spans="1:18" x14ac:dyDescent="0.3">
      <c r="A157" s="1">
        <v>156</v>
      </c>
      <c r="B157" s="1" t="s">
        <v>16</v>
      </c>
      <c r="C157" s="1">
        <v>1</v>
      </c>
      <c r="D157" s="1">
        <v>30</v>
      </c>
      <c r="E157" s="1">
        <v>50</v>
      </c>
      <c r="F157" s="1">
        <v>3</v>
      </c>
      <c r="G157" s="1">
        <v>25</v>
      </c>
      <c r="H157" s="1">
        <v>150</v>
      </c>
      <c r="I157" s="1">
        <v>100</v>
      </c>
      <c r="J157" s="1">
        <v>8.2479999999999993</v>
      </c>
      <c r="K157" s="1">
        <v>41.752000000000002</v>
      </c>
      <c r="L157" s="1">
        <v>16.5</v>
      </c>
      <c r="M157" s="1">
        <v>71.400000000000006</v>
      </c>
      <c r="N157" s="1">
        <v>5.3469999999999997E-2</v>
      </c>
      <c r="O157" s="1">
        <v>3.4039999999999998E-4</v>
      </c>
      <c r="P15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0.64074800298198364</v>
      </c>
      <c r="Q157" s="1">
        <f>LN(Table1[[#This Row],[qe_mg_g]]-Table1[[#This Row],[qt]])</f>
        <v>2.029102002457146</v>
      </c>
      <c r="R157" s="1">
        <v>3</v>
      </c>
    </row>
    <row r="158" spans="1:18" x14ac:dyDescent="0.3">
      <c r="A158" s="1">
        <v>157</v>
      </c>
      <c r="B158" s="1" t="s">
        <v>16</v>
      </c>
      <c r="C158" s="1">
        <v>1</v>
      </c>
      <c r="D158" s="1">
        <v>30</v>
      </c>
      <c r="E158" s="1">
        <v>50</v>
      </c>
      <c r="F158" s="1">
        <v>7</v>
      </c>
      <c r="G158" s="1">
        <v>25</v>
      </c>
      <c r="H158" s="1">
        <v>150</v>
      </c>
      <c r="I158" s="1">
        <v>100</v>
      </c>
      <c r="J158" s="1">
        <v>16.309000000000001</v>
      </c>
      <c r="K158" s="1">
        <v>33.691000000000003</v>
      </c>
      <c r="L158" s="1">
        <v>32.619999999999997</v>
      </c>
      <c r="M158" s="1">
        <v>61.6</v>
      </c>
      <c r="N158" s="1">
        <v>4.0550000000000003E-2</v>
      </c>
      <c r="O158" s="1">
        <v>2.9619999999999999E-4</v>
      </c>
      <c r="P15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2.0643586888111711</v>
      </c>
      <c r="Q158" s="1">
        <f>LN(Table1[[#This Row],[qe_mg_g]]-Table1[[#This Row],[qt]])</f>
        <v>2.6563807876531262</v>
      </c>
      <c r="R158" s="1">
        <v>1</v>
      </c>
    </row>
    <row r="159" spans="1:18" x14ac:dyDescent="0.3">
      <c r="A159" s="1">
        <v>158</v>
      </c>
      <c r="B159" s="1" t="s">
        <v>16</v>
      </c>
      <c r="C159" s="1">
        <v>1</v>
      </c>
      <c r="D159" s="1">
        <v>30</v>
      </c>
      <c r="E159" s="1">
        <v>50</v>
      </c>
      <c r="F159" s="1">
        <v>7</v>
      </c>
      <c r="G159" s="1">
        <v>25</v>
      </c>
      <c r="H159" s="1">
        <v>150</v>
      </c>
      <c r="I159" s="1">
        <v>100</v>
      </c>
      <c r="J159" s="1">
        <v>14.53</v>
      </c>
      <c r="K159" s="1">
        <v>35.47</v>
      </c>
      <c r="L159" s="1">
        <v>29.06</v>
      </c>
      <c r="M159" s="1">
        <v>77.599999999999994</v>
      </c>
      <c r="N159" s="1">
        <v>3.7379999999999997E-2</v>
      </c>
      <c r="O159" s="1">
        <v>3.4590000000000001E-4</v>
      </c>
      <c r="P15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1.9037572329449073</v>
      </c>
      <c r="Q159" s="1">
        <f>LN(Table1[[#This Row],[qe_mg_g]]-Table1[[#This Row],[qt]])</f>
        <v>2.5357774073112833</v>
      </c>
      <c r="R159" s="1">
        <v>2</v>
      </c>
    </row>
    <row r="160" spans="1:18" x14ac:dyDescent="0.3">
      <c r="A160" s="1">
        <v>159</v>
      </c>
      <c r="B160" s="1" t="s">
        <v>16</v>
      </c>
      <c r="C160" s="1">
        <v>1</v>
      </c>
      <c r="D160" s="1">
        <v>30</v>
      </c>
      <c r="E160" s="1">
        <v>50</v>
      </c>
      <c r="F160" s="1">
        <v>7</v>
      </c>
      <c r="G160" s="1">
        <v>25</v>
      </c>
      <c r="H160" s="1">
        <v>150</v>
      </c>
      <c r="I160" s="1">
        <v>100</v>
      </c>
      <c r="J160" s="1">
        <v>14.282</v>
      </c>
      <c r="K160" s="1">
        <v>35.718000000000004</v>
      </c>
      <c r="L160" s="1">
        <v>28.56</v>
      </c>
      <c r="M160" s="1">
        <v>62.4</v>
      </c>
      <c r="N160" s="1">
        <v>4.045E-2</v>
      </c>
      <c r="O160" s="1">
        <v>2.5040000000000001E-4</v>
      </c>
      <c r="P16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1.3838011181468659</v>
      </c>
      <c r="Q160" s="1">
        <f>LN(Table1[[#This Row],[qe_mg_g]]-Table1[[#This Row],[qt]])</f>
        <v>2.5570876800578564</v>
      </c>
      <c r="R160" s="1">
        <v>3</v>
      </c>
    </row>
    <row r="161" spans="1:18" x14ac:dyDescent="0.3">
      <c r="A161" s="1">
        <v>160</v>
      </c>
      <c r="B161" s="1" t="s">
        <v>16</v>
      </c>
      <c r="C161" s="1">
        <v>1</v>
      </c>
      <c r="D161" s="1">
        <v>30</v>
      </c>
      <c r="E161" s="1">
        <v>50</v>
      </c>
      <c r="F161" s="1">
        <v>11</v>
      </c>
      <c r="G161" s="1">
        <v>25</v>
      </c>
      <c r="H161" s="1">
        <v>150</v>
      </c>
      <c r="I161" s="1">
        <v>100</v>
      </c>
      <c r="J161" s="1">
        <v>11.670999999999999</v>
      </c>
      <c r="K161" s="1">
        <v>38.329000000000001</v>
      </c>
      <c r="L161" s="1">
        <v>23.34</v>
      </c>
      <c r="M161" s="1">
        <v>67.400000000000006</v>
      </c>
      <c r="N161" s="1">
        <v>3.9199999999999999E-2</v>
      </c>
      <c r="O161" s="1">
        <v>2.611E-4</v>
      </c>
      <c r="P16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0.97758105683987528</v>
      </c>
      <c r="Q161" s="1">
        <f>LN(Table1[[#This Row],[qe_mg_g]]-Table1[[#This Row],[qt]])</f>
        <v>2.3696285002046524</v>
      </c>
      <c r="R161" s="1">
        <v>1</v>
      </c>
    </row>
    <row r="162" spans="1:18" x14ac:dyDescent="0.3">
      <c r="A162" s="1">
        <v>161</v>
      </c>
      <c r="B162" s="1" t="s">
        <v>16</v>
      </c>
      <c r="C162" s="1">
        <v>1</v>
      </c>
      <c r="D162" s="1">
        <v>30</v>
      </c>
      <c r="E162" s="1">
        <v>50</v>
      </c>
      <c r="F162" s="1">
        <v>11</v>
      </c>
      <c r="G162" s="1">
        <v>25</v>
      </c>
      <c r="H162" s="1">
        <v>150</v>
      </c>
      <c r="I162" s="1">
        <v>100</v>
      </c>
      <c r="J162" s="1">
        <v>10.654999999999999</v>
      </c>
      <c r="K162" s="1">
        <v>39.344999999999999</v>
      </c>
      <c r="L162" s="1">
        <v>21.31</v>
      </c>
      <c r="M162" s="1">
        <v>83.4</v>
      </c>
      <c r="N162" s="1">
        <v>4.3830000000000001E-2</v>
      </c>
      <c r="O162" s="1">
        <v>2.5490000000000002E-4</v>
      </c>
      <c r="P16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0.80274940777039827</v>
      </c>
      <c r="Q162" s="1">
        <f>LN(Table1[[#This Row],[qe_mg_g]]-Table1[[#This Row],[qt]])</f>
        <v>2.2876999156056996</v>
      </c>
      <c r="R162" s="1">
        <v>2</v>
      </c>
    </row>
    <row r="163" spans="1:18" x14ac:dyDescent="0.3">
      <c r="A163" s="1">
        <v>162</v>
      </c>
      <c r="B163" s="1" t="s">
        <v>16</v>
      </c>
      <c r="C163" s="1">
        <v>1</v>
      </c>
      <c r="D163" s="1">
        <v>30</v>
      </c>
      <c r="E163" s="1">
        <v>50</v>
      </c>
      <c r="F163" s="1">
        <v>11</v>
      </c>
      <c r="G163" s="1">
        <v>25</v>
      </c>
      <c r="H163" s="1">
        <v>150</v>
      </c>
      <c r="I163" s="1">
        <v>100</v>
      </c>
      <c r="J163" s="1">
        <v>10.734</v>
      </c>
      <c r="K163" s="1">
        <v>39.265999999999998</v>
      </c>
      <c r="L163" s="1">
        <v>21.47</v>
      </c>
      <c r="M163" s="1">
        <v>63.9</v>
      </c>
      <c r="N163" s="1">
        <v>3.286E-2</v>
      </c>
      <c r="O163" s="1">
        <v>2.9839999999999999E-4</v>
      </c>
      <c r="P16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0.94101541024201019</v>
      </c>
      <c r="Q163" s="1">
        <f>LN(Table1[[#This Row],[qe_mg_g]]-Table1[[#This Row],[qt]])</f>
        <v>2.2816662711397466</v>
      </c>
      <c r="R163" s="1">
        <v>3</v>
      </c>
    </row>
    <row r="164" spans="1:18" x14ac:dyDescent="0.3">
      <c r="A164" s="1">
        <v>163</v>
      </c>
      <c r="B164" s="1" t="s">
        <v>16</v>
      </c>
      <c r="C164" s="1">
        <v>1</v>
      </c>
      <c r="D164" s="1">
        <v>30</v>
      </c>
      <c r="E164" s="1">
        <v>100</v>
      </c>
      <c r="F164" s="1">
        <v>3</v>
      </c>
      <c r="G164" s="1">
        <v>25</v>
      </c>
      <c r="H164" s="1">
        <v>150</v>
      </c>
      <c r="I164" s="1">
        <v>100</v>
      </c>
      <c r="J164" s="1">
        <v>27.303999999999998</v>
      </c>
      <c r="K164" s="1">
        <v>72.695999999999998</v>
      </c>
      <c r="L164" s="1">
        <v>27.3</v>
      </c>
      <c r="M164" s="1">
        <v>73.599999999999994</v>
      </c>
      <c r="N164" s="1">
        <v>5.3319999999999999E-2</v>
      </c>
      <c r="O164" s="1">
        <v>3.3379999999999998E-4</v>
      </c>
      <c r="P164" s="1">
        <f>(Table1[[#This Row],[Rate_Constant_k2_g_mg_min]]*Table1[[#This Row],[Contact_Time_min]]*Table1[[#This Row],[qe_mg_g]]^2)/(1+Table1[[#This Row],[Contact_Time_min]]*Table1[[#This Row],[qe_mg_g]]*Table1[[#This Row],[Rate_Constant_k2_g_mg_min]])</f>
        <v>5.8625654158694074</v>
      </c>
      <c r="Q164" s="1">
        <f>LN(Table1[[#This Row],[qe_mg_g]]-Table1[[#This Row],[qt]])</f>
        <v>3.0653252455373767</v>
      </c>
      <c r="R164" s="1">
        <v>1</v>
      </c>
    </row>
    <row r="165" spans="1:18" x14ac:dyDescent="0.3">
      <c r="A165" s="1">
        <v>164</v>
      </c>
      <c r="B165" s="1" t="s">
        <v>16</v>
      </c>
      <c r="C165" s="1">
        <v>1</v>
      </c>
      <c r="D165" s="1">
        <v>30</v>
      </c>
      <c r="E165" s="1">
        <v>100</v>
      </c>
      <c r="F165" s="1">
        <v>3</v>
      </c>
      <c r="G165" s="1">
        <v>25</v>
      </c>
      <c r="H165" s="1">
        <v>150</v>
      </c>
      <c r="I165" s="1">
        <v>100</v>
      </c>
      <c r="J165" s="1">
        <v>27.22</v>
      </c>
      <c r="K165" s="1">
        <v>72.78</v>
      </c>
      <c r="L165" s="1">
        <v>27.22</v>
      </c>
      <c r="M165" s="1">
        <v>55.6</v>
      </c>
      <c r="N165" s="1">
        <v>5.6579999999999998E-2</v>
      </c>
      <c r="O165" s="1">
        <v>3.0180000000000002E-4</v>
      </c>
      <c r="P165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5.3819779208450811</v>
      </c>
      <c r="Q165" s="1">
        <f>LN(Table1[[#This Row],[qe_mg_g]]-Table1[[#This Row],[qt]])</f>
        <v>3.0836525826342664</v>
      </c>
      <c r="R165" s="1">
        <v>2</v>
      </c>
    </row>
    <row r="166" spans="1:18" x14ac:dyDescent="0.3">
      <c r="A166" s="1">
        <v>165</v>
      </c>
      <c r="B166" s="1" t="s">
        <v>16</v>
      </c>
      <c r="C166" s="1">
        <v>1</v>
      </c>
      <c r="D166" s="1">
        <v>30</v>
      </c>
      <c r="E166" s="1">
        <v>100</v>
      </c>
      <c r="F166" s="1">
        <v>3</v>
      </c>
      <c r="G166" s="1">
        <v>25</v>
      </c>
      <c r="H166" s="1">
        <v>150</v>
      </c>
      <c r="I166" s="1">
        <v>100</v>
      </c>
      <c r="J166" s="1">
        <v>27.849</v>
      </c>
      <c r="K166" s="1">
        <v>72.150999999999996</v>
      </c>
      <c r="L166" s="1">
        <v>27.85</v>
      </c>
      <c r="M166" s="1">
        <v>66.400000000000006</v>
      </c>
      <c r="N166" s="1">
        <v>4.589E-2</v>
      </c>
      <c r="O166" s="1">
        <v>2.9569999999999998E-4</v>
      </c>
      <c r="P166" s="1">
        <f>(Table1[[#This Row],[Rate_Constant_k2_g_mg_min]]*Table1[[#This Row],[Contact_Time_min]]*Table1[[#This Row],[qe_mg_g]]^2)/(1+Table1[[#This Row],[Contact_Time_min]]*Table1[[#This Row],[qe_mg_g]]*Table1[[#This Row],[Rate_Constant_k2_g_mg_min]])</f>
        <v>5.5170694704572103</v>
      </c>
      <c r="Q166" s="1">
        <f>LN(Table1[[#This Row],[qe_mg_g]]-Table1[[#This Row],[qt]])</f>
        <v>3.106017516640069</v>
      </c>
      <c r="R166" s="1">
        <v>3</v>
      </c>
    </row>
    <row r="167" spans="1:18" x14ac:dyDescent="0.3">
      <c r="A167" s="1">
        <v>166</v>
      </c>
      <c r="B167" s="1" t="s">
        <v>16</v>
      </c>
      <c r="C167" s="1">
        <v>1</v>
      </c>
      <c r="D167" s="1">
        <v>30</v>
      </c>
      <c r="E167" s="1">
        <v>100</v>
      </c>
      <c r="F167" s="1">
        <v>7</v>
      </c>
      <c r="G167" s="1">
        <v>25</v>
      </c>
      <c r="H167" s="1">
        <v>150</v>
      </c>
      <c r="I167" s="1">
        <v>100</v>
      </c>
      <c r="J167" s="1">
        <v>41.720999999999997</v>
      </c>
      <c r="K167" s="1">
        <v>58.279000000000003</v>
      </c>
      <c r="L167" s="1">
        <v>41.72</v>
      </c>
      <c r="M167" s="1">
        <v>61.2</v>
      </c>
      <c r="N167" s="1">
        <v>4.4850000000000001E-2</v>
      </c>
      <c r="O167" s="1">
        <v>2.8370000000000001E-4</v>
      </c>
      <c r="P167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10.932580710174856</v>
      </c>
      <c r="Q167" s="1">
        <f>LN(Table1[[#This Row],[qe_mg_g]]-Table1[[#This Row],[qt]])</f>
        <v>3.4271386221913023</v>
      </c>
      <c r="R167" s="1">
        <v>1</v>
      </c>
    </row>
    <row r="168" spans="1:18" x14ac:dyDescent="0.3">
      <c r="A168" s="1">
        <v>167</v>
      </c>
      <c r="B168" s="1" t="s">
        <v>16</v>
      </c>
      <c r="C168" s="1">
        <v>1</v>
      </c>
      <c r="D168" s="1">
        <v>30</v>
      </c>
      <c r="E168" s="1">
        <v>100</v>
      </c>
      <c r="F168" s="1">
        <v>7</v>
      </c>
      <c r="G168" s="1">
        <v>25</v>
      </c>
      <c r="H168" s="1">
        <v>150</v>
      </c>
      <c r="I168" s="1">
        <v>100</v>
      </c>
      <c r="J168" s="1">
        <v>41.234999999999999</v>
      </c>
      <c r="K168" s="1">
        <v>58.765000000000001</v>
      </c>
      <c r="L168" s="1">
        <v>41.23</v>
      </c>
      <c r="M168" s="1">
        <v>67.7</v>
      </c>
      <c r="N168" s="1">
        <v>4.385E-2</v>
      </c>
      <c r="O168" s="1">
        <v>3.4509999999999999E-4</v>
      </c>
      <c r="P168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12.336809579314567</v>
      </c>
      <c r="Q168" s="1">
        <f>LN(Table1[[#This Row],[qe_mg_g]]-Table1[[#This Row],[qt]])</f>
        <v>3.3637789779567768</v>
      </c>
      <c r="R168" s="1">
        <v>2</v>
      </c>
    </row>
    <row r="169" spans="1:18" x14ac:dyDescent="0.3">
      <c r="A169" s="1">
        <v>168</v>
      </c>
      <c r="B169" s="1" t="s">
        <v>16</v>
      </c>
      <c r="C169" s="1">
        <v>1</v>
      </c>
      <c r="D169" s="1">
        <v>30</v>
      </c>
      <c r="E169" s="1">
        <v>100</v>
      </c>
      <c r="F169" s="1">
        <v>7</v>
      </c>
      <c r="G169" s="1">
        <v>25</v>
      </c>
      <c r="H169" s="1">
        <v>150</v>
      </c>
      <c r="I169" s="1">
        <v>100</v>
      </c>
      <c r="J169" s="1">
        <v>34.454000000000001</v>
      </c>
      <c r="K169" s="1">
        <v>65.546000000000006</v>
      </c>
      <c r="L169" s="1">
        <v>34.450000000000003</v>
      </c>
      <c r="M169" s="1">
        <v>77.599999999999994</v>
      </c>
      <c r="N169" s="1">
        <v>5.0610000000000002E-2</v>
      </c>
      <c r="O169" s="1">
        <v>2.3780000000000001E-4</v>
      </c>
      <c r="P169" s="1">
        <f>(Table1[[#This Row],[Rate_Constant_k2_g_mg_min]]*Table1[[#This Row],[Contact_Time_min]]*Table1[[#This Row],[qe_mg_g]]^2)/(1+Table1[[#This Row],[Contact_Time_min]]*Table1[[#This Row],[qe_mg_g]]*Table1[[#This Row],[Rate_Constant_k2_g_mg_min]])</f>
        <v>6.7977607827746702</v>
      </c>
      <c r="Q169" s="1">
        <f>LN(Table1[[#This Row],[qe_mg_g]]-Table1[[#This Row],[qt]])</f>
        <v>3.3198513523224893</v>
      </c>
      <c r="R169" s="1">
        <v>3</v>
      </c>
    </row>
    <row r="170" spans="1:18" x14ac:dyDescent="0.3">
      <c r="A170" s="1">
        <v>169</v>
      </c>
      <c r="B170" s="1" t="s">
        <v>16</v>
      </c>
      <c r="C170" s="1">
        <v>1</v>
      </c>
      <c r="D170" s="1">
        <v>30</v>
      </c>
      <c r="E170" s="1">
        <v>100</v>
      </c>
      <c r="F170" s="1">
        <v>11</v>
      </c>
      <c r="G170" s="1">
        <v>25</v>
      </c>
      <c r="H170" s="1">
        <v>150</v>
      </c>
      <c r="I170" s="1">
        <v>100</v>
      </c>
      <c r="J170" s="1">
        <v>33.021999999999998</v>
      </c>
      <c r="K170" s="1">
        <v>66.977999999999994</v>
      </c>
      <c r="L170" s="1">
        <v>33.020000000000003</v>
      </c>
      <c r="M170" s="1">
        <v>63</v>
      </c>
      <c r="N170" s="1">
        <v>3.8670000000000003E-2</v>
      </c>
      <c r="O170" s="1">
        <v>2.767E-4</v>
      </c>
      <c r="P170" s="1">
        <f>(Table1[[#This Row],[Rate_Constant_k2_g_mg_min]]*Table1[[#This Row],[Contact_Time_min]]*Table1[[#This Row],[qe_mg_g]]^2)/(1+Table1[[#This Row],[Contact_Time_min]]*Table1[[#This Row],[qe_mg_g]]*Table1[[#This Row],[Rate_Constant_k2_g_mg_min]])</f>
        <v>7.1044149474246048</v>
      </c>
      <c r="Q170" s="1">
        <f>LN(Table1[[#This Row],[qe_mg_g]]-Table1[[#This Row],[qt]])</f>
        <v>3.2549216978756235</v>
      </c>
      <c r="R170" s="1">
        <v>1</v>
      </c>
    </row>
    <row r="171" spans="1:18" x14ac:dyDescent="0.3">
      <c r="A171" s="1">
        <v>170</v>
      </c>
      <c r="B171" s="1" t="s">
        <v>16</v>
      </c>
      <c r="C171" s="1">
        <v>1</v>
      </c>
      <c r="D171" s="1">
        <v>30</v>
      </c>
      <c r="E171" s="1">
        <v>100</v>
      </c>
      <c r="F171" s="1">
        <v>11</v>
      </c>
      <c r="G171" s="1">
        <v>25</v>
      </c>
      <c r="H171" s="1">
        <v>150</v>
      </c>
      <c r="I171" s="1">
        <v>100</v>
      </c>
      <c r="J171" s="1">
        <v>30.936</v>
      </c>
      <c r="K171" s="1">
        <v>69.063999999999993</v>
      </c>
      <c r="L171" s="1">
        <v>30.94</v>
      </c>
      <c r="M171" s="1">
        <v>84.2</v>
      </c>
      <c r="N171" s="1">
        <v>4.9209999999999997E-2</v>
      </c>
      <c r="O171" s="1">
        <v>3.3809999999999998E-4</v>
      </c>
      <c r="P171" s="1">
        <f>(Table1[[#This Row],[Rate_Constant_k2_g_mg_min]]*Table1[[#This Row],[Contact_Time_min]]*Table1[[#This Row],[qe_mg_g]]^2)/(1+Table1[[#This Row],[Contact_Time_min]]*Table1[[#This Row],[qe_mg_g]]*Table1[[#This Row],[Rate_Constant_k2_g_mg_min]])</f>
        <v>7.3887474994501536</v>
      </c>
      <c r="Q171" s="1">
        <f>LN(Table1[[#This Row],[qe_mg_g]]-Table1[[#This Row],[qt]])</f>
        <v>3.1590091470130259</v>
      </c>
      <c r="R171" s="1">
        <v>2</v>
      </c>
    </row>
    <row r="172" spans="1:18" x14ac:dyDescent="0.3">
      <c r="A172" s="1">
        <v>171</v>
      </c>
      <c r="B172" s="1" t="s">
        <v>16</v>
      </c>
      <c r="C172" s="1">
        <v>1</v>
      </c>
      <c r="D172" s="1">
        <v>30</v>
      </c>
      <c r="E172" s="1">
        <v>100</v>
      </c>
      <c r="F172" s="1">
        <v>11</v>
      </c>
      <c r="G172" s="1">
        <v>25</v>
      </c>
      <c r="H172" s="1">
        <v>150</v>
      </c>
      <c r="I172" s="1">
        <v>100</v>
      </c>
      <c r="J172" s="1">
        <v>35.912999999999997</v>
      </c>
      <c r="K172" s="1">
        <v>64.087000000000003</v>
      </c>
      <c r="L172" s="1">
        <v>35.909999999999997</v>
      </c>
      <c r="M172" s="1">
        <v>55.4</v>
      </c>
      <c r="N172" s="1">
        <v>4.2639999999999997E-2</v>
      </c>
      <c r="O172" s="1">
        <v>3.1470000000000001E-4</v>
      </c>
      <c r="P172" s="1">
        <f>(Table1[[#This Row],[Rate_Constant_k2_g_mg_min]]*Table1[[#This Row],[Contact_Time_min]]*Table1[[#This Row],[qe_mg_g]]^2)/(1+Table1[[#This Row],[Contact_Time_min]]*Table1[[#This Row],[qe_mg_g]]*Table1[[#This Row],[Rate_Constant_k2_g_mg_min]])</f>
        <v>9.0933325159773357</v>
      </c>
      <c r="Q172" s="1">
        <f>LN(Table1[[#This Row],[qe_mg_g]]-Table1[[#This Row],[qt]])</f>
        <v>3.2891354797163723</v>
      </c>
      <c r="R172" s="1">
        <v>3</v>
      </c>
    </row>
    <row r="173" spans="1:18" x14ac:dyDescent="0.3">
      <c r="A173" s="1">
        <v>172</v>
      </c>
      <c r="B173" s="1" t="s">
        <v>16</v>
      </c>
      <c r="C173" s="1">
        <v>1</v>
      </c>
      <c r="D173" s="1">
        <v>30</v>
      </c>
      <c r="E173" s="1">
        <v>200</v>
      </c>
      <c r="F173" s="1">
        <v>3</v>
      </c>
      <c r="G173" s="1">
        <v>25</v>
      </c>
      <c r="H173" s="1">
        <v>150</v>
      </c>
      <c r="I173" s="1">
        <v>100</v>
      </c>
      <c r="J173" s="1">
        <v>66.933999999999997</v>
      </c>
      <c r="K173" s="1">
        <v>133.066</v>
      </c>
      <c r="L173" s="1">
        <v>33.47</v>
      </c>
      <c r="M173" s="1">
        <v>73.8</v>
      </c>
      <c r="N173" s="1">
        <v>4.3920000000000001E-2</v>
      </c>
      <c r="O173" s="1">
        <v>2.8880000000000003E-4</v>
      </c>
      <c r="P173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24.568461234859843</v>
      </c>
      <c r="Q173" s="1">
        <f>LN(Table1[[#This Row],[qe_mg_g]]-Table1[[#This Row],[qt]])</f>
        <v>3.7463352667922756</v>
      </c>
      <c r="R173" s="1">
        <v>1</v>
      </c>
    </row>
    <row r="174" spans="1:18" x14ac:dyDescent="0.3">
      <c r="A174" s="1">
        <v>173</v>
      </c>
      <c r="B174" s="1" t="s">
        <v>16</v>
      </c>
      <c r="C174" s="1">
        <v>1</v>
      </c>
      <c r="D174" s="1">
        <v>30</v>
      </c>
      <c r="E174" s="1">
        <v>200</v>
      </c>
      <c r="F174" s="1">
        <v>3</v>
      </c>
      <c r="G174" s="1">
        <v>25</v>
      </c>
      <c r="H174" s="1">
        <v>150</v>
      </c>
      <c r="I174" s="1">
        <v>100</v>
      </c>
      <c r="J174" s="1">
        <v>78.406999999999996</v>
      </c>
      <c r="K174" s="1">
        <v>121.593</v>
      </c>
      <c r="L174" s="1">
        <v>39.200000000000003</v>
      </c>
      <c r="M174" s="1">
        <v>71.099999999999994</v>
      </c>
      <c r="N174" s="1">
        <v>4.3380000000000002E-2</v>
      </c>
      <c r="O174" s="1">
        <v>3.3480000000000001E-4</v>
      </c>
      <c r="P174" s="1">
        <f>(Table1[[#This Row],[Rate_Constant_k2_g_mg_min]]*Table1[[#This Row],[Contact_Time_min]]*Table1[[#This Row],[qe_mg_g]]^2)/(1+Table1[[#This Row],[Contact_Time_min]]*Table1[[#This Row],[qe_mg_g]]*Table1[[#This Row],[Rate_Constant_k2_g_mg_min]])</f>
        <v>34.543432579524591</v>
      </c>
      <c r="Q174" s="1">
        <f>LN(Table1[[#This Row],[qe_mg_g]]-Table1[[#This Row],[qt]])</f>
        <v>3.7810840762182525</v>
      </c>
      <c r="R174" s="1">
        <v>2</v>
      </c>
    </row>
    <row r="175" spans="1:18" x14ac:dyDescent="0.3">
      <c r="A175" s="1">
        <v>174</v>
      </c>
      <c r="B175" s="1" t="s">
        <v>16</v>
      </c>
      <c r="C175" s="1">
        <v>1</v>
      </c>
      <c r="D175" s="1">
        <v>30</v>
      </c>
      <c r="E175" s="1">
        <v>200</v>
      </c>
      <c r="F175" s="1">
        <v>3</v>
      </c>
      <c r="G175" s="1">
        <v>25</v>
      </c>
      <c r="H175" s="1">
        <v>150</v>
      </c>
      <c r="I175" s="1">
        <v>100</v>
      </c>
      <c r="J175" s="1">
        <v>67.771000000000001</v>
      </c>
      <c r="K175" s="1">
        <v>132.22900000000001</v>
      </c>
      <c r="L175" s="1">
        <v>33.89</v>
      </c>
      <c r="M175" s="1">
        <v>72.8</v>
      </c>
      <c r="N175" s="1">
        <v>4.7669999999999997E-2</v>
      </c>
      <c r="O175" s="1">
        <v>2.9070000000000002E-4</v>
      </c>
      <c r="P175" s="1">
        <f>(Table1[[#This Row],[Rate_Constant_k2_g_mg_min]]*Table1[[#This Row],[Contact_Time_min]]*Table1[[#This Row],[qe_mg_g]]^2)/(1+Table1[[#This Row],[Contact_Time_min]]*Table1[[#This Row],[qe_mg_g]]*Table1[[#This Row],[Rate_Constant_k2_g_mg_min]])</f>
        <v>25.175346839925691</v>
      </c>
      <c r="Q175" s="1">
        <f>LN(Table1[[#This Row],[qe_mg_g]]-Table1[[#This Row],[qt]])</f>
        <v>3.751752209573135</v>
      </c>
      <c r="R175" s="1">
        <v>3</v>
      </c>
    </row>
    <row r="176" spans="1:18" x14ac:dyDescent="0.3">
      <c r="A176" s="1">
        <v>175</v>
      </c>
      <c r="B176" s="1" t="s">
        <v>16</v>
      </c>
      <c r="C176" s="1">
        <v>1</v>
      </c>
      <c r="D176" s="1">
        <v>30</v>
      </c>
      <c r="E176" s="1">
        <v>200</v>
      </c>
      <c r="F176" s="1">
        <v>7</v>
      </c>
      <c r="G176" s="1">
        <v>25</v>
      </c>
      <c r="H176" s="1">
        <v>150</v>
      </c>
      <c r="I176" s="1">
        <v>100</v>
      </c>
      <c r="J176" s="1">
        <v>114.31699999999999</v>
      </c>
      <c r="K176" s="1">
        <v>85.683000000000007</v>
      </c>
      <c r="L176" s="1">
        <v>57.16</v>
      </c>
      <c r="M176" s="1">
        <v>54.2</v>
      </c>
      <c r="N176" s="1">
        <v>4.9160000000000002E-2</v>
      </c>
      <c r="O176" s="1">
        <v>2.945E-4</v>
      </c>
      <c r="P176" s="1">
        <f>(Table1[[#This Row],[Rate_Constant_k2_g_mg_min]]*Table1[[#This Row],[Contact_Time_min]]*Table1[[#This Row],[qe_mg_g]]^2)/(1+Table1[[#This Row],[Contact_Time_min]]*Table1[[#This Row],[qe_mg_g]]*Table1[[#This Row],[Rate_Constant_k2_g_mg_min]])</f>
        <v>57.442607355112656</v>
      </c>
      <c r="Q176" s="1">
        <f>LN(Table1[[#This Row],[qe_mg_g]]-Table1[[#This Row],[qt]])</f>
        <v>4.0408451984428844</v>
      </c>
      <c r="R176" s="1">
        <v>1</v>
      </c>
    </row>
    <row r="177" spans="1:18" x14ac:dyDescent="0.3">
      <c r="A177" s="1">
        <v>176</v>
      </c>
      <c r="B177" s="1" t="s">
        <v>16</v>
      </c>
      <c r="C177" s="1">
        <v>1</v>
      </c>
      <c r="D177" s="1">
        <v>30</v>
      </c>
      <c r="E177" s="1">
        <v>200</v>
      </c>
      <c r="F177" s="1">
        <v>7</v>
      </c>
      <c r="G177" s="1">
        <v>25</v>
      </c>
      <c r="H177" s="1">
        <v>150</v>
      </c>
      <c r="I177" s="1">
        <v>100</v>
      </c>
      <c r="J177" s="1">
        <v>106.751</v>
      </c>
      <c r="K177" s="1">
        <v>93.248999999999995</v>
      </c>
      <c r="L177" s="1">
        <v>53.38</v>
      </c>
      <c r="M177" s="1">
        <v>77.2</v>
      </c>
      <c r="N177" s="1">
        <v>4.1829999999999999E-2</v>
      </c>
      <c r="O177" s="1">
        <v>2.5769999999999998E-4</v>
      </c>
      <c r="P177" s="1">
        <f>(Table1[[#This Row],[Rate_Constant_k2_g_mg_min]]*Table1[[#This Row],[Contact_Time_min]]*Table1[[#This Row],[qe_mg_g]]^2)/(1+Table1[[#This Row],[Contact_Time_min]]*Table1[[#This Row],[qe_mg_g]]*Table1[[#This Row],[Rate_Constant_k2_g_mg_min]])</f>
        <v>48.266658255664026</v>
      </c>
      <c r="Q177" s="1">
        <f>LN(Table1[[#This Row],[qe_mg_g]]-Table1[[#This Row],[qt]])</f>
        <v>4.0687590559198297</v>
      </c>
      <c r="R177" s="1">
        <v>2</v>
      </c>
    </row>
    <row r="178" spans="1:18" x14ac:dyDescent="0.3">
      <c r="A178" s="1">
        <v>177</v>
      </c>
      <c r="B178" s="1" t="s">
        <v>16</v>
      </c>
      <c r="C178" s="1">
        <v>1</v>
      </c>
      <c r="D178" s="1">
        <v>30</v>
      </c>
      <c r="E178" s="1">
        <v>200</v>
      </c>
      <c r="F178" s="1">
        <v>7</v>
      </c>
      <c r="G178" s="1">
        <v>25</v>
      </c>
      <c r="H178" s="1">
        <v>150</v>
      </c>
      <c r="I178" s="1">
        <v>100</v>
      </c>
      <c r="J178" s="1">
        <v>97.536000000000001</v>
      </c>
      <c r="K178" s="1">
        <v>102.464</v>
      </c>
      <c r="L178" s="1">
        <v>48.77</v>
      </c>
      <c r="M178" s="1">
        <v>72.7</v>
      </c>
      <c r="N178" s="1">
        <v>3.9239999999999997E-2</v>
      </c>
      <c r="O178" s="1">
        <v>3.5260000000000001E-4</v>
      </c>
      <c r="P178" s="1">
        <f>(Table1[[#This Row],[Rate_Constant_k2_g_mg_min]]*Table1[[#This Row],[Contact_Time_min]]*Table1[[#This Row],[qe_mg_g]]^2)/(1+Table1[[#This Row],[Contact_Time_min]]*Table1[[#This Row],[qe_mg_g]]*Table1[[#This Row],[Rate_Constant_k2_g_mg_min]])</f>
        <v>49.529758432592438</v>
      </c>
      <c r="Q178" s="1">
        <f>LN(Table1[[#This Row],[qe_mg_g]]-Table1[[#This Row],[qt]])</f>
        <v>3.8713310351087022</v>
      </c>
      <c r="R178" s="1">
        <v>3</v>
      </c>
    </row>
    <row r="179" spans="1:18" x14ac:dyDescent="0.3">
      <c r="A179" s="1">
        <v>178</v>
      </c>
      <c r="B179" s="1" t="s">
        <v>16</v>
      </c>
      <c r="C179" s="1">
        <v>1</v>
      </c>
      <c r="D179" s="1">
        <v>30</v>
      </c>
      <c r="E179" s="1">
        <v>200</v>
      </c>
      <c r="F179" s="1">
        <v>11</v>
      </c>
      <c r="G179" s="1">
        <v>25</v>
      </c>
      <c r="H179" s="1">
        <v>150</v>
      </c>
      <c r="I179" s="1">
        <v>100</v>
      </c>
      <c r="J179" s="1">
        <v>73.978999999999999</v>
      </c>
      <c r="K179" s="1">
        <v>126.021</v>
      </c>
      <c r="L179" s="1">
        <v>36.99</v>
      </c>
      <c r="M179" s="1">
        <v>83.6</v>
      </c>
      <c r="N179" s="1">
        <v>4.5949999999999998E-2</v>
      </c>
      <c r="O179" s="1">
        <v>2.9710000000000001E-4</v>
      </c>
      <c r="P179" s="1">
        <f>(Table1[[#This Row],[Rate_Constant_k2_g_mg_min]]*Table1[[#This Row],[Contact_Time_min]]*Table1[[#This Row],[qe_mg_g]]^2)/(1+Table1[[#This Row],[Contact_Time_min]]*Table1[[#This Row],[qe_mg_g]]*Table1[[#This Row],[Rate_Constant_k2_g_mg_min]])</f>
        <v>29.396547141083637</v>
      </c>
      <c r="Q179" s="1">
        <f>LN(Table1[[#This Row],[qe_mg_g]]-Table1[[#This Row],[qt]])</f>
        <v>3.7973403479541075</v>
      </c>
      <c r="R179" s="1">
        <v>1</v>
      </c>
    </row>
    <row r="180" spans="1:18" x14ac:dyDescent="0.3">
      <c r="A180" s="1">
        <v>179</v>
      </c>
      <c r="B180" s="1" t="s">
        <v>16</v>
      </c>
      <c r="C180" s="1">
        <v>1</v>
      </c>
      <c r="D180" s="1">
        <v>30</v>
      </c>
      <c r="E180" s="1">
        <v>200</v>
      </c>
      <c r="F180" s="1">
        <v>11</v>
      </c>
      <c r="G180" s="1">
        <v>25</v>
      </c>
      <c r="H180" s="1">
        <v>150</v>
      </c>
      <c r="I180" s="1">
        <v>100</v>
      </c>
      <c r="J180" s="1">
        <v>84.894000000000005</v>
      </c>
      <c r="K180" s="1">
        <v>115.10599999999999</v>
      </c>
      <c r="L180" s="1">
        <v>42.45</v>
      </c>
      <c r="M180" s="1">
        <v>70.7</v>
      </c>
      <c r="N180" s="1">
        <v>4.4830000000000002E-2</v>
      </c>
      <c r="O180" s="1">
        <v>3.3310000000000002E-4</v>
      </c>
      <c r="P180" s="1">
        <f>(Table1[[#This Row],[Rate_Constant_k2_g_mg_min]]*Table1[[#This Row],[Contact_Time_min]]*Table1[[#This Row],[qe_mg_g]]^2)/(1+Table1[[#This Row],[Contact_Time_min]]*Table1[[#This Row],[qe_mg_g]]*Table1[[#This Row],[Rate_Constant_k2_g_mg_min]])</f>
        <v>38.96428129480767</v>
      </c>
      <c r="Q180" s="1">
        <f>LN(Table1[[#This Row],[qe_mg_g]]-Table1[[#This Row],[qt]])</f>
        <v>3.8271123738946571</v>
      </c>
      <c r="R180" s="1">
        <v>2</v>
      </c>
    </row>
    <row r="181" spans="1:18" x14ac:dyDescent="0.3">
      <c r="A181" s="1">
        <v>180</v>
      </c>
      <c r="B181" s="1" t="s">
        <v>16</v>
      </c>
      <c r="C181" s="1">
        <v>1</v>
      </c>
      <c r="D181" s="1">
        <v>30</v>
      </c>
      <c r="E181" s="1">
        <v>200</v>
      </c>
      <c r="F181" s="1">
        <v>11</v>
      </c>
      <c r="G181" s="1">
        <v>25</v>
      </c>
      <c r="H181" s="1">
        <v>150</v>
      </c>
      <c r="I181" s="1">
        <v>100</v>
      </c>
      <c r="J181" s="1">
        <v>89.573999999999998</v>
      </c>
      <c r="K181" s="1">
        <v>110.426</v>
      </c>
      <c r="L181" s="1">
        <v>44.79</v>
      </c>
      <c r="M181" s="1">
        <v>68.2</v>
      </c>
      <c r="N181" s="1">
        <v>4.3360000000000003E-2</v>
      </c>
      <c r="O181" s="1">
        <v>2.9829999999999999E-4</v>
      </c>
      <c r="P181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39.854798700342059</v>
      </c>
      <c r="Q181" s="1">
        <f>LN(Table1[[#This Row],[qe_mg_g]]-Table1[[#This Row],[qt]])</f>
        <v>3.9063912025484382</v>
      </c>
      <c r="R181" s="1">
        <v>3</v>
      </c>
    </row>
    <row r="182" spans="1:18" x14ac:dyDescent="0.3">
      <c r="A182" s="1">
        <v>181</v>
      </c>
      <c r="B182" s="1" t="s">
        <v>16</v>
      </c>
      <c r="C182" s="1">
        <v>1</v>
      </c>
      <c r="D182" s="1">
        <v>60</v>
      </c>
      <c r="E182" s="1">
        <v>25</v>
      </c>
      <c r="F182" s="1">
        <v>3</v>
      </c>
      <c r="G182" s="1">
        <v>25</v>
      </c>
      <c r="H182" s="1">
        <v>150</v>
      </c>
      <c r="I182" s="1">
        <v>100</v>
      </c>
      <c r="J182" s="1">
        <v>4.5380000000000003</v>
      </c>
      <c r="K182" s="1">
        <v>20.462</v>
      </c>
      <c r="L182" s="1">
        <v>18.149999999999999</v>
      </c>
      <c r="M182" s="1">
        <v>49.6</v>
      </c>
      <c r="N182" s="1">
        <v>3.8929999999999999E-2</v>
      </c>
      <c r="O182" s="1">
        <v>3.2229999999999997E-4</v>
      </c>
      <c r="P18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0.36610791131911402</v>
      </c>
      <c r="Q182" s="1">
        <f>LN(Table1[[#This Row],[qe_mg_g]]-Table1[[#This Row],[qt]])</f>
        <v>1.428369671195397</v>
      </c>
      <c r="R182" s="1">
        <v>1</v>
      </c>
    </row>
    <row r="183" spans="1:18" x14ac:dyDescent="0.3">
      <c r="A183" s="1">
        <v>182</v>
      </c>
      <c r="B183" s="1" t="s">
        <v>16</v>
      </c>
      <c r="C183" s="1">
        <v>1</v>
      </c>
      <c r="D183" s="1">
        <v>60</v>
      </c>
      <c r="E183" s="1">
        <v>25</v>
      </c>
      <c r="F183" s="1">
        <v>3</v>
      </c>
      <c r="G183" s="1">
        <v>25</v>
      </c>
      <c r="H183" s="1">
        <v>150</v>
      </c>
      <c r="I183" s="1">
        <v>100</v>
      </c>
      <c r="J183" s="1">
        <v>4.4889999999999999</v>
      </c>
      <c r="K183" s="1">
        <v>20.510999999999999</v>
      </c>
      <c r="L183" s="1">
        <v>17.96</v>
      </c>
      <c r="M183" s="1">
        <v>64.8</v>
      </c>
      <c r="N183" s="1">
        <v>4.5080000000000002E-2</v>
      </c>
      <c r="O183" s="1">
        <v>3.1040000000000001E-4</v>
      </c>
      <c r="P18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0.34633941619009861</v>
      </c>
      <c r="Q183" s="1">
        <f>LN(Table1[[#This Row],[qe_mg_g]]-Table1[[#This Row],[qt]])</f>
        <v>1.4213382345183323</v>
      </c>
      <c r="R183" s="1">
        <v>2</v>
      </c>
    </row>
    <row r="184" spans="1:18" x14ac:dyDescent="0.3">
      <c r="A184" s="1">
        <v>183</v>
      </c>
      <c r="B184" s="1" t="s">
        <v>16</v>
      </c>
      <c r="C184" s="1">
        <v>1</v>
      </c>
      <c r="D184" s="1">
        <v>60</v>
      </c>
      <c r="E184" s="1">
        <v>25</v>
      </c>
      <c r="F184" s="1">
        <v>3</v>
      </c>
      <c r="G184" s="1">
        <v>25</v>
      </c>
      <c r="H184" s="1">
        <v>150</v>
      </c>
      <c r="I184" s="1">
        <v>100</v>
      </c>
      <c r="J184" s="1">
        <v>4.2380000000000004</v>
      </c>
      <c r="K184" s="1">
        <v>20.762</v>
      </c>
      <c r="L184" s="1">
        <v>16.95</v>
      </c>
      <c r="M184" s="1">
        <v>58.9</v>
      </c>
      <c r="N184" s="1">
        <v>4.5879999999999997E-2</v>
      </c>
      <c r="O184" s="1">
        <v>2.7060000000000002E-4</v>
      </c>
      <c r="P18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0.2728356918619656</v>
      </c>
      <c r="Q184" s="1">
        <f>LN(Table1[[#This Row],[qe_mg_g]]-Table1[[#This Row],[qt]])</f>
        <v>1.3775472938594959</v>
      </c>
      <c r="R184" s="1">
        <v>3</v>
      </c>
    </row>
    <row r="185" spans="1:18" x14ac:dyDescent="0.3">
      <c r="A185" s="1">
        <v>184</v>
      </c>
      <c r="B185" s="1" t="s">
        <v>16</v>
      </c>
      <c r="C185" s="1">
        <v>1</v>
      </c>
      <c r="D185" s="1">
        <v>60</v>
      </c>
      <c r="E185" s="1">
        <v>25</v>
      </c>
      <c r="F185" s="1">
        <v>7</v>
      </c>
      <c r="G185" s="1">
        <v>25</v>
      </c>
      <c r="H185" s="1">
        <v>150</v>
      </c>
      <c r="I185" s="1">
        <v>100</v>
      </c>
      <c r="J185" s="1">
        <v>7.5119999999999996</v>
      </c>
      <c r="K185" s="1">
        <v>17.488</v>
      </c>
      <c r="L185" s="1">
        <v>30.05</v>
      </c>
      <c r="M185" s="1">
        <v>49.6</v>
      </c>
      <c r="N185" s="1">
        <v>4.9630000000000001E-2</v>
      </c>
      <c r="O185" s="1">
        <v>3.1419999999999999E-4</v>
      </c>
      <c r="P18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0.93185525251259904</v>
      </c>
      <c r="Q185" s="1">
        <f>LN(Table1[[#This Row],[qe_mg_g]]-Table1[[#This Row],[qt]])</f>
        <v>1.8840567431936603</v>
      </c>
      <c r="R185" s="1">
        <v>1</v>
      </c>
    </row>
    <row r="186" spans="1:18" x14ac:dyDescent="0.3">
      <c r="A186" s="1">
        <v>185</v>
      </c>
      <c r="B186" s="1" t="s">
        <v>16</v>
      </c>
      <c r="C186" s="1">
        <v>1</v>
      </c>
      <c r="D186" s="1">
        <v>60</v>
      </c>
      <c r="E186" s="1">
        <v>25</v>
      </c>
      <c r="F186" s="1">
        <v>7</v>
      </c>
      <c r="G186" s="1">
        <v>25</v>
      </c>
      <c r="H186" s="1">
        <v>150</v>
      </c>
      <c r="I186" s="1">
        <v>100</v>
      </c>
      <c r="J186" s="1">
        <v>7.4240000000000004</v>
      </c>
      <c r="K186" s="1">
        <v>17.576000000000001</v>
      </c>
      <c r="L186" s="1">
        <v>29.7</v>
      </c>
      <c r="M186" s="1">
        <v>76.5</v>
      </c>
      <c r="N186" s="1">
        <v>5.2490000000000002E-2</v>
      </c>
      <c r="O186" s="1">
        <v>3.3040000000000001E-4</v>
      </c>
      <c r="P18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0.95244116214914676</v>
      </c>
      <c r="Q186" s="1">
        <f>LN(Table1[[#This Row],[qe_mg_g]]-Table1[[#This Row],[qt]])</f>
        <v>1.8674170127003067</v>
      </c>
      <c r="R186" s="1">
        <v>2</v>
      </c>
    </row>
    <row r="187" spans="1:18" x14ac:dyDescent="0.3">
      <c r="A187" s="1">
        <v>186</v>
      </c>
      <c r="B187" s="1" t="s">
        <v>16</v>
      </c>
      <c r="C187" s="1">
        <v>1</v>
      </c>
      <c r="D187" s="1">
        <v>60</v>
      </c>
      <c r="E187" s="1">
        <v>25</v>
      </c>
      <c r="F187" s="1">
        <v>7</v>
      </c>
      <c r="G187" s="1">
        <v>25</v>
      </c>
      <c r="H187" s="1">
        <v>150</v>
      </c>
      <c r="I187" s="1">
        <v>100</v>
      </c>
      <c r="J187" s="1">
        <v>6.2030000000000003</v>
      </c>
      <c r="K187" s="1">
        <v>18.797000000000001</v>
      </c>
      <c r="L187" s="1">
        <v>24.81</v>
      </c>
      <c r="M187" s="1">
        <v>53.9</v>
      </c>
      <c r="N187" s="1">
        <v>4.2189999999999998E-2</v>
      </c>
      <c r="O187" s="1">
        <v>3.0079999999999999E-4</v>
      </c>
      <c r="P18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0.62452050799787229</v>
      </c>
      <c r="Q187" s="1">
        <f>LN(Table1[[#This Row],[qe_mg_g]]-Table1[[#This Row],[qt]])</f>
        <v>1.7189162467876631</v>
      </c>
      <c r="R187" s="1">
        <v>3</v>
      </c>
    </row>
    <row r="188" spans="1:18" x14ac:dyDescent="0.3">
      <c r="A188" s="1">
        <v>187</v>
      </c>
      <c r="B188" s="1" t="s">
        <v>16</v>
      </c>
      <c r="C188" s="1">
        <v>1</v>
      </c>
      <c r="D188" s="1">
        <v>60</v>
      </c>
      <c r="E188" s="1">
        <v>25</v>
      </c>
      <c r="F188" s="1">
        <v>11</v>
      </c>
      <c r="G188" s="1">
        <v>25</v>
      </c>
      <c r="H188" s="1">
        <v>150</v>
      </c>
      <c r="I188" s="1">
        <v>100</v>
      </c>
      <c r="J188" s="1">
        <v>5.7350000000000003</v>
      </c>
      <c r="K188" s="1">
        <v>19.265000000000001</v>
      </c>
      <c r="L188" s="1">
        <v>22.94</v>
      </c>
      <c r="M188" s="1">
        <v>59.4</v>
      </c>
      <c r="N188" s="1">
        <v>4.5839999999999999E-2</v>
      </c>
      <c r="O188" s="1">
        <v>2.7730000000000002E-4</v>
      </c>
      <c r="P18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0.4995600756598208</v>
      </c>
      <c r="Q188" s="1">
        <f>LN(Table1[[#This Row],[qe_mg_g]]-Table1[[#This Row],[qt]])</f>
        <v>1.6554508760047633</v>
      </c>
      <c r="R188" s="1">
        <v>1</v>
      </c>
    </row>
    <row r="189" spans="1:18" x14ac:dyDescent="0.3">
      <c r="A189" s="1">
        <v>188</v>
      </c>
      <c r="B189" s="1" t="s">
        <v>16</v>
      </c>
      <c r="C189" s="1">
        <v>1</v>
      </c>
      <c r="D189" s="1">
        <v>60</v>
      </c>
      <c r="E189" s="1">
        <v>25</v>
      </c>
      <c r="F189" s="1">
        <v>11</v>
      </c>
      <c r="G189" s="1">
        <v>25</v>
      </c>
      <c r="H189" s="1">
        <v>150</v>
      </c>
      <c r="I189" s="1">
        <v>100</v>
      </c>
      <c r="J189" s="1">
        <v>5.2380000000000004</v>
      </c>
      <c r="K189" s="1">
        <v>19.762</v>
      </c>
      <c r="L189" s="1">
        <v>20.95</v>
      </c>
      <c r="M189" s="1">
        <v>52.6</v>
      </c>
      <c r="N189" s="1">
        <v>4.0849999999999997E-2</v>
      </c>
      <c r="O189" s="1">
        <v>2.5940000000000002E-4</v>
      </c>
      <c r="P18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0.39483528392732314</v>
      </c>
      <c r="Q189" s="1">
        <f>LN(Table1[[#This Row],[qe_mg_g]]-Table1[[#This Row],[qt]])</f>
        <v>1.5775683740078459</v>
      </c>
      <c r="R189" s="1">
        <v>2</v>
      </c>
    </row>
    <row r="190" spans="1:18" x14ac:dyDescent="0.3">
      <c r="A190" s="1">
        <v>189</v>
      </c>
      <c r="B190" s="1" t="s">
        <v>16</v>
      </c>
      <c r="C190" s="1">
        <v>1</v>
      </c>
      <c r="D190" s="1">
        <v>60</v>
      </c>
      <c r="E190" s="1">
        <v>25</v>
      </c>
      <c r="F190" s="1">
        <v>11</v>
      </c>
      <c r="G190" s="1">
        <v>25</v>
      </c>
      <c r="H190" s="1">
        <v>150</v>
      </c>
      <c r="I190" s="1">
        <v>100</v>
      </c>
      <c r="J190" s="1">
        <v>5.077</v>
      </c>
      <c r="K190" s="1">
        <v>19.922999999999998</v>
      </c>
      <c r="L190" s="1">
        <v>20.309999999999999</v>
      </c>
      <c r="M190" s="1">
        <v>77.2</v>
      </c>
      <c r="N190" s="1">
        <v>4.0730000000000002E-2</v>
      </c>
      <c r="O190" s="1">
        <v>3.79E-4</v>
      </c>
      <c r="P19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0.52547770898905821</v>
      </c>
      <c r="Q190" s="1">
        <f>LN(Table1[[#This Row],[qe_mg_g]]-Table1[[#This Row],[qt]])</f>
        <v>1.5154617464599343</v>
      </c>
      <c r="R190" s="1">
        <v>3</v>
      </c>
    </row>
    <row r="191" spans="1:18" x14ac:dyDescent="0.3">
      <c r="A191" s="1">
        <v>190</v>
      </c>
      <c r="B191" s="1" t="s">
        <v>16</v>
      </c>
      <c r="C191" s="1">
        <v>1</v>
      </c>
      <c r="D191" s="1">
        <v>60</v>
      </c>
      <c r="E191" s="1">
        <v>50</v>
      </c>
      <c r="F191" s="1">
        <v>3</v>
      </c>
      <c r="G191" s="1">
        <v>25</v>
      </c>
      <c r="H191" s="1">
        <v>150</v>
      </c>
      <c r="I191" s="1">
        <v>100</v>
      </c>
      <c r="J191" s="1">
        <v>14.686999999999999</v>
      </c>
      <c r="K191" s="1">
        <v>35.313000000000002</v>
      </c>
      <c r="L191" s="1">
        <v>29.37</v>
      </c>
      <c r="M191" s="1">
        <v>68.5</v>
      </c>
      <c r="N191" s="1">
        <v>4.1140000000000003E-2</v>
      </c>
      <c r="O191" s="1">
        <v>3.21E-4</v>
      </c>
      <c r="P19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3.2384655004995748</v>
      </c>
      <c r="Q191" s="1">
        <f>LN(Table1[[#This Row],[qe_mg_g]]-Table1[[#This Row],[qt]])</f>
        <v>2.4378617304986556</v>
      </c>
      <c r="R191" s="1">
        <v>1</v>
      </c>
    </row>
    <row r="192" spans="1:18" x14ac:dyDescent="0.3">
      <c r="A192" s="1">
        <v>191</v>
      </c>
      <c r="B192" s="1" t="s">
        <v>16</v>
      </c>
      <c r="C192" s="1">
        <v>1</v>
      </c>
      <c r="D192" s="1">
        <v>60</v>
      </c>
      <c r="E192" s="1">
        <v>50</v>
      </c>
      <c r="F192" s="1">
        <v>3</v>
      </c>
      <c r="G192" s="1">
        <v>25</v>
      </c>
      <c r="H192" s="1">
        <v>150</v>
      </c>
      <c r="I192" s="1">
        <v>100</v>
      </c>
      <c r="J192" s="1">
        <v>13.478999999999999</v>
      </c>
      <c r="K192" s="1">
        <v>36.521000000000001</v>
      </c>
      <c r="L192" s="1">
        <v>26.96</v>
      </c>
      <c r="M192" s="1">
        <v>67.900000000000006</v>
      </c>
      <c r="N192" s="1">
        <v>5.6520000000000001E-2</v>
      </c>
      <c r="O192" s="1">
        <v>2.9710000000000001E-4</v>
      </c>
      <c r="P19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2.6112633893582906</v>
      </c>
      <c r="Q192" s="1">
        <f>LN(Table1[[#This Row],[qe_mg_g]]-Table1[[#This Row],[qt]])</f>
        <v>2.385798455959574</v>
      </c>
      <c r="R192" s="1">
        <v>2</v>
      </c>
    </row>
    <row r="193" spans="1:18" x14ac:dyDescent="0.3">
      <c r="A193" s="1">
        <v>192</v>
      </c>
      <c r="B193" s="1" t="s">
        <v>16</v>
      </c>
      <c r="C193" s="1">
        <v>1</v>
      </c>
      <c r="D193" s="1">
        <v>60</v>
      </c>
      <c r="E193" s="1">
        <v>50</v>
      </c>
      <c r="F193" s="1">
        <v>3</v>
      </c>
      <c r="G193" s="1">
        <v>25</v>
      </c>
      <c r="H193" s="1">
        <v>150</v>
      </c>
      <c r="I193" s="1">
        <v>100</v>
      </c>
      <c r="J193" s="1">
        <v>15.429</v>
      </c>
      <c r="K193" s="1">
        <v>34.570999999999998</v>
      </c>
      <c r="L193" s="1">
        <v>30.86</v>
      </c>
      <c r="M193" s="1">
        <v>59.6</v>
      </c>
      <c r="N193" s="1">
        <v>4.4839999999999998E-2</v>
      </c>
      <c r="O193" s="1">
        <v>3.5310000000000002E-4</v>
      </c>
      <c r="P19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3.8009597677133429</v>
      </c>
      <c r="Q193" s="1">
        <f>LN(Table1[[#This Row],[qe_mg_g]]-Table1[[#This Row],[qt]])</f>
        <v>2.4534194426396168</v>
      </c>
      <c r="R193" s="1">
        <v>3</v>
      </c>
    </row>
    <row r="194" spans="1:18" x14ac:dyDescent="0.3">
      <c r="A194" s="1">
        <v>193</v>
      </c>
      <c r="B194" s="1" t="s">
        <v>16</v>
      </c>
      <c r="C194" s="1">
        <v>1</v>
      </c>
      <c r="D194" s="1">
        <v>60</v>
      </c>
      <c r="E194" s="1">
        <v>50</v>
      </c>
      <c r="F194" s="1">
        <v>7</v>
      </c>
      <c r="G194" s="1">
        <v>25</v>
      </c>
      <c r="H194" s="1">
        <v>150</v>
      </c>
      <c r="I194" s="1">
        <v>100</v>
      </c>
      <c r="J194" s="1">
        <v>21.082999999999998</v>
      </c>
      <c r="K194" s="1">
        <v>28.917000000000002</v>
      </c>
      <c r="L194" s="1">
        <v>42.17</v>
      </c>
      <c r="M194" s="1">
        <v>84.8</v>
      </c>
      <c r="N194" s="1">
        <v>4.8180000000000001E-2</v>
      </c>
      <c r="O194" s="1">
        <v>2.831E-4</v>
      </c>
      <c r="P194" s="1">
        <f>(Table1[[#This Row],[Rate_Constant_k2_g_mg_min]]*Table1[[#This Row],[Contact_Time_min]]*Table1[[#This Row],[qe_mg_g]]^2)/(1+Table1[[#This Row],[Contact_Time_min]]*Table1[[#This Row],[qe_mg_g]]*Table1[[#This Row],[Rate_Constant_k2_g_mg_min]])</f>
        <v>5.5592873606956639</v>
      </c>
      <c r="Q194" s="1">
        <f>LN(Table1[[#This Row],[qe_mg_g]]-Table1[[#This Row],[qt]])</f>
        <v>2.7423687025974015</v>
      </c>
      <c r="R194" s="1">
        <v>1</v>
      </c>
    </row>
    <row r="195" spans="1:18" x14ac:dyDescent="0.3">
      <c r="A195" s="1">
        <v>194</v>
      </c>
      <c r="B195" s="1" t="s">
        <v>16</v>
      </c>
      <c r="C195" s="1">
        <v>1</v>
      </c>
      <c r="D195" s="1">
        <v>60</v>
      </c>
      <c r="E195" s="1">
        <v>50</v>
      </c>
      <c r="F195" s="1">
        <v>7</v>
      </c>
      <c r="G195" s="1">
        <v>25</v>
      </c>
      <c r="H195" s="1">
        <v>150</v>
      </c>
      <c r="I195" s="1">
        <v>100</v>
      </c>
      <c r="J195" s="1">
        <v>23.318999999999999</v>
      </c>
      <c r="K195" s="1">
        <v>26.681000000000001</v>
      </c>
      <c r="L195" s="1">
        <v>46.64</v>
      </c>
      <c r="M195" s="1">
        <v>76.400000000000006</v>
      </c>
      <c r="N195" s="1">
        <v>4.7800000000000002E-2</v>
      </c>
      <c r="O195" s="1">
        <v>2.5290000000000002E-4</v>
      </c>
      <c r="P195" s="1">
        <f>(Table1[[#This Row],[Rate_Constant_k2_g_mg_min]]*Table1[[#This Row],[Contact_Time_min]]*Table1[[#This Row],[qe_mg_g]]^2)/(1+Table1[[#This Row],[Contact_Time_min]]*Table1[[#This Row],[qe_mg_g]]*Table1[[#This Row],[Rate_Constant_k2_g_mg_min]])</f>
        <v>6.0946922266407269</v>
      </c>
      <c r="Q195" s="1">
        <f>LN(Table1[[#This Row],[qe_mg_g]]-Table1[[#This Row],[qt]])</f>
        <v>2.8463216287690711</v>
      </c>
      <c r="R195" s="1">
        <v>2</v>
      </c>
    </row>
    <row r="196" spans="1:18" x14ac:dyDescent="0.3">
      <c r="A196" s="1">
        <v>195</v>
      </c>
      <c r="B196" s="1" t="s">
        <v>16</v>
      </c>
      <c r="C196" s="1">
        <v>1</v>
      </c>
      <c r="D196" s="1">
        <v>60</v>
      </c>
      <c r="E196" s="1">
        <v>50</v>
      </c>
      <c r="F196" s="1">
        <v>7</v>
      </c>
      <c r="G196" s="1">
        <v>25</v>
      </c>
      <c r="H196" s="1">
        <v>150</v>
      </c>
      <c r="I196" s="1">
        <v>100</v>
      </c>
      <c r="J196" s="1">
        <v>20.905000000000001</v>
      </c>
      <c r="K196" s="1">
        <v>29.094999999999999</v>
      </c>
      <c r="L196" s="1">
        <v>41.81</v>
      </c>
      <c r="M196" s="1">
        <v>64.2</v>
      </c>
      <c r="N196" s="1">
        <v>4.4670000000000001E-2</v>
      </c>
      <c r="O196" s="1">
        <v>3.1859999999999999E-4</v>
      </c>
      <c r="P196" s="1">
        <f>(Table1[[#This Row],[Rate_Constant_k2_g_mg_min]]*Table1[[#This Row],[Contact_Time_min]]*Table1[[#This Row],[qe_mg_g]]^2)/(1+Table1[[#This Row],[Contact_Time_min]]*Table1[[#This Row],[qe_mg_g]]*Table1[[#This Row],[Rate_Constant_k2_g_mg_min]])</f>
        <v>5.9688028188194355</v>
      </c>
      <c r="Q196" s="1">
        <f>LN(Table1[[#This Row],[qe_mg_g]]-Table1[[#This Row],[qt]])</f>
        <v>2.7037876078917389</v>
      </c>
      <c r="R196" s="1">
        <v>3</v>
      </c>
    </row>
    <row r="197" spans="1:18" x14ac:dyDescent="0.3">
      <c r="A197" s="1">
        <v>196</v>
      </c>
      <c r="B197" s="1" t="s">
        <v>16</v>
      </c>
      <c r="C197" s="1">
        <v>1</v>
      </c>
      <c r="D197" s="1">
        <v>60</v>
      </c>
      <c r="E197" s="1">
        <v>50</v>
      </c>
      <c r="F197" s="1">
        <v>11</v>
      </c>
      <c r="G197" s="1">
        <v>25</v>
      </c>
      <c r="H197" s="1">
        <v>150</v>
      </c>
      <c r="I197" s="1">
        <v>100</v>
      </c>
      <c r="J197" s="1">
        <v>17.486000000000001</v>
      </c>
      <c r="K197" s="1">
        <v>32.514000000000003</v>
      </c>
      <c r="L197" s="1">
        <v>34.97</v>
      </c>
      <c r="M197" s="1">
        <v>53.3</v>
      </c>
      <c r="N197" s="1">
        <v>4.6710000000000002E-2</v>
      </c>
      <c r="O197" s="1">
        <v>3.1829999999999998E-4</v>
      </c>
      <c r="P19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4.3775393431023071</v>
      </c>
      <c r="Q197" s="1">
        <f>LN(Table1[[#This Row],[qe_mg_g]]-Table1[[#This Row],[qt]])</f>
        <v>2.5732578734062512</v>
      </c>
      <c r="R197" s="1">
        <v>1</v>
      </c>
    </row>
    <row r="198" spans="1:18" x14ac:dyDescent="0.3">
      <c r="A198" s="1">
        <v>197</v>
      </c>
      <c r="B198" s="1" t="s">
        <v>16</v>
      </c>
      <c r="C198" s="1">
        <v>1</v>
      </c>
      <c r="D198" s="1">
        <v>60</v>
      </c>
      <c r="E198" s="1">
        <v>50</v>
      </c>
      <c r="F198" s="1">
        <v>11</v>
      </c>
      <c r="G198" s="1">
        <v>25</v>
      </c>
      <c r="H198" s="1">
        <v>150</v>
      </c>
      <c r="I198" s="1">
        <v>100</v>
      </c>
      <c r="J198" s="1">
        <v>18.013000000000002</v>
      </c>
      <c r="K198" s="1">
        <v>31.986999999999998</v>
      </c>
      <c r="L198" s="1">
        <v>36.03</v>
      </c>
      <c r="M198" s="1">
        <v>77.5</v>
      </c>
      <c r="N198" s="1">
        <v>4.8750000000000002E-2</v>
      </c>
      <c r="O198" s="1">
        <v>3.1379999999999998E-4</v>
      </c>
      <c r="P19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4.5619178766101598</v>
      </c>
      <c r="Q198" s="1">
        <f>LN(Table1[[#This Row],[qe_mg_g]]-Table1[[#This Row],[qt]])</f>
        <v>2.5990595580821165</v>
      </c>
      <c r="R198" s="1">
        <v>2</v>
      </c>
    </row>
    <row r="199" spans="1:18" x14ac:dyDescent="0.3">
      <c r="A199" s="1">
        <v>198</v>
      </c>
      <c r="B199" s="1" t="s">
        <v>16</v>
      </c>
      <c r="C199" s="1">
        <v>1</v>
      </c>
      <c r="D199" s="1">
        <v>60</v>
      </c>
      <c r="E199" s="1">
        <v>50</v>
      </c>
      <c r="F199" s="1">
        <v>11</v>
      </c>
      <c r="G199" s="1">
        <v>25</v>
      </c>
      <c r="H199" s="1">
        <v>150</v>
      </c>
      <c r="I199" s="1">
        <v>100</v>
      </c>
      <c r="J199" s="1">
        <v>17.143999999999998</v>
      </c>
      <c r="K199" s="1">
        <v>32.856000000000002</v>
      </c>
      <c r="L199" s="1">
        <v>34.29</v>
      </c>
      <c r="M199" s="1">
        <v>50.1</v>
      </c>
      <c r="N199" s="1">
        <v>4.6929999999999999E-2</v>
      </c>
      <c r="O199" s="1">
        <v>3.0620000000000002E-4</v>
      </c>
      <c r="P199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4.1064359246008033</v>
      </c>
      <c r="Q199" s="1">
        <f>LN(Table1[[#This Row],[qe_mg_g]]-Table1[[#This Row],[qt]])</f>
        <v>2.5678347350146562</v>
      </c>
      <c r="R199" s="1">
        <v>3</v>
      </c>
    </row>
    <row r="200" spans="1:18" x14ac:dyDescent="0.3">
      <c r="A200" s="1">
        <v>199</v>
      </c>
      <c r="B200" s="1" t="s">
        <v>16</v>
      </c>
      <c r="C200" s="1">
        <v>1</v>
      </c>
      <c r="D200" s="1">
        <v>60</v>
      </c>
      <c r="E200" s="1">
        <v>100</v>
      </c>
      <c r="F200" s="1">
        <v>3</v>
      </c>
      <c r="G200" s="1">
        <v>25</v>
      </c>
      <c r="H200" s="1">
        <v>150</v>
      </c>
      <c r="I200" s="1">
        <v>100</v>
      </c>
      <c r="J200" s="1">
        <v>40.811999999999998</v>
      </c>
      <c r="K200" s="1">
        <v>59.188000000000002</v>
      </c>
      <c r="L200" s="1">
        <v>40.81</v>
      </c>
      <c r="M200" s="1">
        <v>53.9</v>
      </c>
      <c r="N200" s="1">
        <v>4.0140000000000002E-2</v>
      </c>
      <c r="O200" s="1">
        <v>3.3159999999999998E-4</v>
      </c>
      <c r="P200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18.288765903231088</v>
      </c>
      <c r="Q200" s="1">
        <f>LN(Table1[[#This Row],[qe_mg_g]]-Table1[[#This Row],[qt]])</f>
        <v>3.1145474029414211</v>
      </c>
      <c r="R200" s="1">
        <v>1</v>
      </c>
    </row>
    <row r="201" spans="1:18" x14ac:dyDescent="0.3">
      <c r="A201" s="1">
        <v>200</v>
      </c>
      <c r="B201" s="1" t="s">
        <v>16</v>
      </c>
      <c r="C201" s="1">
        <v>1</v>
      </c>
      <c r="D201" s="1">
        <v>60</v>
      </c>
      <c r="E201" s="1">
        <v>100</v>
      </c>
      <c r="F201" s="1">
        <v>3</v>
      </c>
      <c r="G201" s="1">
        <v>25</v>
      </c>
      <c r="H201" s="1">
        <v>150</v>
      </c>
      <c r="I201" s="1">
        <v>100</v>
      </c>
      <c r="J201" s="1">
        <v>39.817999999999998</v>
      </c>
      <c r="K201" s="1">
        <v>60.182000000000002</v>
      </c>
      <c r="L201" s="1">
        <v>39.82</v>
      </c>
      <c r="M201" s="1">
        <v>73.5</v>
      </c>
      <c r="N201" s="1">
        <v>4.5130000000000003E-2</v>
      </c>
      <c r="O201" s="1">
        <v>3.009E-4</v>
      </c>
      <c r="P201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16.652837215763341</v>
      </c>
      <c r="Q201" s="1">
        <f>LN(Table1[[#This Row],[qe_mg_g]]-Table1[[#This Row],[qt]])</f>
        <v>3.1426495460071702</v>
      </c>
      <c r="R201" s="1">
        <v>2</v>
      </c>
    </row>
    <row r="202" spans="1:18" x14ac:dyDescent="0.3">
      <c r="A202" s="1">
        <v>201</v>
      </c>
      <c r="B202" s="1" t="s">
        <v>16</v>
      </c>
      <c r="C202" s="1">
        <v>1</v>
      </c>
      <c r="D202" s="1">
        <v>60</v>
      </c>
      <c r="E202" s="1">
        <v>100</v>
      </c>
      <c r="F202" s="1">
        <v>3</v>
      </c>
      <c r="G202" s="1">
        <v>25</v>
      </c>
      <c r="H202" s="1">
        <v>150</v>
      </c>
      <c r="I202" s="1">
        <v>100</v>
      </c>
      <c r="J202" s="1">
        <v>42.942999999999998</v>
      </c>
      <c r="K202" s="1">
        <v>57.057000000000002</v>
      </c>
      <c r="L202" s="1">
        <v>42.94</v>
      </c>
      <c r="M202" s="1">
        <v>61.5</v>
      </c>
      <c r="N202" s="1">
        <v>4.5429999999999998E-2</v>
      </c>
      <c r="O202" s="1">
        <v>2.8610000000000002E-4</v>
      </c>
      <c r="P202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18.222760401603367</v>
      </c>
      <c r="Q202" s="1">
        <f>LN(Table1[[#This Row],[qe_mg_g]]-Table1[[#This Row],[qt]])</f>
        <v>3.2076223250342912</v>
      </c>
      <c r="R202" s="1">
        <v>3</v>
      </c>
    </row>
    <row r="203" spans="1:18" x14ac:dyDescent="0.3">
      <c r="A203" s="1">
        <v>202</v>
      </c>
      <c r="B203" s="1" t="s">
        <v>16</v>
      </c>
      <c r="C203" s="1">
        <v>1</v>
      </c>
      <c r="D203" s="1">
        <v>60</v>
      </c>
      <c r="E203" s="1">
        <v>100</v>
      </c>
      <c r="F203" s="1">
        <v>7</v>
      </c>
      <c r="G203" s="1">
        <v>25</v>
      </c>
      <c r="H203" s="1">
        <v>150</v>
      </c>
      <c r="I203" s="1">
        <v>100</v>
      </c>
      <c r="J203" s="1">
        <v>57.695</v>
      </c>
      <c r="K203" s="1">
        <v>42.305</v>
      </c>
      <c r="L203" s="1">
        <v>57.7</v>
      </c>
      <c r="M203" s="1">
        <v>63.6</v>
      </c>
      <c r="N203" s="1">
        <v>4.5999999999999999E-2</v>
      </c>
      <c r="O203" s="1">
        <v>2.856E-4</v>
      </c>
      <c r="P203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28.683024146009519</v>
      </c>
      <c r="Q203" s="1">
        <f>LN(Table1[[#This Row],[qe_mg_g]]-Table1[[#This Row],[qt]])</f>
        <v>3.3677087052241919</v>
      </c>
      <c r="R203" s="1">
        <v>1</v>
      </c>
    </row>
    <row r="204" spans="1:18" x14ac:dyDescent="0.3">
      <c r="A204" s="1">
        <v>203</v>
      </c>
      <c r="B204" s="1" t="s">
        <v>16</v>
      </c>
      <c r="C204" s="1">
        <v>1</v>
      </c>
      <c r="D204" s="1">
        <v>60</v>
      </c>
      <c r="E204" s="1">
        <v>100</v>
      </c>
      <c r="F204" s="1">
        <v>7</v>
      </c>
      <c r="G204" s="1">
        <v>25</v>
      </c>
      <c r="H204" s="1">
        <v>150</v>
      </c>
      <c r="I204" s="1">
        <v>100</v>
      </c>
      <c r="J204" s="1">
        <v>65.778000000000006</v>
      </c>
      <c r="K204" s="1">
        <v>34.222000000000001</v>
      </c>
      <c r="L204" s="1">
        <v>65.78</v>
      </c>
      <c r="M204" s="1">
        <v>57.7</v>
      </c>
      <c r="N204" s="1">
        <v>4.4159999999999998E-2</v>
      </c>
      <c r="O204" s="1">
        <v>2.8679999999999998E-4</v>
      </c>
      <c r="P204" s="1">
        <f>(Table1[[#This Row],[Rate_Constant_k2_g_mg_min]]*Table1[[#This Row],[Contact_Time_min]]*Table1[[#This Row],[qe_mg_g]]^2)/(1+Table1[[#This Row],[Contact_Time_min]]*Table1[[#This Row],[qe_mg_g]]*Table1[[#This Row],[Rate_Constant_k2_g_mg_min]])</f>
        <v>34.923945589437459</v>
      </c>
      <c r="Q204" s="1">
        <f>LN(Table1[[#This Row],[qe_mg_g]]-Table1[[#This Row],[qt]])</f>
        <v>3.4292681650730747</v>
      </c>
      <c r="R204" s="1">
        <v>2</v>
      </c>
    </row>
    <row r="205" spans="1:18" x14ac:dyDescent="0.3">
      <c r="A205" s="1">
        <v>204</v>
      </c>
      <c r="B205" s="1" t="s">
        <v>16</v>
      </c>
      <c r="C205" s="1">
        <v>1</v>
      </c>
      <c r="D205" s="1">
        <v>60</v>
      </c>
      <c r="E205" s="1">
        <v>100</v>
      </c>
      <c r="F205" s="1">
        <v>7</v>
      </c>
      <c r="G205" s="1">
        <v>25</v>
      </c>
      <c r="H205" s="1">
        <v>150</v>
      </c>
      <c r="I205" s="1">
        <v>100</v>
      </c>
      <c r="J205" s="1">
        <v>66.691999999999993</v>
      </c>
      <c r="K205" s="1">
        <v>33.308</v>
      </c>
      <c r="L205" s="1">
        <v>66.69</v>
      </c>
      <c r="M205" s="1">
        <v>68.599999999999994</v>
      </c>
      <c r="N205" s="1">
        <v>4.9639999999999997E-2</v>
      </c>
      <c r="O205" s="1">
        <v>2.5539999999999997E-4</v>
      </c>
      <c r="P205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33.708622680521579</v>
      </c>
      <c r="Q205" s="1">
        <f>LN(Table1[[#This Row],[qe_mg_g]]-Table1[[#This Row],[qt]])</f>
        <v>3.4960037169665918</v>
      </c>
      <c r="R205" s="1">
        <v>3</v>
      </c>
    </row>
    <row r="206" spans="1:18" x14ac:dyDescent="0.3">
      <c r="A206" s="1">
        <v>205</v>
      </c>
      <c r="B206" s="1" t="s">
        <v>16</v>
      </c>
      <c r="C206" s="1">
        <v>1</v>
      </c>
      <c r="D206" s="1">
        <v>60</v>
      </c>
      <c r="E206" s="1">
        <v>100</v>
      </c>
      <c r="F206" s="1">
        <v>11</v>
      </c>
      <c r="G206" s="1">
        <v>25</v>
      </c>
      <c r="H206" s="1">
        <v>150</v>
      </c>
      <c r="I206" s="1">
        <v>100</v>
      </c>
      <c r="J206" s="1">
        <v>48.737000000000002</v>
      </c>
      <c r="K206" s="1">
        <v>51.262999999999998</v>
      </c>
      <c r="L206" s="1">
        <v>48.74</v>
      </c>
      <c r="M206" s="1">
        <v>75.599999999999994</v>
      </c>
      <c r="N206" s="1">
        <v>4.5370000000000001E-2</v>
      </c>
      <c r="O206" s="1">
        <v>3.3199999999999999E-4</v>
      </c>
      <c r="P206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24.007963507031494</v>
      </c>
      <c r="Q206" s="1">
        <f>LN(Table1[[#This Row],[qe_mg_g]]-Table1[[#This Row],[qt]])</f>
        <v>3.2079781197136077</v>
      </c>
      <c r="R206" s="1">
        <v>1</v>
      </c>
    </row>
    <row r="207" spans="1:18" x14ac:dyDescent="0.3">
      <c r="A207" s="1">
        <v>206</v>
      </c>
      <c r="B207" s="1" t="s">
        <v>16</v>
      </c>
      <c r="C207" s="1">
        <v>1</v>
      </c>
      <c r="D207" s="1">
        <v>60</v>
      </c>
      <c r="E207" s="1">
        <v>100</v>
      </c>
      <c r="F207" s="1">
        <v>11</v>
      </c>
      <c r="G207" s="1">
        <v>25</v>
      </c>
      <c r="H207" s="1">
        <v>150</v>
      </c>
      <c r="I207" s="1">
        <v>100</v>
      </c>
      <c r="J207" s="1">
        <v>45.743000000000002</v>
      </c>
      <c r="K207" s="1">
        <v>54.256999999999998</v>
      </c>
      <c r="L207" s="1">
        <v>45.74</v>
      </c>
      <c r="M207" s="1">
        <v>80.8</v>
      </c>
      <c r="N207" s="1">
        <v>5.5350000000000003E-2</v>
      </c>
      <c r="O207" s="1">
        <v>2.8909999999999998E-4</v>
      </c>
      <c r="P207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20.237525095891314</v>
      </c>
      <c r="Q207" s="1">
        <f>LN(Table1[[#This Row],[qe_mg_g]]-Table1[[#This Row],[qt]])</f>
        <v>3.2388931312410878</v>
      </c>
      <c r="R207" s="1">
        <v>2</v>
      </c>
    </row>
    <row r="208" spans="1:18" x14ac:dyDescent="0.3">
      <c r="A208" s="1">
        <v>207</v>
      </c>
      <c r="B208" s="1" t="s">
        <v>16</v>
      </c>
      <c r="C208" s="1">
        <v>1</v>
      </c>
      <c r="D208" s="1">
        <v>60</v>
      </c>
      <c r="E208" s="1">
        <v>100</v>
      </c>
      <c r="F208" s="1">
        <v>11</v>
      </c>
      <c r="G208" s="1">
        <v>25</v>
      </c>
      <c r="H208" s="1">
        <v>150</v>
      </c>
      <c r="I208" s="1">
        <v>100</v>
      </c>
      <c r="J208" s="1">
        <v>46.017000000000003</v>
      </c>
      <c r="K208" s="1">
        <v>53.982999999999997</v>
      </c>
      <c r="L208" s="1">
        <v>46.02</v>
      </c>
      <c r="M208" s="1">
        <v>81.2</v>
      </c>
      <c r="N208" s="1">
        <v>5.2109999999999997E-2</v>
      </c>
      <c r="O208" s="1">
        <v>2.8430000000000003E-4</v>
      </c>
      <c r="P208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20.236561266468939</v>
      </c>
      <c r="Q208" s="1">
        <f>LN(Table1[[#This Row],[qe_mg_g]]-Table1[[#This Row],[qt]])</f>
        <v>3.2496160157343867</v>
      </c>
      <c r="R208" s="1">
        <v>3</v>
      </c>
    </row>
    <row r="209" spans="1:18" x14ac:dyDescent="0.3">
      <c r="A209" s="1">
        <v>208</v>
      </c>
      <c r="B209" s="1" t="s">
        <v>16</v>
      </c>
      <c r="C209" s="1">
        <v>1</v>
      </c>
      <c r="D209" s="1">
        <v>60</v>
      </c>
      <c r="E209" s="1">
        <v>200</v>
      </c>
      <c r="F209" s="1">
        <v>3</v>
      </c>
      <c r="G209" s="1">
        <v>25</v>
      </c>
      <c r="H209" s="1">
        <v>150</v>
      </c>
      <c r="I209" s="1">
        <v>100</v>
      </c>
      <c r="J209" s="1">
        <v>92.423000000000002</v>
      </c>
      <c r="K209" s="1">
        <v>107.577</v>
      </c>
      <c r="L209" s="1">
        <v>46.21</v>
      </c>
      <c r="M209" s="1">
        <v>63.8</v>
      </c>
      <c r="N209" s="1">
        <v>3.8949999999999999E-2</v>
      </c>
      <c r="O209" s="1">
        <v>2.7240000000000001E-4</v>
      </c>
      <c r="P209" s="1">
        <f>(Table1[[#This Row],[Rate_Constant_k2_g_mg_min]]*Table1[[#This Row],[Contact_Time_min]]*Table1[[#This Row],[qe_mg_g]]^2)/(1+Table1[[#This Row],[Contact_Time_min]]*Table1[[#This Row],[qe_mg_g]]*Table1[[#This Row],[Rate_Constant_k2_g_mg_min]])</f>
        <v>55.609323235564688</v>
      </c>
      <c r="Q209" s="1">
        <f>LN(Table1[[#This Row],[qe_mg_g]]-Table1[[#This Row],[qt]])</f>
        <v>3.6058694273371632</v>
      </c>
      <c r="R209" s="1">
        <v>1</v>
      </c>
    </row>
    <row r="210" spans="1:18" x14ac:dyDescent="0.3">
      <c r="A210" s="1">
        <v>209</v>
      </c>
      <c r="B210" s="1" t="s">
        <v>16</v>
      </c>
      <c r="C210" s="1">
        <v>1</v>
      </c>
      <c r="D210" s="1">
        <v>60</v>
      </c>
      <c r="E210" s="1">
        <v>200</v>
      </c>
      <c r="F210" s="1">
        <v>3</v>
      </c>
      <c r="G210" s="1">
        <v>25</v>
      </c>
      <c r="H210" s="1">
        <v>150</v>
      </c>
      <c r="I210" s="1">
        <v>100</v>
      </c>
      <c r="J210" s="1">
        <v>87.954999999999998</v>
      </c>
      <c r="K210" s="1">
        <v>112.045</v>
      </c>
      <c r="L210" s="1">
        <v>43.98</v>
      </c>
      <c r="M210" s="1">
        <v>59</v>
      </c>
      <c r="N210" s="1">
        <v>4.4839999999999998E-2</v>
      </c>
      <c r="O210" s="1">
        <v>3.0699999999999998E-4</v>
      </c>
      <c r="P210" s="1">
        <f>(Table1[[#This Row],[Rate_Constant_k2_g_mg_min]]*Table1[[#This Row],[Contact_Time_min]]*Table1[[#This Row],[qe_mg_g]]^2)/(1+Table1[[#This Row],[Contact_Time_min]]*Table1[[#This Row],[qe_mg_g]]*Table1[[#This Row],[Rate_Constant_k2_g_mg_min]])</f>
        <v>54.386069040781962</v>
      </c>
      <c r="Q210" s="1">
        <f>LN(Table1[[#This Row],[qe_mg_g]]-Table1[[#This Row],[qt]])</f>
        <v>3.5136009653617917</v>
      </c>
      <c r="R210" s="1">
        <v>2</v>
      </c>
    </row>
    <row r="211" spans="1:18" x14ac:dyDescent="0.3">
      <c r="A211" s="1">
        <v>210</v>
      </c>
      <c r="B211" s="1" t="s">
        <v>16</v>
      </c>
      <c r="C211" s="1">
        <v>1</v>
      </c>
      <c r="D211" s="1">
        <v>60</v>
      </c>
      <c r="E211" s="1">
        <v>200</v>
      </c>
      <c r="F211" s="1">
        <v>3</v>
      </c>
      <c r="G211" s="1">
        <v>25</v>
      </c>
      <c r="H211" s="1">
        <v>150</v>
      </c>
      <c r="I211" s="1">
        <v>100</v>
      </c>
      <c r="J211" s="1">
        <v>107.501</v>
      </c>
      <c r="K211" s="1">
        <v>92.498999999999995</v>
      </c>
      <c r="L211" s="1">
        <v>53.75</v>
      </c>
      <c r="M211" s="1">
        <v>56.7</v>
      </c>
      <c r="N211" s="1">
        <v>4.9430000000000002E-2</v>
      </c>
      <c r="O211" s="1">
        <v>2.9359999999999998E-4</v>
      </c>
      <c r="P211" s="1">
        <f>(Table1[[#This Row],[Rate_Constant_k2_g_mg_min]]*Table1[[#This Row],[Contact_Time_min]]*Table1[[#This Row],[qe_mg_g]]^2)/(1+Table1[[#This Row],[Contact_Time_min]]*Table1[[#This Row],[qe_mg_g]]*Table1[[#This Row],[Rate_Constant_k2_g_mg_min]])</f>
        <v>70.351467365939655</v>
      </c>
      <c r="Q211" s="1">
        <f>LN(Table1[[#This Row],[qe_mg_g]]-Table1[[#This Row],[qt]])</f>
        <v>3.6149511905748173</v>
      </c>
      <c r="R211" s="1">
        <v>3</v>
      </c>
    </row>
    <row r="212" spans="1:18" x14ac:dyDescent="0.3">
      <c r="A212" s="1">
        <v>211</v>
      </c>
      <c r="B212" s="1" t="s">
        <v>16</v>
      </c>
      <c r="C212" s="1">
        <v>1</v>
      </c>
      <c r="D212" s="1">
        <v>60</v>
      </c>
      <c r="E212" s="1">
        <v>200</v>
      </c>
      <c r="F212" s="1">
        <v>7</v>
      </c>
      <c r="G212" s="1">
        <v>25</v>
      </c>
      <c r="H212" s="1">
        <v>150</v>
      </c>
      <c r="I212" s="1">
        <v>100</v>
      </c>
      <c r="J212" s="1">
        <v>136.90899999999999</v>
      </c>
      <c r="K212" s="1">
        <v>63.091000000000001</v>
      </c>
      <c r="L212" s="1">
        <v>68.45</v>
      </c>
      <c r="M212" s="1">
        <v>73.400000000000006</v>
      </c>
      <c r="N212" s="1">
        <v>3.9949999999999999E-2</v>
      </c>
      <c r="O212" s="1">
        <v>3.1149999999999998E-4</v>
      </c>
      <c r="P212" s="1">
        <f>(Table1[[#This Row],[Rate_Constant_k2_g_mg_min]]*Table1[[#This Row],[Contact_Time_min]]*Table1[[#This Row],[qe_mg_g]]^2)/(1+Table1[[#This Row],[Contact_Time_min]]*Table1[[#This Row],[qe_mg_g]]*Table1[[#This Row],[Rate_Constant_k2_g_mg_min]])</f>
        <v>98.43876388546613</v>
      </c>
      <c r="Q212" s="1">
        <f>LN(Table1[[#This Row],[qe_mg_g]]-Table1[[#This Row],[qt]])</f>
        <v>3.6498848543729707</v>
      </c>
      <c r="R212" s="1">
        <v>1</v>
      </c>
    </row>
    <row r="213" spans="1:18" x14ac:dyDescent="0.3">
      <c r="A213" s="1">
        <v>212</v>
      </c>
      <c r="B213" s="1" t="s">
        <v>16</v>
      </c>
      <c r="C213" s="1">
        <v>1</v>
      </c>
      <c r="D213" s="1">
        <v>60</v>
      </c>
      <c r="E213" s="1">
        <v>200</v>
      </c>
      <c r="F213" s="1">
        <v>7</v>
      </c>
      <c r="G213" s="1">
        <v>25</v>
      </c>
      <c r="H213" s="1">
        <v>150</v>
      </c>
      <c r="I213" s="1">
        <v>100</v>
      </c>
      <c r="J213" s="1">
        <v>139.28299999999999</v>
      </c>
      <c r="K213" s="1">
        <v>60.716999999999999</v>
      </c>
      <c r="L213" s="1">
        <v>69.64</v>
      </c>
      <c r="M213" s="1">
        <v>71.599999999999994</v>
      </c>
      <c r="N213" s="1">
        <v>4.6300000000000001E-2</v>
      </c>
      <c r="O213" s="1">
        <v>3.7369999999999998E-4</v>
      </c>
      <c r="P213" s="1">
        <f>(Table1[[#This Row],[Rate_Constant_k2_g_mg_min]]*Table1[[#This Row],[Contact_Time_min]]*Table1[[#This Row],[qe_mg_g]]^2)/(1+Table1[[#This Row],[Contact_Time_min]]*Table1[[#This Row],[qe_mg_g]]*Table1[[#This Row],[Rate_Constant_k2_g_mg_min]])</f>
        <v>105.50107318381791</v>
      </c>
      <c r="Q213" s="1">
        <f>LN(Table1[[#This Row],[qe_mg_g]]-Table1[[#This Row],[qt]])</f>
        <v>3.5199259499004127</v>
      </c>
      <c r="R213" s="1">
        <v>2</v>
      </c>
    </row>
    <row r="214" spans="1:18" x14ac:dyDescent="0.3">
      <c r="A214" s="1">
        <v>213</v>
      </c>
      <c r="B214" s="1" t="s">
        <v>16</v>
      </c>
      <c r="C214" s="1">
        <v>1</v>
      </c>
      <c r="D214" s="1">
        <v>60</v>
      </c>
      <c r="E214" s="1">
        <v>200</v>
      </c>
      <c r="F214" s="1">
        <v>7</v>
      </c>
      <c r="G214" s="1">
        <v>25</v>
      </c>
      <c r="H214" s="1">
        <v>150</v>
      </c>
      <c r="I214" s="1">
        <v>100</v>
      </c>
      <c r="J214" s="1">
        <v>130.44</v>
      </c>
      <c r="K214" s="1">
        <v>69.56</v>
      </c>
      <c r="L214" s="1">
        <v>65.22</v>
      </c>
      <c r="M214" s="1">
        <v>61.4</v>
      </c>
      <c r="N214" s="1">
        <v>4.2200000000000001E-2</v>
      </c>
      <c r="O214" s="1">
        <v>2.833E-4</v>
      </c>
      <c r="P214" s="1">
        <f>(Table1[[#This Row],[Rate_Constant_k2_g_mg_min]]*Table1[[#This Row],[Contact_Time_min]]*Table1[[#This Row],[qe_mg_g]]^2)/(1+Table1[[#This Row],[Contact_Time_min]]*Table1[[#This Row],[qe_mg_g]]*Table1[[#This Row],[Rate_Constant_k2_g_mg_min]])</f>
        <v>89.895668036686303</v>
      </c>
      <c r="Q214" s="1">
        <f>LN(Table1[[#This Row],[qe_mg_g]]-Table1[[#This Row],[qt]])</f>
        <v>3.7023959918349276</v>
      </c>
      <c r="R214" s="1">
        <v>3</v>
      </c>
    </row>
    <row r="215" spans="1:18" x14ac:dyDescent="0.3">
      <c r="A215" s="1">
        <v>214</v>
      </c>
      <c r="B215" s="1" t="s">
        <v>16</v>
      </c>
      <c r="C215" s="1">
        <v>1</v>
      </c>
      <c r="D215" s="1">
        <v>60</v>
      </c>
      <c r="E215" s="1">
        <v>200</v>
      </c>
      <c r="F215" s="1">
        <v>11</v>
      </c>
      <c r="G215" s="1">
        <v>25</v>
      </c>
      <c r="H215" s="1">
        <v>150</v>
      </c>
      <c r="I215" s="1">
        <v>100</v>
      </c>
      <c r="J215" s="1">
        <v>106.485</v>
      </c>
      <c r="K215" s="1">
        <v>93.515000000000001</v>
      </c>
      <c r="L215" s="1">
        <v>53.24</v>
      </c>
      <c r="M215" s="1">
        <v>78.599999999999994</v>
      </c>
      <c r="N215" s="1">
        <v>5.1389999999999998E-2</v>
      </c>
      <c r="O215" s="1">
        <v>2.8289999999999999E-4</v>
      </c>
      <c r="P215" s="1">
        <f>(Table1[[#This Row],[Rate_Constant_k2_g_mg_min]]*Table1[[#This Row],[Contact_Time_min]]*Table1[[#This Row],[qe_mg_g]]^2)/(1+Table1[[#This Row],[Contact_Time_min]]*Table1[[#This Row],[qe_mg_g]]*Table1[[#This Row],[Rate_Constant_k2_g_mg_min]])</f>
        <v>68.555918786960831</v>
      </c>
      <c r="Q215" s="1">
        <f>LN(Table1[[#This Row],[qe_mg_g]]-Table1[[#This Row],[qt]])</f>
        <v>3.6357181321814562</v>
      </c>
      <c r="R215" s="1">
        <v>1</v>
      </c>
    </row>
    <row r="216" spans="1:18" x14ac:dyDescent="0.3">
      <c r="A216" s="1">
        <v>215</v>
      </c>
      <c r="B216" s="1" t="s">
        <v>16</v>
      </c>
      <c r="C216" s="1">
        <v>1</v>
      </c>
      <c r="D216" s="1">
        <v>60</v>
      </c>
      <c r="E216" s="1">
        <v>200</v>
      </c>
      <c r="F216" s="1">
        <v>11</v>
      </c>
      <c r="G216" s="1">
        <v>25</v>
      </c>
      <c r="H216" s="1">
        <v>150</v>
      </c>
      <c r="I216" s="1">
        <v>100</v>
      </c>
      <c r="J216" s="1">
        <v>104.735</v>
      </c>
      <c r="K216" s="1">
        <v>95.265000000000001</v>
      </c>
      <c r="L216" s="1">
        <v>52.37</v>
      </c>
      <c r="M216" s="1">
        <v>71.400000000000006</v>
      </c>
      <c r="N216" s="1">
        <v>4.2509999999999999E-2</v>
      </c>
      <c r="O216" s="1">
        <v>3.19E-4</v>
      </c>
      <c r="P216" s="1">
        <f>(Table1[[#This Row],[Rate_Constant_k2_g_mg_min]]*Table1[[#This Row],[Contact_Time_min]]*Table1[[#This Row],[qe_mg_g]]^2)/(1+Table1[[#This Row],[Contact_Time_min]]*Table1[[#This Row],[qe_mg_g]]*Table1[[#This Row],[Rate_Constant_k2_g_mg_min]])</f>
        <v>69.877106282112337</v>
      </c>
      <c r="Q216" s="1">
        <f>LN(Table1[[#This Row],[qe_mg_g]]-Table1[[#This Row],[qt]])</f>
        <v>3.551279617092824</v>
      </c>
      <c r="R216" s="1">
        <v>2</v>
      </c>
    </row>
    <row r="217" spans="1:18" x14ac:dyDescent="0.3">
      <c r="A217" s="1">
        <v>216</v>
      </c>
      <c r="B217" s="1" t="s">
        <v>16</v>
      </c>
      <c r="C217" s="1">
        <v>1</v>
      </c>
      <c r="D217" s="1">
        <v>60</v>
      </c>
      <c r="E217" s="1">
        <v>200</v>
      </c>
      <c r="F217" s="1">
        <v>11</v>
      </c>
      <c r="G217" s="1">
        <v>25</v>
      </c>
      <c r="H217" s="1">
        <v>150</v>
      </c>
      <c r="I217" s="1">
        <v>100</v>
      </c>
      <c r="J217" s="1">
        <v>114.02800000000001</v>
      </c>
      <c r="K217" s="1">
        <v>85.971999999999994</v>
      </c>
      <c r="L217" s="1">
        <v>57.01</v>
      </c>
      <c r="M217" s="1">
        <v>51.5</v>
      </c>
      <c r="N217" s="1">
        <v>5.1959999999999999E-2</v>
      </c>
      <c r="O217" s="1">
        <v>3.5389999999999998E-4</v>
      </c>
      <c r="P217" s="1">
        <f>(Table1[[#This Row],[Rate_Constant_k2_g_mg_min]]*Table1[[#This Row],[Contact_Time_min]]*Table1[[#This Row],[qe_mg_g]]^2)/(1+Table1[[#This Row],[Contact_Time_min]]*Table1[[#This Row],[qe_mg_g]]*Table1[[#This Row],[Rate_Constant_k2_g_mg_min]])</f>
        <v>80.698861521506473</v>
      </c>
      <c r="Q217" s="1">
        <f>LN(Table1[[#This Row],[qe_mg_g]]-Table1[[#This Row],[qt]])</f>
        <v>3.5064320437555603</v>
      </c>
      <c r="R217" s="1">
        <v>3</v>
      </c>
    </row>
    <row r="218" spans="1:18" x14ac:dyDescent="0.3">
      <c r="A218" s="1">
        <v>217</v>
      </c>
      <c r="B218" s="1" t="s">
        <v>16</v>
      </c>
      <c r="C218" s="1">
        <v>1</v>
      </c>
      <c r="D218" s="1">
        <v>120</v>
      </c>
      <c r="E218" s="1">
        <v>25</v>
      </c>
      <c r="F218" s="1">
        <v>3</v>
      </c>
      <c r="G218" s="1">
        <v>25</v>
      </c>
      <c r="H218" s="1">
        <v>150</v>
      </c>
      <c r="I218" s="1">
        <v>100</v>
      </c>
      <c r="J218" s="1">
        <v>6.7560000000000002</v>
      </c>
      <c r="K218" s="1">
        <v>18.244</v>
      </c>
      <c r="L218" s="1">
        <v>27.02</v>
      </c>
      <c r="M218" s="1">
        <v>62.8</v>
      </c>
      <c r="N218" s="1">
        <v>4.6289999999999998E-2</v>
      </c>
      <c r="O218" s="1">
        <v>3.1E-4</v>
      </c>
      <c r="P21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1.356915255147511</v>
      </c>
      <c r="Q218" s="1">
        <f>LN(Table1[[#This Row],[qe_mg_g]]-Table1[[#This Row],[qt]])</f>
        <v>1.6862294475109048</v>
      </c>
      <c r="R218" s="1">
        <v>1</v>
      </c>
    </row>
    <row r="219" spans="1:18" x14ac:dyDescent="0.3">
      <c r="A219" s="1">
        <v>218</v>
      </c>
      <c r="B219" s="1" t="s">
        <v>16</v>
      </c>
      <c r="C219" s="1">
        <v>1</v>
      </c>
      <c r="D219" s="1">
        <v>120</v>
      </c>
      <c r="E219" s="1">
        <v>25</v>
      </c>
      <c r="F219" s="1">
        <v>3</v>
      </c>
      <c r="G219" s="1">
        <v>25</v>
      </c>
      <c r="H219" s="1">
        <v>150</v>
      </c>
      <c r="I219" s="1">
        <v>100</v>
      </c>
      <c r="J219" s="1">
        <v>7.4779999999999998</v>
      </c>
      <c r="K219" s="1">
        <v>17.521999999999998</v>
      </c>
      <c r="L219" s="1">
        <v>29.91</v>
      </c>
      <c r="M219" s="1">
        <v>86.8</v>
      </c>
      <c r="N219" s="1">
        <v>4.4200000000000003E-2</v>
      </c>
      <c r="O219" s="1">
        <v>2.7609999999999999E-4</v>
      </c>
      <c r="P21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1.4848655578599637</v>
      </c>
      <c r="Q219" s="1">
        <f>LN(Table1[[#This Row],[qe_mg_g]]-Table1[[#This Row],[qt]])</f>
        <v>1.7906145544198284</v>
      </c>
      <c r="R219" s="1">
        <v>2</v>
      </c>
    </row>
    <row r="220" spans="1:18" x14ac:dyDescent="0.3">
      <c r="A220" s="1">
        <v>219</v>
      </c>
      <c r="B220" s="1" t="s">
        <v>16</v>
      </c>
      <c r="C220" s="1">
        <v>1</v>
      </c>
      <c r="D220" s="1">
        <v>120</v>
      </c>
      <c r="E220" s="1">
        <v>25</v>
      </c>
      <c r="F220" s="1">
        <v>3</v>
      </c>
      <c r="G220" s="1">
        <v>25</v>
      </c>
      <c r="H220" s="1">
        <v>150</v>
      </c>
      <c r="I220" s="1">
        <v>100</v>
      </c>
      <c r="J220" s="1">
        <v>6.32</v>
      </c>
      <c r="K220" s="1">
        <v>18.68</v>
      </c>
      <c r="L220" s="1">
        <v>25.28</v>
      </c>
      <c r="M220" s="1">
        <v>59.4</v>
      </c>
      <c r="N220" s="1">
        <v>4.4850000000000001E-2</v>
      </c>
      <c r="O220" s="1">
        <v>3.5379999999999998E-4</v>
      </c>
      <c r="P22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1.3370379456975721</v>
      </c>
      <c r="Q220" s="1">
        <f>LN(Table1[[#This Row],[qe_mg_g]]-Table1[[#This Row],[qt]])</f>
        <v>1.6060245042396546</v>
      </c>
      <c r="R220" s="1">
        <v>3</v>
      </c>
    </row>
    <row r="221" spans="1:18" x14ac:dyDescent="0.3">
      <c r="A221" s="1">
        <v>220</v>
      </c>
      <c r="B221" s="1" t="s">
        <v>16</v>
      </c>
      <c r="C221" s="1">
        <v>1</v>
      </c>
      <c r="D221" s="1">
        <v>120</v>
      </c>
      <c r="E221" s="1">
        <v>25</v>
      </c>
      <c r="F221" s="1">
        <v>7</v>
      </c>
      <c r="G221" s="1">
        <v>25</v>
      </c>
      <c r="H221" s="1">
        <v>150</v>
      </c>
      <c r="I221" s="1">
        <v>100</v>
      </c>
      <c r="J221" s="1">
        <v>10.694000000000001</v>
      </c>
      <c r="K221" s="1">
        <v>14.305999999999999</v>
      </c>
      <c r="L221" s="1">
        <v>42.78</v>
      </c>
      <c r="M221" s="1">
        <v>68.900000000000006</v>
      </c>
      <c r="N221" s="1">
        <v>4.4929999999999998E-2</v>
      </c>
      <c r="O221" s="1">
        <v>3.3569999999999997E-4</v>
      </c>
      <c r="P22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3.2198444891336298</v>
      </c>
      <c r="Q221" s="1">
        <f>LN(Table1[[#This Row],[qe_mg_g]]-Table1[[#This Row],[qt]])</f>
        <v>2.0114511377596451</v>
      </c>
      <c r="R221" s="1">
        <v>1</v>
      </c>
    </row>
    <row r="222" spans="1:18" x14ac:dyDescent="0.3">
      <c r="A222" s="1">
        <v>221</v>
      </c>
      <c r="B222" s="1" t="s">
        <v>16</v>
      </c>
      <c r="C222" s="1">
        <v>1</v>
      </c>
      <c r="D222" s="1">
        <v>120</v>
      </c>
      <c r="E222" s="1">
        <v>25</v>
      </c>
      <c r="F222" s="1">
        <v>7</v>
      </c>
      <c r="G222" s="1">
        <v>25</v>
      </c>
      <c r="H222" s="1">
        <v>150</v>
      </c>
      <c r="I222" s="1">
        <v>100</v>
      </c>
      <c r="J222" s="1">
        <v>13.412000000000001</v>
      </c>
      <c r="K222" s="1">
        <v>11.587999999999999</v>
      </c>
      <c r="L222" s="1">
        <v>53.65</v>
      </c>
      <c r="M222" s="1">
        <v>61.4</v>
      </c>
      <c r="N222" s="1">
        <v>4.2799999999999998E-2</v>
      </c>
      <c r="O222" s="1">
        <v>3.3129999999999998E-4</v>
      </c>
      <c r="P222" s="1">
        <f>(Table1[[#This Row],[Rate_Constant_k2_g_mg_min]]*Table1[[#This Row],[Contact_Time_min]]*Table1[[#This Row],[qe_mg_g]]^2)/(1+Table1[[#This Row],[Contact_Time_min]]*Table1[[#This Row],[qe_mg_g]]*Table1[[#This Row],[Rate_Constant_k2_g_mg_min]])</f>
        <v>4.664325438706185</v>
      </c>
      <c r="Q222" s="1">
        <f>LN(Table1[[#This Row],[qe_mg_g]]-Table1[[#This Row],[qt]])</f>
        <v>2.1687879006243365</v>
      </c>
      <c r="R222" s="1">
        <v>2</v>
      </c>
    </row>
    <row r="223" spans="1:18" x14ac:dyDescent="0.3">
      <c r="A223" s="1">
        <v>222</v>
      </c>
      <c r="B223" s="1" t="s">
        <v>16</v>
      </c>
      <c r="C223" s="1">
        <v>1</v>
      </c>
      <c r="D223" s="1">
        <v>120</v>
      </c>
      <c r="E223" s="1">
        <v>25</v>
      </c>
      <c r="F223" s="1">
        <v>7</v>
      </c>
      <c r="G223" s="1">
        <v>25</v>
      </c>
      <c r="H223" s="1">
        <v>150</v>
      </c>
      <c r="I223" s="1">
        <v>100</v>
      </c>
      <c r="J223" s="1">
        <v>11.765000000000001</v>
      </c>
      <c r="K223" s="1">
        <v>13.234999999999999</v>
      </c>
      <c r="L223" s="1">
        <v>47.06</v>
      </c>
      <c r="M223" s="1">
        <v>85.1</v>
      </c>
      <c r="N223" s="1">
        <v>4.7629999999999999E-2</v>
      </c>
      <c r="O223" s="1">
        <v>2.8919999999999998E-4</v>
      </c>
      <c r="P22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3.4109119829476344</v>
      </c>
      <c r="Q223" s="1">
        <f>LN(Table1[[#This Row],[qe_mg_g]]-Table1[[#This Row],[qt]])</f>
        <v>2.1227510019366904</v>
      </c>
      <c r="R223" s="1">
        <v>3</v>
      </c>
    </row>
    <row r="224" spans="1:18" x14ac:dyDescent="0.3">
      <c r="A224" s="1">
        <v>223</v>
      </c>
      <c r="B224" s="1" t="s">
        <v>16</v>
      </c>
      <c r="C224" s="1">
        <v>1</v>
      </c>
      <c r="D224" s="1">
        <v>120</v>
      </c>
      <c r="E224" s="1">
        <v>25</v>
      </c>
      <c r="F224" s="1">
        <v>11</v>
      </c>
      <c r="G224" s="1">
        <v>25</v>
      </c>
      <c r="H224" s="1">
        <v>150</v>
      </c>
      <c r="I224" s="1">
        <v>100</v>
      </c>
      <c r="J224" s="1">
        <v>9.0760000000000005</v>
      </c>
      <c r="K224" s="1">
        <v>15.923999999999999</v>
      </c>
      <c r="L224" s="1">
        <v>36.31</v>
      </c>
      <c r="M224" s="1">
        <v>77.8</v>
      </c>
      <c r="N224" s="1">
        <v>4.8689999999999997E-2</v>
      </c>
      <c r="O224" s="1">
        <v>3.1520000000000002E-4</v>
      </c>
      <c r="P22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2.3194576421192981</v>
      </c>
      <c r="Q224" s="1">
        <f>LN(Table1[[#This Row],[qe_mg_g]]-Table1[[#This Row],[qt]])</f>
        <v>1.910511273680926</v>
      </c>
      <c r="R224" s="1">
        <v>1</v>
      </c>
    </row>
    <row r="225" spans="1:18" x14ac:dyDescent="0.3">
      <c r="A225" s="1">
        <v>224</v>
      </c>
      <c r="B225" s="1" t="s">
        <v>16</v>
      </c>
      <c r="C225" s="1">
        <v>1</v>
      </c>
      <c r="D225" s="1">
        <v>120</v>
      </c>
      <c r="E225" s="1">
        <v>25</v>
      </c>
      <c r="F225" s="1">
        <v>11</v>
      </c>
      <c r="G225" s="1">
        <v>25</v>
      </c>
      <c r="H225" s="1">
        <v>150</v>
      </c>
      <c r="I225" s="1">
        <v>100</v>
      </c>
      <c r="J225" s="1">
        <v>9.4060000000000006</v>
      </c>
      <c r="K225" s="1">
        <v>15.593999999999999</v>
      </c>
      <c r="L225" s="1">
        <v>37.630000000000003</v>
      </c>
      <c r="M225" s="1">
        <v>78.400000000000006</v>
      </c>
      <c r="N225" s="1">
        <v>5.1220000000000002E-2</v>
      </c>
      <c r="O225" s="1">
        <v>3.1950000000000001E-4</v>
      </c>
      <c r="P22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2.4930057433267998</v>
      </c>
      <c r="Q225" s="1">
        <f>LN(Table1[[#This Row],[qe_mg_g]]-Table1[[#This Row],[qt]])</f>
        <v>1.9334028661618572</v>
      </c>
      <c r="R225" s="1">
        <v>2</v>
      </c>
    </row>
    <row r="226" spans="1:18" x14ac:dyDescent="0.3">
      <c r="A226" s="1">
        <v>225</v>
      </c>
      <c r="B226" s="1" t="s">
        <v>16</v>
      </c>
      <c r="C226" s="1">
        <v>1</v>
      </c>
      <c r="D226" s="1">
        <v>120</v>
      </c>
      <c r="E226" s="1">
        <v>25</v>
      </c>
      <c r="F226" s="1">
        <v>11</v>
      </c>
      <c r="G226" s="1">
        <v>25</v>
      </c>
      <c r="H226" s="1">
        <v>150</v>
      </c>
      <c r="I226" s="1">
        <v>100</v>
      </c>
      <c r="J226" s="1">
        <v>8.5510000000000002</v>
      </c>
      <c r="K226" s="1">
        <v>16.449000000000002</v>
      </c>
      <c r="L226" s="1">
        <v>34.200000000000003</v>
      </c>
      <c r="M226" s="1">
        <v>68.099999999999994</v>
      </c>
      <c r="N226" s="1">
        <v>5.0430000000000003E-2</v>
      </c>
      <c r="O226" s="1">
        <v>2.7549999999999997E-4</v>
      </c>
      <c r="P22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1.8845727249368802</v>
      </c>
      <c r="Q226" s="1">
        <f>LN(Table1[[#This Row],[qe_mg_g]]-Table1[[#This Row],[qt]])</f>
        <v>1.8970840755006149</v>
      </c>
      <c r="R226" s="1">
        <v>3</v>
      </c>
    </row>
    <row r="227" spans="1:18" x14ac:dyDescent="0.3">
      <c r="A227" s="1">
        <v>226</v>
      </c>
      <c r="B227" s="1" t="s">
        <v>16</v>
      </c>
      <c r="C227" s="1">
        <v>1</v>
      </c>
      <c r="D227" s="1">
        <v>120</v>
      </c>
      <c r="E227" s="1">
        <v>50</v>
      </c>
      <c r="F227" s="1">
        <v>3</v>
      </c>
      <c r="G227" s="1">
        <v>25</v>
      </c>
      <c r="H227" s="1">
        <v>150</v>
      </c>
      <c r="I227" s="1">
        <v>100</v>
      </c>
      <c r="J227" s="1">
        <v>20.853000000000002</v>
      </c>
      <c r="K227" s="1">
        <v>29.146999999999998</v>
      </c>
      <c r="L227" s="1">
        <v>41.71</v>
      </c>
      <c r="M227" s="1">
        <v>62.7</v>
      </c>
      <c r="N227" s="1">
        <v>4.5130000000000003E-2</v>
      </c>
      <c r="O227" s="1">
        <v>3.3839999999999999E-4</v>
      </c>
      <c r="P227" s="1">
        <f>(Table1[[#This Row],[Rate_Constant_k2_g_mg_min]]*Table1[[#This Row],[Contact_Time_min]]*Table1[[#This Row],[qe_mg_g]]^2)/(1+Table1[[#This Row],[Contact_Time_min]]*Table1[[#This Row],[qe_mg_g]]*Table1[[#This Row],[Rate_Constant_k2_g_mg_min]])</f>
        <v>9.5615685851149959</v>
      </c>
      <c r="Q227" s="1">
        <f>LN(Table1[[#This Row],[qe_mg_g]]-Table1[[#This Row],[qt]])</f>
        <v>2.4240441562085975</v>
      </c>
      <c r="R227" s="1">
        <v>1</v>
      </c>
    </row>
    <row r="228" spans="1:18" x14ac:dyDescent="0.3">
      <c r="A228" s="1">
        <v>227</v>
      </c>
      <c r="B228" s="1" t="s">
        <v>16</v>
      </c>
      <c r="C228" s="1">
        <v>1</v>
      </c>
      <c r="D228" s="1">
        <v>120</v>
      </c>
      <c r="E228" s="1">
        <v>50</v>
      </c>
      <c r="F228" s="1">
        <v>3</v>
      </c>
      <c r="G228" s="1">
        <v>25</v>
      </c>
      <c r="H228" s="1">
        <v>150</v>
      </c>
      <c r="I228" s="1">
        <v>100</v>
      </c>
      <c r="J228" s="1">
        <v>20.565000000000001</v>
      </c>
      <c r="K228" s="1">
        <v>29.434999999999999</v>
      </c>
      <c r="L228" s="1">
        <v>41.13</v>
      </c>
      <c r="M228" s="1">
        <v>67.099999999999994</v>
      </c>
      <c r="N228" s="1">
        <v>3.8879999999999998E-2</v>
      </c>
      <c r="O228" s="1">
        <v>3.2239999999999998E-4</v>
      </c>
      <c r="P228" s="1">
        <f>(Table1[[#This Row],[Rate_Constant_k2_g_mg_min]]*Table1[[#This Row],[Contact_Time_min]]*Table1[[#This Row],[qe_mg_g]]^2)/(1+Table1[[#This Row],[Contact_Time_min]]*Table1[[#This Row],[qe_mg_g]]*Table1[[#This Row],[Rate_Constant_k2_g_mg_min]])</f>
        <v>9.1121231888248548</v>
      </c>
      <c r="Q228" s="1">
        <f>LN(Table1[[#This Row],[qe_mg_g]]-Table1[[#This Row],[qt]])</f>
        <v>2.4382409483265746</v>
      </c>
      <c r="R228" s="1">
        <v>2</v>
      </c>
    </row>
    <row r="229" spans="1:18" x14ac:dyDescent="0.3">
      <c r="A229" s="1">
        <v>228</v>
      </c>
      <c r="B229" s="1" t="s">
        <v>16</v>
      </c>
      <c r="C229" s="1">
        <v>1</v>
      </c>
      <c r="D229" s="1">
        <v>120</v>
      </c>
      <c r="E229" s="1">
        <v>50</v>
      </c>
      <c r="F229" s="1">
        <v>3</v>
      </c>
      <c r="G229" s="1">
        <v>25</v>
      </c>
      <c r="H229" s="1">
        <v>150</v>
      </c>
      <c r="I229" s="1">
        <v>100</v>
      </c>
      <c r="J229" s="1">
        <v>21.300999999999998</v>
      </c>
      <c r="K229" s="1">
        <v>28.699000000000002</v>
      </c>
      <c r="L229" s="1">
        <v>42.6</v>
      </c>
      <c r="M229" s="1">
        <v>88.3</v>
      </c>
      <c r="N229" s="1">
        <v>4.3610000000000003E-2</v>
      </c>
      <c r="O229" s="1">
        <v>3.0660000000000003E-4</v>
      </c>
      <c r="P229" s="1">
        <f>(Table1[[#This Row],[Rate_Constant_k2_g_mg_min]]*Table1[[#This Row],[Contact_Time_min]]*Table1[[#This Row],[qe_mg_g]]^2)/(1+Table1[[#This Row],[Contact_Time_min]]*Table1[[#This Row],[qe_mg_g]]*Table1[[#This Row],[Rate_Constant_k2_g_mg_min]])</f>
        <v>9.3590121843281473</v>
      </c>
      <c r="Q229" s="1">
        <f>LN(Table1[[#This Row],[qe_mg_g]]-Table1[[#This Row],[qt]])</f>
        <v>2.4800605778321891</v>
      </c>
      <c r="R229" s="1">
        <v>3</v>
      </c>
    </row>
    <row r="230" spans="1:18" x14ac:dyDescent="0.3">
      <c r="A230" s="1">
        <v>229</v>
      </c>
      <c r="B230" s="1" t="s">
        <v>16</v>
      </c>
      <c r="C230" s="1">
        <v>1</v>
      </c>
      <c r="D230" s="1">
        <v>120</v>
      </c>
      <c r="E230" s="1">
        <v>50</v>
      </c>
      <c r="F230" s="1">
        <v>7</v>
      </c>
      <c r="G230" s="1">
        <v>25</v>
      </c>
      <c r="H230" s="1">
        <v>150</v>
      </c>
      <c r="I230" s="1">
        <v>100</v>
      </c>
      <c r="J230" s="1">
        <v>30.893999999999998</v>
      </c>
      <c r="K230" s="1">
        <v>19.106000000000002</v>
      </c>
      <c r="L230" s="1">
        <v>61.79</v>
      </c>
      <c r="M230" s="1">
        <v>82.4</v>
      </c>
      <c r="N230" s="1">
        <v>4.4569999999999999E-2</v>
      </c>
      <c r="O230" s="1">
        <v>3.0840000000000002E-4</v>
      </c>
      <c r="P230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16.479948090437002</v>
      </c>
      <c r="Q230" s="1">
        <f>LN(Table1[[#This Row],[qe_mg_g]]-Table1[[#This Row],[qt]])</f>
        <v>2.6682035578252354</v>
      </c>
      <c r="R230" s="1">
        <v>1</v>
      </c>
    </row>
    <row r="231" spans="1:18" x14ac:dyDescent="0.3">
      <c r="A231" s="1">
        <v>230</v>
      </c>
      <c r="B231" s="1" t="s">
        <v>16</v>
      </c>
      <c r="C231" s="1">
        <v>1</v>
      </c>
      <c r="D231" s="1">
        <v>120</v>
      </c>
      <c r="E231" s="1">
        <v>50</v>
      </c>
      <c r="F231" s="1">
        <v>7</v>
      </c>
      <c r="G231" s="1">
        <v>25</v>
      </c>
      <c r="H231" s="1">
        <v>150</v>
      </c>
      <c r="I231" s="1">
        <v>100</v>
      </c>
      <c r="J231" s="1">
        <v>31.763000000000002</v>
      </c>
      <c r="K231" s="1">
        <v>18.236999999999998</v>
      </c>
      <c r="L231" s="1">
        <v>63.53</v>
      </c>
      <c r="M231" s="1">
        <v>68.5</v>
      </c>
      <c r="N231" s="1">
        <v>4.299E-2</v>
      </c>
      <c r="O231" s="1">
        <v>3.0580000000000001E-4</v>
      </c>
      <c r="P231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17.095764140714277</v>
      </c>
      <c r="Q231" s="1">
        <f>LN(Table1[[#This Row],[qe_mg_g]]-Table1[[#This Row],[qt]])</f>
        <v>2.6856161530847809</v>
      </c>
      <c r="R231" s="1">
        <v>2</v>
      </c>
    </row>
    <row r="232" spans="1:18" x14ac:dyDescent="0.3">
      <c r="A232" s="1">
        <v>231</v>
      </c>
      <c r="B232" s="1" t="s">
        <v>16</v>
      </c>
      <c r="C232" s="1">
        <v>1</v>
      </c>
      <c r="D232" s="1">
        <v>120</v>
      </c>
      <c r="E232" s="1">
        <v>50</v>
      </c>
      <c r="F232" s="1">
        <v>7</v>
      </c>
      <c r="G232" s="1">
        <v>25</v>
      </c>
      <c r="H232" s="1">
        <v>150</v>
      </c>
      <c r="I232" s="1">
        <v>100</v>
      </c>
      <c r="J232" s="1">
        <v>32.890999999999998</v>
      </c>
      <c r="K232" s="1">
        <v>17.109000000000002</v>
      </c>
      <c r="L232" s="1">
        <v>65.78</v>
      </c>
      <c r="M232" s="1">
        <v>56.4</v>
      </c>
      <c r="N232" s="1">
        <v>4.5600000000000002E-2</v>
      </c>
      <c r="O232" s="1">
        <v>2.7900000000000001E-4</v>
      </c>
      <c r="P232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17.237494436192719</v>
      </c>
      <c r="Q232" s="1">
        <f>LN(Table1[[#This Row],[qe_mg_g]]-Table1[[#This Row],[qt]])</f>
        <v>2.7506948895897922</v>
      </c>
      <c r="R232" s="1">
        <v>3</v>
      </c>
    </row>
    <row r="233" spans="1:18" x14ac:dyDescent="0.3">
      <c r="A233" s="1">
        <v>232</v>
      </c>
      <c r="B233" s="1" t="s">
        <v>16</v>
      </c>
      <c r="C233" s="1">
        <v>1</v>
      </c>
      <c r="D233" s="1">
        <v>120</v>
      </c>
      <c r="E233" s="1">
        <v>50</v>
      </c>
      <c r="F233" s="1">
        <v>11</v>
      </c>
      <c r="G233" s="1">
        <v>25</v>
      </c>
      <c r="H233" s="1">
        <v>150</v>
      </c>
      <c r="I233" s="1">
        <v>100</v>
      </c>
      <c r="J233" s="1">
        <v>26.501999999999999</v>
      </c>
      <c r="K233" s="1">
        <v>23.498000000000001</v>
      </c>
      <c r="L233" s="1">
        <v>53</v>
      </c>
      <c r="M233" s="1">
        <v>51.4</v>
      </c>
      <c r="N233" s="1">
        <v>4.2479999999999997E-2</v>
      </c>
      <c r="O233" s="1">
        <v>3.1129999999999998E-4</v>
      </c>
      <c r="P233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13.184470362973968</v>
      </c>
      <c r="Q233" s="1">
        <f>LN(Table1[[#This Row],[qe_mg_g]]-Table1[[#This Row],[qt]])</f>
        <v>2.589081185226179</v>
      </c>
      <c r="R233" s="1">
        <v>1</v>
      </c>
    </row>
    <row r="234" spans="1:18" x14ac:dyDescent="0.3">
      <c r="A234" s="1">
        <v>233</v>
      </c>
      <c r="B234" s="1" t="s">
        <v>16</v>
      </c>
      <c r="C234" s="1">
        <v>1</v>
      </c>
      <c r="D234" s="1">
        <v>120</v>
      </c>
      <c r="E234" s="1">
        <v>50</v>
      </c>
      <c r="F234" s="1">
        <v>11</v>
      </c>
      <c r="G234" s="1">
        <v>25</v>
      </c>
      <c r="H234" s="1">
        <v>150</v>
      </c>
      <c r="I234" s="1">
        <v>100</v>
      </c>
      <c r="J234" s="1">
        <v>27.219000000000001</v>
      </c>
      <c r="K234" s="1">
        <v>22.780999999999999</v>
      </c>
      <c r="L234" s="1">
        <v>54.44</v>
      </c>
      <c r="M234" s="1">
        <v>66</v>
      </c>
      <c r="N234" s="1">
        <v>4.2500000000000003E-2</v>
      </c>
      <c r="O234" s="1">
        <v>3.5639999999999999E-4</v>
      </c>
      <c r="P234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14.641497837384936</v>
      </c>
      <c r="Q234" s="1">
        <f>LN(Table1[[#This Row],[qe_mg_g]]-Table1[[#This Row],[qt]])</f>
        <v>2.5319096753264794</v>
      </c>
      <c r="R234" s="1">
        <v>2</v>
      </c>
    </row>
    <row r="235" spans="1:18" x14ac:dyDescent="0.3">
      <c r="A235" s="1">
        <v>234</v>
      </c>
      <c r="B235" s="1" t="s">
        <v>16</v>
      </c>
      <c r="C235" s="1">
        <v>1</v>
      </c>
      <c r="D235" s="1">
        <v>120</v>
      </c>
      <c r="E235" s="1">
        <v>50</v>
      </c>
      <c r="F235" s="1">
        <v>11</v>
      </c>
      <c r="G235" s="1">
        <v>25</v>
      </c>
      <c r="H235" s="1">
        <v>150</v>
      </c>
      <c r="I235" s="1">
        <v>100</v>
      </c>
      <c r="J235" s="1">
        <v>21.387</v>
      </c>
      <c r="K235" s="1">
        <v>28.613</v>
      </c>
      <c r="L235" s="1">
        <v>42.77</v>
      </c>
      <c r="M235" s="1">
        <v>44.7</v>
      </c>
      <c r="N235" s="1">
        <v>4.6980000000000001E-2</v>
      </c>
      <c r="O235" s="1">
        <v>2.8489999999999999E-4</v>
      </c>
      <c r="P235" s="1">
        <f>(Table1[[#This Row],[Rate_Constant_k2_g_mg_min]]*Table1[[#This Row],[Contact_Time_min]]*Table1[[#This Row],[qe_mg_g]]^2)/(1+Table1[[#This Row],[Contact_Time_min]]*Table1[[#This Row],[qe_mg_g]]*Table1[[#This Row],[Rate_Constant_k2_g_mg_min]])</f>
        <v>9.0329898055726829</v>
      </c>
      <c r="Q235" s="1">
        <f>LN(Table1[[#This Row],[qe_mg_g]]-Table1[[#This Row],[qt]])</f>
        <v>2.5139807224657997</v>
      </c>
      <c r="R235" s="1">
        <v>3</v>
      </c>
    </row>
    <row r="236" spans="1:18" x14ac:dyDescent="0.3">
      <c r="A236" s="1">
        <v>235</v>
      </c>
      <c r="B236" s="1" t="s">
        <v>16</v>
      </c>
      <c r="C236" s="1">
        <v>1</v>
      </c>
      <c r="D236" s="1">
        <v>120</v>
      </c>
      <c r="E236" s="1">
        <v>100</v>
      </c>
      <c r="F236" s="1">
        <v>3</v>
      </c>
      <c r="G236" s="1">
        <v>25</v>
      </c>
      <c r="H236" s="1">
        <v>150</v>
      </c>
      <c r="I236" s="1">
        <v>100</v>
      </c>
      <c r="J236" s="1">
        <v>46.904000000000003</v>
      </c>
      <c r="K236" s="1">
        <v>53.095999999999997</v>
      </c>
      <c r="L236" s="1">
        <v>46.9</v>
      </c>
      <c r="M236" s="1">
        <v>73.8</v>
      </c>
      <c r="N236" s="1">
        <v>4.6100000000000002E-2</v>
      </c>
      <c r="O236" s="1">
        <v>2.831E-4</v>
      </c>
      <c r="P236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28.818247832785218</v>
      </c>
      <c r="Q236" s="1">
        <f>LN(Table1[[#This Row],[qe_mg_g]]-Table1[[#This Row],[qt]])</f>
        <v>2.8951244552063091</v>
      </c>
      <c r="R236" s="1">
        <v>1</v>
      </c>
    </row>
    <row r="237" spans="1:18" x14ac:dyDescent="0.3">
      <c r="A237" s="1">
        <v>236</v>
      </c>
      <c r="B237" s="1" t="s">
        <v>16</v>
      </c>
      <c r="C237" s="1">
        <v>1</v>
      </c>
      <c r="D237" s="1">
        <v>120</v>
      </c>
      <c r="E237" s="1">
        <v>100</v>
      </c>
      <c r="F237" s="1">
        <v>3</v>
      </c>
      <c r="G237" s="1">
        <v>25</v>
      </c>
      <c r="H237" s="1">
        <v>150</v>
      </c>
      <c r="I237" s="1">
        <v>100</v>
      </c>
      <c r="J237" s="1">
        <v>45.844999999999999</v>
      </c>
      <c r="K237" s="1">
        <v>54.155000000000001</v>
      </c>
      <c r="L237" s="1">
        <v>45.85</v>
      </c>
      <c r="M237" s="1">
        <v>75.400000000000006</v>
      </c>
      <c r="N237" s="1">
        <v>4.793E-2</v>
      </c>
      <c r="O237" s="1">
        <v>2.9700000000000001E-4</v>
      </c>
      <c r="P237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28.439356281244827</v>
      </c>
      <c r="Q237" s="1">
        <f>LN(Table1[[#This Row],[qe_mg_g]]-Table1[[#This Row],[qt]])</f>
        <v>2.8567945052824539</v>
      </c>
      <c r="R237" s="1">
        <v>2</v>
      </c>
    </row>
    <row r="238" spans="1:18" x14ac:dyDescent="0.3">
      <c r="A238" s="1">
        <v>237</v>
      </c>
      <c r="B238" s="1" t="s">
        <v>16</v>
      </c>
      <c r="C238" s="1">
        <v>1</v>
      </c>
      <c r="D238" s="1">
        <v>120</v>
      </c>
      <c r="E238" s="1">
        <v>100</v>
      </c>
      <c r="F238" s="1">
        <v>3</v>
      </c>
      <c r="G238" s="1">
        <v>25</v>
      </c>
      <c r="H238" s="1">
        <v>150</v>
      </c>
      <c r="I238" s="1">
        <v>100</v>
      </c>
      <c r="J238" s="1">
        <v>58.622999999999998</v>
      </c>
      <c r="K238" s="1">
        <v>41.377000000000002</v>
      </c>
      <c r="L238" s="1">
        <v>58.62</v>
      </c>
      <c r="M238" s="1">
        <v>56</v>
      </c>
      <c r="N238" s="1">
        <v>3.814E-2</v>
      </c>
      <c r="O238" s="1">
        <v>2.7920000000000001E-4</v>
      </c>
      <c r="P238" s="1">
        <f>(Table1[[#This Row],[Rate_Constant_k2_g_mg_min]]*Table1[[#This Row],[Contact_Time_min]]*Table1[[#This Row],[qe_mg_g]]^2)/(1+Table1[[#This Row],[Contact_Time_min]]*Table1[[#This Row],[qe_mg_g]]*Table1[[#This Row],[Rate_Constant_k2_g_mg_min]])</f>
        <v>38.845360490528797</v>
      </c>
      <c r="Q238" s="1">
        <f>LN(Table1[[#This Row],[qe_mg_g]]-Table1[[#This Row],[qt]])</f>
        <v>2.9845519818372752</v>
      </c>
      <c r="R238" s="1">
        <v>3</v>
      </c>
    </row>
    <row r="239" spans="1:18" x14ac:dyDescent="0.3">
      <c r="A239" s="1">
        <v>238</v>
      </c>
      <c r="B239" s="1" t="s">
        <v>16</v>
      </c>
      <c r="C239" s="1">
        <v>1</v>
      </c>
      <c r="D239" s="1">
        <v>120</v>
      </c>
      <c r="E239" s="1">
        <v>100</v>
      </c>
      <c r="F239" s="1">
        <v>7</v>
      </c>
      <c r="G239" s="1">
        <v>25</v>
      </c>
      <c r="H239" s="1">
        <v>150</v>
      </c>
      <c r="I239" s="1">
        <v>100</v>
      </c>
      <c r="J239" s="1">
        <v>72.936000000000007</v>
      </c>
      <c r="K239" s="1">
        <v>27.064</v>
      </c>
      <c r="L239" s="1">
        <v>72.94</v>
      </c>
      <c r="M239" s="1">
        <v>69.099999999999994</v>
      </c>
      <c r="N239" s="1">
        <v>4.3909999999999998E-2</v>
      </c>
      <c r="O239" s="1">
        <v>3.1060000000000001E-4</v>
      </c>
      <c r="P239" s="1">
        <f>(Table1[[#This Row],[Rate_Constant_k2_g_mg_min]]*Table1[[#This Row],[Contact_Time_min]]*Table1[[#This Row],[qe_mg_g]]^2)/(1+Table1[[#This Row],[Contact_Time_min]]*Table1[[#This Row],[qe_mg_g]]*Table1[[#This Row],[Rate_Constant_k2_g_mg_min]])</f>
        <v>53.321484248035709</v>
      </c>
      <c r="Q239" s="1">
        <f>LN(Table1[[#This Row],[qe_mg_g]]-Table1[[#This Row],[qt]])</f>
        <v>2.9762698917179384</v>
      </c>
      <c r="R239" s="1">
        <v>1</v>
      </c>
    </row>
    <row r="240" spans="1:18" x14ac:dyDescent="0.3">
      <c r="A240" s="1">
        <v>239</v>
      </c>
      <c r="B240" s="1" t="s">
        <v>16</v>
      </c>
      <c r="C240" s="1">
        <v>1</v>
      </c>
      <c r="D240" s="1">
        <v>120</v>
      </c>
      <c r="E240" s="1">
        <v>100</v>
      </c>
      <c r="F240" s="1">
        <v>7</v>
      </c>
      <c r="G240" s="1">
        <v>25</v>
      </c>
      <c r="H240" s="1">
        <v>150</v>
      </c>
      <c r="I240" s="1">
        <v>100</v>
      </c>
      <c r="J240" s="1">
        <v>65.873999999999995</v>
      </c>
      <c r="K240" s="1">
        <v>34.125999999999998</v>
      </c>
      <c r="L240" s="1">
        <v>65.87</v>
      </c>
      <c r="M240" s="1">
        <v>81.099999999999994</v>
      </c>
      <c r="N240" s="1">
        <v>4.4630000000000003E-2</v>
      </c>
      <c r="O240" s="1">
        <v>3.3349999999999997E-4</v>
      </c>
      <c r="P240" s="1">
        <f>(Table1[[#This Row],[Rate_Constant_k2_g_mg_min]]*Table1[[#This Row],[Contact_Time_min]]*Table1[[#This Row],[qe_mg_g]]^2)/(1+Table1[[#This Row],[Contact_Time_min]]*Table1[[#This Row],[qe_mg_g]]*Table1[[#This Row],[Rate_Constant_k2_g_mg_min]])</f>
        <v>47.758220782843004</v>
      </c>
      <c r="Q240" s="1">
        <f>LN(Table1[[#This Row],[qe_mg_g]]-Table1[[#This Row],[qt]])</f>
        <v>2.896783338445768</v>
      </c>
      <c r="R240" s="1">
        <v>2</v>
      </c>
    </row>
    <row r="241" spans="1:18" x14ac:dyDescent="0.3">
      <c r="A241" s="1">
        <v>240</v>
      </c>
      <c r="B241" s="1" t="s">
        <v>16</v>
      </c>
      <c r="C241" s="1">
        <v>1</v>
      </c>
      <c r="D241" s="1">
        <v>120</v>
      </c>
      <c r="E241" s="1">
        <v>100</v>
      </c>
      <c r="F241" s="1">
        <v>7</v>
      </c>
      <c r="G241" s="1">
        <v>25</v>
      </c>
      <c r="H241" s="1">
        <v>150</v>
      </c>
      <c r="I241" s="1">
        <v>100</v>
      </c>
      <c r="J241" s="1">
        <v>75.209999999999994</v>
      </c>
      <c r="K241" s="1">
        <v>24.79</v>
      </c>
      <c r="L241" s="1">
        <v>75.209999999999994</v>
      </c>
      <c r="M241" s="1">
        <v>71.2</v>
      </c>
      <c r="N241" s="1">
        <v>4.7559999999999998E-2</v>
      </c>
      <c r="O241" s="1">
        <v>3.1339999999999997E-4</v>
      </c>
      <c r="P241" s="1">
        <f>(Table1[[#This Row],[Rate_Constant_k2_g_mg_min]]*Table1[[#This Row],[Contact_Time_min]]*Table1[[#This Row],[qe_mg_g]]^2)/(1+Table1[[#This Row],[Contact_Time_min]]*Table1[[#This Row],[qe_mg_g]]*Table1[[#This Row],[Rate_Constant_k2_g_mg_min]])</f>
        <v>55.56521860365865</v>
      </c>
      <c r="Q241" s="1">
        <f>LN(Table1[[#This Row],[qe_mg_g]]-Table1[[#This Row],[qt]])</f>
        <v>2.9778117252489089</v>
      </c>
      <c r="R241" s="1">
        <v>3</v>
      </c>
    </row>
    <row r="242" spans="1:18" x14ac:dyDescent="0.3">
      <c r="A242" s="1">
        <v>241</v>
      </c>
      <c r="B242" s="1" t="s">
        <v>16</v>
      </c>
      <c r="C242" s="1">
        <v>1</v>
      </c>
      <c r="D242" s="1">
        <v>120</v>
      </c>
      <c r="E242" s="1">
        <v>100</v>
      </c>
      <c r="F242" s="1">
        <v>11</v>
      </c>
      <c r="G242" s="1">
        <v>25</v>
      </c>
      <c r="H242" s="1">
        <v>150</v>
      </c>
      <c r="I242" s="1">
        <v>100</v>
      </c>
      <c r="J242" s="1">
        <v>62.927</v>
      </c>
      <c r="K242" s="1">
        <v>37.073</v>
      </c>
      <c r="L242" s="1">
        <v>62.93</v>
      </c>
      <c r="M242" s="1">
        <v>80</v>
      </c>
      <c r="N242" s="1">
        <v>4.5879999999999997E-2</v>
      </c>
      <c r="O242" s="1">
        <v>3.213E-4</v>
      </c>
      <c r="P242" s="1">
        <f>(Table1[[#This Row],[Rate_Constant_k2_g_mg_min]]*Table1[[#This Row],[Contact_Time_min]]*Table1[[#This Row],[qe_mg_g]]^2)/(1+Table1[[#This Row],[Contact_Time_min]]*Table1[[#This Row],[qe_mg_g]]*Table1[[#This Row],[Rate_Constant_k2_g_mg_min]])</f>
        <v>44.560660127648809</v>
      </c>
      <c r="Q242" s="1">
        <f>LN(Table1[[#This Row],[qe_mg_g]]-Table1[[#This Row],[qt]])</f>
        <v>2.9105196345385194</v>
      </c>
      <c r="R242" s="1">
        <v>1</v>
      </c>
    </row>
    <row r="243" spans="1:18" x14ac:dyDescent="0.3">
      <c r="A243" s="1">
        <v>242</v>
      </c>
      <c r="B243" s="1" t="s">
        <v>16</v>
      </c>
      <c r="C243" s="1">
        <v>1</v>
      </c>
      <c r="D243" s="1">
        <v>120</v>
      </c>
      <c r="E243" s="1">
        <v>100</v>
      </c>
      <c r="F243" s="1">
        <v>11</v>
      </c>
      <c r="G243" s="1">
        <v>25</v>
      </c>
      <c r="H243" s="1">
        <v>150</v>
      </c>
      <c r="I243" s="1">
        <v>100</v>
      </c>
      <c r="J243" s="1">
        <v>59.42</v>
      </c>
      <c r="K243" s="1">
        <v>40.58</v>
      </c>
      <c r="L243" s="1">
        <v>59.42</v>
      </c>
      <c r="M243" s="1">
        <v>81.099999999999994</v>
      </c>
      <c r="N243" s="1">
        <v>4.1959999999999997E-2</v>
      </c>
      <c r="O243" s="1">
        <v>3.5399999999999999E-4</v>
      </c>
      <c r="P243" s="1">
        <f>(Table1[[#This Row],[Rate_Constant_k2_g_mg_min]]*Table1[[#This Row],[Contact_Time_min]]*Table1[[#This Row],[qe_mg_g]]^2)/(1+Table1[[#This Row],[Contact_Time_min]]*Table1[[#This Row],[qe_mg_g]]*Table1[[#This Row],[Rate_Constant_k2_g_mg_min]])</f>
        <v>42.559252184122315</v>
      </c>
      <c r="Q243" s="1">
        <f>LN(Table1[[#This Row],[qe_mg_g]]-Table1[[#This Row],[qt]])</f>
        <v>2.8249883060312242</v>
      </c>
      <c r="R243" s="1">
        <v>2</v>
      </c>
    </row>
    <row r="244" spans="1:18" x14ac:dyDescent="0.3">
      <c r="A244" s="1">
        <v>243</v>
      </c>
      <c r="B244" s="1" t="s">
        <v>16</v>
      </c>
      <c r="C244" s="1">
        <v>1</v>
      </c>
      <c r="D244" s="1">
        <v>120</v>
      </c>
      <c r="E244" s="1">
        <v>100</v>
      </c>
      <c r="F244" s="1">
        <v>11</v>
      </c>
      <c r="G244" s="1">
        <v>25</v>
      </c>
      <c r="H244" s="1">
        <v>150</v>
      </c>
      <c r="I244" s="1">
        <v>100</v>
      </c>
      <c r="J244" s="1">
        <v>59.656999999999996</v>
      </c>
      <c r="K244" s="1">
        <v>40.343000000000004</v>
      </c>
      <c r="L244" s="1">
        <v>59.66</v>
      </c>
      <c r="M244" s="1">
        <v>52.4</v>
      </c>
      <c r="N244" s="1">
        <v>4.5580000000000002E-2</v>
      </c>
      <c r="O244" s="1">
        <v>2.7960000000000002E-4</v>
      </c>
      <c r="P244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39.782010601637907</v>
      </c>
      <c r="Q244" s="1">
        <f>LN(Table1[[#This Row],[qe_mg_g]]-Table1[[#This Row],[qt]])</f>
        <v>2.9894621271245092</v>
      </c>
      <c r="R244" s="1">
        <v>3</v>
      </c>
    </row>
    <row r="245" spans="1:18" x14ac:dyDescent="0.3">
      <c r="A245" s="1">
        <v>244</v>
      </c>
      <c r="B245" s="1" t="s">
        <v>16</v>
      </c>
      <c r="C245" s="1">
        <v>1</v>
      </c>
      <c r="D245" s="1">
        <v>120</v>
      </c>
      <c r="E245" s="1">
        <v>200</v>
      </c>
      <c r="F245" s="1">
        <v>3</v>
      </c>
      <c r="G245" s="1">
        <v>25</v>
      </c>
      <c r="H245" s="1">
        <v>150</v>
      </c>
      <c r="I245" s="1">
        <v>100</v>
      </c>
      <c r="J245" s="1">
        <v>119.319</v>
      </c>
      <c r="K245" s="1">
        <v>80.680999999999997</v>
      </c>
      <c r="L245" s="1">
        <v>59.66</v>
      </c>
      <c r="M245" s="1">
        <v>60.1</v>
      </c>
      <c r="N245" s="1">
        <v>4.299E-2</v>
      </c>
      <c r="O245" s="1">
        <v>2.433E-4</v>
      </c>
      <c r="P245" s="1">
        <f>(Table1[[#This Row],[Rate_Constant_k2_g_mg_min]]*Table1[[#This Row],[Contact_Time_min]]*Table1[[#This Row],[qe_mg_g]]^2)/(1+Table1[[#This Row],[Contact_Time_min]]*Table1[[#This Row],[qe_mg_g]]*Table1[[#This Row],[Rate_Constant_k2_g_mg_min]])</f>
        <v>92.706902264331205</v>
      </c>
      <c r="Q245" s="1">
        <f>LN(Table1[[#This Row],[qe_mg_g]]-Table1[[#This Row],[qt]])</f>
        <v>3.2813659144893408</v>
      </c>
      <c r="R245" s="1">
        <v>1</v>
      </c>
    </row>
    <row r="246" spans="1:18" x14ac:dyDescent="0.3">
      <c r="A246" s="1">
        <v>245</v>
      </c>
      <c r="B246" s="1" t="s">
        <v>16</v>
      </c>
      <c r="C246" s="1">
        <v>1</v>
      </c>
      <c r="D246" s="1">
        <v>120</v>
      </c>
      <c r="E246" s="1">
        <v>200</v>
      </c>
      <c r="F246" s="1">
        <v>3</v>
      </c>
      <c r="G246" s="1">
        <v>25</v>
      </c>
      <c r="H246" s="1">
        <v>150</v>
      </c>
      <c r="I246" s="1">
        <v>100</v>
      </c>
      <c r="J246" s="1">
        <v>107.755</v>
      </c>
      <c r="K246" s="1">
        <v>92.245000000000005</v>
      </c>
      <c r="L246" s="1">
        <v>53.88</v>
      </c>
      <c r="M246" s="1">
        <v>42.4</v>
      </c>
      <c r="N246" s="1">
        <v>3.7870000000000001E-2</v>
      </c>
      <c r="O246" s="1">
        <v>3.2279999999999999E-4</v>
      </c>
      <c r="P246" s="1">
        <f>(Table1[[#This Row],[Rate_Constant_k2_g_mg_min]]*Table1[[#This Row],[Contact_Time_min]]*Table1[[#This Row],[qe_mg_g]]^2)/(1+Table1[[#This Row],[Contact_Time_min]]*Table1[[#This Row],[qe_mg_g]]*Table1[[#This Row],[Rate_Constant_k2_g_mg_min]])</f>
        <v>86.928744043889878</v>
      </c>
      <c r="Q246" s="1">
        <f>LN(Table1[[#This Row],[qe_mg_g]]-Table1[[#This Row],[qt]])</f>
        <v>3.0362144962516231</v>
      </c>
      <c r="R246" s="1">
        <v>2</v>
      </c>
    </row>
    <row r="247" spans="1:18" x14ac:dyDescent="0.3">
      <c r="A247" s="1">
        <v>246</v>
      </c>
      <c r="B247" s="1" t="s">
        <v>16</v>
      </c>
      <c r="C247" s="1">
        <v>1</v>
      </c>
      <c r="D247" s="1">
        <v>120</v>
      </c>
      <c r="E247" s="1">
        <v>200</v>
      </c>
      <c r="F247" s="1">
        <v>3</v>
      </c>
      <c r="G247" s="1">
        <v>25</v>
      </c>
      <c r="H247" s="1">
        <v>150</v>
      </c>
      <c r="I247" s="1">
        <v>100</v>
      </c>
      <c r="J247" s="1">
        <v>118.82899999999999</v>
      </c>
      <c r="K247" s="1">
        <v>81.171000000000006</v>
      </c>
      <c r="L247" s="1">
        <v>59.41</v>
      </c>
      <c r="M247" s="1">
        <v>70.900000000000006</v>
      </c>
      <c r="N247" s="1">
        <v>4.0649999999999999E-2</v>
      </c>
      <c r="O247" s="1">
        <v>2.9859999999999999E-4</v>
      </c>
      <c r="P247" s="1">
        <f>(Table1[[#This Row],[Rate_Constant_k2_g_mg_min]]*Table1[[#This Row],[Contact_Time_min]]*Table1[[#This Row],[qe_mg_g]]^2)/(1+Table1[[#This Row],[Contact_Time_min]]*Table1[[#This Row],[qe_mg_g]]*Table1[[#This Row],[Rate_Constant_k2_g_mg_min]])</f>
        <v>96.228829675253891</v>
      </c>
      <c r="Q247" s="1">
        <f>LN(Table1[[#This Row],[qe_mg_g]]-Table1[[#This Row],[qt]])</f>
        <v>3.1179574427430312</v>
      </c>
      <c r="R247" s="1">
        <v>3</v>
      </c>
    </row>
    <row r="248" spans="1:18" x14ac:dyDescent="0.3">
      <c r="A248" s="1">
        <v>247</v>
      </c>
      <c r="B248" s="1" t="s">
        <v>16</v>
      </c>
      <c r="C248" s="1">
        <v>1</v>
      </c>
      <c r="D248" s="1">
        <v>120</v>
      </c>
      <c r="E248" s="1">
        <v>200</v>
      </c>
      <c r="F248" s="1">
        <v>7</v>
      </c>
      <c r="G248" s="1">
        <v>25</v>
      </c>
      <c r="H248" s="1">
        <v>150</v>
      </c>
      <c r="I248" s="1">
        <v>100</v>
      </c>
      <c r="J248" s="1">
        <v>155.59899999999999</v>
      </c>
      <c r="K248" s="1">
        <v>44.401000000000003</v>
      </c>
      <c r="L248" s="1">
        <v>77.8</v>
      </c>
      <c r="M248" s="1">
        <v>55.1</v>
      </c>
      <c r="N248" s="1">
        <v>5.1769999999999997E-2</v>
      </c>
      <c r="O248" s="1">
        <v>3.2630000000000002E-4</v>
      </c>
      <c r="P248" s="1">
        <f>(Table1[[#This Row],[Rate_Constant_k2_g_mg_min]]*Table1[[#This Row],[Contact_Time_min]]*Table1[[#This Row],[qe_mg_g]]^2)/(1+Table1[[#This Row],[Contact_Time_min]]*Table1[[#This Row],[qe_mg_g]]*Table1[[#This Row],[Rate_Constant_k2_g_mg_min]])</f>
        <v>133.66088924178538</v>
      </c>
      <c r="Q248" s="1">
        <f>LN(Table1[[#This Row],[qe_mg_g]]-Table1[[#This Row],[qt]])</f>
        <v>3.0882253416688314</v>
      </c>
      <c r="R248" s="1">
        <v>1</v>
      </c>
    </row>
    <row r="249" spans="1:18" x14ac:dyDescent="0.3">
      <c r="A249" s="1">
        <v>248</v>
      </c>
      <c r="B249" s="1" t="s">
        <v>16</v>
      </c>
      <c r="C249" s="1">
        <v>1</v>
      </c>
      <c r="D249" s="1">
        <v>120</v>
      </c>
      <c r="E249" s="1">
        <v>200</v>
      </c>
      <c r="F249" s="1">
        <v>7</v>
      </c>
      <c r="G249" s="1">
        <v>25</v>
      </c>
      <c r="H249" s="1">
        <v>150</v>
      </c>
      <c r="I249" s="1">
        <v>100</v>
      </c>
      <c r="J249" s="1">
        <v>152.892</v>
      </c>
      <c r="K249" s="1">
        <v>47.107999999999997</v>
      </c>
      <c r="L249" s="1">
        <v>76.45</v>
      </c>
      <c r="M249" s="1">
        <v>66.900000000000006</v>
      </c>
      <c r="N249" s="1">
        <v>4.5940000000000002E-2</v>
      </c>
      <c r="O249" s="1">
        <v>2.387E-4</v>
      </c>
      <c r="P249" s="1">
        <f>(Table1[[#This Row],[Rate_Constant_k2_g_mg_min]]*Table1[[#This Row],[Contact_Time_min]]*Table1[[#This Row],[qe_mg_g]]^2)/(1+Table1[[#This Row],[Contact_Time_min]]*Table1[[#This Row],[qe_mg_g]]*Table1[[#This Row],[Rate_Constant_k2_g_mg_min]])</f>
        <v>124.47044606311219</v>
      </c>
      <c r="Q249" s="1">
        <f>LN(Table1[[#This Row],[qe_mg_g]]-Table1[[#This Row],[qt]])</f>
        <v>3.3471477987564491</v>
      </c>
      <c r="R249" s="1">
        <v>2</v>
      </c>
    </row>
    <row r="250" spans="1:18" x14ac:dyDescent="0.3">
      <c r="A250" s="1">
        <v>249</v>
      </c>
      <c r="B250" s="1" t="s">
        <v>16</v>
      </c>
      <c r="C250" s="1">
        <v>1</v>
      </c>
      <c r="D250" s="1">
        <v>120</v>
      </c>
      <c r="E250" s="1">
        <v>200</v>
      </c>
      <c r="F250" s="1">
        <v>7</v>
      </c>
      <c r="G250" s="1">
        <v>25</v>
      </c>
      <c r="H250" s="1">
        <v>150</v>
      </c>
      <c r="I250" s="1">
        <v>100</v>
      </c>
      <c r="J250" s="1">
        <v>152.566</v>
      </c>
      <c r="K250" s="1">
        <v>47.433999999999997</v>
      </c>
      <c r="L250" s="1">
        <v>76.28</v>
      </c>
      <c r="M250" s="1">
        <v>59.8</v>
      </c>
      <c r="N250" s="1">
        <v>4.0489999999999998E-2</v>
      </c>
      <c r="O250" s="1">
        <v>2.9159999999999999E-4</v>
      </c>
      <c r="P250" s="1">
        <f>(Table1[[#This Row],[Rate_Constant_k2_g_mg_min]]*Table1[[#This Row],[Contact_Time_min]]*Table1[[#This Row],[qe_mg_g]]^2)/(1+Table1[[#This Row],[Contact_Time_min]]*Table1[[#This Row],[qe_mg_g]]*Table1[[#This Row],[Rate_Constant_k2_g_mg_min]])</f>
        <v>128.49660716837033</v>
      </c>
      <c r="Q250" s="1">
        <f>LN(Table1[[#This Row],[qe_mg_g]]-Table1[[#This Row],[qt]])</f>
        <v>3.1809410263679592</v>
      </c>
      <c r="R250" s="1">
        <v>3</v>
      </c>
    </row>
    <row r="251" spans="1:18" x14ac:dyDescent="0.3">
      <c r="A251" s="1">
        <v>250</v>
      </c>
      <c r="B251" s="1" t="s">
        <v>16</v>
      </c>
      <c r="C251" s="1">
        <v>1</v>
      </c>
      <c r="D251" s="1">
        <v>120</v>
      </c>
      <c r="E251" s="1">
        <v>200</v>
      </c>
      <c r="F251" s="1">
        <v>11</v>
      </c>
      <c r="G251" s="1">
        <v>25</v>
      </c>
      <c r="H251" s="1">
        <v>150</v>
      </c>
      <c r="I251" s="1">
        <v>100</v>
      </c>
      <c r="J251" s="1">
        <v>147.87</v>
      </c>
      <c r="K251" s="1">
        <v>52.13</v>
      </c>
      <c r="L251" s="1">
        <v>73.930000000000007</v>
      </c>
      <c r="M251" s="1">
        <v>73.099999999999994</v>
      </c>
      <c r="N251" s="1">
        <v>4.2430000000000002E-2</v>
      </c>
      <c r="O251" s="1">
        <v>3.1720000000000001E-4</v>
      </c>
      <c r="P251" s="1">
        <f>(Table1[[#This Row],[Rate_Constant_k2_g_mg_min]]*Table1[[#This Row],[Contact_Time_min]]*Table1[[#This Row],[qe_mg_g]]^2)/(1+Table1[[#This Row],[Contact_Time_min]]*Table1[[#This Row],[qe_mg_g]]*Table1[[#This Row],[Rate_Constant_k2_g_mg_min]])</f>
        <v>125.56186516657357</v>
      </c>
      <c r="Q251" s="1">
        <f>LN(Table1[[#This Row],[qe_mg_g]]-Table1[[#This Row],[qt]])</f>
        <v>3.1049514026827207</v>
      </c>
      <c r="R251" s="1">
        <v>1</v>
      </c>
    </row>
    <row r="252" spans="1:18" x14ac:dyDescent="0.3">
      <c r="A252" s="1">
        <v>251</v>
      </c>
      <c r="B252" s="1" t="s">
        <v>16</v>
      </c>
      <c r="C252" s="1">
        <v>1</v>
      </c>
      <c r="D252" s="1">
        <v>120</v>
      </c>
      <c r="E252" s="1">
        <v>200</v>
      </c>
      <c r="F252" s="1">
        <v>11</v>
      </c>
      <c r="G252" s="1">
        <v>25</v>
      </c>
      <c r="H252" s="1">
        <v>150</v>
      </c>
      <c r="I252" s="1">
        <v>100</v>
      </c>
      <c r="J252" s="1">
        <v>143.75</v>
      </c>
      <c r="K252" s="1">
        <v>56.25</v>
      </c>
      <c r="L252" s="1">
        <v>71.88</v>
      </c>
      <c r="M252" s="1">
        <v>75.900000000000006</v>
      </c>
      <c r="N252" s="1">
        <v>4.5269999999999998E-2</v>
      </c>
      <c r="O252" s="1">
        <v>2.8059999999999999E-4</v>
      </c>
      <c r="P252" s="1">
        <f>(Table1[[#This Row],[Rate_Constant_k2_g_mg_min]]*Table1[[#This Row],[Contact_Time_min]]*Table1[[#This Row],[qe_mg_g]]^2)/(1+Table1[[#This Row],[Contact_Time_min]]*Table1[[#This Row],[qe_mg_g]]*Table1[[#This Row],[Rate_Constant_k2_g_mg_min]])</f>
        <v>119.13674908181873</v>
      </c>
      <c r="Q252" s="1">
        <f>LN(Table1[[#This Row],[qe_mg_g]]-Table1[[#This Row],[qt]])</f>
        <v>3.2032849531262957</v>
      </c>
      <c r="R252" s="1">
        <v>2</v>
      </c>
    </row>
    <row r="253" spans="1:18" x14ac:dyDescent="0.3">
      <c r="A253" s="1">
        <v>252</v>
      </c>
      <c r="B253" s="1" t="s">
        <v>16</v>
      </c>
      <c r="C253" s="1">
        <v>1</v>
      </c>
      <c r="D253" s="1">
        <v>120</v>
      </c>
      <c r="E253" s="1">
        <v>200</v>
      </c>
      <c r="F253" s="1">
        <v>11</v>
      </c>
      <c r="G253" s="1">
        <v>25</v>
      </c>
      <c r="H253" s="1">
        <v>150</v>
      </c>
      <c r="I253" s="1">
        <v>100</v>
      </c>
      <c r="J253" s="1">
        <v>136.499</v>
      </c>
      <c r="K253" s="1">
        <v>63.500999999999998</v>
      </c>
      <c r="L253" s="1">
        <v>68.25</v>
      </c>
      <c r="M253" s="1">
        <v>70.599999999999994</v>
      </c>
      <c r="N253" s="1">
        <v>4.9029999999999997E-2</v>
      </c>
      <c r="O253" s="1">
        <v>3.191E-4</v>
      </c>
      <c r="P253" s="1">
        <f>(Table1[[#This Row],[Rate_Constant_k2_g_mg_min]]*Table1[[#This Row],[Contact_Time_min]]*Table1[[#This Row],[qe_mg_g]]^2)/(1+Table1[[#This Row],[Contact_Time_min]]*Table1[[#This Row],[qe_mg_g]]*Table1[[#This Row],[Rate_Constant_k2_g_mg_min]])</f>
        <v>114.57785784381537</v>
      </c>
      <c r="Q253" s="1">
        <f>LN(Table1[[#This Row],[qe_mg_g]]-Table1[[#This Row],[qt]])</f>
        <v>3.0874515663877191</v>
      </c>
      <c r="R253" s="1">
        <v>3</v>
      </c>
    </row>
    <row r="254" spans="1:18" x14ac:dyDescent="0.3">
      <c r="A254" s="1">
        <v>253</v>
      </c>
      <c r="B254" s="1" t="s">
        <v>16</v>
      </c>
      <c r="C254" s="1">
        <v>1</v>
      </c>
      <c r="D254" s="1">
        <v>240</v>
      </c>
      <c r="E254" s="1">
        <v>25</v>
      </c>
      <c r="F254" s="1">
        <v>3</v>
      </c>
      <c r="G254" s="1">
        <v>25</v>
      </c>
      <c r="H254" s="1">
        <v>150</v>
      </c>
      <c r="I254" s="1">
        <v>100</v>
      </c>
      <c r="J254" s="1">
        <v>11.032</v>
      </c>
      <c r="K254" s="1">
        <v>13.968</v>
      </c>
      <c r="L254" s="1">
        <v>44.13</v>
      </c>
      <c r="M254" s="1">
        <v>61.3</v>
      </c>
      <c r="N254" s="1">
        <v>5.0930000000000003E-2</v>
      </c>
      <c r="O254" s="1">
        <v>3.0590000000000001E-4</v>
      </c>
      <c r="P25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4.9367208595533478</v>
      </c>
      <c r="Q254" s="1">
        <f>LN(Table1[[#This Row],[qe_mg_g]]-Table1[[#This Row],[qt]])</f>
        <v>1.80751456015305</v>
      </c>
      <c r="R254" s="1">
        <v>1</v>
      </c>
    </row>
    <row r="255" spans="1:18" x14ac:dyDescent="0.3">
      <c r="A255" s="1">
        <v>254</v>
      </c>
      <c r="B255" s="1" t="s">
        <v>16</v>
      </c>
      <c r="C255" s="1">
        <v>1</v>
      </c>
      <c r="D255" s="1">
        <v>240</v>
      </c>
      <c r="E255" s="1">
        <v>25</v>
      </c>
      <c r="F255" s="1">
        <v>3</v>
      </c>
      <c r="G255" s="1">
        <v>25</v>
      </c>
      <c r="H255" s="1">
        <v>150</v>
      </c>
      <c r="I255" s="1">
        <v>100</v>
      </c>
      <c r="J255" s="1">
        <v>11.867000000000001</v>
      </c>
      <c r="K255" s="1">
        <v>13.132999999999999</v>
      </c>
      <c r="L255" s="1">
        <v>47.47</v>
      </c>
      <c r="M255" s="1">
        <v>59.8</v>
      </c>
      <c r="N255" s="1">
        <v>5.2810000000000003E-2</v>
      </c>
      <c r="O255" s="1">
        <v>3.0590000000000001E-4</v>
      </c>
      <c r="P255" s="1">
        <f>(Table1[[#This Row],[Rate_Constant_k2_g_mg_min]]*Table1[[#This Row],[Contact_Time_min]]*Table1[[#This Row],[qe_mg_g]]^2)/(1+Table1[[#This Row],[Contact_Time_min]]*Table1[[#This Row],[qe_mg_g]]*Table1[[#This Row],[Rate_Constant_k2_g_mg_min]])</f>
        <v>5.5251741615031014</v>
      </c>
      <c r="Q255" s="1">
        <f>LN(Table1[[#This Row],[qe_mg_g]]-Table1[[#This Row],[qt]])</f>
        <v>1.847166714133418</v>
      </c>
      <c r="R255" s="1">
        <v>2</v>
      </c>
    </row>
    <row r="256" spans="1:18" x14ac:dyDescent="0.3">
      <c r="A256" s="1">
        <v>255</v>
      </c>
      <c r="B256" s="1" t="s">
        <v>16</v>
      </c>
      <c r="C256" s="1">
        <v>1</v>
      </c>
      <c r="D256" s="1">
        <v>240</v>
      </c>
      <c r="E256" s="1">
        <v>25</v>
      </c>
      <c r="F256" s="1">
        <v>3</v>
      </c>
      <c r="G256" s="1">
        <v>25</v>
      </c>
      <c r="H256" s="1">
        <v>150</v>
      </c>
      <c r="I256" s="1">
        <v>100</v>
      </c>
      <c r="J256" s="1">
        <v>9.6470000000000002</v>
      </c>
      <c r="K256" s="1">
        <v>15.353</v>
      </c>
      <c r="L256" s="1">
        <v>38.590000000000003</v>
      </c>
      <c r="M256" s="1">
        <v>61.8</v>
      </c>
      <c r="N256" s="1">
        <v>4.3560000000000001E-2</v>
      </c>
      <c r="O256" s="1">
        <v>3.1270000000000001E-4</v>
      </c>
      <c r="P25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4.0512535756407821</v>
      </c>
      <c r="Q256" s="1">
        <f>LN(Table1[[#This Row],[qe_mg_g]]-Table1[[#This Row],[qt]])</f>
        <v>1.7220067420451604</v>
      </c>
      <c r="R256" s="1">
        <v>3</v>
      </c>
    </row>
    <row r="257" spans="1:18" x14ac:dyDescent="0.3">
      <c r="A257" s="1">
        <v>256</v>
      </c>
      <c r="B257" s="1" t="s">
        <v>16</v>
      </c>
      <c r="C257" s="1">
        <v>1</v>
      </c>
      <c r="D257" s="1">
        <v>240</v>
      </c>
      <c r="E257" s="1">
        <v>25</v>
      </c>
      <c r="F257" s="1">
        <v>7</v>
      </c>
      <c r="G257" s="1">
        <v>25</v>
      </c>
      <c r="H257" s="1">
        <v>150</v>
      </c>
      <c r="I257" s="1">
        <v>100</v>
      </c>
      <c r="J257" s="1">
        <v>15.852</v>
      </c>
      <c r="K257" s="1">
        <v>9.1479999999999997</v>
      </c>
      <c r="L257" s="1">
        <v>63.41</v>
      </c>
      <c r="M257" s="1">
        <v>60.9</v>
      </c>
      <c r="N257" s="1">
        <v>4.4889999999999999E-2</v>
      </c>
      <c r="O257" s="1">
        <v>3.6430000000000002E-4</v>
      </c>
      <c r="P257" s="1">
        <f>(Table1[[#This Row],[Rate_Constant_k2_g_mg_min]]*Table1[[#This Row],[Contact_Time_min]]*Table1[[#This Row],[qe_mg_g]]^2)/(1+Table1[[#This Row],[Contact_Time_min]]*Table1[[#This Row],[qe_mg_g]]*Table1[[#This Row],[Rate_Constant_k2_g_mg_min]])</f>
        <v>9.2081669731268079</v>
      </c>
      <c r="Q257" s="1">
        <f>LN(Table1[[#This Row],[qe_mg_g]]-Table1[[#This Row],[qt]])</f>
        <v>1.8936890600194141</v>
      </c>
      <c r="R257" s="1">
        <v>1</v>
      </c>
    </row>
    <row r="258" spans="1:18" x14ac:dyDescent="0.3">
      <c r="A258" s="1">
        <v>257</v>
      </c>
      <c r="B258" s="1" t="s">
        <v>16</v>
      </c>
      <c r="C258" s="1">
        <v>1</v>
      </c>
      <c r="D258" s="1">
        <v>240</v>
      </c>
      <c r="E258" s="1">
        <v>25</v>
      </c>
      <c r="F258" s="1">
        <v>7</v>
      </c>
      <c r="G258" s="1">
        <v>25</v>
      </c>
      <c r="H258" s="1">
        <v>150</v>
      </c>
      <c r="I258" s="1">
        <v>100</v>
      </c>
      <c r="J258" s="1">
        <v>17.318999999999999</v>
      </c>
      <c r="K258" s="1">
        <v>7.681</v>
      </c>
      <c r="L258" s="1">
        <v>69.27</v>
      </c>
      <c r="M258" s="1">
        <v>71</v>
      </c>
      <c r="N258" s="1">
        <v>4.5170000000000002E-2</v>
      </c>
      <c r="O258" s="1">
        <v>3.0360000000000001E-4</v>
      </c>
      <c r="P258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9.6622698506478617</v>
      </c>
      <c r="Q258" s="1">
        <f>LN(Table1[[#This Row],[qe_mg_g]]-Table1[[#This Row],[qt]])</f>
        <v>2.0355850191633671</v>
      </c>
      <c r="R258" s="1">
        <v>2</v>
      </c>
    </row>
    <row r="259" spans="1:18" x14ac:dyDescent="0.3">
      <c r="A259" s="1">
        <v>258</v>
      </c>
      <c r="B259" s="1" t="s">
        <v>16</v>
      </c>
      <c r="C259" s="1">
        <v>1</v>
      </c>
      <c r="D259" s="1">
        <v>240</v>
      </c>
      <c r="E259" s="1">
        <v>25</v>
      </c>
      <c r="F259" s="1">
        <v>7</v>
      </c>
      <c r="G259" s="1">
        <v>25</v>
      </c>
      <c r="H259" s="1">
        <v>150</v>
      </c>
      <c r="I259" s="1">
        <v>100</v>
      </c>
      <c r="J259" s="1">
        <v>15.962999999999999</v>
      </c>
      <c r="K259" s="1">
        <v>9.0370000000000008</v>
      </c>
      <c r="L259" s="1">
        <v>63.85</v>
      </c>
      <c r="M259" s="1">
        <v>56.4</v>
      </c>
      <c r="N259" s="1">
        <v>4.3839999999999997E-2</v>
      </c>
      <c r="O259" s="1">
        <v>2.499E-4</v>
      </c>
      <c r="P25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7.8077811489521487</v>
      </c>
      <c r="Q259" s="1">
        <f>LN(Table1[[#This Row],[qe_mg_g]]-Table1[[#This Row],[qt]])</f>
        <v>2.0986580721381292</v>
      </c>
      <c r="R259" s="1">
        <v>3</v>
      </c>
    </row>
    <row r="260" spans="1:18" x14ac:dyDescent="0.3">
      <c r="A260" s="1">
        <v>259</v>
      </c>
      <c r="B260" s="1" t="s">
        <v>16</v>
      </c>
      <c r="C260" s="1">
        <v>1</v>
      </c>
      <c r="D260" s="1">
        <v>240</v>
      </c>
      <c r="E260" s="1">
        <v>25</v>
      </c>
      <c r="F260" s="1">
        <v>11</v>
      </c>
      <c r="G260" s="1">
        <v>25</v>
      </c>
      <c r="H260" s="1">
        <v>150</v>
      </c>
      <c r="I260" s="1">
        <v>100</v>
      </c>
      <c r="J260" s="1">
        <v>12.541</v>
      </c>
      <c r="K260" s="1">
        <v>12.459</v>
      </c>
      <c r="L260" s="1">
        <v>50.16</v>
      </c>
      <c r="M260" s="1">
        <v>73.099999999999994</v>
      </c>
      <c r="N260" s="1">
        <v>4.283E-2</v>
      </c>
      <c r="O260" s="1">
        <v>3.4719999999999998E-4</v>
      </c>
      <c r="P260" s="1">
        <f>(Table1[[#This Row],[Rate_Constant_k2_g_mg_min]]*Table1[[#This Row],[Contact_Time_min]]*Table1[[#This Row],[qe_mg_g]]^2)/(1+Table1[[#This Row],[Contact_Time_min]]*Table1[[#This Row],[qe_mg_g]]*Table1[[#This Row],[Rate_Constant_k2_g_mg_min]])</f>
        <v>6.4085309862348829</v>
      </c>
      <c r="Q260" s="1">
        <f>LN(Table1[[#This Row],[qe_mg_g]]-Table1[[#This Row],[qt]])</f>
        <v>1.8135974443477081</v>
      </c>
      <c r="R260" s="1">
        <v>1</v>
      </c>
    </row>
    <row r="261" spans="1:18" x14ac:dyDescent="0.3">
      <c r="A261" s="1">
        <v>260</v>
      </c>
      <c r="B261" s="1" t="s">
        <v>16</v>
      </c>
      <c r="C261" s="1">
        <v>1</v>
      </c>
      <c r="D261" s="1">
        <v>240</v>
      </c>
      <c r="E261" s="1">
        <v>25</v>
      </c>
      <c r="F261" s="1">
        <v>11</v>
      </c>
      <c r="G261" s="1">
        <v>25</v>
      </c>
      <c r="H261" s="1">
        <v>150</v>
      </c>
      <c r="I261" s="1">
        <v>100</v>
      </c>
      <c r="J261" s="1">
        <v>10.961</v>
      </c>
      <c r="K261" s="1">
        <v>14.039</v>
      </c>
      <c r="L261" s="1">
        <v>43.85</v>
      </c>
      <c r="M261" s="1">
        <v>52</v>
      </c>
      <c r="N261" s="1">
        <v>4.6010000000000002E-2</v>
      </c>
      <c r="O261" s="1">
        <v>3.3139999999999998E-4</v>
      </c>
      <c r="P261" s="1">
        <f>(Table1[[#This Row],[Rate_Constant_k2_g_mg_min]]*Table1[[#This Row],[Contact_Time_min]]*Table1[[#This Row],[qe_mg_g]]^2)/(1+Table1[[#This Row],[Contact_Time_min]]*Table1[[#This Row],[qe_mg_g]]*Table1[[#This Row],[Rate_Constant_k2_g_mg_min]])</f>
        <v>5.1051208606098735</v>
      </c>
      <c r="Q261" s="1">
        <f>LN(Table1[[#This Row],[qe_mg_g]]-Table1[[#This Row],[qt]])</f>
        <v>1.7674461376806809</v>
      </c>
      <c r="R261" s="1">
        <v>2</v>
      </c>
    </row>
    <row r="262" spans="1:18" x14ac:dyDescent="0.3">
      <c r="A262" s="1">
        <v>261</v>
      </c>
      <c r="B262" s="1" t="s">
        <v>16</v>
      </c>
      <c r="C262" s="1">
        <v>1</v>
      </c>
      <c r="D262" s="1">
        <v>240</v>
      </c>
      <c r="E262" s="1">
        <v>25</v>
      </c>
      <c r="F262" s="1">
        <v>11</v>
      </c>
      <c r="G262" s="1">
        <v>25</v>
      </c>
      <c r="H262" s="1">
        <v>150</v>
      </c>
      <c r="I262" s="1">
        <v>100</v>
      </c>
      <c r="J262" s="1">
        <v>13.79</v>
      </c>
      <c r="K262" s="1">
        <v>11.21</v>
      </c>
      <c r="L262" s="1">
        <v>55.16</v>
      </c>
      <c r="M262" s="1">
        <v>62.1</v>
      </c>
      <c r="N262" s="1">
        <v>4.9849999999999998E-2</v>
      </c>
      <c r="O262" s="1">
        <v>2.988E-4</v>
      </c>
      <c r="P262" s="1">
        <f>(Table1[[#This Row],[Rate_Constant_k2_g_mg_min]]*Table1[[#This Row],[Contact_Time_min]]*Table1[[#This Row],[qe_mg_g]]^2)/(1+Table1[[#This Row],[Contact_Time_min]]*Table1[[#This Row],[qe_mg_g]]*Table1[[#This Row],[Rate_Constant_k2_g_mg_min]])</f>
        <v>6.8565487433589691</v>
      </c>
      <c r="Q262" s="1">
        <f>LN(Table1[[#This Row],[qe_mg_g]]-Table1[[#This Row],[qt]])</f>
        <v>1.9363577060639046</v>
      </c>
      <c r="R262" s="1">
        <v>3</v>
      </c>
    </row>
    <row r="263" spans="1:18" x14ac:dyDescent="0.3">
      <c r="A263" s="1">
        <v>262</v>
      </c>
      <c r="B263" s="1" t="s">
        <v>16</v>
      </c>
      <c r="C263" s="1">
        <v>1</v>
      </c>
      <c r="D263" s="1">
        <v>240</v>
      </c>
      <c r="E263" s="1">
        <v>50</v>
      </c>
      <c r="F263" s="1">
        <v>3</v>
      </c>
      <c r="G263" s="1">
        <v>25</v>
      </c>
      <c r="H263" s="1">
        <v>150</v>
      </c>
      <c r="I263" s="1">
        <v>100</v>
      </c>
      <c r="J263" s="1">
        <v>25.503</v>
      </c>
      <c r="K263" s="1">
        <v>24.497</v>
      </c>
      <c r="L263" s="1">
        <v>51.01</v>
      </c>
      <c r="M263" s="1">
        <v>75.5</v>
      </c>
      <c r="N263" s="1">
        <v>4.7940000000000003E-2</v>
      </c>
      <c r="O263" s="1">
        <v>2.5270000000000002E-4</v>
      </c>
      <c r="P263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15.488887432318334</v>
      </c>
      <c r="Q263" s="1">
        <f>LN(Table1[[#This Row],[qe_mg_g]]-Table1[[#This Row],[qt]])</f>
        <v>2.3039953548752967</v>
      </c>
      <c r="R263" s="1">
        <v>1</v>
      </c>
    </row>
    <row r="264" spans="1:18" x14ac:dyDescent="0.3">
      <c r="A264" s="1">
        <v>263</v>
      </c>
      <c r="B264" s="1" t="s">
        <v>16</v>
      </c>
      <c r="C264" s="1">
        <v>1</v>
      </c>
      <c r="D264" s="1">
        <v>240</v>
      </c>
      <c r="E264" s="1">
        <v>50</v>
      </c>
      <c r="F264" s="1">
        <v>3</v>
      </c>
      <c r="G264" s="1">
        <v>25</v>
      </c>
      <c r="H264" s="1">
        <v>150</v>
      </c>
      <c r="I264" s="1">
        <v>100</v>
      </c>
      <c r="J264" s="1">
        <v>28.914999999999999</v>
      </c>
      <c r="K264" s="1">
        <v>21.085000000000001</v>
      </c>
      <c r="L264" s="1">
        <v>57.83</v>
      </c>
      <c r="M264" s="1">
        <v>80.5</v>
      </c>
      <c r="N264" s="1">
        <v>4.2180000000000002E-2</v>
      </c>
      <c r="O264" s="1">
        <v>3.1189999999999999E-4</v>
      </c>
      <c r="P264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19.777583609967046</v>
      </c>
      <c r="Q264" s="1">
        <f>LN(Table1[[#This Row],[qe_mg_g]]-Table1[[#This Row],[qt]])</f>
        <v>2.2123776748324415</v>
      </c>
      <c r="R264" s="1">
        <v>2</v>
      </c>
    </row>
    <row r="265" spans="1:18" x14ac:dyDescent="0.3">
      <c r="A265" s="1">
        <v>264</v>
      </c>
      <c r="B265" s="1" t="s">
        <v>16</v>
      </c>
      <c r="C265" s="1">
        <v>1</v>
      </c>
      <c r="D265" s="1">
        <v>240</v>
      </c>
      <c r="E265" s="1">
        <v>50</v>
      </c>
      <c r="F265" s="1">
        <v>3</v>
      </c>
      <c r="G265" s="1">
        <v>25</v>
      </c>
      <c r="H265" s="1">
        <v>150</v>
      </c>
      <c r="I265" s="1">
        <v>100</v>
      </c>
      <c r="J265" s="1">
        <v>26.882999999999999</v>
      </c>
      <c r="K265" s="1">
        <v>23.117000000000001</v>
      </c>
      <c r="L265" s="1">
        <v>53.77</v>
      </c>
      <c r="M265" s="1">
        <v>69.3</v>
      </c>
      <c r="N265" s="1">
        <v>4.2520000000000002E-2</v>
      </c>
      <c r="O265" s="1">
        <v>2.7989999999999997E-4</v>
      </c>
      <c r="P265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17.302090937573823</v>
      </c>
      <c r="Q265" s="1">
        <f>LN(Table1[[#This Row],[qe_mg_g]]-Table1[[#This Row],[qt]])</f>
        <v>2.2597724791745923</v>
      </c>
      <c r="R265" s="1">
        <v>3</v>
      </c>
    </row>
    <row r="266" spans="1:18" x14ac:dyDescent="0.3">
      <c r="A266" s="1">
        <v>265</v>
      </c>
      <c r="B266" s="1" t="s">
        <v>16</v>
      </c>
      <c r="C266" s="1">
        <v>1</v>
      </c>
      <c r="D266" s="1">
        <v>240</v>
      </c>
      <c r="E266" s="1">
        <v>50</v>
      </c>
      <c r="F266" s="1">
        <v>7</v>
      </c>
      <c r="G266" s="1">
        <v>25</v>
      </c>
      <c r="H266" s="1">
        <v>150</v>
      </c>
      <c r="I266" s="1">
        <v>100</v>
      </c>
      <c r="J266" s="1">
        <v>36.968000000000004</v>
      </c>
      <c r="K266" s="1">
        <v>13.032</v>
      </c>
      <c r="L266" s="1">
        <v>73.94</v>
      </c>
      <c r="M266" s="1">
        <v>78.400000000000006</v>
      </c>
      <c r="N266" s="1">
        <v>4.7449999999999999E-2</v>
      </c>
      <c r="O266" s="1">
        <v>2.8889999999999997E-4</v>
      </c>
      <c r="P266" s="1">
        <f>(Table1[[#This Row],[Rate_Constant_k2_g_mg_min]]*Table1[[#This Row],[Contact_Time_min]]*Table1[[#This Row],[qe_mg_g]]^2)/(1+Table1[[#This Row],[Contact_Time_min]]*Table1[[#This Row],[qe_mg_g]]*Table1[[#This Row],[Rate_Constant_k2_g_mg_min]])</f>
        <v>26.593094703285072</v>
      </c>
      <c r="Q266" s="1">
        <f>LN(Table1[[#This Row],[qe_mg_g]]-Table1[[#This Row],[qt]])</f>
        <v>2.3393899380476246</v>
      </c>
      <c r="R266" s="1">
        <v>1</v>
      </c>
    </row>
    <row r="267" spans="1:18" x14ac:dyDescent="0.3">
      <c r="A267" s="1">
        <v>266</v>
      </c>
      <c r="B267" s="1" t="s">
        <v>16</v>
      </c>
      <c r="C267" s="1">
        <v>1</v>
      </c>
      <c r="D267" s="1">
        <v>240</v>
      </c>
      <c r="E267" s="1">
        <v>50</v>
      </c>
      <c r="F267" s="1">
        <v>7</v>
      </c>
      <c r="G267" s="1">
        <v>25</v>
      </c>
      <c r="H267" s="1">
        <v>150</v>
      </c>
      <c r="I267" s="1">
        <v>100</v>
      </c>
      <c r="J267" s="1">
        <v>39.33</v>
      </c>
      <c r="K267" s="1">
        <v>10.67</v>
      </c>
      <c r="L267" s="1">
        <v>78.66</v>
      </c>
      <c r="M267" s="1">
        <v>38.200000000000003</v>
      </c>
      <c r="N267" s="1">
        <v>5.0169999999999999E-2</v>
      </c>
      <c r="O267" s="1">
        <v>2.4780000000000001E-4</v>
      </c>
      <c r="P267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27.551143352560775</v>
      </c>
      <c r="Q267" s="1">
        <f>LN(Table1[[#This Row],[qe_mg_g]]-Table1[[#This Row],[qt]])</f>
        <v>2.4663061147216938</v>
      </c>
      <c r="R267" s="1">
        <v>2</v>
      </c>
    </row>
    <row r="268" spans="1:18" x14ac:dyDescent="0.3">
      <c r="A268" s="1">
        <v>267</v>
      </c>
      <c r="B268" s="1" t="s">
        <v>16</v>
      </c>
      <c r="C268" s="1">
        <v>1</v>
      </c>
      <c r="D268" s="1">
        <v>240</v>
      </c>
      <c r="E268" s="1">
        <v>50</v>
      </c>
      <c r="F268" s="1">
        <v>7</v>
      </c>
      <c r="G268" s="1">
        <v>25</v>
      </c>
      <c r="H268" s="1">
        <v>150</v>
      </c>
      <c r="I268" s="1">
        <v>100</v>
      </c>
      <c r="J268" s="1">
        <v>35.969000000000001</v>
      </c>
      <c r="K268" s="1">
        <v>14.031000000000001</v>
      </c>
      <c r="L268" s="1">
        <v>71.94</v>
      </c>
      <c r="M268" s="1">
        <v>55.5</v>
      </c>
      <c r="N268" s="1">
        <v>3.9170000000000003E-2</v>
      </c>
      <c r="O268" s="1">
        <v>3.3480000000000001E-4</v>
      </c>
      <c r="P268" s="1">
        <f>(Table1[[#This Row],[Rate_Constant_k2_g_mg_min]]*Table1[[#This Row],[Contact_Time_min]]*Table1[[#This Row],[qe_mg_g]]^2)/(1+Table1[[#This Row],[Contact_Time_min]]*Table1[[#This Row],[qe_mg_g]]*Table1[[#This Row],[Rate_Constant_k2_g_mg_min]])</f>
        <v>26.722900863136378</v>
      </c>
      <c r="Q268" s="1">
        <f>LN(Table1[[#This Row],[qe_mg_g]]-Table1[[#This Row],[qt]])</f>
        <v>2.2242017476439213</v>
      </c>
      <c r="R268" s="1">
        <v>3</v>
      </c>
    </row>
    <row r="269" spans="1:18" x14ac:dyDescent="0.3">
      <c r="A269" s="1">
        <v>268</v>
      </c>
      <c r="B269" s="1" t="s">
        <v>16</v>
      </c>
      <c r="C269" s="1">
        <v>1</v>
      </c>
      <c r="D269" s="1">
        <v>240</v>
      </c>
      <c r="E269" s="1">
        <v>50</v>
      </c>
      <c r="F269" s="1">
        <v>11</v>
      </c>
      <c r="G269" s="1">
        <v>25</v>
      </c>
      <c r="H269" s="1">
        <v>150</v>
      </c>
      <c r="I269" s="1">
        <v>100</v>
      </c>
      <c r="J269" s="1">
        <v>29.161000000000001</v>
      </c>
      <c r="K269" s="1">
        <v>20.838999999999999</v>
      </c>
      <c r="L269" s="1">
        <v>58.32</v>
      </c>
      <c r="M269" s="1">
        <v>70.099999999999994</v>
      </c>
      <c r="N269" s="1">
        <v>4.4790000000000003E-2</v>
      </c>
      <c r="O269" s="1">
        <v>3.143E-4</v>
      </c>
      <c r="P269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20.047254913249638</v>
      </c>
      <c r="Q269" s="1">
        <f>LN(Table1[[#This Row],[qe_mg_g]]-Table1[[#This Row],[qt]])</f>
        <v>2.2097837230353936</v>
      </c>
      <c r="R269" s="1">
        <v>1</v>
      </c>
    </row>
    <row r="270" spans="1:18" x14ac:dyDescent="0.3">
      <c r="A270" s="1">
        <v>269</v>
      </c>
      <c r="B270" s="1" t="s">
        <v>16</v>
      </c>
      <c r="C270" s="1">
        <v>1</v>
      </c>
      <c r="D270" s="1">
        <v>240</v>
      </c>
      <c r="E270" s="1">
        <v>50</v>
      </c>
      <c r="F270" s="1">
        <v>11</v>
      </c>
      <c r="G270" s="1">
        <v>25</v>
      </c>
      <c r="H270" s="1">
        <v>150</v>
      </c>
      <c r="I270" s="1">
        <v>100</v>
      </c>
      <c r="J270" s="1">
        <v>30.481000000000002</v>
      </c>
      <c r="K270" s="1">
        <v>19.518999999999998</v>
      </c>
      <c r="L270" s="1">
        <v>60.96</v>
      </c>
      <c r="M270" s="1">
        <v>53.8</v>
      </c>
      <c r="N270" s="1">
        <v>4.9480000000000003E-2</v>
      </c>
      <c r="O270" s="1">
        <v>2.8519999999999999E-4</v>
      </c>
      <c r="P270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20.60497596118789</v>
      </c>
      <c r="Q270" s="1">
        <f>LN(Table1[[#This Row],[qe_mg_g]]-Table1[[#This Row],[qt]])</f>
        <v>2.2901100055435704</v>
      </c>
      <c r="R270" s="1">
        <v>2</v>
      </c>
    </row>
    <row r="271" spans="1:18" x14ac:dyDescent="0.3">
      <c r="A271" s="1">
        <v>270</v>
      </c>
      <c r="B271" s="1" t="s">
        <v>16</v>
      </c>
      <c r="C271" s="1">
        <v>1</v>
      </c>
      <c r="D271" s="1">
        <v>240</v>
      </c>
      <c r="E271" s="1">
        <v>50</v>
      </c>
      <c r="F271" s="1">
        <v>11</v>
      </c>
      <c r="G271" s="1">
        <v>25</v>
      </c>
      <c r="H271" s="1">
        <v>150</v>
      </c>
      <c r="I271" s="1">
        <v>100</v>
      </c>
      <c r="J271" s="1">
        <v>26.521999999999998</v>
      </c>
      <c r="K271" s="1">
        <v>23.478000000000002</v>
      </c>
      <c r="L271" s="1">
        <v>53.04</v>
      </c>
      <c r="M271" s="1">
        <v>62.4</v>
      </c>
      <c r="N271" s="1">
        <v>5.1749999999999997E-2</v>
      </c>
      <c r="O271" s="1">
        <v>3.255E-4</v>
      </c>
      <c r="P271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17.888251589603229</v>
      </c>
      <c r="Q271" s="1">
        <f>LN(Table1[[#This Row],[qe_mg_g]]-Table1[[#This Row],[qt]])</f>
        <v>2.1556787573059881</v>
      </c>
      <c r="R271" s="1">
        <v>3</v>
      </c>
    </row>
    <row r="272" spans="1:18" x14ac:dyDescent="0.3">
      <c r="A272" s="1">
        <v>271</v>
      </c>
      <c r="B272" s="1" t="s">
        <v>16</v>
      </c>
      <c r="C272" s="1">
        <v>1</v>
      </c>
      <c r="D272" s="1">
        <v>240</v>
      </c>
      <c r="E272" s="1">
        <v>100</v>
      </c>
      <c r="F272" s="1">
        <v>3</v>
      </c>
      <c r="G272" s="1">
        <v>25</v>
      </c>
      <c r="H272" s="1">
        <v>150</v>
      </c>
      <c r="I272" s="1">
        <v>100</v>
      </c>
      <c r="J272" s="1">
        <v>57.692</v>
      </c>
      <c r="K272" s="1">
        <v>42.308</v>
      </c>
      <c r="L272" s="1">
        <v>57.69</v>
      </c>
      <c r="M272" s="1">
        <v>63.2</v>
      </c>
      <c r="N272" s="1">
        <v>4.3549999999999998E-2</v>
      </c>
      <c r="O272" s="1">
        <v>3.6230000000000002E-4</v>
      </c>
      <c r="P272" s="1">
        <f>(Table1[[#This Row],[Rate_Constant_k2_g_mg_min]]*Table1[[#This Row],[Contact_Time_min]]*Table1[[#This Row],[qe_mg_g]]^2)/(1+Table1[[#This Row],[Contact_Time_min]]*Table1[[#This Row],[qe_mg_g]]*Table1[[#This Row],[Rate_Constant_k2_g_mg_min]])</f>
        <v>48.102932375860682</v>
      </c>
      <c r="Q272" s="1">
        <f>LN(Table1[[#This Row],[qe_mg_g]]-Table1[[#This Row],[qt]])</f>
        <v>2.2606236604085725</v>
      </c>
      <c r="R272" s="1">
        <v>1</v>
      </c>
    </row>
    <row r="273" spans="1:18" x14ac:dyDescent="0.3">
      <c r="A273" s="1">
        <v>272</v>
      </c>
      <c r="B273" s="1" t="s">
        <v>16</v>
      </c>
      <c r="C273" s="1">
        <v>1</v>
      </c>
      <c r="D273" s="1">
        <v>240</v>
      </c>
      <c r="E273" s="1">
        <v>100</v>
      </c>
      <c r="F273" s="1">
        <v>3</v>
      </c>
      <c r="G273" s="1">
        <v>25</v>
      </c>
      <c r="H273" s="1">
        <v>150</v>
      </c>
      <c r="I273" s="1">
        <v>100</v>
      </c>
      <c r="J273" s="1">
        <v>61.16</v>
      </c>
      <c r="K273" s="1">
        <v>38.840000000000003</v>
      </c>
      <c r="L273" s="1">
        <v>61.16</v>
      </c>
      <c r="M273" s="1">
        <v>71</v>
      </c>
      <c r="N273" s="1">
        <v>4.9639999999999997E-2</v>
      </c>
      <c r="O273" s="1">
        <v>3.0719999999999999E-4</v>
      </c>
      <c r="P273" s="1">
        <f>(Table1[[#This Row],[Rate_Constant_k2_g_mg_min]]*Table1[[#This Row],[Contact_Time_min]]*Table1[[#This Row],[qe_mg_g]]^2)/(1+Table1[[#This Row],[Contact_Time_min]]*Table1[[#This Row],[qe_mg_g]]*Table1[[#This Row],[Rate_Constant_k2_g_mg_min]])</f>
        <v>50.058578692798861</v>
      </c>
      <c r="Q273" s="1">
        <f>LN(Table1[[#This Row],[qe_mg_g]]-Table1[[#This Row],[qt]])</f>
        <v>2.4070731458149344</v>
      </c>
      <c r="R273" s="1">
        <v>2</v>
      </c>
    </row>
    <row r="274" spans="1:18" x14ac:dyDescent="0.3">
      <c r="A274" s="1">
        <v>273</v>
      </c>
      <c r="B274" s="1" t="s">
        <v>16</v>
      </c>
      <c r="C274" s="1">
        <v>1</v>
      </c>
      <c r="D274" s="1">
        <v>240</v>
      </c>
      <c r="E274" s="1">
        <v>100</v>
      </c>
      <c r="F274" s="1">
        <v>3</v>
      </c>
      <c r="G274" s="1">
        <v>25</v>
      </c>
      <c r="H274" s="1">
        <v>150</v>
      </c>
      <c r="I274" s="1">
        <v>100</v>
      </c>
      <c r="J274" s="1">
        <v>58.116999999999997</v>
      </c>
      <c r="K274" s="1">
        <v>41.883000000000003</v>
      </c>
      <c r="L274" s="1">
        <v>58.12</v>
      </c>
      <c r="M274" s="1">
        <v>64.7</v>
      </c>
      <c r="N274" s="1">
        <v>4.4679999999999997E-2</v>
      </c>
      <c r="O274" s="1">
        <v>2.989E-4</v>
      </c>
      <c r="P274" s="1">
        <f>(Table1[[#This Row],[Rate_Constant_k2_g_mg_min]]*Table1[[#This Row],[Contact_Time_min]]*Table1[[#This Row],[qe_mg_g]]^2)/(1+Table1[[#This Row],[Contact_Time_min]]*Table1[[#This Row],[qe_mg_g]]*Table1[[#This Row],[Rate_Constant_k2_g_mg_min]])</f>
        <v>46.87380246822174</v>
      </c>
      <c r="Q274" s="1">
        <f>LN(Table1[[#This Row],[qe_mg_g]]-Table1[[#This Row],[qt]])</f>
        <v>2.4197632819255901</v>
      </c>
      <c r="R274" s="1">
        <v>3</v>
      </c>
    </row>
    <row r="275" spans="1:18" x14ac:dyDescent="0.3">
      <c r="A275" s="1">
        <v>274</v>
      </c>
      <c r="B275" s="1" t="s">
        <v>16</v>
      </c>
      <c r="C275" s="1">
        <v>1</v>
      </c>
      <c r="D275" s="1">
        <v>240</v>
      </c>
      <c r="E275" s="1">
        <v>100</v>
      </c>
      <c r="F275" s="1">
        <v>7</v>
      </c>
      <c r="G275" s="1">
        <v>25</v>
      </c>
      <c r="H275" s="1">
        <v>150</v>
      </c>
      <c r="I275" s="1">
        <v>100</v>
      </c>
      <c r="J275" s="1">
        <v>87.268000000000001</v>
      </c>
      <c r="K275" s="1">
        <v>12.731999999999999</v>
      </c>
      <c r="L275" s="1">
        <v>87.27</v>
      </c>
      <c r="M275" s="1">
        <v>67.2</v>
      </c>
      <c r="N275" s="1">
        <v>4.8300000000000003E-2</v>
      </c>
      <c r="O275" s="1">
        <v>2.9760000000000002E-4</v>
      </c>
      <c r="P275" s="1">
        <f>(Table1[[#This Row],[Rate_Constant_k2_g_mg_min]]*Table1[[#This Row],[Contact_Time_min]]*Table1[[#This Row],[qe_mg_g]]^2)/(1+Table1[[#This Row],[Contact_Time_min]]*Table1[[#This Row],[qe_mg_g]]*Table1[[#This Row],[Rate_Constant_k2_g_mg_min]])</f>
        <v>75.202792965051145</v>
      </c>
      <c r="Q275" s="1">
        <f>LN(Table1[[#This Row],[qe_mg_g]]-Table1[[#This Row],[qt]])</f>
        <v>2.4903258588923718</v>
      </c>
      <c r="R275" s="1">
        <v>1</v>
      </c>
    </row>
    <row r="276" spans="1:18" x14ac:dyDescent="0.3">
      <c r="A276" s="1">
        <v>275</v>
      </c>
      <c r="B276" s="1" t="s">
        <v>16</v>
      </c>
      <c r="C276" s="1">
        <v>1</v>
      </c>
      <c r="D276" s="1">
        <v>240</v>
      </c>
      <c r="E276" s="1">
        <v>100</v>
      </c>
      <c r="F276" s="1">
        <v>7</v>
      </c>
      <c r="G276" s="1">
        <v>25</v>
      </c>
      <c r="H276" s="1">
        <v>150</v>
      </c>
      <c r="I276" s="1">
        <v>100</v>
      </c>
      <c r="J276" s="1">
        <v>82.986000000000004</v>
      </c>
      <c r="K276" s="1">
        <v>17.013999999999999</v>
      </c>
      <c r="L276" s="1">
        <v>82.99</v>
      </c>
      <c r="M276" s="1">
        <v>46.7</v>
      </c>
      <c r="N276" s="1">
        <v>4.9119999999999997E-2</v>
      </c>
      <c r="O276" s="1">
        <v>3.1040000000000001E-4</v>
      </c>
      <c r="P276" s="1">
        <f>(Table1[[#This Row],[Rate_Constant_k2_g_mg_min]]*Table1[[#This Row],[Contact_Time_min]]*Table1[[#This Row],[qe_mg_g]]^2)/(1+Table1[[#This Row],[Contact_Time_min]]*Table1[[#This Row],[qe_mg_g]]*Table1[[#This Row],[Rate_Constant_k2_g_mg_min]])</f>
        <v>71.431481058468492</v>
      </c>
      <c r="Q276" s="1">
        <f>LN(Table1[[#This Row],[qe_mg_g]]-Table1[[#This Row],[qt]])</f>
        <v>2.4470766107983914</v>
      </c>
      <c r="R276" s="1">
        <v>2</v>
      </c>
    </row>
    <row r="277" spans="1:18" x14ac:dyDescent="0.3">
      <c r="A277" s="1">
        <v>276</v>
      </c>
      <c r="B277" s="1" t="s">
        <v>16</v>
      </c>
      <c r="C277" s="1">
        <v>1</v>
      </c>
      <c r="D277" s="1">
        <v>240</v>
      </c>
      <c r="E277" s="1">
        <v>100</v>
      </c>
      <c r="F277" s="1">
        <v>7</v>
      </c>
      <c r="G277" s="1">
        <v>25</v>
      </c>
      <c r="H277" s="1">
        <v>150</v>
      </c>
      <c r="I277" s="1">
        <v>100</v>
      </c>
      <c r="J277" s="1">
        <v>89.052000000000007</v>
      </c>
      <c r="K277" s="1">
        <v>10.948</v>
      </c>
      <c r="L277" s="1">
        <v>89.05</v>
      </c>
      <c r="M277" s="1">
        <v>37.700000000000003</v>
      </c>
      <c r="N277" s="1">
        <v>5.4399999999999997E-2</v>
      </c>
      <c r="O277" s="1">
        <v>2.9579999999999998E-4</v>
      </c>
      <c r="P277" s="1">
        <f>(Table1[[#This Row],[Rate_Constant_k2_g_mg_min]]*Table1[[#This Row],[Contact_Time_min]]*Table1[[#This Row],[qe_mg_g]]^2)/(1+Table1[[#This Row],[Contact_Time_min]]*Table1[[#This Row],[qe_mg_g]]*Table1[[#This Row],[Rate_Constant_k2_g_mg_min]])</f>
        <v>76.889715336628839</v>
      </c>
      <c r="Q277" s="1">
        <f>LN(Table1[[#This Row],[qe_mg_g]]-Table1[[#This Row],[qt]])</f>
        <v>2.4983397423910447</v>
      </c>
      <c r="R277" s="1">
        <v>3</v>
      </c>
    </row>
    <row r="278" spans="1:18" x14ac:dyDescent="0.3">
      <c r="A278" s="1">
        <v>277</v>
      </c>
      <c r="B278" s="1" t="s">
        <v>16</v>
      </c>
      <c r="C278" s="1">
        <v>1</v>
      </c>
      <c r="D278" s="1">
        <v>240</v>
      </c>
      <c r="E278" s="1">
        <v>100</v>
      </c>
      <c r="F278" s="1">
        <v>11</v>
      </c>
      <c r="G278" s="1">
        <v>25</v>
      </c>
      <c r="H278" s="1">
        <v>150</v>
      </c>
      <c r="I278" s="1">
        <v>100</v>
      </c>
      <c r="J278" s="1">
        <v>74.644999999999996</v>
      </c>
      <c r="K278" s="1">
        <v>25.355</v>
      </c>
      <c r="L278" s="1">
        <v>74.64</v>
      </c>
      <c r="M278" s="1">
        <v>56.3</v>
      </c>
      <c r="N278" s="1">
        <v>4.7759999999999997E-2</v>
      </c>
      <c r="O278" s="1">
        <v>2.6840000000000002E-4</v>
      </c>
      <c r="P278" s="1">
        <f>(Table1[[#This Row],[Rate_Constant_k2_g_mg_min]]*Table1[[#This Row],[Contact_Time_min]]*Table1[[#This Row],[qe_mg_g]]^2)/(1+Table1[[#This Row],[Contact_Time_min]]*Table1[[#This Row],[qe_mg_g]]*Table1[[#This Row],[Rate_Constant_k2_g_mg_min]])</f>
        <v>61.793634773707304</v>
      </c>
      <c r="Q278" s="1">
        <f>LN(Table1[[#This Row],[qe_mg_g]]-Table1[[#This Row],[qt]])</f>
        <v>2.5534500489890704</v>
      </c>
      <c r="R278" s="1">
        <v>1</v>
      </c>
    </row>
    <row r="279" spans="1:18" x14ac:dyDescent="0.3">
      <c r="A279" s="1">
        <v>278</v>
      </c>
      <c r="B279" s="1" t="s">
        <v>16</v>
      </c>
      <c r="C279" s="1">
        <v>1</v>
      </c>
      <c r="D279" s="1">
        <v>240</v>
      </c>
      <c r="E279" s="1">
        <v>100</v>
      </c>
      <c r="F279" s="1">
        <v>11</v>
      </c>
      <c r="G279" s="1">
        <v>25</v>
      </c>
      <c r="H279" s="1">
        <v>150</v>
      </c>
      <c r="I279" s="1">
        <v>100</v>
      </c>
      <c r="J279" s="1">
        <v>65.144000000000005</v>
      </c>
      <c r="K279" s="1">
        <v>34.856000000000002</v>
      </c>
      <c r="L279" s="1">
        <v>65.14</v>
      </c>
      <c r="M279" s="1">
        <v>85.8</v>
      </c>
      <c r="N279" s="1">
        <v>4.4139999999999999E-2</v>
      </c>
      <c r="O279" s="1">
        <v>3.0650000000000002E-4</v>
      </c>
      <c r="P279" s="1">
        <f>(Table1[[#This Row],[Rate_Constant_k2_g_mg_min]]*Table1[[#This Row],[Contact_Time_min]]*Table1[[#This Row],[qe_mg_g]]^2)/(1+Table1[[#This Row],[Contact_Time_min]]*Table1[[#This Row],[qe_mg_g]]*Table1[[#This Row],[Rate_Constant_k2_g_mg_min]])</f>
        <v>53.89674813885123</v>
      </c>
      <c r="Q279" s="1">
        <f>LN(Table1[[#This Row],[qe_mg_g]]-Table1[[#This Row],[qt]])</f>
        <v>2.4201238198004544</v>
      </c>
      <c r="R279" s="1">
        <v>2</v>
      </c>
    </row>
    <row r="280" spans="1:18" x14ac:dyDescent="0.3">
      <c r="A280" s="1">
        <v>279</v>
      </c>
      <c r="B280" s="1" t="s">
        <v>16</v>
      </c>
      <c r="C280" s="1">
        <v>1</v>
      </c>
      <c r="D280" s="1">
        <v>240</v>
      </c>
      <c r="E280" s="1">
        <v>100</v>
      </c>
      <c r="F280" s="1">
        <v>11</v>
      </c>
      <c r="G280" s="1">
        <v>25</v>
      </c>
      <c r="H280" s="1">
        <v>150</v>
      </c>
      <c r="I280" s="1">
        <v>100</v>
      </c>
      <c r="J280" s="1">
        <v>73.338999999999999</v>
      </c>
      <c r="K280" s="1">
        <v>26.661000000000001</v>
      </c>
      <c r="L280" s="1">
        <v>73.34</v>
      </c>
      <c r="M280" s="1">
        <v>71.599999999999994</v>
      </c>
      <c r="N280" s="1">
        <v>4.5679999999999998E-2</v>
      </c>
      <c r="O280" s="1">
        <v>3.1090000000000002E-4</v>
      </c>
      <c r="P280" s="1">
        <f>(Table1[[#This Row],[Rate_Constant_k2_g_mg_min]]*Table1[[#This Row],[Contact_Time_min]]*Table1[[#This Row],[qe_mg_g]]^2)/(1+Table1[[#This Row],[Contact_Time_min]]*Table1[[#This Row],[qe_mg_g]]*Table1[[#This Row],[Rate_Constant_k2_g_mg_min]])</f>
        <v>62.007723444287613</v>
      </c>
      <c r="Q280" s="1">
        <f>LN(Table1[[#This Row],[qe_mg_g]]-Table1[[#This Row],[qt]])</f>
        <v>2.4275667391001763</v>
      </c>
      <c r="R280" s="1">
        <v>3</v>
      </c>
    </row>
    <row r="281" spans="1:18" x14ac:dyDescent="0.3">
      <c r="A281" s="1">
        <v>280</v>
      </c>
      <c r="B281" s="1" t="s">
        <v>16</v>
      </c>
      <c r="C281" s="1">
        <v>1</v>
      </c>
      <c r="D281" s="1">
        <v>240</v>
      </c>
      <c r="E281" s="1">
        <v>200</v>
      </c>
      <c r="F281" s="1">
        <v>3</v>
      </c>
      <c r="G281" s="1">
        <v>25</v>
      </c>
      <c r="H281" s="1">
        <v>150</v>
      </c>
      <c r="I281" s="1">
        <v>100</v>
      </c>
      <c r="J281" s="1">
        <v>145.6</v>
      </c>
      <c r="K281" s="1">
        <v>54.4</v>
      </c>
      <c r="L281" s="1">
        <v>72.8</v>
      </c>
      <c r="M281" s="1">
        <v>66.099999999999994</v>
      </c>
      <c r="N281" s="1">
        <v>4.5900000000000003E-2</v>
      </c>
      <c r="O281" s="1">
        <v>3.3149999999999998E-4</v>
      </c>
      <c r="P281" s="1">
        <f>(Table1[[#This Row],[Rate_Constant_k2_g_mg_min]]*Table1[[#This Row],[Contact_Time_min]]*Table1[[#This Row],[qe_mg_g]]^2)/(1+Table1[[#This Row],[Contact_Time_min]]*Table1[[#This Row],[qe_mg_g]]*Table1[[#This Row],[Rate_Constant_k2_g_mg_min]])</f>
        <v>134.02969322158023</v>
      </c>
      <c r="Q281" s="1">
        <f>LN(Table1[[#This Row],[qe_mg_g]]-Table1[[#This Row],[qt]])</f>
        <v>2.4484420558428126</v>
      </c>
      <c r="R281" s="1">
        <v>1</v>
      </c>
    </row>
    <row r="282" spans="1:18" x14ac:dyDescent="0.3">
      <c r="A282" s="1">
        <v>281</v>
      </c>
      <c r="B282" s="1" t="s">
        <v>16</v>
      </c>
      <c r="C282" s="1">
        <v>1</v>
      </c>
      <c r="D282" s="1">
        <v>240</v>
      </c>
      <c r="E282" s="1">
        <v>200</v>
      </c>
      <c r="F282" s="1">
        <v>3</v>
      </c>
      <c r="G282" s="1">
        <v>25</v>
      </c>
      <c r="H282" s="1">
        <v>150</v>
      </c>
      <c r="I282" s="1">
        <v>100</v>
      </c>
      <c r="J282" s="1">
        <v>132.91999999999999</v>
      </c>
      <c r="K282" s="1">
        <v>67.08</v>
      </c>
      <c r="L282" s="1">
        <v>66.459999999999994</v>
      </c>
      <c r="M282" s="1">
        <v>78.5</v>
      </c>
      <c r="N282" s="1">
        <v>4.7870000000000003E-2</v>
      </c>
      <c r="O282" s="1">
        <v>2.6570000000000001E-4</v>
      </c>
      <c r="P282" s="1">
        <f>(Table1[[#This Row],[Rate_Constant_k2_g_mg_min]]*Table1[[#This Row],[Contact_Time_min]]*Table1[[#This Row],[qe_mg_g]]^2)/(1+Table1[[#This Row],[Contact_Time_min]]*Table1[[#This Row],[qe_mg_g]]*Table1[[#This Row],[Rate_Constant_k2_g_mg_min]])</f>
        <v>118.89304738150098</v>
      </c>
      <c r="Q282" s="1">
        <f>LN(Table1[[#This Row],[qe_mg_g]]-Table1[[#This Row],[qt]])</f>
        <v>2.6409806658533812</v>
      </c>
      <c r="R282" s="1">
        <v>2</v>
      </c>
    </row>
    <row r="283" spans="1:18" x14ac:dyDescent="0.3">
      <c r="A283" s="1">
        <v>282</v>
      </c>
      <c r="B283" s="1" t="s">
        <v>16</v>
      </c>
      <c r="C283" s="1">
        <v>1</v>
      </c>
      <c r="D283" s="1">
        <v>240</v>
      </c>
      <c r="E283" s="1">
        <v>200</v>
      </c>
      <c r="F283" s="1">
        <v>3</v>
      </c>
      <c r="G283" s="1">
        <v>25</v>
      </c>
      <c r="H283" s="1">
        <v>150</v>
      </c>
      <c r="I283" s="1">
        <v>100</v>
      </c>
      <c r="J283" s="1">
        <v>138.078</v>
      </c>
      <c r="K283" s="1">
        <v>61.921999999999997</v>
      </c>
      <c r="L283" s="1">
        <v>69.040000000000006</v>
      </c>
      <c r="M283" s="1">
        <v>55.2</v>
      </c>
      <c r="N283" s="1">
        <v>4.6359999999999998E-2</v>
      </c>
      <c r="O283" s="1">
        <v>2.7740000000000002E-4</v>
      </c>
      <c r="P283" s="1">
        <f>(Table1[[#This Row],[Rate_Constant_k2_g_mg_min]]*Table1[[#This Row],[Contact_Time_min]]*Table1[[#This Row],[qe_mg_g]]^2)/(1+Table1[[#This Row],[Contact_Time_min]]*Table1[[#This Row],[qe_mg_g]]*Table1[[#This Row],[Rate_Constant_k2_g_mg_min]])</f>
        <v>124.53122060257081</v>
      </c>
      <c r="Q283" s="1">
        <f>LN(Table1[[#This Row],[qe_mg_g]]-Table1[[#This Row],[qt]])</f>
        <v>2.6061488362281113</v>
      </c>
      <c r="R283" s="1">
        <v>3</v>
      </c>
    </row>
    <row r="284" spans="1:18" x14ac:dyDescent="0.3">
      <c r="A284" s="1">
        <v>283</v>
      </c>
      <c r="B284" s="1" t="s">
        <v>16</v>
      </c>
      <c r="C284" s="1">
        <v>1</v>
      </c>
      <c r="D284" s="1">
        <v>240</v>
      </c>
      <c r="E284" s="1">
        <v>200</v>
      </c>
      <c r="F284" s="1">
        <v>7</v>
      </c>
      <c r="G284" s="1">
        <v>25</v>
      </c>
      <c r="H284" s="1">
        <v>150</v>
      </c>
      <c r="I284" s="1">
        <v>100</v>
      </c>
      <c r="J284" s="1">
        <v>165.81700000000001</v>
      </c>
      <c r="K284" s="1">
        <v>34.183</v>
      </c>
      <c r="L284" s="1">
        <v>82.91</v>
      </c>
      <c r="M284" s="1">
        <v>70</v>
      </c>
      <c r="N284" s="1">
        <v>4.6449999999999998E-2</v>
      </c>
      <c r="O284" s="1">
        <v>3.1270000000000001E-4</v>
      </c>
      <c r="P284" s="1">
        <f>(Table1[[#This Row],[Rate_Constant_k2_g_mg_min]]*Table1[[#This Row],[Contact_Time_min]]*Table1[[#This Row],[qe_mg_g]]^2)/(1+Table1[[#This Row],[Contact_Time_min]]*Table1[[#This Row],[qe_mg_g]]*Table1[[#This Row],[Rate_Constant_k2_g_mg_min]])</f>
        <v>153.48331127248136</v>
      </c>
      <c r="Q284" s="1">
        <f>LN(Table1[[#This Row],[qe_mg_g]]-Table1[[#This Row],[qt]])</f>
        <v>2.5123344393057043</v>
      </c>
      <c r="R284" s="1">
        <v>1</v>
      </c>
    </row>
    <row r="285" spans="1:18" x14ac:dyDescent="0.3">
      <c r="A285" s="1">
        <v>284</v>
      </c>
      <c r="B285" s="1" t="s">
        <v>16</v>
      </c>
      <c r="C285" s="1">
        <v>1</v>
      </c>
      <c r="D285" s="1">
        <v>240</v>
      </c>
      <c r="E285" s="1">
        <v>200</v>
      </c>
      <c r="F285" s="1">
        <v>7</v>
      </c>
      <c r="G285" s="1">
        <v>25</v>
      </c>
      <c r="H285" s="1">
        <v>150</v>
      </c>
      <c r="I285" s="1">
        <v>100</v>
      </c>
      <c r="J285" s="1">
        <v>188.18899999999999</v>
      </c>
      <c r="K285" s="1">
        <v>11.811</v>
      </c>
      <c r="L285" s="1">
        <v>94.09</v>
      </c>
      <c r="M285" s="1">
        <v>71.2</v>
      </c>
      <c r="N285" s="1">
        <v>4.3900000000000002E-2</v>
      </c>
      <c r="O285" s="1">
        <v>3.2890000000000003E-4</v>
      </c>
      <c r="P285" s="1">
        <f>(Table1[[#This Row],[Rate_Constant_k2_g_mg_min]]*Table1[[#This Row],[Contact_Time_min]]*Table1[[#This Row],[qe_mg_g]]^2)/(1+Table1[[#This Row],[Contact_Time_min]]*Table1[[#This Row],[qe_mg_g]]*Table1[[#This Row],[Rate_Constant_k2_g_mg_min]])</f>
        <v>176.31953658853143</v>
      </c>
      <c r="Q285" s="1">
        <f>LN(Table1[[#This Row],[qe_mg_g]]-Table1[[#This Row],[qt]])</f>
        <v>2.4739690021632645</v>
      </c>
      <c r="R285" s="1">
        <v>2</v>
      </c>
    </row>
    <row r="286" spans="1:18" x14ac:dyDescent="0.3">
      <c r="A286" s="1">
        <v>285</v>
      </c>
      <c r="B286" s="1" t="s">
        <v>16</v>
      </c>
      <c r="C286" s="1">
        <v>1</v>
      </c>
      <c r="D286" s="1">
        <v>240</v>
      </c>
      <c r="E286" s="1">
        <v>200</v>
      </c>
      <c r="F286" s="1">
        <v>7</v>
      </c>
      <c r="G286" s="1">
        <v>25</v>
      </c>
      <c r="H286" s="1">
        <v>150</v>
      </c>
      <c r="I286" s="1">
        <v>100</v>
      </c>
      <c r="J286" s="1">
        <v>182.53299999999999</v>
      </c>
      <c r="K286" s="1">
        <v>17.466999999999999</v>
      </c>
      <c r="L286" s="1">
        <v>91.27</v>
      </c>
      <c r="M286" s="1">
        <v>54.4</v>
      </c>
      <c r="N286" s="1">
        <v>4.7690000000000003E-2</v>
      </c>
      <c r="O286" s="1">
        <v>3.21E-4</v>
      </c>
      <c r="P286" s="1">
        <f>(Table1[[#This Row],[Rate_Constant_k2_g_mg_min]]*Table1[[#This Row],[Contact_Time_min]]*Table1[[#This Row],[qe_mg_g]]^2)/(1+Table1[[#This Row],[Contact_Time_min]]*Table1[[#This Row],[qe_mg_g]]*Table1[[#This Row],[Rate_Constant_k2_g_mg_min]])</f>
        <v>170.41449969492922</v>
      </c>
      <c r="Q286" s="1">
        <f>LN(Table1[[#This Row],[qe_mg_g]]-Table1[[#This Row],[qt]])</f>
        <v>2.4947332357797065</v>
      </c>
      <c r="R286" s="1">
        <v>3</v>
      </c>
    </row>
    <row r="287" spans="1:18" x14ac:dyDescent="0.3">
      <c r="A287" s="1">
        <v>286</v>
      </c>
      <c r="B287" s="1" t="s">
        <v>16</v>
      </c>
      <c r="C287" s="1">
        <v>1</v>
      </c>
      <c r="D287" s="1">
        <v>240</v>
      </c>
      <c r="E287" s="1">
        <v>200</v>
      </c>
      <c r="F287" s="1">
        <v>11</v>
      </c>
      <c r="G287" s="1">
        <v>25</v>
      </c>
      <c r="H287" s="1">
        <v>150</v>
      </c>
      <c r="I287" s="1">
        <v>100</v>
      </c>
      <c r="J287" s="1">
        <v>136.59100000000001</v>
      </c>
      <c r="K287" s="1">
        <v>63.408999999999999</v>
      </c>
      <c r="L287" s="1">
        <v>68.3</v>
      </c>
      <c r="M287" s="1">
        <v>80.400000000000006</v>
      </c>
      <c r="N287" s="1">
        <v>4.4319999999999998E-2</v>
      </c>
      <c r="O287" s="1">
        <v>3.0380000000000001E-4</v>
      </c>
      <c r="P287" s="1">
        <f>(Table1[[#This Row],[Rate_Constant_k2_g_mg_min]]*Table1[[#This Row],[Contact_Time_min]]*Table1[[#This Row],[qe_mg_g]]^2)/(1+Table1[[#This Row],[Contact_Time_min]]*Table1[[#This Row],[qe_mg_g]]*Table1[[#This Row],[Rate_Constant_k2_g_mg_min]])</f>
        <v>124.12732018732619</v>
      </c>
      <c r="Q287" s="1">
        <f>LN(Table1[[#This Row],[qe_mg_g]]-Table1[[#This Row],[qt]])</f>
        <v>2.5228187998280962</v>
      </c>
      <c r="R287" s="1">
        <v>1</v>
      </c>
    </row>
    <row r="288" spans="1:18" x14ac:dyDescent="0.3">
      <c r="A288" s="1">
        <v>287</v>
      </c>
      <c r="B288" s="1" t="s">
        <v>16</v>
      </c>
      <c r="C288" s="1">
        <v>1</v>
      </c>
      <c r="D288" s="1">
        <v>240</v>
      </c>
      <c r="E288" s="1">
        <v>200</v>
      </c>
      <c r="F288" s="1">
        <v>11</v>
      </c>
      <c r="G288" s="1">
        <v>25</v>
      </c>
      <c r="H288" s="1">
        <v>150</v>
      </c>
      <c r="I288" s="1">
        <v>100</v>
      </c>
      <c r="J288" s="1">
        <v>137.98500000000001</v>
      </c>
      <c r="K288" s="1">
        <v>62.015000000000001</v>
      </c>
      <c r="L288" s="1">
        <v>68.989999999999995</v>
      </c>
      <c r="M288" s="1">
        <v>66.8</v>
      </c>
      <c r="N288" s="1">
        <v>4.0070000000000001E-2</v>
      </c>
      <c r="O288" s="1">
        <v>2.5680000000000001E-4</v>
      </c>
      <c r="P288" s="1">
        <f>(Table1[[#This Row],[Rate_Constant_k2_g_mg_min]]*Table1[[#This Row],[Contact_Time_min]]*Table1[[#This Row],[qe_mg_g]]^2)/(1+Table1[[#This Row],[Contact_Time_min]]*Table1[[#This Row],[qe_mg_g]]*Table1[[#This Row],[Rate_Constant_k2_g_mg_min]])</f>
        <v>123.46682158452987</v>
      </c>
      <c r="Q288" s="1">
        <f>LN(Table1[[#This Row],[qe_mg_g]]-Table1[[#This Row],[qt]])</f>
        <v>2.6754015480466866</v>
      </c>
      <c r="R288" s="1">
        <v>2</v>
      </c>
    </row>
    <row r="289" spans="1:18" x14ac:dyDescent="0.3">
      <c r="A289" s="1">
        <v>288</v>
      </c>
      <c r="B289" s="1" t="s">
        <v>16</v>
      </c>
      <c r="C289" s="1">
        <v>1</v>
      </c>
      <c r="D289" s="1">
        <v>240</v>
      </c>
      <c r="E289" s="1">
        <v>200</v>
      </c>
      <c r="F289" s="1">
        <v>11</v>
      </c>
      <c r="G289" s="1">
        <v>25</v>
      </c>
      <c r="H289" s="1">
        <v>150</v>
      </c>
      <c r="I289" s="1">
        <v>100</v>
      </c>
      <c r="J289" s="1">
        <v>157.77000000000001</v>
      </c>
      <c r="K289" s="1">
        <v>42.23</v>
      </c>
      <c r="L289" s="1">
        <v>78.89</v>
      </c>
      <c r="M289" s="1">
        <v>58.2</v>
      </c>
      <c r="N289" s="1">
        <v>4.054E-2</v>
      </c>
      <c r="O289" s="1">
        <v>2.354E-4</v>
      </c>
      <c r="P289" s="1">
        <f>(Table1[[#This Row],[Rate_Constant_k2_g_mg_min]]*Table1[[#This Row],[Contact_Time_min]]*Table1[[#This Row],[qe_mg_g]]^2)/(1+Table1[[#This Row],[Contact_Time_min]]*Table1[[#This Row],[qe_mg_g]]*Table1[[#This Row],[Rate_Constant_k2_g_mg_min]])</f>
        <v>141.85513576980054</v>
      </c>
      <c r="Q289" s="1">
        <f>LN(Table1[[#This Row],[qe_mg_g]]-Table1[[#This Row],[qt]])</f>
        <v>2.7672535297645524</v>
      </c>
      <c r="R289" s="1">
        <v>3</v>
      </c>
    </row>
    <row r="290" spans="1:18" x14ac:dyDescent="0.3">
      <c r="A290" s="1">
        <v>289</v>
      </c>
      <c r="B290" s="1" t="s">
        <v>16</v>
      </c>
      <c r="C290" s="1">
        <v>2</v>
      </c>
      <c r="D290" s="1">
        <v>30</v>
      </c>
      <c r="E290" s="1">
        <v>25</v>
      </c>
      <c r="F290" s="1">
        <v>3</v>
      </c>
      <c r="G290" s="1">
        <v>25</v>
      </c>
      <c r="H290" s="1">
        <v>150</v>
      </c>
      <c r="I290" s="1">
        <v>100</v>
      </c>
      <c r="J290" s="1">
        <v>0.64400000000000002</v>
      </c>
      <c r="K290" s="1">
        <v>23.713000000000001</v>
      </c>
      <c r="L290" s="1">
        <v>5.15</v>
      </c>
      <c r="M290" s="1">
        <v>53.4</v>
      </c>
      <c r="N290" s="1">
        <v>5.2389999999999999E-2</v>
      </c>
      <c r="O290" s="1">
        <v>3.3030000000000001E-4</v>
      </c>
      <c r="P29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4.0835602092151547E-3</v>
      </c>
      <c r="Q290" s="1">
        <f>LN(Table1[[#This Row],[qe_mg_g]]-Table1[[#This Row],[qt]])</f>
        <v>-0.44641767397938603</v>
      </c>
      <c r="R290" s="1">
        <v>1</v>
      </c>
    </row>
    <row r="291" spans="1:18" x14ac:dyDescent="0.3">
      <c r="A291" s="1">
        <v>290</v>
      </c>
      <c r="B291" s="1" t="s">
        <v>16</v>
      </c>
      <c r="C291" s="1">
        <v>2</v>
      </c>
      <c r="D291" s="1">
        <v>30</v>
      </c>
      <c r="E291" s="1">
        <v>25</v>
      </c>
      <c r="F291" s="1">
        <v>3</v>
      </c>
      <c r="G291" s="1">
        <v>25</v>
      </c>
      <c r="H291" s="1">
        <v>150</v>
      </c>
      <c r="I291" s="1">
        <v>100</v>
      </c>
      <c r="J291" s="1">
        <v>0.64100000000000001</v>
      </c>
      <c r="K291" s="1">
        <v>23.718</v>
      </c>
      <c r="L291" s="1">
        <v>5.13</v>
      </c>
      <c r="M291" s="1">
        <v>89.2</v>
      </c>
      <c r="N291" s="1">
        <v>4.9419999999999999E-2</v>
      </c>
      <c r="O291" s="1">
        <v>2.9030000000000001E-4</v>
      </c>
      <c r="P29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3.5584974274248215E-3</v>
      </c>
      <c r="Q291" s="1">
        <f>LN(Table1[[#This Row],[qe_mg_g]]-Table1[[#This Row],[qt]])</f>
        <v>-0.45029276683029407</v>
      </c>
      <c r="R291" s="1">
        <v>2</v>
      </c>
    </row>
    <row r="292" spans="1:18" x14ac:dyDescent="0.3">
      <c r="A292" s="1">
        <v>291</v>
      </c>
      <c r="B292" s="1" t="s">
        <v>16</v>
      </c>
      <c r="C292" s="1">
        <v>2</v>
      </c>
      <c r="D292" s="1">
        <v>30</v>
      </c>
      <c r="E292" s="1">
        <v>25</v>
      </c>
      <c r="F292" s="1">
        <v>3</v>
      </c>
      <c r="G292" s="1">
        <v>25</v>
      </c>
      <c r="H292" s="1">
        <v>150</v>
      </c>
      <c r="I292" s="1">
        <v>100</v>
      </c>
      <c r="J292" s="1">
        <v>0.54300000000000004</v>
      </c>
      <c r="K292" s="1">
        <v>23.914999999999999</v>
      </c>
      <c r="L292" s="1">
        <v>4.34</v>
      </c>
      <c r="M292" s="1">
        <v>89.6</v>
      </c>
      <c r="N292" s="1">
        <v>3.875E-2</v>
      </c>
      <c r="O292" s="1">
        <v>2.5060000000000002E-4</v>
      </c>
      <c r="P29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2.207662498780454E-3</v>
      </c>
      <c r="Q292" s="1">
        <f>LN(Table1[[#This Row],[qe_mg_g]]-Table1[[#This Row],[qt]])</f>
        <v>-0.61471992317547075</v>
      </c>
      <c r="R292" s="1">
        <v>3</v>
      </c>
    </row>
    <row r="293" spans="1:18" x14ac:dyDescent="0.3">
      <c r="A293" s="1">
        <v>292</v>
      </c>
      <c r="B293" s="1" t="s">
        <v>16</v>
      </c>
      <c r="C293" s="1">
        <v>2</v>
      </c>
      <c r="D293" s="1">
        <v>30</v>
      </c>
      <c r="E293" s="1">
        <v>25</v>
      </c>
      <c r="F293" s="1">
        <v>7</v>
      </c>
      <c r="G293" s="1">
        <v>25</v>
      </c>
      <c r="H293" s="1">
        <v>150</v>
      </c>
      <c r="I293" s="1">
        <v>100</v>
      </c>
      <c r="J293" s="1">
        <v>1.272</v>
      </c>
      <c r="K293" s="1">
        <v>22.456</v>
      </c>
      <c r="L293" s="1">
        <v>10.17</v>
      </c>
      <c r="M293" s="1">
        <v>91.1</v>
      </c>
      <c r="N293" s="1">
        <v>5.1229999999999998E-2</v>
      </c>
      <c r="O293" s="1">
        <v>3.1690000000000001E-4</v>
      </c>
      <c r="P29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1.5198381321721036E-2</v>
      </c>
      <c r="Q293" s="1">
        <f>LN(Table1[[#This Row],[qe_mg_g]]-Table1[[#This Row],[qt]])</f>
        <v>0.22857009589469487</v>
      </c>
      <c r="R293" s="1">
        <v>1</v>
      </c>
    </row>
    <row r="294" spans="1:18" x14ac:dyDescent="0.3">
      <c r="A294" s="1">
        <v>293</v>
      </c>
      <c r="B294" s="1" t="s">
        <v>16</v>
      </c>
      <c r="C294" s="1">
        <v>2</v>
      </c>
      <c r="D294" s="1">
        <v>30</v>
      </c>
      <c r="E294" s="1">
        <v>25</v>
      </c>
      <c r="F294" s="1">
        <v>7</v>
      </c>
      <c r="G294" s="1">
        <v>25</v>
      </c>
      <c r="H294" s="1">
        <v>150</v>
      </c>
      <c r="I294" s="1">
        <v>100</v>
      </c>
      <c r="J294" s="1">
        <v>1.232</v>
      </c>
      <c r="K294" s="1">
        <v>22.536999999999999</v>
      </c>
      <c r="L294" s="1">
        <v>9.85</v>
      </c>
      <c r="M294" s="1">
        <v>75.2</v>
      </c>
      <c r="N294" s="1">
        <v>4.8419999999999998E-2</v>
      </c>
      <c r="O294" s="1">
        <v>3.0840000000000002E-4</v>
      </c>
      <c r="P29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1.388464403283887E-2</v>
      </c>
      <c r="Q294" s="1">
        <f>LN(Table1[[#This Row],[qe_mg_g]]-Table1[[#This Row],[qt]])</f>
        <v>0.19730487413570422</v>
      </c>
      <c r="R294" s="1">
        <v>2</v>
      </c>
    </row>
    <row r="295" spans="1:18" x14ac:dyDescent="0.3">
      <c r="A295" s="1">
        <v>294</v>
      </c>
      <c r="B295" s="1" t="s">
        <v>16</v>
      </c>
      <c r="C295" s="1">
        <v>2</v>
      </c>
      <c r="D295" s="1">
        <v>30</v>
      </c>
      <c r="E295" s="1">
        <v>25</v>
      </c>
      <c r="F295" s="1">
        <v>7</v>
      </c>
      <c r="G295" s="1">
        <v>25</v>
      </c>
      <c r="H295" s="1">
        <v>150</v>
      </c>
      <c r="I295" s="1">
        <v>100</v>
      </c>
      <c r="J295" s="1">
        <v>1.1850000000000001</v>
      </c>
      <c r="K295" s="1">
        <v>22.629000000000001</v>
      </c>
      <c r="L295" s="1">
        <v>9.48</v>
      </c>
      <c r="M295" s="1">
        <v>66</v>
      </c>
      <c r="N295" s="1">
        <v>4.1610000000000001E-2</v>
      </c>
      <c r="O295" s="1">
        <v>2.9159999999999999E-4</v>
      </c>
      <c r="P29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1.2158124560716282E-2</v>
      </c>
      <c r="Q295" s="1">
        <f>LN(Table1[[#This Row],[qe_mg_g]]-Table1[[#This Row],[qt]])</f>
        <v>0.15942975703745096</v>
      </c>
      <c r="R295" s="1">
        <v>3</v>
      </c>
    </row>
    <row r="296" spans="1:18" x14ac:dyDescent="0.3">
      <c r="A296" s="1">
        <v>295</v>
      </c>
      <c r="B296" s="1" t="s">
        <v>16</v>
      </c>
      <c r="C296" s="1">
        <v>2</v>
      </c>
      <c r="D296" s="1">
        <v>30</v>
      </c>
      <c r="E296" s="1">
        <v>25</v>
      </c>
      <c r="F296" s="1">
        <v>11</v>
      </c>
      <c r="G296" s="1">
        <v>25</v>
      </c>
      <c r="H296" s="1">
        <v>150</v>
      </c>
      <c r="I296" s="1">
        <v>100</v>
      </c>
      <c r="J296" s="1">
        <v>0.746</v>
      </c>
      <c r="K296" s="1">
        <v>23.509</v>
      </c>
      <c r="L296" s="1">
        <v>5.96</v>
      </c>
      <c r="M296" s="1">
        <v>65.7</v>
      </c>
      <c r="N296" s="1">
        <v>4.0550000000000003E-2</v>
      </c>
      <c r="O296" s="1">
        <v>2.6689999999999998E-4</v>
      </c>
      <c r="P29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4.4295648378600682E-3</v>
      </c>
      <c r="Q296" s="1">
        <f>LN(Table1[[#This Row],[qe_mg_g]]-Table1[[#This Row],[qt]])</f>
        <v>-0.29898513181139225</v>
      </c>
      <c r="R296" s="1">
        <v>1</v>
      </c>
    </row>
    <row r="297" spans="1:18" x14ac:dyDescent="0.3">
      <c r="A297" s="1">
        <v>296</v>
      </c>
      <c r="B297" s="1" t="s">
        <v>16</v>
      </c>
      <c r="C297" s="1">
        <v>2</v>
      </c>
      <c r="D297" s="1">
        <v>30</v>
      </c>
      <c r="E297" s="1">
        <v>25</v>
      </c>
      <c r="F297" s="1">
        <v>11</v>
      </c>
      <c r="G297" s="1">
        <v>25</v>
      </c>
      <c r="H297" s="1">
        <v>150</v>
      </c>
      <c r="I297" s="1">
        <v>100</v>
      </c>
      <c r="J297" s="1">
        <v>0.875</v>
      </c>
      <c r="K297" s="1">
        <v>23.251000000000001</v>
      </c>
      <c r="L297" s="1">
        <v>7</v>
      </c>
      <c r="M297" s="1">
        <v>80.599999999999994</v>
      </c>
      <c r="N297" s="1">
        <v>4.913E-2</v>
      </c>
      <c r="O297" s="1">
        <v>2.5290000000000002E-4</v>
      </c>
      <c r="P297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5.7704887640288999E-3</v>
      </c>
      <c r="Q297" s="1">
        <f>LN(Table1[[#This Row],[qe_mg_g]]-Table1[[#This Row],[qt]])</f>
        <v>-0.14014807899494178</v>
      </c>
      <c r="R297" s="1">
        <v>2</v>
      </c>
    </row>
    <row r="298" spans="1:18" x14ac:dyDescent="0.3">
      <c r="A298" s="1">
        <v>297</v>
      </c>
      <c r="B298" s="1" t="s">
        <v>16</v>
      </c>
      <c r="C298" s="1">
        <v>2</v>
      </c>
      <c r="D298" s="1">
        <v>30</v>
      </c>
      <c r="E298" s="1">
        <v>25</v>
      </c>
      <c r="F298" s="1">
        <v>11</v>
      </c>
      <c r="G298" s="1">
        <v>25</v>
      </c>
      <c r="H298" s="1">
        <v>150</v>
      </c>
      <c r="I298" s="1">
        <v>100</v>
      </c>
      <c r="J298" s="1">
        <v>0.79400000000000004</v>
      </c>
      <c r="K298" s="1">
        <v>23.411999999999999</v>
      </c>
      <c r="L298" s="1">
        <v>6.35</v>
      </c>
      <c r="M298" s="1">
        <v>76.099999999999994</v>
      </c>
      <c r="N298" s="1">
        <v>4.0579999999999998E-2</v>
      </c>
      <c r="O298" s="1">
        <v>2.9329999999999997E-4</v>
      </c>
      <c r="P298" s="1">
        <f>(Table1[[#This Row],[Rate_Constant_k2_g_mg_min]]*Table1[[#This Row],[Contact_Time_min]]*Table1[[#This Row],[qe_mg_g]]^2)/(1+Table1[[#This Row],[Contact_Time_min]]*Table1[[#This Row],[qe_mg_g]]*Table1[[#This Row],[Rate_Constant_k2_g_mg_min]])</f>
        <v>5.5087202080859087E-3</v>
      </c>
      <c r="Q298" s="1">
        <f>LN(Table1[[#This Row],[qe_mg_g]]-Table1[[#This Row],[qt]])</f>
        <v>-0.23763393187683174</v>
      </c>
      <c r="R298" s="1">
        <v>3</v>
      </c>
    </row>
    <row r="299" spans="1:18" x14ac:dyDescent="0.3">
      <c r="A299" s="1">
        <v>298</v>
      </c>
      <c r="B299" s="1" t="s">
        <v>16</v>
      </c>
      <c r="C299" s="1">
        <v>2</v>
      </c>
      <c r="D299" s="1">
        <v>30</v>
      </c>
      <c r="E299" s="1">
        <v>50</v>
      </c>
      <c r="F299" s="1">
        <v>3</v>
      </c>
      <c r="G299" s="1">
        <v>25</v>
      </c>
      <c r="H299" s="1">
        <v>150</v>
      </c>
      <c r="I299" s="1">
        <v>100</v>
      </c>
      <c r="J299" s="1">
        <v>2.6269999999999998</v>
      </c>
      <c r="K299" s="1">
        <v>44.747</v>
      </c>
      <c r="L299" s="1">
        <v>10.51</v>
      </c>
      <c r="M299" s="1">
        <v>57</v>
      </c>
      <c r="N299" s="1">
        <v>4.5469999999999997E-2</v>
      </c>
      <c r="O299" s="1">
        <v>2.5999999999999998E-4</v>
      </c>
      <c r="P299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5.2747968673106826E-2</v>
      </c>
      <c r="Q299" s="1">
        <f>LN(Table1[[#This Row],[qe_mg_g]]-Table1[[#This Row],[qt]])</f>
        <v>0.945559018649058</v>
      </c>
      <c r="R299" s="1">
        <v>1</v>
      </c>
    </row>
    <row r="300" spans="1:18" x14ac:dyDescent="0.3">
      <c r="A300" s="1">
        <v>299</v>
      </c>
      <c r="B300" s="1" t="s">
        <v>16</v>
      </c>
      <c r="C300" s="1">
        <v>2</v>
      </c>
      <c r="D300" s="1">
        <v>30</v>
      </c>
      <c r="E300" s="1">
        <v>50</v>
      </c>
      <c r="F300" s="1">
        <v>3</v>
      </c>
      <c r="G300" s="1">
        <v>25</v>
      </c>
      <c r="H300" s="1">
        <v>150</v>
      </c>
      <c r="I300" s="1">
        <v>100</v>
      </c>
      <c r="J300" s="1">
        <v>2.395</v>
      </c>
      <c r="K300" s="1">
        <v>45.21</v>
      </c>
      <c r="L300" s="1">
        <v>9.58</v>
      </c>
      <c r="M300" s="1">
        <v>69.900000000000006</v>
      </c>
      <c r="N300" s="1">
        <v>3.7830000000000003E-2</v>
      </c>
      <c r="O300" s="1">
        <v>3.1320000000000002E-4</v>
      </c>
      <c r="P300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5.2709545851690166E-2</v>
      </c>
      <c r="Q300" s="1">
        <f>LN(Table1[[#This Row],[qe_mg_g]]-Table1[[#This Row],[qt]])</f>
        <v>0.85112927719037612</v>
      </c>
      <c r="R300" s="1">
        <v>2</v>
      </c>
    </row>
    <row r="301" spans="1:18" x14ac:dyDescent="0.3">
      <c r="A301" s="1">
        <v>300</v>
      </c>
      <c r="B301" s="1" t="s">
        <v>16</v>
      </c>
      <c r="C301" s="1">
        <v>2</v>
      </c>
      <c r="D301" s="1">
        <v>30</v>
      </c>
      <c r="E301" s="1">
        <v>50</v>
      </c>
      <c r="F301" s="1">
        <v>3</v>
      </c>
      <c r="G301" s="1">
        <v>25</v>
      </c>
      <c r="H301" s="1">
        <v>150</v>
      </c>
      <c r="I301" s="1">
        <v>100</v>
      </c>
      <c r="J301" s="1">
        <v>2.512</v>
      </c>
      <c r="K301" s="1">
        <v>44.975999999999999</v>
      </c>
      <c r="L301" s="1">
        <v>10.050000000000001</v>
      </c>
      <c r="M301" s="1">
        <v>72.2</v>
      </c>
      <c r="N301" s="1">
        <v>4.6010000000000002E-2</v>
      </c>
      <c r="O301" s="1">
        <v>3.4089999999999999E-4</v>
      </c>
      <c r="P301" s="1">
        <f>(Table1[[#This Row],[Rate_Constant_k2_g_mg_min]]*Table1[[#This Row],[Contact_Time_min]]*Table1[[#This Row],[qe_mg_g]]^2)/(1+Table1[[#This Row],[Contact_Time_min]]*Table1[[#This Row],[qe_mg_g]]*Table1[[#This Row],[Rate_Constant_k2_g_mg_min]])</f>
        <v>6.291747857002096E-2</v>
      </c>
      <c r="Q301" s="1">
        <f>LN(Table1[[#This Row],[qe_mg_g]]-Table1[[#This Row],[qt]])</f>
        <v>0.89571347337210927</v>
      </c>
      <c r="R301" s="1">
        <v>3</v>
      </c>
    </row>
    <row r="302" spans="1:18" x14ac:dyDescent="0.3">
      <c r="A302" s="1">
        <v>301</v>
      </c>
      <c r="B302" s="1" t="s">
        <v>16</v>
      </c>
      <c r="C302" s="1">
        <v>2</v>
      </c>
      <c r="D302" s="1">
        <v>30</v>
      </c>
      <c r="E302" s="1">
        <v>50</v>
      </c>
      <c r="F302" s="1">
        <v>7</v>
      </c>
      <c r="G302" s="1">
        <v>25</v>
      </c>
      <c r="H302" s="1">
        <v>150</v>
      </c>
      <c r="I302" s="1">
        <v>100</v>
      </c>
      <c r="J302" s="1">
        <v>4.3129999999999997</v>
      </c>
      <c r="K302" s="1">
        <v>41.375</v>
      </c>
      <c r="L302" s="1">
        <v>17.25</v>
      </c>
      <c r="M302" s="1">
        <v>62.4</v>
      </c>
      <c r="N302" s="1">
        <v>4.555E-2</v>
      </c>
      <c r="O302" s="1">
        <v>3.1629999999999999E-4</v>
      </c>
      <c r="P30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0.16957408516578229</v>
      </c>
      <c r="Q302" s="1">
        <f>LN(Table1[[#This Row],[qe_mg_g]]-Table1[[#This Row],[qt]])</f>
        <v>1.4215229612953502</v>
      </c>
      <c r="R302" s="1">
        <v>1</v>
      </c>
    </row>
    <row r="303" spans="1:18" x14ac:dyDescent="0.3">
      <c r="A303" s="1">
        <v>302</v>
      </c>
      <c r="B303" s="1" t="s">
        <v>16</v>
      </c>
      <c r="C303" s="1">
        <v>2</v>
      </c>
      <c r="D303" s="1">
        <v>30</v>
      </c>
      <c r="E303" s="1">
        <v>50</v>
      </c>
      <c r="F303" s="1">
        <v>7</v>
      </c>
      <c r="G303" s="1">
        <v>25</v>
      </c>
      <c r="H303" s="1">
        <v>150</v>
      </c>
      <c r="I303" s="1">
        <v>100</v>
      </c>
      <c r="J303" s="1">
        <v>4.2859999999999996</v>
      </c>
      <c r="K303" s="1">
        <v>41.427</v>
      </c>
      <c r="L303" s="1">
        <v>17.149999999999999</v>
      </c>
      <c r="M303" s="1">
        <v>67.099999999999994</v>
      </c>
      <c r="N303" s="1">
        <v>4.1840000000000002E-2</v>
      </c>
      <c r="O303" s="1">
        <v>2.8009999999999998E-4</v>
      </c>
      <c r="P30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0.14899529190910812</v>
      </c>
      <c r="Q303" s="1">
        <f>LN(Table1[[#This Row],[qe_mg_g]]-Table1[[#This Row],[qt]])</f>
        <v>1.419972025523319</v>
      </c>
      <c r="R303" s="1">
        <v>2</v>
      </c>
    </row>
    <row r="304" spans="1:18" x14ac:dyDescent="0.3">
      <c r="A304" s="1">
        <v>303</v>
      </c>
      <c r="B304" s="1" t="s">
        <v>16</v>
      </c>
      <c r="C304" s="1">
        <v>2</v>
      </c>
      <c r="D304" s="1">
        <v>30</v>
      </c>
      <c r="E304" s="1">
        <v>50</v>
      </c>
      <c r="F304" s="1">
        <v>7</v>
      </c>
      <c r="G304" s="1">
        <v>25</v>
      </c>
      <c r="H304" s="1">
        <v>150</v>
      </c>
      <c r="I304" s="1">
        <v>100</v>
      </c>
      <c r="J304" s="1">
        <v>3.7909999999999999</v>
      </c>
      <c r="K304" s="1">
        <v>42.418999999999997</v>
      </c>
      <c r="L304" s="1">
        <v>15.16</v>
      </c>
      <c r="M304" s="1">
        <v>84.2</v>
      </c>
      <c r="N304" s="1">
        <v>3.9399999999999998E-2</v>
      </c>
      <c r="O304" s="1">
        <v>2.7920000000000001E-4</v>
      </c>
      <c r="P30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0.11667245117800511</v>
      </c>
      <c r="Q304" s="1">
        <f>LN(Table1[[#This Row],[qe_mg_g]]-Table1[[#This Row],[qt]])</f>
        <v>1.3013701360095511</v>
      </c>
      <c r="R304" s="1">
        <v>3</v>
      </c>
    </row>
    <row r="305" spans="1:18" x14ac:dyDescent="0.3">
      <c r="A305" s="1">
        <v>304</v>
      </c>
      <c r="B305" s="1" t="s">
        <v>16</v>
      </c>
      <c r="C305" s="1">
        <v>2</v>
      </c>
      <c r="D305" s="1">
        <v>30</v>
      </c>
      <c r="E305" s="1">
        <v>50</v>
      </c>
      <c r="F305" s="1">
        <v>11</v>
      </c>
      <c r="G305" s="1">
        <v>25</v>
      </c>
      <c r="H305" s="1">
        <v>150</v>
      </c>
      <c r="I305" s="1">
        <v>100</v>
      </c>
      <c r="J305" s="1">
        <v>2.9889999999999999</v>
      </c>
      <c r="K305" s="1">
        <v>44.021999999999998</v>
      </c>
      <c r="L305" s="1">
        <v>11.96</v>
      </c>
      <c r="M305" s="1">
        <v>75.599999999999994</v>
      </c>
      <c r="N305" s="1">
        <v>4.367E-2</v>
      </c>
      <c r="O305" s="1">
        <v>3.3740000000000002E-4</v>
      </c>
      <c r="P305" s="1">
        <f>(Table1[[#This Row],[Rate_Constant_k2_g_mg_min]]*Table1[[#This Row],[Contact_Time_min]]*Table1[[#This Row],[qe_mg_g]]^2)/(1+Table1[[#This Row],[Contact_Time_min]]*Table1[[#This Row],[qe_mg_g]]*Table1[[#This Row],[Rate_Constant_k2_g_mg_min]])</f>
        <v>8.7775553412736906E-2</v>
      </c>
      <c r="Q305" s="1">
        <f>LN(Table1[[#This Row],[qe_mg_g]]-Table1[[#This Row],[qt]])</f>
        <v>1.0651328708425214</v>
      </c>
      <c r="R305" s="1">
        <v>1</v>
      </c>
    </row>
    <row r="306" spans="1:18" x14ac:dyDescent="0.3">
      <c r="A306" s="1">
        <v>305</v>
      </c>
      <c r="B306" s="1" t="s">
        <v>16</v>
      </c>
      <c r="C306" s="1">
        <v>2</v>
      </c>
      <c r="D306" s="1">
        <v>30</v>
      </c>
      <c r="E306" s="1">
        <v>50</v>
      </c>
      <c r="F306" s="1">
        <v>11</v>
      </c>
      <c r="G306" s="1">
        <v>25</v>
      </c>
      <c r="H306" s="1">
        <v>150</v>
      </c>
      <c r="I306" s="1">
        <v>100</v>
      </c>
      <c r="J306" s="1">
        <v>3</v>
      </c>
      <c r="K306" s="1">
        <v>43.999000000000002</v>
      </c>
      <c r="L306" s="1">
        <v>12</v>
      </c>
      <c r="M306" s="1">
        <v>69.5</v>
      </c>
      <c r="N306" s="1">
        <v>4.1239999999999999E-2</v>
      </c>
      <c r="O306" s="1">
        <v>3.6440000000000002E-4</v>
      </c>
      <c r="P30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9.5263730688345039E-2</v>
      </c>
      <c r="Q306" s="1">
        <f>LN(Table1[[#This Row],[qe_mg_g]]-Table1[[#This Row],[qt]])</f>
        <v>1.0663426010920065</v>
      </c>
      <c r="R306" s="1">
        <v>2</v>
      </c>
    </row>
    <row r="307" spans="1:18" x14ac:dyDescent="0.3">
      <c r="A307" s="1">
        <v>306</v>
      </c>
      <c r="B307" s="1" t="s">
        <v>16</v>
      </c>
      <c r="C307" s="1">
        <v>2</v>
      </c>
      <c r="D307" s="1">
        <v>30</v>
      </c>
      <c r="E307" s="1">
        <v>50</v>
      </c>
      <c r="F307" s="1">
        <v>11</v>
      </c>
      <c r="G307" s="1">
        <v>25</v>
      </c>
      <c r="H307" s="1">
        <v>150</v>
      </c>
      <c r="I307" s="1">
        <v>100</v>
      </c>
      <c r="J307" s="1">
        <v>2.87</v>
      </c>
      <c r="K307" s="1">
        <v>44.26</v>
      </c>
      <c r="L307" s="1">
        <v>11.48</v>
      </c>
      <c r="M307" s="1">
        <v>69.8</v>
      </c>
      <c r="N307" s="1">
        <v>4.7849999999999997E-2</v>
      </c>
      <c r="O307" s="1">
        <v>3.124E-4</v>
      </c>
      <c r="P307" s="1">
        <f>(Table1[[#This Row],[Rate_Constant_k2_g_mg_min]]*Table1[[#This Row],[Contact_Time_min]]*Table1[[#This Row],[qe_mg_g]]^2)/(1+Table1[[#This Row],[Contact_Time_min]]*Table1[[#This Row],[qe_mg_g]]*Table1[[#This Row],[Rate_Constant_k2_g_mg_min]])</f>
        <v>7.5174217753582531E-2</v>
      </c>
      <c r="Q307" s="1">
        <f>LN(Table1[[#This Row],[qe_mg_g]]-Table1[[#This Row],[qt]])</f>
        <v>1.0277697727310438</v>
      </c>
      <c r="R307" s="1">
        <v>3</v>
      </c>
    </row>
    <row r="308" spans="1:18" x14ac:dyDescent="0.3">
      <c r="A308" s="1">
        <v>307</v>
      </c>
      <c r="B308" s="1" t="s">
        <v>16</v>
      </c>
      <c r="C308" s="1">
        <v>2</v>
      </c>
      <c r="D308" s="1">
        <v>30</v>
      </c>
      <c r="E308" s="1">
        <v>100</v>
      </c>
      <c r="F308" s="1">
        <v>3</v>
      </c>
      <c r="G308" s="1">
        <v>25</v>
      </c>
      <c r="H308" s="1">
        <v>150</v>
      </c>
      <c r="I308" s="1">
        <v>100</v>
      </c>
      <c r="J308" s="1">
        <v>8.65</v>
      </c>
      <c r="K308" s="1">
        <v>82.7</v>
      </c>
      <c r="L308" s="1">
        <v>17.3</v>
      </c>
      <c r="M308" s="1">
        <v>65.400000000000006</v>
      </c>
      <c r="N308" s="1">
        <v>4.5199999999999997E-2</v>
      </c>
      <c r="O308" s="1">
        <v>2.9559999999999998E-4</v>
      </c>
      <c r="P30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0.61625418103066365</v>
      </c>
      <c r="Q308" s="1">
        <f>LN(Table1[[#This Row],[qe_mg_g]]-Table1[[#This Row],[qt]])</f>
        <v>2.0836508972699681</v>
      </c>
      <c r="R308" s="1">
        <v>1</v>
      </c>
    </row>
    <row r="309" spans="1:18" x14ac:dyDescent="0.3">
      <c r="A309" s="1">
        <v>308</v>
      </c>
      <c r="B309" s="1" t="s">
        <v>16</v>
      </c>
      <c r="C309" s="1">
        <v>2</v>
      </c>
      <c r="D309" s="1">
        <v>30</v>
      </c>
      <c r="E309" s="1">
        <v>100</v>
      </c>
      <c r="F309" s="1">
        <v>3</v>
      </c>
      <c r="G309" s="1">
        <v>25</v>
      </c>
      <c r="H309" s="1">
        <v>150</v>
      </c>
      <c r="I309" s="1">
        <v>100</v>
      </c>
      <c r="J309" s="1">
        <v>9.4570000000000007</v>
      </c>
      <c r="K309" s="1">
        <v>81.084999999999994</v>
      </c>
      <c r="L309" s="1">
        <v>18.91</v>
      </c>
      <c r="M309" s="1">
        <v>88.8</v>
      </c>
      <c r="N309" s="1">
        <v>4.249E-2</v>
      </c>
      <c r="O309" s="1">
        <v>2.589E-4</v>
      </c>
      <c r="P30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0.64710870754684979</v>
      </c>
      <c r="Q309" s="1">
        <f>LN(Table1[[#This Row],[qe_mg_g]]-Table1[[#This Row],[qt]])</f>
        <v>2.1758751007633514</v>
      </c>
      <c r="R309" s="1">
        <v>2</v>
      </c>
    </row>
    <row r="310" spans="1:18" x14ac:dyDescent="0.3">
      <c r="A310" s="1">
        <v>309</v>
      </c>
      <c r="B310" s="1" t="s">
        <v>16</v>
      </c>
      <c r="C310" s="1">
        <v>2</v>
      </c>
      <c r="D310" s="1">
        <v>30</v>
      </c>
      <c r="E310" s="1">
        <v>100</v>
      </c>
      <c r="F310" s="1">
        <v>3</v>
      </c>
      <c r="G310" s="1">
        <v>25</v>
      </c>
      <c r="H310" s="1">
        <v>150</v>
      </c>
      <c r="I310" s="1">
        <v>100</v>
      </c>
      <c r="J310" s="1">
        <v>8.718</v>
      </c>
      <c r="K310" s="1">
        <v>82.563000000000002</v>
      </c>
      <c r="L310" s="1">
        <v>17.440000000000001</v>
      </c>
      <c r="M310" s="1">
        <v>92.5</v>
      </c>
      <c r="N310" s="1">
        <v>4.138E-2</v>
      </c>
      <c r="O310" s="1">
        <v>3.4919999999999998E-4</v>
      </c>
      <c r="P31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0.7295804996533366</v>
      </c>
      <c r="Q310" s="1">
        <f>LN(Table1[[#This Row],[qe_mg_g]]-Table1[[#This Row],[qt]])</f>
        <v>2.0779929304924449</v>
      </c>
      <c r="R310" s="1">
        <v>3</v>
      </c>
    </row>
    <row r="311" spans="1:18" x14ac:dyDescent="0.3">
      <c r="A311" s="1">
        <v>310</v>
      </c>
      <c r="B311" s="1" t="s">
        <v>16</v>
      </c>
      <c r="C311" s="1">
        <v>2</v>
      </c>
      <c r="D311" s="1">
        <v>30</v>
      </c>
      <c r="E311" s="1">
        <v>100</v>
      </c>
      <c r="F311" s="1">
        <v>7</v>
      </c>
      <c r="G311" s="1">
        <v>25</v>
      </c>
      <c r="H311" s="1">
        <v>150</v>
      </c>
      <c r="I311" s="1">
        <v>100</v>
      </c>
      <c r="J311" s="1">
        <v>16.346</v>
      </c>
      <c r="K311" s="1">
        <v>67.307000000000002</v>
      </c>
      <c r="L311" s="1">
        <v>32.69</v>
      </c>
      <c r="M311" s="1">
        <v>61.1</v>
      </c>
      <c r="N311" s="1">
        <v>4.7559999999999998E-2</v>
      </c>
      <c r="O311" s="1">
        <v>3.4890000000000002E-4</v>
      </c>
      <c r="P31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2.3881060697094654</v>
      </c>
      <c r="Q311" s="1">
        <f>LN(Table1[[#This Row],[qe_mg_g]]-Table1[[#This Row],[qt]])</f>
        <v>2.6360452213606504</v>
      </c>
      <c r="R311" s="1">
        <v>1</v>
      </c>
    </row>
    <row r="312" spans="1:18" x14ac:dyDescent="0.3">
      <c r="A312" s="1">
        <v>311</v>
      </c>
      <c r="B312" s="1" t="s">
        <v>16</v>
      </c>
      <c r="C312" s="1">
        <v>2</v>
      </c>
      <c r="D312" s="1">
        <v>30</v>
      </c>
      <c r="E312" s="1">
        <v>100</v>
      </c>
      <c r="F312" s="1">
        <v>7</v>
      </c>
      <c r="G312" s="1">
        <v>25</v>
      </c>
      <c r="H312" s="1">
        <v>150</v>
      </c>
      <c r="I312" s="1">
        <v>100</v>
      </c>
      <c r="J312" s="1">
        <v>13.975</v>
      </c>
      <c r="K312" s="1">
        <v>72.05</v>
      </c>
      <c r="L312" s="1">
        <v>27.95</v>
      </c>
      <c r="M312" s="1">
        <v>64.599999999999994</v>
      </c>
      <c r="N312" s="1">
        <v>4.2380000000000001E-2</v>
      </c>
      <c r="O312" s="1">
        <v>2.6959999999999999E-4</v>
      </c>
      <c r="P31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1.4191816382634137</v>
      </c>
      <c r="Q312" s="1">
        <f>LN(Table1[[#This Row],[qe_mg_g]]-Table1[[#This Row],[qt]])</f>
        <v>2.5301841726228069</v>
      </c>
      <c r="R312" s="1">
        <v>2</v>
      </c>
    </row>
    <row r="313" spans="1:18" x14ac:dyDescent="0.3">
      <c r="A313" s="1">
        <v>312</v>
      </c>
      <c r="B313" s="1" t="s">
        <v>16</v>
      </c>
      <c r="C313" s="1">
        <v>2</v>
      </c>
      <c r="D313" s="1">
        <v>30</v>
      </c>
      <c r="E313" s="1">
        <v>100</v>
      </c>
      <c r="F313" s="1">
        <v>7</v>
      </c>
      <c r="G313" s="1">
        <v>25</v>
      </c>
      <c r="H313" s="1">
        <v>150</v>
      </c>
      <c r="I313" s="1">
        <v>100</v>
      </c>
      <c r="J313" s="1">
        <v>13.663</v>
      </c>
      <c r="K313" s="1">
        <v>72.673000000000002</v>
      </c>
      <c r="L313" s="1">
        <v>27.33</v>
      </c>
      <c r="M313" s="1">
        <v>54.4</v>
      </c>
      <c r="N313" s="1">
        <v>4.5150000000000003E-2</v>
      </c>
      <c r="O313" s="1">
        <v>2.7690000000000001E-4</v>
      </c>
      <c r="P31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1.3926651078413943</v>
      </c>
      <c r="Q313" s="1">
        <f>LN(Table1[[#This Row],[qe_mg_g]]-Table1[[#This Row],[qt]])</f>
        <v>2.5071845519248157</v>
      </c>
      <c r="R313" s="1">
        <v>3</v>
      </c>
    </row>
    <row r="314" spans="1:18" x14ac:dyDescent="0.3">
      <c r="A314" s="1">
        <v>313</v>
      </c>
      <c r="B314" s="1" t="s">
        <v>16</v>
      </c>
      <c r="C314" s="1">
        <v>2</v>
      </c>
      <c r="D314" s="1">
        <v>30</v>
      </c>
      <c r="E314" s="1">
        <v>100</v>
      </c>
      <c r="F314" s="1">
        <v>11</v>
      </c>
      <c r="G314" s="1">
        <v>25</v>
      </c>
      <c r="H314" s="1">
        <v>150</v>
      </c>
      <c r="I314" s="1">
        <v>100</v>
      </c>
      <c r="J314" s="1">
        <v>11.119</v>
      </c>
      <c r="K314" s="1">
        <v>77.762</v>
      </c>
      <c r="L314" s="1">
        <v>22.24</v>
      </c>
      <c r="M314" s="1">
        <v>51.1</v>
      </c>
      <c r="N314" s="1">
        <v>4.6489999999999997E-2</v>
      </c>
      <c r="O314" s="1">
        <v>3.2499999999999999E-4</v>
      </c>
      <c r="P31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1.0875157187963571</v>
      </c>
      <c r="Q314" s="1">
        <f>LN(Table1[[#This Row],[qe_mg_g]]-Table1[[#This Row],[qt]])</f>
        <v>2.305728575193128</v>
      </c>
      <c r="R314" s="1">
        <v>1</v>
      </c>
    </row>
    <row r="315" spans="1:18" x14ac:dyDescent="0.3">
      <c r="A315" s="1">
        <v>314</v>
      </c>
      <c r="B315" s="1" t="s">
        <v>16</v>
      </c>
      <c r="C315" s="1">
        <v>2</v>
      </c>
      <c r="D315" s="1">
        <v>30</v>
      </c>
      <c r="E315" s="1">
        <v>100</v>
      </c>
      <c r="F315" s="1">
        <v>11</v>
      </c>
      <c r="G315" s="1">
        <v>25</v>
      </c>
      <c r="H315" s="1">
        <v>150</v>
      </c>
      <c r="I315" s="1">
        <v>100</v>
      </c>
      <c r="J315" s="1">
        <v>9.1739999999999995</v>
      </c>
      <c r="K315" s="1">
        <v>81.652000000000001</v>
      </c>
      <c r="L315" s="1">
        <v>18.350000000000001</v>
      </c>
      <c r="M315" s="1">
        <v>70.400000000000006</v>
      </c>
      <c r="N315" s="1">
        <v>5.0520000000000002E-2</v>
      </c>
      <c r="O315" s="1">
        <v>2.6370000000000001E-4</v>
      </c>
      <c r="P31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0.62075607427674317</v>
      </c>
      <c r="Q315" s="1">
        <f>LN(Table1[[#This Row],[qe_mg_g]]-Table1[[#This Row],[qt]])</f>
        <v>2.1463106175095561</v>
      </c>
      <c r="R315" s="1">
        <v>2</v>
      </c>
    </row>
    <row r="316" spans="1:18" x14ac:dyDescent="0.3">
      <c r="A316" s="1">
        <v>315</v>
      </c>
      <c r="B316" s="1" t="s">
        <v>16</v>
      </c>
      <c r="C316" s="1">
        <v>2</v>
      </c>
      <c r="D316" s="1">
        <v>30</v>
      </c>
      <c r="E316" s="1">
        <v>100</v>
      </c>
      <c r="F316" s="1">
        <v>11</v>
      </c>
      <c r="G316" s="1">
        <v>25</v>
      </c>
      <c r="H316" s="1">
        <v>150</v>
      </c>
      <c r="I316" s="1">
        <v>100</v>
      </c>
      <c r="J316" s="1">
        <v>12.375999999999999</v>
      </c>
      <c r="K316" s="1">
        <v>75.248999999999995</v>
      </c>
      <c r="L316" s="1">
        <v>24.75</v>
      </c>
      <c r="M316" s="1">
        <v>70.900000000000006</v>
      </c>
      <c r="N316" s="1">
        <v>4.1829999999999999E-2</v>
      </c>
      <c r="O316" s="1">
        <v>2.9829999999999999E-4</v>
      </c>
      <c r="P31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1.2340071708194909</v>
      </c>
      <c r="Q316" s="1">
        <f>LN(Table1[[#This Row],[qe_mg_g]]-Table1[[#This Row],[qt]])</f>
        <v>2.4107211080138278</v>
      </c>
      <c r="R316" s="1">
        <v>3</v>
      </c>
    </row>
    <row r="317" spans="1:18" x14ac:dyDescent="0.3">
      <c r="A317" s="1">
        <v>316</v>
      </c>
      <c r="B317" s="1" t="s">
        <v>16</v>
      </c>
      <c r="C317" s="1">
        <v>2</v>
      </c>
      <c r="D317" s="1">
        <v>30</v>
      </c>
      <c r="E317" s="1">
        <v>200</v>
      </c>
      <c r="F317" s="1">
        <v>3</v>
      </c>
      <c r="G317" s="1">
        <v>25</v>
      </c>
      <c r="H317" s="1">
        <v>150</v>
      </c>
      <c r="I317" s="1">
        <v>100</v>
      </c>
      <c r="J317" s="1">
        <v>29.126000000000001</v>
      </c>
      <c r="K317" s="1">
        <v>141.749</v>
      </c>
      <c r="L317" s="1">
        <v>29.13</v>
      </c>
      <c r="M317" s="1">
        <v>67.400000000000006</v>
      </c>
      <c r="N317" s="1">
        <v>4.7419999999999997E-2</v>
      </c>
      <c r="O317" s="1">
        <v>2.7240000000000001E-4</v>
      </c>
      <c r="P317" s="1">
        <f>(Table1[[#This Row],[Rate_Constant_k2_g_mg_min]]*Table1[[#This Row],[Contact_Time_min]]*Table1[[#This Row],[qe_mg_g]]^2)/(1+Table1[[#This Row],[Contact_Time_min]]*Table1[[#This Row],[qe_mg_g]]*Table1[[#This Row],[Rate_Constant_k2_g_mg_min]])</f>
        <v>5.5996799330599547</v>
      </c>
      <c r="Q317" s="1">
        <f>LN(Table1[[#This Row],[qe_mg_g]]-Table1[[#This Row],[qt]])</f>
        <v>3.1581197972633555</v>
      </c>
      <c r="R317" s="1">
        <v>1</v>
      </c>
    </row>
    <row r="318" spans="1:18" x14ac:dyDescent="0.3">
      <c r="A318" s="1">
        <v>317</v>
      </c>
      <c r="B318" s="1" t="s">
        <v>16</v>
      </c>
      <c r="C318" s="1">
        <v>2</v>
      </c>
      <c r="D318" s="1">
        <v>30</v>
      </c>
      <c r="E318" s="1">
        <v>200</v>
      </c>
      <c r="F318" s="1">
        <v>3</v>
      </c>
      <c r="G318" s="1">
        <v>25</v>
      </c>
      <c r="H318" s="1">
        <v>150</v>
      </c>
      <c r="I318" s="1">
        <v>100</v>
      </c>
      <c r="J318" s="1">
        <v>28.257999999999999</v>
      </c>
      <c r="K318" s="1">
        <v>143.48400000000001</v>
      </c>
      <c r="L318" s="1">
        <v>28.26</v>
      </c>
      <c r="M318" s="1">
        <v>52.5</v>
      </c>
      <c r="N318" s="1">
        <v>4.4499999999999998E-2</v>
      </c>
      <c r="O318" s="1">
        <v>2.7290000000000002E-4</v>
      </c>
      <c r="P318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5.3091712736057275</v>
      </c>
      <c r="Q318" s="1">
        <f>LN(Table1[[#This Row],[qe_mg_g]]-Table1[[#This Row],[qt]])</f>
        <v>3.1332668993172192</v>
      </c>
      <c r="R318" s="1">
        <v>2</v>
      </c>
    </row>
    <row r="319" spans="1:18" x14ac:dyDescent="0.3">
      <c r="A319" s="1">
        <v>318</v>
      </c>
      <c r="B319" s="1" t="s">
        <v>16</v>
      </c>
      <c r="C319" s="1">
        <v>2</v>
      </c>
      <c r="D319" s="1">
        <v>30</v>
      </c>
      <c r="E319" s="1">
        <v>200</v>
      </c>
      <c r="F319" s="1">
        <v>3</v>
      </c>
      <c r="G319" s="1">
        <v>25</v>
      </c>
      <c r="H319" s="1">
        <v>150</v>
      </c>
      <c r="I319" s="1">
        <v>100</v>
      </c>
      <c r="J319" s="1">
        <v>26.24</v>
      </c>
      <c r="K319" s="1">
        <v>147.52000000000001</v>
      </c>
      <c r="L319" s="1">
        <v>26.24</v>
      </c>
      <c r="M319" s="1">
        <v>79</v>
      </c>
      <c r="N319" s="1">
        <v>4.9910000000000003E-2</v>
      </c>
      <c r="O319" s="1">
        <v>3.1829999999999998E-4</v>
      </c>
      <c r="P319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5.2574968487862641</v>
      </c>
      <c r="Q319" s="1">
        <f>LN(Table1[[#This Row],[qe_mg_g]]-Table1[[#This Row],[qt]])</f>
        <v>3.0436889071577835</v>
      </c>
      <c r="R319" s="1">
        <v>3</v>
      </c>
    </row>
    <row r="320" spans="1:18" x14ac:dyDescent="0.3">
      <c r="A320" s="1">
        <v>319</v>
      </c>
      <c r="B320" s="1" t="s">
        <v>16</v>
      </c>
      <c r="C320" s="1">
        <v>2</v>
      </c>
      <c r="D320" s="1">
        <v>30</v>
      </c>
      <c r="E320" s="1">
        <v>200</v>
      </c>
      <c r="F320" s="1">
        <v>7</v>
      </c>
      <c r="G320" s="1">
        <v>25</v>
      </c>
      <c r="H320" s="1">
        <v>150</v>
      </c>
      <c r="I320" s="1">
        <v>100</v>
      </c>
      <c r="J320" s="1">
        <v>39.938000000000002</v>
      </c>
      <c r="K320" s="1">
        <v>120.124</v>
      </c>
      <c r="L320" s="1">
        <v>39.94</v>
      </c>
      <c r="M320" s="1">
        <v>63.5</v>
      </c>
      <c r="N320" s="1">
        <v>5.0459999999999998E-2</v>
      </c>
      <c r="O320" s="1">
        <v>3.0430000000000002E-4</v>
      </c>
      <c r="P320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10.6706868347176</v>
      </c>
      <c r="Q320" s="1">
        <f>LN(Table1[[#This Row],[qe_mg_g]]-Table1[[#This Row],[qt]])</f>
        <v>3.376471301658905</v>
      </c>
      <c r="R320" s="1">
        <v>1</v>
      </c>
    </row>
    <row r="321" spans="1:18" x14ac:dyDescent="0.3">
      <c r="A321" s="1">
        <v>320</v>
      </c>
      <c r="B321" s="1" t="s">
        <v>16</v>
      </c>
      <c r="C321" s="1">
        <v>2</v>
      </c>
      <c r="D321" s="1">
        <v>30</v>
      </c>
      <c r="E321" s="1">
        <v>200</v>
      </c>
      <c r="F321" s="1">
        <v>7</v>
      </c>
      <c r="G321" s="1">
        <v>25</v>
      </c>
      <c r="H321" s="1">
        <v>150</v>
      </c>
      <c r="I321" s="1">
        <v>100</v>
      </c>
      <c r="J321" s="1">
        <v>51.881999999999998</v>
      </c>
      <c r="K321" s="1">
        <v>96.234999999999999</v>
      </c>
      <c r="L321" s="1">
        <v>51.88</v>
      </c>
      <c r="M321" s="1">
        <v>70.599999999999994</v>
      </c>
      <c r="N321" s="1">
        <v>4.5859999999999998E-2</v>
      </c>
      <c r="O321" s="1">
        <v>2.9070000000000002E-4</v>
      </c>
      <c r="P321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16.16198318293732</v>
      </c>
      <c r="Q321" s="1">
        <f>LN(Table1[[#This Row],[qe_mg_g]]-Table1[[#This Row],[qt]])</f>
        <v>3.5757112268106139</v>
      </c>
      <c r="R321" s="1">
        <v>2</v>
      </c>
    </row>
    <row r="322" spans="1:18" x14ac:dyDescent="0.3">
      <c r="A322" s="1">
        <v>321</v>
      </c>
      <c r="B322" s="1" t="s">
        <v>16</v>
      </c>
      <c r="C322" s="1">
        <v>2</v>
      </c>
      <c r="D322" s="1">
        <v>30</v>
      </c>
      <c r="E322" s="1">
        <v>200</v>
      </c>
      <c r="F322" s="1">
        <v>7</v>
      </c>
      <c r="G322" s="1">
        <v>25</v>
      </c>
      <c r="H322" s="1">
        <v>150</v>
      </c>
      <c r="I322" s="1">
        <v>100</v>
      </c>
      <c r="J322" s="1">
        <v>44.23</v>
      </c>
      <c r="K322" s="1">
        <v>111.54</v>
      </c>
      <c r="L322" s="1">
        <v>44.23</v>
      </c>
      <c r="M322" s="1">
        <v>65.099999999999994</v>
      </c>
      <c r="N322" s="1">
        <v>4.8189999999999997E-2</v>
      </c>
      <c r="O322" s="1">
        <v>3.2870000000000002E-4</v>
      </c>
      <c r="P322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13.432424899263625</v>
      </c>
      <c r="Q322" s="1">
        <f>LN(Table1[[#This Row],[qe_mg_g]]-Table1[[#This Row],[qt]])</f>
        <v>3.4274359563845485</v>
      </c>
      <c r="R322" s="1">
        <v>3</v>
      </c>
    </row>
    <row r="323" spans="1:18" x14ac:dyDescent="0.3">
      <c r="A323" s="1">
        <v>322</v>
      </c>
      <c r="B323" s="1" t="s">
        <v>16</v>
      </c>
      <c r="C323" s="1">
        <v>2</v>
      </c>
      <c r="D323" s="1">
        <v>30</v>
      </c>
      <c r="E323" s="1">
        <v>200</v>
      </c>
      <c r="F323" s="1">
        <v>11</v>
      </c>
      <c r="G323" s="1">
        <v>25</v>
      </c>
      <c r="H323" s="1">
        <v>150</v>
      </c>
      <c r="I323" s="1">
        <v>100</v>
      </c>
      <c r="J323" s="1">
        <v>31.869</v>
      </c>
      <c r="K323" s="1">
        <v>136.26300000000001</v>
      </c>
      <c r="L323" s="1">
        <v>31.87</v>
      </c>
      <c r="M323" s="1">
        <v>53.4</v>
      </c>
      <c r="N323" s="1">
        <v>3.6740000000000002E-2</v>
      </c>
      <c r="O323" s="1">
        <v>3.1520000000000002E-4</v>
      </c>
      <c r="P323" s="1">
        <f>(Table1[[#This Row],[Rate_Constant_k2_g_mg_min]]*Table1[[#This Row],[Contact_Time_min]]*Table1[[#This Row],[qe_mg_g]]^2)/(1+Table1[[#This Row],[Contact_Time_min]]*Table1[[#This Row],[qe_mg_g]]*Table1[[#This Row],[Rate_Constant_k2_g_mg_min]])</f>
        <v>7.3798771141484609</v>
      </c>
      <c r="Q323" s="1">
        <f>LN(Table1[[#This Row],[qe_mg_g]]-Table1[[#This Row],[qt]])</f>
        <v>3.1982290551267614</v>
      </c>
      <c r="R323" s="1">
        <v>1</v>
      </c>
    </row>
    <row r="324" spans="1:18" x14ac:dyDescent="0.3">
      <c r="A324" s="1">
        <v>323</v>
      </c>
      <c r="B324" s="1" t="s">
        <v>16</v>
      </c>
      <c r="C324" s="1">
        <v>2</v>
      </c>
      <c r="D324" s="1">
        <v>30</v>
      </c>
      <c r="E324" s="1">
        <v>200</v>
      </c>
      <c r="F324" s="1">
        <v>11</v>
      </c>
      <c r="G324" s="1">
        <v>25</v>
      </c>
      <c r="H324" s="1">
        <v>150</v>
      </c>
      <c r="I324" s="1">
        <v>100</v>
      </c>
      <c r="J324" s="1">
        <v>31.004999999999999</v>
      </c>
      <c r="K324" s="1">
        <v>137.989</v>
      </c>
      <c r="L324" s="1">
        <v>31.01</v>
      </c>
      <c r="M324" s="1">
        <v>45.1</v>
      </c>
      <c r="N324" s="1">
        <v>4.675E-2</v>
      </c>
      <c r="O324" s="1">
        <v>3.748E-4</v>
      </c>
      <c r="P324" s="1">
        <f>(Table1[[#This Row],[Rate_Constant_k2_g_mg_min]]*Table1[[#This Row],[Contact_Time_min]]*Table1[[#This Row],[qe_mg_g]]^2)/(1+Table1[[#This Row],[Contact_Time_min]]*Table1[[#This Row],[qe_mg_g]]*Table1[[#This Row],[Rate_Constant_k2_g_mg_min]])</f>
        <v>8.0148360233691296</v>
      </c>
      <c r="Q324" s="1">
        <f>LN(Table1[[#This Row],[qe_mg_g]]-Table1[[#This Row],[qt]])</f>
        <v>3.1350664712694827</v>
      </c>
      <c r="R324" s="1">
        <v>2</v>
      </c>
    </row>
    <row r="325" spans="1:18" x14ac:dyDescent="0.3">
      <c r="A325" s="1">
        <v>324</v>
      </c>
      <c r="B325" s="1" t="s">
        <v>16</v>
      </c>
      <c r="C325" s="1">
        <v>2</v>
      </c>
      <c r="D325" s="1">
        <v>30</v>
      </c>
      <c r="E325" s="1">
        <v>200</v>
      </c>
      <c r="F325" s="1">
        <v>11</v>
      </c>
      <c r="G325" s="1">
        <v>25</v>
      </c>
      <c r="H325" s="1">
        <v>150</v>
      </c>
      <c r="I325" s="1">
        <v>100</v>
      </c>
      <c r="J325" s="1">
        <v>33.991</v>
      </c>
      <c r="K325" s="1">
        <v>132.01900000000001</v>
      </c>
      <c r="L325" s="1">
        <v>33.99</v>
      </c>
      <c r="M325" s="1">
        <v>75.099999999999994</v>
      </c>
      <c r="N325" s="1">
        <v>4.5370000000000001E-2</v>
      </c>
      <c r="O325" s="1">
        <v>2.9700000000000001E-4</v>
      </c>
      <c r="P325" s="1">
        <f>(Table1[[#This Row],[Rate_Constant_k2_g_mg_min]]*Table1[[#This Row],[Contact_Time_min]]*Table1[[#This Row],[qe_mg_g]]^2)/(1+Table1[[#This Row],[Contact_Time_min]]*Table1[[#This Row],[qe_mg_g]]*Table1[[#This Row],[Rate_Constant_k2_g_mg_min]])</f>
        <v>7.9014700758249647</v>
      </c>
      <c r="Q325" s="1">
        <f>LN(Table1[[#This Row],[qe_mg_g]]-Table1[[#This Row],[qt]])</f>
        <v>3.2615340815150686</v>
      </c>
      <c r="R325" s="1">
        <v>3</v>
      </c>
    </row>
    <row r="326" spans="1:18" x14ac:dyDescent="0.3">
      <c r="A326" s="1">
        <v>325</v>
      </c>
      <c r="B326" s="1" t="s">
        <v>16</v>
      </c>
      <c r="C326" s="1">
        <v>2</v>
      </c>
      <c r="D326" s="1">
        <v>60</v>
      </c>
      <c r="E326" s="1">
        <v>25</v>
      </c>
      <c r="F326" s="1">
        <v>3</v>
      </c>
      <c r="G326" s="1">
        <v>25</v>
      </c>
      <c r="H326" s="1">
        <v>150</v>
      </c>
      <c r="I326" s="1">
        <v>100</v>
      </c>
      <c r="J326" s="1">
        <v>1.3520000000000001</v>
      </c>
      <c r="K326" s="1">
        <v>22.295000000000002</v>
      </c>
      <c r="L326" s="1">
        <v>10.82</v>
      </c>
      <c r="M326" s="1">
        <v>63.8</v>
      </c>
      <c r="N326" s="1">
        <v>4.6199999999999998E-2</v>
      </c>
      <c r="O326" s="1">
        <v>3.0969999999999999E-4</v>
      </c>
      <c r="P32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3.3133698721210067E-2</v>
      </c>
      <c r="Q326" s="1">
        <f>LN(Table1[[#This Row],[qe_mg_g]]-Table1[[#This Row],[qt]])</f>
        <v>0.27677250489684052</v>
      </c>
      <c r="R326" s="1">
        <v>1</v>
      </c>
    </row>
    <row r="327" spans="1:18" x14ac:dyDescent="0.3">
      <c r="A327" s="1">
        <v>326</v>
      </c>
      <c r="B327" s="1" t="s">
        <v>16</v>
      </c>
      <c r="C327" s="1">
        <v>2</v>
      </c>
      <c r="D327" s="1">
        <v>60</v>
      </c>
      <c r="E327" s="1">
        <v>25</v>
      </c>
      <c r="F327" s="1">
        <v>3</v>
      </c>
      <c r="G327" s="1">
        <v>25</v>
      </c>
      <c r="H327" s="1">
        <v>150</v>
      </c>
      <c r="I327" s="1">
        <v>100</v>
      </c>
      <c r="J327" s="1">
        <v>1.1919999999999999</v>
      </c>
      <c r="K327" s="1">
        <v>22.614999999999998</v>
      </c>
      <c r="L327" s="1">
        <v>9.5399999999999991</v>
      </c>
      <c r="M327" s="1">
        <v>76.599999999999994</v>
      </c>
      <c r="N327" s="1">
        <v>4.4209999999999999E-2</v>
      </c>
      <c r="O327" s="1">
        <v>2.7730000000000002E-4</v>
      </c>
      <c r="P32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2.3180605957078659E-2</v>
      </c>
      <c r="Q327" s="1">
        <f>LN(Table1[[#This Row],[qe_mg_g]]-Table1[[#This Row],[qt]])</f>
        <v>0.15599417444033756</v>
      </c>
      <c r="R327" s="1">
        <v>2</v>
      </c>
    </row>
    <row r="328" spans="1:18" x14ac:dyDescent="0.3">
      <c r="A328" s="1">
        <v>327</v>
      </c>
      <c r="B328" s="1" t="s">
        <v>16</v>
      </c>
      <c r="C328" s="1">
        <v>2</v>
      </c>
      <c r="D328" s="1">
        <v>60</v>
      </c>
      <c r="E328" s="1">
        <v>25</v>
      </c>
      <c r="F328" s="1">
        <v>3</v>
      </c>
      <c r="G328" s="1">
        <v>25</v>
      </c>
      <c r="H328" s="1">
        <v>150</v>
      </c>
      <c r="I328" s="1">
        <v>100</v>
      </c>
      <c r="J328" s="1">
        <v>1.3140000000000001</v>
      </c>
      <c r="K328" s="1">
        <v>22.372</v>
      </c>
      <c r="L328" s="1">
        <v>10.51</v>
      </c>
      <c r="M328" s="1">
        <v>57.7</v>
      </c>
      <c r="N328" s="1">
        <v>4.5130000000000003E-2</v>
      </c>
      <c r="O328" s="1">
        <v>2.9970000000000002E-4</v>
      </c>
      <c r="P328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3.0330978360126472E-2</v>
      </c>
      <c r="Q328" s="1">
        <f>LN(Table1[[#This Row],[qe_mg_g]]-Table1[[#This Row],[qt]])</f>
        <v>0.24972240073052565</v>
      </c>
      <c r="R328" s="1">
        <v>3</v>
      </c>
    </row>
    <row r="329" spans="1:18" x14ac:dyDescent="0.3">
      <c r="A329" s="1">
        <v>328</v>
      </c>
      <c r="B329" s="1" t="s">
        <v>16</v>
      </c>
      <c r="C329" s="1">
        <v>2</v>
      </c>
      <c r="D329" s="1">
        <v>60</v>
      </c>
      <c r="E329" s="1">
        <v>25</v>
      </c>
      <c r="F329" s="1">
        <v>7</v>
      </c>
      <c r="G329" s="1">
        <v>25</v>
      </c>
      <c r="H329" s="1">
        <v>150</v>
      </c>
      <c r="I329" s="1">
        <v>100</v>
      </c>
      <c r="J329" s="1">
        <v>2.3239999999999998</v>
      </c>
      <c r="K329" s="1">
        <v>20.353000000000002</v>
      </c>
      <c r="L329" s="1">
        <v>18.59</v>
      </c>
      <c r="M329" s="1">
        <v>71.400000000000006</v>
      </c>
      <c r="N329" s="1">
        <v>4.4889999999999999E-2</v>
      </c>
      <c r="O329" s="1">
        <v>3.2449999999999997E-4</v>
      </c>
      <c r="P32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0.10060480818968673</v>
      </c>
      <c r="Q329" s="1">
        <f>LN(Table1[[#This Row],[qe_mg_g]]-Table1[[#This Row],[qt]])</f>
        <v>0.79903539327582584</v>
      </c>
      <c r="R329" s="1">
        <v>1</v>
      </c>
    </row>
    <row r="330" spans="1:18" x14ac:dyDescent="0.3">
      <c r="A330" s="1">
        <v>329</v>
      </c>
      <c r="B330" s="1" t="s">
        <v>16</v>
      </c>
      <c r="C330" s="1">
        <v>2</v>
      </c>
      <c r="D330" s="1">
        <v>60</v>
      </c>
      <c r="E330" s="1">
        <v>25</v>
      </c>
      <c r="F330" s="1">
        <v>7</v>
      </c>
      <c r="G330" s="1">
        <v>25</v>
      </c>
      <c r="H330" s="1">
        <v>150</v>
      </c>
      <c r="I330" s="1">
        <v>100</v>
      </c>
      <c r="J330" s="1">
        <v>2.3759999999999999</v>
      </c>
      <c r="K330" s="1">
        <v>20.248999999999999</v>
      </c>
      <c r="L330" s="1">
        <v>19</v>
      </c>
      <c r="M330" s="1">
        <v>72.2</v>
      </c>
      <c r="N330" s="1">
        <v>4.505E-2</v>
      </c>
      <c r="O330" s="1">
        <v>2.6059999999999999E-4</v>
      </c>
      <c r="P330" s="1">
        <f>(Table1[[#This Row],[Rate_Constant_k2_g_mg_min]]*Table1[[#This Row],[Contact_Time_min]]*Table1[[#This Row],[qe_mg_g]]^2)/(1+Table1[[#This Row],[Contact_Time_min]]*Table1[[#This Row],[qe_mg_g]]*Table1[[#This Row],[Rate_Constant_k2_g_mg_min]])</f>
        <v>8.5109195826981177E-2</v>
      </c>
      <c r="Q330" s="1">
        <f>LN(Table1[[#This Row],[qe_mg_g]]-Table1[[#This Row],[qt]])</f>
        <v>0.82894073938172008</v>
      </c>
      <c r="R330" s="1">
        <v>2</v>
      </c>
    </row>
    <row r="331" spans="1:18" x14ac:dyDescent="0.3">
      <c r="A331" s="1">
        <v>330</v>
      </c>
      <c r="B331" s="1" t="s">
        <v>16</v>
      </c>
      <c r="C331" s="1">
        <v>2</v>
      </c>
      <c r="D331" s="1">
        <v>60</v>
      </c>
      <c r="E331" s="1">
        <v>25</v>
      </c>
      <c r="F331" s="1">
        <v>7</v>
      </c>
      <c r="G331" s="1">
        <v>25</v>
      </c>
      <c r="H331" s="1">
        <v>150</v>
      </c>
      <c r="I331" s="1">
        <v>100</v>
      </c>
      <c r="J331" s="1">
        <v>1.956</v>
      </c>
      <c r="K331" s="1">
        <v>21.088999999999999</v>
      </c>
      <c r="L331" s="1">
        <v>15.65</v>
      </c>
      <c r="M331" s="1">
        <v>63.6</v>
      </c>
      <c r="N331" s="1">
        <v>4.2259999999999999E-2</v>
      </c>
      <c r="O331" s="1">
        <v>2.944E-4</v>
      </c>
      <c r="P331" s="1">
        <f>(Table1[[#This Row],[Rate_Constant_k2_g_mg_min]]*Table1[[#This Row],[Contact_Time_min]]*Table1[[#This Row],[qe_mg_g]]^2)/(1+Table1[[#This Row],[Contact_Time_min]]*Table1[[#This Row],[qe_mg_g]]*Table1[[#This Row],[Rate_Constant_k2_g_mg_min]])</f>
        <v>6.5324326798828283E-2</v>
      </c>
      <c r="Q331" s="1">
        <f>LN(Table1[[#This Row],[qe_mg_g]]-Table1[[#This Row],[qt]])</f>
        <v>0.63693426423223121</v>
      </c>
      <c r="R331" s="1">
        <v>3</v>
      </c>
    </row>
    <row r="332" spans="1:18" x14ac:dyDescent="0.3">
      <c r="A332" s="1">
        <v>331</v>
      </c>
      <c r="B332" s="1" t="s">
        <v>16</v>
      </c>
      <c r="C332" s="1">
        <v>2</v>
      </c>
      <c r="D332" s="1">
        <v>60</v>
      </c>
      <c r="E332" s="1">
        <v>25</v>
      </c>
      <c r="F332" s="1">
        <v>11</v>
      </c>
      <c r="G332" s="1">
        <v>25</v>
      </c>
      <c r="H332" s="1">
        <v>150</v>
      </c>
      <c r="I332" s="1">
        <v>100</v>
      </c>
      <c r="J332" s="1">
        <v>1.595</v>
      </c>
      <c r="K332" s="1">
        <v>21.81</v>
      </c>
      <c r="L332" s="1">
        <v>12.76</v>
      </c>
      <c r="M332" s="1">
        <v>72</v>
      </c>
      <c r="N332" s="1">
        <v>4.4679999999999997E-2</v>
      </c>
      <c r="O332" s="1">
        <v>3.146E-4</v>
      </c>
      <c r="P332" s="1">
        <f>(Table1[[#This Row],[Rate_Constant_k2_g_mg_min]]*Table1[[#This Row],[Contact_Time_min]]*Table1[[#This Row],[qe_mg_g]]^2)/(1+Table1[[#This Row],[Contact_Time_min]]*Table1[[#This Row],[qe_mg_g]]*Table1[[#This Row],[Rate_Constant_k2_g_mg_min]])</f>
        <v>4.6617492788760373E-2</v>
      </c>
      <c r="Q332" s="1">
        <f>LN(Table1[[#This Row],[qe_mg_g]]-Table1[[#This Row],[qt]])</f>
        <v>0.43721084232561064</v>
      </c>
      <c r="R332" s="1">
        <v>1</v>
      </c>
    </row>
    <row r="333" spans="1:18" x14ac:dyDescent="0.3">
      <c r="A333" s="1">
        <v>332</v>
      </c>
      <c r="B333" s="1" t="s">
        <v>16</v>
      </c>
      <c r="C333" s="1">
        <v>2</v>
      </c>
      <c r="D333" s="1">
        <v>60</v>
      </c>
      <c r="E333" s="1">
        <v>25</v>
      </c>
      <c r="F333" s="1">
        <v>11</v>
      </c>
      <c r="G333" s="1">
        <v>25</v>
      </c>
      <c r="H333" s="1">
        <v>150</v>
      </c>
      <c r="I333" s="1">
        <v>100</v>
      </c>
      <c r="J333" s="1">
        <v>1.5960000000000001</v>
      </c>
      <c r="K333" s="1">
        <v>21.808</v>
      </c>
      <c r="L333" s="1">
        <v>12.77</v>
      </c>
      <c r="M333" s="1">
        <v>46.9</v>
      </c>
      <c r="N333" s="1">
        <v>4.0770000000000001E-2</v>
      </c>
      <c r="O333" s="1">
        <v>2.9569999999999998E-4</v>
      </c>
      <c r="P33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4.3948257224437154E-2</v>
      </c>
      <c r="Q333" s="1">
        <f>LN(Table1[[#This Row],[qe_mg_g]]-Table1[[#This Row],[qt]])</f>
        <v>0.43957776062252513</v>
      </c>
      <c r="R333" s="1">
        <v>2</v>
      </c>
    </row>
    <row r="334" spans="1:18" x14ac:dyDescent="0.3">
      <c r="A334" s="1">
        <v>333</v>
      </c>
      <c r="B334" s="1" t="s">
        <v>16</v>
      </c>
      <c r="C334" s="1">
        <v>2</v>
      </c>
      <c r="D334" s="1">
        <v>60</v>
      </c>
      <c r="E334" s="1">
        <v>25</v>
      </c>
      <c r="F334" s="1">
        <v>11</v>
      </c>
      <c r="G334" s="1">
        <v>25</v>
      </c>
      <c r="H334" s="1">
        <v>150</v>
      </c>
      <c r="I334" s="1">
        <v>100</v>
      </c>
      <c r="J334" s="1">
        <v>1.4339999999999999</v>
      </c>
      <c r="K334" s="1">
        <v>22.132000000000001</v>
      </c>
      <c r="L334" s="1">
        <v>11.47</v>
      </c>
      <c r="M334" s="1">
        <v>72.7</v>
      </c>
      <c r="N334" s="1">
        <v>5.1889999999999999E-2</v>
      </c>
      <c r="O334" s="1">
        <v>3.366E-4</v>
      </c>
      <c r="P33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4.0361260721134523E-2</v>
      </c>
      <c r="Q334" s="1">
        <f>LN(Table1[[#This Row],[qe_mg_g]]-Table1[[#This Row],[qt]])</f>
        <v>0.33191812471974536</v>
      </c>
      <c r="R334" s="1">
        <v>3</v>
      </c>
    </row>
    <row r="335" spans="1:18" x14ac:dyDescent="0.3">
      <c r="A335" s="1">
        <v>334</v>
      </c>
      <c r="B335" s="1" t="s">
        <v>16</v>
      </c>
      <c r="C335" s="1">
        <v>2</v>
      </c>
      <c r="D335" s="1">
        <v>60</v>
      </c>
      <c r="E335" s="1">
        <v>50</v>
      </c>
      <c r="F335" s="1">
        <v>3</v>
      </c>
      <c r="G335" s="1">
        <v>25</v>
      </c>
      <c r="H335" s="1">
        <v>150</v>
      </c>
      <c r="I335" s="1">
        <v>100</v>
      </c>
      <c r="J335" s="1">
        <v>4.3289999999999997</v>
      </c>
      <c r="K335" s="1">
        <v>41.343000000000004</v>
      </c>
      <c r="L335" s="1">
        <v>17.309999999999999</v>
      </c>
      <c r="M335" s="1">
        <v>81.599999999999994</v>
      </c>
      <c r="N335" s="1">
        <v>4.5670000000000002E-2</v>
      </c>
      <c r="O335" s="1">
        <v>2.899E-4</v>
      </c>
      <c r="P33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0.30314160557106484</v>
      </c>
      <c r="Q335" s="1">
        <f>LN(Table1[[#This Row],[qe_mg_g]]-Table1[[#This Row],[qt]])</f>
        <v>1.3927381538292607</v>
      </c>
      <c r="R335" s="1">
        <v>1</v>
      </c>
    </row>
    <row r="336" spans="1:18" x14ac:dyDescent="0.3">
      <c r="A336" s="1">
        <v>335</v>
      </c>
      <c r="B336" s="1" t="s">
        <v>16</v>
      </c>
      <c r="C336" s="1">
        <v>2</v>
      </c>
      <c r="D336" s="1">
        <v>60</v>
      </c>
      <c r="E336" s="1">
        <v>50</v>
      </c>
      <c r="F336" s="1">
        <v>3</v>
      </c>
      <c r="G336" s="1">
        <v>25</v>
      </c>
      <c r="H336" s="1">
        <v>150</v>
      </c>
      <c r="I336" s="1">
        <v>100</v>
      </c>
      <c r="J336" s="1">
        <v>4.1879999999999997</v>
      </c>
      <c r="K336" s="1">
        <v>41.625</v>
      </c>
      <c r="L336" s="1">
        <v>16.75</v>
      </c>
      <c r="M336" s="1">
        <v>63.6</v>
      </c>
      <c r="N336" s="1">
        <v>4.3249999999999997E-2</v>
      </c>
      <c r="O336" s="1">
        <v>3.0509999999999999E-4</v>
      </c>
      <c r="P33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0.29821260448490916</v>
      </c>
      <c r="Q336" s="1">
        <f>LN(Table1[[#This Row],[qe_mg_g]]-Table1[[#This Row],[qt]])</f>
        <v>1.3583545020275334</v>
      </c>
      <c r="R336" s="1">
        <v>2</v>
      </c>
    </row>
    <row r="337" spans="1:18" x14ac:dyDescent="0.3">
      <c r="A337" s="1">
        <v>336</v>
      </c>
      <c r="B337" s="1" t="s">
        <v>16</v>
      </c>
      <c r="C337" s="1">
        <v>2</v>
      </c>
      <c r="D337" s="1">
        <v>60</v>
      </c>
      <c r="E337" s="1">
        <v>50</v>
      </c>
      <c r="F337" s="1">
        <v>3</v>
      </c>
      <c r="G337" s="1">
        <v>25</v>
      </c>
      <c r="H337" s="1">
        <v>150</v>
      </c>
      <c r="I337" s="1">
        <v>100</v>
      </c>
      <c r="J337" s="1">
        <v>4.46</v>
      </c>
      <c r="K337" s="1">
        <v>41.079000000000001</v>
      </c>
      <c r="L337" s="1">
        <v>17.84</v>
      </c>
      <c r="M337" s="1">
        <v>66.7</v>
      </c>
      <c r="N337" s="1">
        <v>4.6969999999999998E-2</v>
      </c>
      <c r="O337" s="1">
        <v>3.3569999999999997E-4</v>
      </c>
      <c r="P33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0.36763108619215279</v>
      </c>
      <c r="Q337" s="1">
        <f>LN(Table1[[#This Row],[qe_mg_g]]-Table1[[#This Row],[qt]])</f>
        <v>1.4091239989151756</v>
      </c>
      <c r="R337" s="1">
        <v>3</v>
      </c>
    </row>
    <row r="338" spans="1:18" x14ac:dyDescent="0.3">
      <c r="A338" s="1">
        <v>337</v>
      </c>
      <c r="B338" s="1" t="s">
        <v>16</v>
      </c>
      <c r="C338" s="1">
        <v>2</v>
      </c>
      <c r="D338" s="1">
        <v>60</v>
      </c>
      <c r="E338" s="1">
        <v>50</v>
      </c>
      <c r="F338" s="1">
        <v>7</v>
      </c>
      <c r="G338" s="1">
        <v>25</v>
      </c>
      <c r="H338" s="1">
        <v>150</v>
      </c>
      <c r="I338" s="1">
        <v>100</v>
      </c>
      <c r="J338" s="1">
        <v>7.7770000000000001</v>
      </c>
      <c r="K338" s="1">
        <v>34.445999999999998</v>
      </c>
      <c r="L338" s="1">
        <v>31.11</v>
      </c>
      <c r="M338" s="1">
        <v>51.8</v>
      </c>
      <c r="N338" s="1">
        <v>3.3509999999999998E-2</v>
      </c>
      <c r="O338" s="1">
        <v>3.28E-4</v>
      </c>
      <c r="P33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1.0322874314289001</v>
      </c>
      <c r="Q338" s="1">
        <f>LN(Table1[[#This Row],[qe_mg_g]]-Table1[[#This Row],[qt]])</f>
        <v>1.90875887475188</v>
      </c>
      <c r="R338" s="1">
        <v>1</v>
      </c>
    </row>
    <row r="339" spans="1:18" x14ac:dyDescent="0.3">
      <c r="A339" s="1">
        <v>338</v>
      </c>
      <c r="B339" s="1" t="s">
        <v>16</v>
      </c>
      <c r="C339" s="1">
        <v>2</v>
      </c>
      <c r="D339" s="1">
        <v>60</v>
      </c>
      <c r="E339" s="1">
        <v>50</v>
      </c>
      <c r="F339" s="1">
        <v>7</v>
      </c>
      <c r="G339" s="1">
        <v>25</v>
      </c>
      <c r="H339" s="1">
        <v>150</v>
      </c>
      <c r="I339" s="1">
        <v>100</v>
      </c>
      <c r="J339" s="1">
        <v>6.4370000000000003</v>
      </c>
      <c r="K339" s="1">
        <v>37.125</v>
      </c>
      <c r="L339" s="1">
        <v>25.75</v>
      </c>
      <c r="M339" s="1">
        <v>64.400000000000006</v>
      </c>
      <c r="N339" s="1">
        <v>3.9730000000000001E-2</v>
      </c>
      <c r="O339" s="1">
        <v>2.4590000000000001E-4</v>
      </c>
      <c r="P33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0.55830816942963035</v>
      </c>
      <c r="Q339" s="1">
        <f>LN(Table1[[#This Row],[qe_mg_g]]-Table1[[#This Row],[qt]])</f>
        <v>1.7713342593645252</v>
      </c>
      <c r="R339" s="1">
        <v>2</v>
      </c>
    </row>
    <row r="340" spans="1:18" x14ac:dyDescent="0.3">
      <c r="A340" s="1">
        <v>339</v>
      </c>
      <c r="B340" s="1" t="s">
        <v>16</v>
      </c>
      <c r="C340" s="1">
        <v>2</v>
      </c>
      <c r="D340" s="1">
        <v>60</v>
      </c>
      <c r="E340" s="1">
        <v>50</v>
      </c>
      <c r="F340" s="1">
        <v>7</v>
      </c>
      <c r="G340" s="1">
        <v>25</v>
      </c>
      <c r="H340" s="1">
        <v>150</v>
      </c>
      <c r="I340" s="1">
        <v>100</v>
      </c>
      <c r="J340" s="1">
        <v>7.5410000000000004</v>
      </c>
      <c r="K340" s="1">
        <v>34.917999999999999</v>
      </c>
      <c r="L340" s="1">
        <v>30.16</v>
      </c>
      <c r="M340" s="1">
        <v>74.3</v>
      </c>
      <c r="N340" s="1">
        <v>4.2410000000000003E-2</v>
      </c>
      <c r="O340" s="1">
        <v>2.2230000000000001E-4</v>
      </c>
      <c r="P34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0.68916981110004827</v>
      </c>
      <c r="Q340" s="1">
        <f>LN(Table1[[#This Row],[qe_mg_g]]-Table1[[#This Row],[qt]])</f>
        <v>1.9245157974489908</v>
      </c>
      <c r="R340" s="1">
        <v>3</v>
      </c>
    </row>
    <row r="341" spans="1:18" x14ac:dyDescent="0.3">
      <c r="A341" s="1">
        <v>340</v>
      </c>
      <c r="B341" s="1" t="s">
        <v>16</v>
      </c>
      <c r="C341" s="1">
        <v>2</v>
      </c>
      <c r="D341" s="1">
        <v>60</v>
      </c>
      <c r="E341" s="1">
        <v>50</v>
      </c>
      <c r="F341" s="1">
        <v>11</v>
      </c>
      <c r="G341" s="1">
        <v>25</v>
      </c>
      <c r="H341" s="1">
        <v>150</v>
      </c>
      <c r="I341" s="1">
        <v>100</v>
      </c>
      <c r="J341" s="1">
        <v>5.2350000000000003</v>
      </c>
      <c r="K341" s="1">
        <v>39.53</v>
      </c>
      <c r="L341" s="1">
        <v>20.94</v>
      </c>
      <c r="M341" s="1">
        <v>70.599999999999994</v>
      </c>
      <c r="N341" s="1">
        <v>3.8339999999999999E-2</v>
      </c>
      <c r="O341" s="1">
        <v>3.055E-4</v>
      </c>
      <c r="P34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0.45835513816205747</v>
      </c>
      <c r="Q341" s="1">
        <f>LN(Table1[[#This Row],[qe_mg_g]]-Table1[[#This Row],[qt]])</f>
        <v>1.5637383882985949</v>
      </c>
      <c r="R341" s="1">
        <v>1</v>
      </c>
    </row>
    <row r="342" spans="1:18" x14ac:dyDescent="0.3">
      <c r="A342" s="1">
        <v>341</v>
      </c>
      <c r="B342" s="1" t="s">
        <v>16</v>
      </c>
      <c r="C342" s="1">
        <v>2</v>
      </c>
      <c r="D342" s="1">
        <v>60</v>
      </c>
      <c r="E342" s="1">
        <v>50</v>
      </c>
      <c r="F342" s="1">
        <v>11</v>
      </c>
      <c r="G342" s="1">
        <v>25</v>
      </c>
      <c r="H342" s="1">
        <v>150</v>
      </c>
      <c r="I342" s="1">
        <v>100</v>
      </c>
      <c r="J342" s="1">
        <v>5.468</v>
      </c>
      <c r="K342" s="1">
        <v>39.064999999999998</v>
      </c>
      <c r="L342" s="1">
        <v>21.87</v>
      </c>
      <c r="M342" s="1">
        <v>72.5</v>
      </c>
      <c r="N342" s="1">
        <v>4.5539999999999997E-2</v>
      </c>
      <c r="O342" s="1">
        <v>2.7080000000000002E-4</v>
      </c>
      <c r="P34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0.44616061933364237</v>
      </c>
      <c r="Q342" s="1">
        <f>LN(Table1[[#This Row],[qe_mg_g]]-Table1[[#This Row],[qt]])</f>
        <v>1.6137962770830132</v>
      </c>
      <c r="R342" s="1">
        <v>2</v>
      </c>
    </row>
    <row r="343" spans="1:18" x14ac:dyDescent="0.3">
      <c r="A343" s="1">
        <v>342</v>
      </c>
      <c r="B343" s="1" t="s">
        <v>16</v>
      </c>
      <c r="C343" s="1">
        <v>2</v>
      </c>
      <c r="D343" s="1">
        <v>60</v>
      </c>
      <c r="E343" s="1">
        <v>50</v>
      </c>
      <c r="F343" s="1">
        <v>11</v>
      </c>
      <c r="G343" s="1">
        <v>25</v>
      </c>
      <c r="H343" s="1">
        <v>150</v>
      </c>
      <c r="I343" s="1">
        <v>100</v>
      </c>
      <c r="J343" s="1">
        <v>5.9980000000000002</v>
      </c>
      <c r="K343" s="1">
        <v>38.003</v>
      </c>
      <c r="L343" s="1">
        <v>23.99</v>
      </c>
      <c r="M343" s="1">
        <v>65.099999999999994</v>
      </c>
      <c r="N343" s="1">
        <v>4.4880000000000003E-2</v>
      </c>
      <c r="O343" s="1">
        <v>2.72E-4</v>
      </c>
      <c r="P34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0.53478016659195349</v>
      </c>
      <c r="Q343" s="1">
        <f>LN(Table1[[#This Row],[qe_mg_g]]-Table1[[#This Row],[qt]])</f>
        <v>1.6980383290227827</v>
      </c>
      <c r="R343" s="1">
        <v>3</v>
      </c>
    </row>
    <row r="344" spans="1:18" x14ac:dyDescent="0.3">
      <c r="A344" s="1">
        <v>343</v>
      </c>
      <c r="B344" s="1" t="s">
        <v>16</v>
      </c>
      <c r="C344" s="1">
        <v>2</v>
      </c>
      <c r="D344" s="1">
        <v>60</v>
      </c>
      <c r="E344" s="1">
        <v>100</v>
      </c>
      <c r="F344" s="1">
        <v>3</v>
      </c>
      <c r="G344" s="1">
        <v>25</v>
      </c>
      <c r="H344" s="1">
        <v>150</v>
      </c>
      <c r="I344" s="1">
        <v>100</v>
      </c>
      <c r="J344" s="1">
        <v>13.558</v>
      </c>
      <c r="K344" s="1">
        <v>72.882999999999996</v>
      </c>
      <c r="L344" s="1">
        <v>27.12</v>
      </c>
      <c r="M344" s="1">
        <v>57.8</v>
      </c>
      <c r="N344" s="1">
        <v>4.4220000000000002E-2</v>
      </c>
      <c r="O344" s="1">
        <v>3.5139999999999998E-4</v>
      </c>
      <c r="P34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3.0140582167188508</v>
      </c>
      <c r="Q344" s="1">
        <f>LN(Table1[[#This Row],[qe_mg_g]]-Table1[[#This Row],[qt]])</f>
        <v>2.3555514564324231</v>
      </c>
      <c r="R344" s="1">
        <v>1</v>
      </c>
    </row>
    <row r="345" spans="1:18" x14ac:dyDescent="0.3">
      <c r="A345" s="1">
        <v>344</v>
      </c>
      <c r="B345" s="1" t="s">
        <v>16</v>
      </c>
      <c r="C345" s="1">
        <v>2</v>
      </c>
      <c r="D345" s="1">
        <v>60</v>
      </c>
      <c r="E345" s="1">
        <v>100</v>
      </c>
      <c r="F345" s="1">
        <v>3</v>
      </c>
      <c r="G345" s="1">
        <v>25</v>
      </c>
      <c r="H345" s="1">
        <v>150</v>
      </c>
      <c r="I345" s="1">
        <v>100</v>
      </c>
      <c r="J345" s="1">
        <v>12.513999999999999</v>
      </c>
      <c r="K345" s="1">
        <v>74.971999999999994</v>
      </c>
      <c r="L345" s="1">
        <v>25.03</v>
      </c>
      <c r="M345" s="1">
        <v>50.5</v>
      </c>
      <c r="N345" s="1">
        <v>5.1619999999999999E-2</v>
      </c>
      <c r="O345" s="1">
        <v>2.9369999999999998E-4</v>
      </c>
      <c r="P34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2.2610074329886478</v>
      </c>
      <c r="Q345" s="1">
        <f>LN(Table1[[#This Row],[qe_mg_g]]-Table1[[#This Row],[qt]])</f>
        <v>2.3275696207302499</v>
      </c>
      <c r="R345" s="1">
        <v>2</v>
      </c>
    </row>
    <row r="346" spans="1:18" x14ac:dyDescent="0.3">
      <c r="A346" s="1">
        <v>345</v>
      </c>
      <c r="B346" s="1" t="s">
        <v>16</v>
      </c>
      <c r="C346" s="1">
        <v>2</v>
      </c>
      <c r="D346" s="1">
        <v>60</v>
      </c>
      <c r="E346" s="1">
        <v>100</v>
      </c>
      <c r="F346" s="1">
        <v>3</v>
      </c>
      <c r="G346" s="1">
        <v>25</v>
      </c>
      <c r="H346" s="1">
        <v>150</v>
      </c>
      <c r="I346" s="1">
        <v>100</v>
      </c>
      <c r="J346" s="1">
        <v>13.305</v>
      </c>
      <c r="K346" s="1">
        <v>73.391000000000005</v>
      </c>
      <c r="L346" s="1">
        <v>26.61</v>
      </c>
      <c r="M346" s="1">
        <v>77.099999999999994</v>
      </c>
      <c r="N346" s="1">
        <v>4.2270000000000002E-2</v>
      </c>
      <c r="O346" s="1">
        <v>3.548E-4</v>
      </c>
      <c r="P34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2.9366879431235779</v>
      </c>
      <c r="Q346" s="1">
        <f>LN(Table1[[#This Row],[qe_mg_g]]-Table1[[#This Row],[qt]])</f>
        <v>2.3387542372353392</v>
      </c>
      <c r="R346" s="1">
        <v>3</v>
      </c>
    </row>
    <row r="347" spans="1:18" x14ac:dyDescent="0.3">
      <c r="A347" s="1">
        <v>346</v>
      </c>
      <c r="B347" s="1" t="s">
        <v>16</v>
      </c>
      <c r="C347" s="1">
        <v>2</v>
      </c>
      <c r="D347" s="1">
        <v>60</v>
      </c>
      <c r="E347" s="1">
        <v>100</v>
      </c>
      <c r="F347" s="1">
        <v>7</v>
      </c>
      <c r="G347" s="1">
        <v>25</v>
      </c>
      <c r="H347" s="1">
        <v>150</v>
      </c>
      <c r="I347" s="1">
        <v>100</v>
      </c>
      <c r="J347" s="1">
        <v>23.253</v>
      </c>
      <c r="K347" s="1">
        <v>53.494999999999997</v>
      </c>
      <c r="L347" s="1">
        <v>46.51</v>
      </c>
      <c r="M347" s="1">
        <v>61.8</v>
      </c>
      <c r="N347" s="1">
        <v>5.4710000000000002E-2</v>
      </c>
      <c r="O347" s="1">
        <v>2.8180000000000002E-4</v>
      </c>
      <c r="P347" s="1">
        <f>(Table1[[#This Row],[Rate_Constant_k2_g_mg_min]]*Table1[[#This Row],[Contact_Time_min]]*Table1[[#This Row],[qe_mg_g]]^2)/(1+Table1[[#This Row],[Contact_Time_min]]*Table1[[#This Row],[qe_mg_g]]*Table1[[#This Row],[Rate_Constant_k2_g_mg_min]])</f>
        <v>6.5621883021041123</v>
      </c>
      <c r="Q347" s="1">
        <f>LN(Table1[[#This Row],[qe_mg_g]]-Table1[[#This Row],[qt]])</f>
        <v>2.8148583702776118</v>
      </c>
      <c r="R347" s="1">
        <v>1</v>
      </c>
    </row>
    <row r="348" spans="1:18" x14ac:dyDescent="0.3">
      <c r="A348" s="1">
        <v>347</v>
      </c>
      <c r="B348" s="1" t="s">
        <v>16</v>
      </c>
      <c r="C348" s="1">
        <v>2</v>
      </c>
      <c r="D348" s="1">
        <v>60</v>
      </c>
      <c r="E348" s="1">
        <v>100</v>
      </c>
      <c r="F348" s="1">
        <v>7</v>
      </c>
      <c r="G348" s="1">
        <v>25</v>
      </c>
      <c r="H348" s="1">
        <v>150</v>
      </c>
      <c r="I348" s="1">
        <v>100</v>
      </c>
      <c r="J348" s="1">
        <v>23.366</v>
      </c>
      <c r="K348" s="1">
        <v>53.268000000000001</v>
      </c>
      <c r="L348" s="1">
        <v>46.73</v>
      </c>
      <c r="M348" s="1">
        <v>69.7</v>
      </c>
      <c r="N348" s="1">
        <v>5.0860000000000002E-2</v>
      </c>
      <c r="O348" s="1">
        <v>3.4680000000000003E-4</v>
      </c>
      <c r="P348" s="1">
        <f>(Table1[[#This Row],[Rate_Constant_k2_g_mg_min]]*Table1[[#This Row],[Contact_Time_min]]*Table1[[#This Row],[qe_mg_g]]^2)/(1+Table1[[#This Row],[Contact_Time_min]]*Table1[[#This Row],[qe_mg_g]]*Table1[[#This Row],[Rate_Constant_k2_g_mg_min]])</f>
        <v>7.6440216146022602</v>
      </c>
      <c r="Q348" s="1">
        <f>LN(Table1[[#This Row],[qe_mg_g]]-Table1[[#This Row],[qt]])</f>
        <v>2.7550596305708321</v>
      </c>
      <c r="R348" s="1">
        <v>2</v>
      </c>
    </row>
    <row r="349" spans="1:18" x14ac:dyDescent="0.3">
      <c r="A349" s="1">
        <v>348</v>
      </c>
      <c r="B349" s="1" t="s">
        <v>16</v>
      </c>
      <c r="C349" s="1">
        <v>2</v>
      </c>
      <c r="D349" s="1">
        <v>60</v>
      </c>
      <c r="E349" s="1">
        <v>100</v>
      </c>
      <c r="F349" s="1">
        <v>7</v>
      </c>
      <c r="G349" s="1">
        <v>25</v>
      </c>
      <c r="H349" s="1">
        <v>150</v>
      </c>
      <c r="I349" s="1">
        <v>100</v>
      </c>
      <c r="J349" s="1">
        <v>22.113</v>
      </c>
      <c r="K349" s="1">
        <v>55.774000000000001</v>
      </c>
      <c r="L349" s="1">
        <v>44.23</v>
      </c>
      <c r="M349" s="1">
        <v>59.1</v>
      </c>
      <c r="N349" s="1">
        <v>4.7070000000000001E-2</v>
      </c>
      <c r="O349" s="1">
        <v>2.7970000000000002E-4</v>
      </c>
      <c r="P349" s="1">
        <f>(Table1[[#This Row],[Rate_Constant_k2_g_mg_min]]*Table1[[#This Row],[Contact_Time_min]]*Table1[[#This Row],[qe_mg_g]]^2)/(1+Table1[[#This Row],[Contact_Time_min]]*Table1[[#This Row],[qe_mg_g]]*Table1[[#This Row],[Rate_Constant_k2_g_mg_min]])</f>
        <v>5.9850778227842731</v>
      </c>
      <c r="Q349" s="1">
        <f>LN(Table1[[#This Row],[qe_mg_g]]-Table1[[#This Row],[qt]])</f>
        <v>2.7805520665558707</v>
      </c>
      <c r="R349" s="1">
        <v>3</v>
      </c>
    </row>
    <row r="350" spans="1:18" x14ac:dyDescent="0.3">
      <c r="A350" s="1">
        <v>349</v>
      </c>
      <c r="B350" s="1" t="s">
        <v>16</v>
      </c>
      <c r="C350" s="1">
        <v>2</v>
      </c>
      <c r="D350" s="1">
        <v>60</v>
      </c>
      <c r="E350" s="1">
        <v>100</v>
      </c>
      <c r="F350" s="1">
        <v>11</v>
      </c>
      <c r="G350" s="1">
        <v>25</v>
      </c>
      <c r="H350" s="1">
        <v>150</v>
      </c>
      <c r="I350" s="1">
        <v>100</v>
      </c>
      <c r="J350" s="1">
        <v>19.905000000000001</v>
      </c>
      <c r="K350" s="1">
        <v>60.191000000000003</v>
      </c>
      <c r="L350" s="1">
        <v>39.81</v>
      </c>
      <c r="M350" s="1">
        <v>68</v>
      </c>
      <c r="N350" s="1">
        <v>4.3360000000000003E-2</v>
      </c>
      <c r="O350" s="1">
        <v>3.055E-4</v>
      </c>
      <c r="P350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5.3210722064515625</v>
      </c>
      <c r="Q350" s="1">
        <f>LN(Table1[[#This Row],[qe_mg_g]]-Table1[[#This Row],[qt]])</f>
        <v>2.6799200862909043</v>
      </c>
      <c r="R350" s="1">
        <v>1</v>
      </c>
    </row>
    <row r="351" spans="1:18" x14ac:dyDescent="0.3">
      <c r="A351" s="1">
        <v>350</v>
      </c>
      <c r="B351" s="1" t="s">
        <v>16</v>
      </c>
      <c r="C351" s="1">
        <v>2</v>
      </c>
      <c r="D351" s="1">
        <v>60</v>
      </c>
      <c r="E351" s="1">
        <v>100</v>
      </c>
      <c r="F351" s="1">
        <v>11</v>
      </c>
      <c r="G351" s="1">
        <v>25</v>
      </c>
      <c r="H351" s="1">
        <v>150</v>
      </c>
      <c r="I351" s="1">
        <v>100</v>
      </c>
      <c r="J351" s="1">
        <v>15.295999999999999</v>
      </c>
      <c r="K351" s="1">
        <v>69.408000000000001</v>
      </c>
      <c r="L351" s="1">
        <v>30.59</v>
      </c>
      <c r="M351" s="1">
        <v>57</v>
      </c>
      <c r="N351" s="1">
        <v>5.04E-2</v>
      </c>
      <c r="O351" s="1">
        <v>2.8029999999999998E-4</v>
      </c>
      <c r="P35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3.1297460527123562</v>
      </c>
      <c r="Q351" s="1">
        <f>LN(Table1[[#This Row],[qe_mg_g]]-Table1[[#This Row],[qt]])</f>
        <v>2.4986660492042256</v>
      </c>
      <c r="R351" s="1">
        <v>2</v>
      </c>
    </row>
    <row r="352" spans="1:18" x14ac:dyDescent="0.3">
      <c r="A352" s="1">
        <v>351</v>
      </c>
      <c r="B352" s="1" t="s">
        <v>16</v>
      </c>
      <c r="C352" s="1">
        <v>2</v>
      </c>
      <c r="D352" s="1">
        <v>60</v>
      </c>
      <c r="E352" s="1">
        <v>100</v>
      </c>
      <c r="F352" s="1">
        <v>11</v>
      </c>
      <c r="G352" s="1">
        <v>25</v>
      </c>
      <c r="H352" s="1">
        <v>150</v>
      </c>
      <c r="I352" s="1">
        <v>100</v>
      </c>
      <c r="J352" s="1">
        <v>15.707000000000001</v>
      </c>
      <c r="K352" s="1">
        <v>68.584999999999994</v>
      </c>
      <c r="L352" s="1">
        <v>31.41</v>
      </c>
      <c r="M352" s="1">
        <v>72</v>
      </c>
      <c r="N352" s="1">
        <v>5.0340000000000003E-2</v>
      </c>
      <c r="O352" s="1">
        <v>3.2160000000000001E-4</v>
      </c>
      <c r="P35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3.6532714384928724</v>
      </c>
      <c r="Q352" s="1">
        <f>LN(Table1[[#This Row],[qe_mg_g]]-Table1[[#This Row],[qt]])</f>
        <v>2.4893740362663346</v>
      </c>
      <c r="R352" s="1">
        <v>3</v>
      </c>
    </row>
    <row r="353" spans="1:18" x14ac:dyDescent="0.3">
      <c r="A353" s="1">
        <v>352</v>
      </c>
      <c r="B353" s="1" t="s">
        <v>16</v>
      </c>
      <c r="C353" s="1">
        <v>2</v>
      </c>
      <c r="D353" s="1">
        <v>60</v>
      </c>
      <c r="E353" s="1">
        <v>200</v>
      </c>
      <c r="F353" s="1">
        <v>3</v>
      </c>
      <c r="G353" s="1">
        <v>25</v>
      </c>
      <c r="H353" s="1">
        <v>150</v>
      </c>
      <c r="I353" s="1">
        <v>100</v>
      </c>
      <c r="J353" s="1">
        <v>43.070999999999998</v>
      </c>
      <c r="K353" s="1">
        <v>113.858</v>
      </c>
      <c r="L353" s="1">
        <v>43.07</v>
      </c>
      <c r="M353" s="1">
        <v>59.1</v>
      </c>
      <c r="N353" s="1">
        <v>3.8600000000000002E-2</v>
      </c>
      <c r="O353" s="1">
        <v>3.4499999999999998E-4</v>
      </c>
      <c r="P353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20.301022240258977</v>
      </c>
      <c r="Q353" s="1">
        <f>LN(Table1[[#This Row],[qe_mg_g]]-Table1[[#This Row],[qt]])</f>
        <v>3.1254429033400384</v>
      </c>
      <c r="R353" s="1">
        <v>1</v>
      </c>
    </row>
    <row r="354" spans="1:18" x14ac:dyDescent="0.3">
      <c r="A354" s="1">
        <v>353</v>
      </c>
      <c r="B354" s="1" t="s">
        <v>16</v>
      </c>
      <c r="C354" s="1">
        <v>2</v>
      </c>
      <c r="D354" s="1">
        <v>60</v>
      </c>
      <c r="E354" s="1">
        <v>200</v>
      </c>
      <c r="F354" s="1">
        <v>3</v>
      </c>
      <c r="G354" s="1">
        <v>25</v>
      </c>
      <c r="H354" s="1">
        <v>150</v>
      </c>
      <c r="I354" s="1">
        <v>100</v>
      </c>
      <c r="J354" s="1">
        <v>38.862000000000002</v>
      </c>
      <c r="K354" s="1">
        <v>122.27500000000001</v>
      </c>
      <c r="L354" s="1">
        <v>38.86</v>
      </c>
      <c r="M354" s="1">
        <v>64.2</v>
      </c>
      <c r="N354" s="1">
        <v>5.0979999999999998E-2</v>
      </c>
      <c r="O354" s="1">
        <v>3.167E-4</v>
      </c>
      <c r="P354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16.507677446082603</v>
      </c>
      <c r="Q354" s="1">
        <f>LN(Table1[[#This Row],[qe_mg_g]]-Table1[[#This Row],[qt]])</f>
        <v>3.1070197052194946</v>
      </c>
      <c r="R354" s="1">
        <v>2</v>
      </c>
    </row>
    <row r="355" spans="1:18" x14ac:dyDescent="0.3">
      <c r="A355" s="1">
        <v>354</v>
      </c>
      <c r="B355" s="1" t="s">
        <v>16</v>
      </c>
      <c r="C355" s="1">
        <v>2</v>
      </c>
      <c r="D355" s="1">
        <v>60</v>
      </c>
      <c r="E355" s="1">
        <v>200</v>
      </c>
      <c r="F355" s="1">
        <v>3</v>
      </c>
      <c r="G355" s="1">
        <v>25</v>
      </c>
      <c r="H355" s="1">
        <v>150</v>
      </c>
      <c r="I355" s="1">
        <v>100</v>
      </c>
      <c r="J355" s="1">
        <v>41.347000000000001</v>
      </c>
      <c r="K355" s="1">
        <v>117.306</v>
      </c>
      <c r="L355" s="1">
        <v>41.35</v>
      </c>
      <c r="M355" s="1">
        <v>88.3</v>
      </c>
      <c r="N355" s="1">
        <v>4.2099999999999999E-2</v>
      </c>
      <c r="O355" s="1">
        <v>3.278E-4</v>
      </c>
      <c r="P355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18.543829797797216</v>
      </c>
      <c r="Q355" s="1">
        <f>LN(Table1[[#This Row],[qe_mg_g]]-Table1[[#This Row],[qt]])</f>
        <v>3.1268995702509428</v>
      </c>
      <c r="R355" s="1">
        <v>3</v>
      </c>
    </row>
    <row r="356" spans="1:18" x14ac:dyDescent="0.3">
      <c r="A356" s="1">
        <v>355</v>
      </c>
      <c r="B356" s="1" t="s">
        <v>16</v>
      </c>
      <c r="C356" s="1">
        <v>2</v>
      </c>
      <c r="D356" s="1">
        <v>60</v>
      </c>
      <c r="E356" s="1">
        <v>200</v>
      </c>
      <c r="F356" s="1">
        <v>7</v>
      </c>
      <c r="G356" s="1">
        <v>25</v>
      </c>
      <c r="H356" s="1">
        <v>150</v>
      </c>
      <c r="I356" s="1">
        <v>100</v>
      </c>
      <c r="J356" s="1">
        <v>59.881999999999998</v>
      </c>
      <c r="K356" s="1">
        <v>80.236000000000004</v>
      </c>
      <c r="L356" s="1">
        <v>59.88</v>
      </c>
      <c r="M356" s="1">
        <v>69.400000000000006</v>
      </c>
      <c r="N356" s="1">
        <v>5.1880000000000003E-2</v>
      </c>
      <c r="O356" s="1">
        <v>3.1520000000000002E-4</v>
      </c>
      <c r="P356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31.801190533794717</v>
      </c>
      <c r="Q356" s="1">
        <f>LN(Table1[[#This Row],[qe_mg_g]]-Table1[[#This Row],[qt]])</f>
        <v>3.3350864058861789</v>
      </c>
      <c r="R356" s="1">
        <v>1</v>
      </c>
    </row>
    <row r="357" spans="1:18" x14ac:dyDescent="0.3">
      <c r="A357" s="1">
        <v>356</v>
      </c>
      <c r="B357" s="1" t="s">
        <v>16</v>
      </c>
      <c r="C357" s="1">
        <v>2</v>
      </c>
      <c r="D357" s="1">
        <v>60</v>
      </c>
      <c r="E357" s="1">
        <v>200</v>
      </c>
      <c r="F357" s="1">
        <v>7</v>
      </c>
      <c r="G357" s="1">
        <v>25</v>
      </c>
      <c r="H357" s="1">
        <v>150</v>
      </c>
      <c r="I357" s="1">
        <v>100</v>
      </c>
      <c r="J357" s="1">
        <v>62.177</v>
      </c>
      <c r="K357" s="1">
        <v>75.646000000000001</v>
      </c>
      <c r="L357" s="1">
        <v>62.18</v>
      </c>
      <c r="M357" s="1">
        <v>77.400000000000006</v>
      </c>
      <c r="N357" s="1">
        <v>4.3360000000000003E-2</v>
      </c>
      <c r="O357" s="1">
        <v>2.7480000000000001E-4</v>
      </c>
      <c r="P357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31.474952444565197</v>
      </c>
      <c r="Q357" s="1">
        <f>LN(Table1[[#This Row],[qe_mg_g]]-Table1[[#This Row],[qt]])</f>
        <v>3.4243293479858665</v>
      </c>
      <c r="R357" s="1">
        <v>2</v>
      </c>
    </row>
    <row r="358" spans="1:18" x14ac:dyDescent="0.3">
      <c r="A358" s="1">
        <v>357</v>
      </c>
      <c r="B358" s="1" t="s">
        <v>16</v>
      </c>
      <c r="C358" s="1">
        <v>2</v>
      </c>
      <c r="D358" s="1">
        <v>60</v>
      </c>
      <c r="E358" s="1">
        <v>200</v>
      </c>
      <c r="F358" s="1">
        <v>7</v>
      </c>
      <c r="G358" s="1">
        <v>25</v>
      </c>
      <c r="H358" s="1">
        <v>150</v>
      </c>
      <c r="I358" s="1">
        <v>100</v>
      </c>
      <c r="J358" s="1">
        <v>54.628</v>
      </c>
      <c r="K358" s="1">
        <v>90.745000000000005</v>
      </c>
      <c r="L358" s="1">
        <v>54.63</v>
      </c>
      <c r="M358" s="1">
        <v>47</v>
      </c>
      <c r="N358" s="1">
        <v>5.425E-2</v>
      </c>
      <c r="O358" s="1">
        <v>2.6689999999999998E-4</v>
      </c>
      <c r="P358" s="1">
        <f>(Table1[[#This Row],[Rate_Constant_k2_g_mg_min]]*Table1[[#This Row],[Contact_Time_min]]*Table1[[#This Row],[qe_mg_g]]^2)/(1+Table1[[#This Row],[Contact_Time_min]]*Table1[[#This Row],[qe_mg_g]]*Table1[[#This Row],[Rate_Constant_k2_g_mg_min]])</f>
        <v>25.490157420142033</v>
      </c>
      <c r="Q358" s="1">
        <f>LN(Table1[[#This Row],[qe_mg_g]]-Table1[[#This Row],[qt]])</f>
        <v>3.3720377616452413</v>
      </c>
      <c r="R358" s="1">
        <v>3</v>
      </c>
    </row>
    <row r="359" spans="1:18" x14ac:dyDescent="0.3">
      <c r="A359" s="1">
        <v>358</v>
      </c>
      <c r="B359" s="1" t="s">
        <v>16</v>
      </c>
      <c r="C359" s="1">
        <v>2</v>
      </c>
      <c r="D359" s="1">
        <v>60</v>
      </c>
      <c r="E359" s="1">
        <v>200</v>
      </c>
      <c r="F359" s="1">
        <v>11</v>
      </c>
      <c r="G359" s="1">
        <v>25</v>
      </c>
      <c r="H359" s="1">
        <v>150</v>
      </c>
      <c r="I359" s="1">
        <v>100</v>
      </c>
      <c r="J359" s="1">
        <v>46.781999999999996</v>
      </c>
      <c r="K359" s="1">
        <v>106.43600000000001</v>
      </c>
      <c r="L359" s="1">
        <v>46.78</v>
      </c>
      <c r="M359" s="1">
        <v>63.9</v>
      </c>
      <c r="N359" s="1">
        <v>4.6379999999999998E-2</v>
      </c>
      <c r="O359" s="1">
        <v>3.2449999999999997E-4</v>
      </c>
      <c r="P359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22.299644403639238</v>
      </c>
      <c r="Q359" s="1">
        <f>LN(Table1[[#This Row],[qe_mg_g]]-Table1[[#This Row],[qt]])</f>
        <v>3.1979526783562982</v>
      </c>
      <c r="R359" s="1">
        <v>1</v>
      </c>
    </row>
    <row r="360" spans="1:18" x14ac:dyDescent="0.3">
      <c r="A360" s="1">
        <v>359</v>
      </c>
      <c r="B360" s="1" t="s">
        <v>16</v>
      </c>
      <c r="C360" s="1">
        <v>2</v>
      </c>
      <c r="D360" s="1">
        <v>60</v>
      </c>
      <c r="E360" s="1">
        <v>200</v>
      </c>
      <c r="F360" s="1">
        <v>11</v>
      </c>
      <c r="G360" s="1">
        <v>25</v>
      </c>
      <c r="H360" s="1">
        <v>150</v>
      </c>
      <c r="I360" s="1">
        <v>100</v>
      </c>
      <c r="J360" s="1">
        <v>50.904000000000003</v>
      </c>
      <c r="K360" s="1">
        <v>98.192999999999998</v>
      </c>
      <c r="L360" s="1">
        <v>50.9</v>
      </c>
      <c r="M360" s="1">
        <v>60.8</v>
      </c>
      <c r="N360" s="1">
        <v>4.4249999999999998E-2</v>
      </c>
      <c r="O360" s="1">
        <v>3.0850000000000002E-4</v>
      </c>
      <c r="P360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24.694992660695348</v>
      </c>
      <c r="Q360" s="1">
        <f>LN(Table1[[#This Row],[qe_mg_g]]-Table1[[#This Row],[qt]])</f>
        <v>3.2661031432607817</v>
      </c>
      <c r="R360" s="1">
        <v>2</v>
      </c>
    </row>
    <row r="361" spans="1:18" x14ac:dyDescent="0.3">
      <c r="A361" s="1">
        <v>360</v>
      </c>
      <c r="B361" s="1" t="s">
        <v>16</v>
      </c>
      <c r="C361" s="1">
        <v>2</v>
      </c>
      <c r="D361" s="1">
        <v>60</v>
      </c>
      <c r="E361" s="1">
        <v>200</v>
      </c>
      <c r="F361" s="1">
        <v>11</v>
      </c>
      <c r="G361" s="1">
        <v>25</v>
      </c>
      <c r="H361" s="1">
        <v>150</v>
      </c>
      <c r="I361" s="1">
        <v>100</v>
      </c>
      <c r="J361" s="1">
        <v>46.677999999999997</v>
      </c>
      <c r="K361" s="1">
        <v>106.645</v>
      </c>
      <c r="L361" s="1">
        <v>46.68</v>
      </c>
      <c r="M361" s="1">
        <v>82.7</v>
      </c>
      <c r="N361" s="1">
        <v>4.7210000000000002E-2</v>
      </c>
      <c r="O361" s="1">
        <v>3.2200000000000002E-4</v>
      </c>
      <c r="P361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22.134128589652928</v>
      </c>
      <c r="Q361" s="1">
        <f>LN(Table1[[#This Row],[qe_mg_g]]-Table1[[#This Row],[qt]])</f>
        <v>3.2004621860229414</v>
      </c>
      <c r="R361" s="1">
        <v>3</v>
      </c>
    </row>
    <row r="362" spans="1:18" x14ac:dyDescent="0.3">
      <c r="A362" s="1">
        <v>361</v>
      </c>
      <c r="B362" s="1" t="s">
        <v>16</v>
      </c>
      <c r="C362" s="1">
        <v>2</v>
      </c>
      <c r="D362" s="1">
        <v>120</v>
      </c>
      <c r="E362" s="1">
        <v>25</v>
      </c>
      <c r="F362" s="1">
        <v>3</v>
      </c>
      <c r="G362" s="1">
        <v>25</v>
      </c>
      <c r="H362" s="1">
        <v>150</v>
      </c>
      <c r="I362" s="1">
        <v>100</v>
      </c>
      <c r="J362" s="1">
        <v>2.3220000000000001</v>
      </c>
      <c r="K362" s="1">
        <v>20.356000000000002</v>
      </c>
      <c r="L362" s="1">
        <v>18.57</v>
      </c>
      <c r="M362" s="1">
        <v>78.400000000000006</v>
      </c>
      <c r="N362" s="1">
        <v>4.5809999999999997E-2</v>
      </c>
      <c r="O362" s="1">
        <v>2.611E-4</v>
      </c>
      <c r="P36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0.15747544700937022</v>
      </c>
      <c r="Q362" s="1">
        <f>LN(Table1[[#This Row],[qe_mg_g]]-Table1[[#This Row],[qt]])</f>
        <v>0.77220073132857581</v>
      </c>
      <c r="R362" s="1">
        <v>1</v>
      </c>
    </row>
    <row r="363" spans="1:18" x14ac:dyDescent="0.3">
      <c r="A363" s="1">
        <v>362</v>
      </c>
      <c r="B363" s="1" t="s">
        <v>16</v>
      </c>
      <c r="C363" s="1">
        <v>2</v>
      </c>
      <c r="D363" s="1">
        <v>120</v>
      </c>
      <c r="E363" s="1">
        <v>25</v>
      </c>
      <c r="F363" s="1">
        <v>3</v>
      </c>
      <c r="G363" s="1">
        <v>25</v>
      </c>
      <c r="H363" s="1">
        <v>150</v>
      </c>
      <c r="I363" s="1">
        <v>100</v>
      </c>
      <c r="J363" s="1">
        <v>2.2749999999999999</v>
      </c>
      <c r="K363" s="1">
        <v>20.449000000000002</v>
      </c>
      <c r="L363" s="1">
        <v>18.2</v>
      </c>
      <c r="M363" s="1">
        <v>60.2</v>
      </c>
      <c r="N363" s="1">
        <v>4.2619999999999998E-2</v>
      </c>
      <c r="O363" s="1">
        <v>3.1760000000000002E-4</v>
      </c>
      <c r="P36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0.18151518241200371</v>
      </c>
      <c r="Q363" s="1">
        <f>LN(Table1[[#This Row],[qe_mg_g]]-Table1[[#This Row],[qt]])</f>
        <v>0.73883005428357784</v>
      </c>
      <c r="R363" s="1">
        <v>2</v>
      </c>
    </row>
    <row r="364" spans="1:18" x14ac:dyDescent="0.3">
      <c r="A364" s="1">
        <v>363</v>
      </c>
      <c r="B364" s="1" t="s">
        <v>16</v>
      </c>
      <c r="C364" s="1">
        <v>2</v>
      </c>
      <c r="D364" s="1">
        <v>120</v>
      </c>
      <c r="E364" s="1">
        <v>25</v>
      </c>
      <c r="F364" s="1">
        <v>3</v>
      </c>
      <c r="G364" s="1">
        <v>25</v>
      </c>
      <c r="H364" s="1">
        <v>150</v>
      </c>
      <c r="I364" s="1">
        <v>100</v>
      </c>
      <c r="J364" s="1">
        <v>2.423</v>
      </c>
      <c r="K364" s="1">
        <v>20.154</v>
      </c>
      <c r="L364" s="1">
        <v>19.39</v>
      </c>
      <c r="M364" s="1">
        <v>66.900000000000006</v>
      </c>
      <c r="N364" s="1">
        <v>4.6390000000000001E-2</v>
      </c>
      <c r="O364" s="1">
        <v>3.5110000000000002E-4</v>
      </c>
      <c r="P36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0.22444166556551229</v>
      </c>
      <c r="Q364" s="1">
        <f>LN(Table1[[#This Row],[qe_mg_g]]-Table1[[#This Row],[qt]])</f>
        <v>0.78780184302994272</v>
      </c>
      <c r="R364" s="1">
        <v>3</v>
      </c>
    </row>
    <row r="365" spans="1:18" x14ac:dyDescent="0.3">
      <c r="A365" s="1">
        <v>364</v>
      </c>
      <c r="B365" s="1" t="s">
        <v>16</v>
      </c>
      <c r="C365" s="1">
        <v>2</v>
      </c>
      <c r="D365" s="1">
        <v>120</v>
      </c>
      <c r="E365" s="1">
        <v>25</v>
      </c>
      <c r="F365" s="1">
        <v>7</v>
      </c>
      <c r="G365" s="1">
        <v>25</v>
      </c>
      <c r="H365" s="1">
        <v>150</v>
      </c>
      <c r="I365" s="1">
        <v>100</v>
      </c>
      <c r="J365" s="1">
        <v>3.6880000000000002</v>
      </c>
      <c r="K365" s="1">
        <v>17.623999999999999</v>
      </c>
      <c r="L365" s="1">
        <v>29.51</v>
      </c>
      <c r="M365" s="1">
        <v>92.7</v>
      </c>
      <c r="N365" s="1">
        <v>4.7539999999999999E-2</v>
      </c>
      <c r="O365" s="1">
        <v>2.4719999999999999E-4</v>
      </c>
      <c r="P36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0.36368304113188193</v>
      </c>
      <c r="Q365" s="1">
        <f>LN(Table1[[#This Row],[qe_mg_g]]-Table1[[#This Row],[qt]])</f>
        <v>1.201264227100701</v>
      </c>
      <c r="R365" s="1">
        <v>1</v>
      </c>
    </row>
    <row r="366" spans="1:18" x14ac:dyDescent="0.3">
      <c r="A366" s="1">
        <v>365</v>
      </c>
      <c r="B366" s="1" t="s">
        <v>16</v>
      </c>
      <c r="C366" s="1">
        <v>2</v>
      </c>
      <c r="D366" s="1">
        <v>120</v>
      </c>
      <c r="E366" s="1">
        <v>25</v>
      </c>
      <c r="F366" s="1">
        <v>7</v>
      </c>
      <c r="G366" s="1">
        <v>25</v>
      </c>
      <c r="H366" s="1">
        <v>150</v>
      </c>
      <c r="I366" s="1">
        <v>100</v>
      </c>
      <c r="J366" s="1">
        <v>3.8370000000000002</v>
      </c>
      <c r="K366" s="1">
        <v>17.327000000000002</v>
      </c>
      <c r="L366" s="1">
        <v>30.69</v>
      </c>
      <c r="M366" s="1">
        <v>70.5</v>
      </c>
      <c r="N366" s="1">
        <v>5.0799999999999998E-2</v>
      </c>
      <c r="O366" s="1">
        <v>3.2019999999999998E-4</v>
      </c>
      <c r="P36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0.49301357593299178</v>
      </c>
      <c r="Q366" s="1">
        <f>LN(Table1[[#This Row],[qe_mg_g]]-Table1[[#This Row],[qt]])</f>
        <v>1.2071636354256401</v>
      </c>
      <c r="R366" s="1">
        <v>2</v>
      </c>
    </row>
    <row r="367" spans="1:18" x14ac:dyDescent="0.3">
      <c r="A367" s="1">
        <v>366</v>
      </c>
      <c r="B367" s="1" t="s">
        <v>16</v>
      </c>
      <c r="C367" s="1">
        <v>2</v>
      </c>
      <c r="D367" s="1">
        <v>120</v>
      </c>
      <c r="E367" s="1">
        <v>25</v>
      </c>
      <c r="F367" s="1">
        <v>7</v>
      </c>
      <c r="G367" s="1">
        <v>25</v>
      </c>
      <c r="H367" s="1">
        <v>150</v>
      </c>
      <c r="I367" s="1">
        <v>100</v>
      </c>
      <c r="J367" s="1">
        <v>3.5779999999999998</v>
      </c>
      <c r="K367" s="1">
        <v>17.843</v>
      </c>
      <c r="L367" s="1">
        <v>28.63</v>
      </c>
      <c r="M367" s="1">
        <v>54.4</v>
      </c>
      <c r="N367" s="1">
        <v>4.4060000000000002E-2</v>
      </c>
      <c r="O367" s="1">
        <v>2.745E-4</v>
      </c>
      <c r="P36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0.37723946065055836</v>
      </c>
      <c r="Q367" s="1">
        <f>LN(Table1[[#This Row],[qe_mg_g]]-Table1[[#This Row],[qt]])</f>
        <v>1.1633884501136864</v>
      </c>
      <c r="R367" s="1">
        <v>3</v>
      </c>
    </row>
    <row r="368" spans="1:18" x14ac:dyDescent="0.3">
      <c r="A368" s="1">
        <v>367</v>
      </c>
      <c r="B368" s="1" t="s">
        <v>16</v>
      </c>
      <c r="C368" s="1">
        <v>2</v>
      </c>
      <c r="D368" s="1">
        <v>120</v>
      </c>
      <c r="E368" s="1">
        <v>25</v>
      </c>
      <c r="F368" s="1">
        <v>11</v>
      </c>
      <c r="G368" s="1">
        <v>25</v>
      </c>
      <c r="H368" s="1">
        <v>150</v>
      </c>
      <c r="I368" s="1">
        <v>100</v>
      </c>
      <c r="J368" s="1">
        <v>2.613</v>
      </c>
      <c r="K368" s="1">
        <v>19.773</v>
      </c>
      <c r="L368" s="1">
        <v>20.91</v>
      </c>
      <c r="M368" s="1">
        <v>72.599999999999994</v>
      </c>
      <c r="N368" s="1">
        <v>5.2510000000000001E-2</v>
      </c>
      <c r="O368" s="1">
        <v>3.1179999999999999E-4</v>
      </c>
      <c r="P36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0.23271565853830201</v>
      </c>
      <c r="Q368" s="1">
        <f>LN(Table1[[#This Row],[qe_mg_g]]-Table1[[#This Row],[qt]])</f>
        <v>0.86721995174966171</v>
      </c>
      <c r="R368" s="1">
        <v>1</v>
      </c>
    </row>
    <row r="369" spans="1:18" x14ac:dyDescent="0.3">
      <c r="A369" s="1">
        <v>368</v>
      </c>
      <c r="B369" s="1" t="s">
        <v>16</v>
      </c>
      <c r="C369" s="1">
        <v>2</v>
      </c>
      <c r="D369" s="1">
        <v>120</v>
      </c>
      <c r="E369" s="1">
        <v>25</v>
      </c>
      <c r="F369" s="1">
        <v>11</v>
      </c>
      <c r="G369" s="1">
        <v>25</v>
      </c>
      <c r="H369" s="1">
        <v>150</v>
      </c>
      <c r="I369" s="1">
        <v>100</v>
      </c>
      <c r="J369" s="1">
        <v>2.4790000000000001</v>
      </c>
      <c r="K369" s="1">
        <v>20.042999999999999</v>
      </c>
      <c r="L369" s="1">
        <v>19.829999999999998</v>
      </c>
      <c r="M369" s="1">
        <v>71.099999999999994</v>
      </c>
      <c r="N369" s="1">
        <v>5.0380000000000001E-2</v>
      </c>
      <c r="O369" s="1">
        <v>2.8170000000000002E-4</v>
      </c>
      <c r="P36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0.19167786061023087</v>
      </c>
      <c r="Q369" s="1">
        <f>LN(Table1[[#This Row],[qe_mg_g]]-Table1[[#This Row],[qt]])</f>
        <v>0.8273817618723649</v>
      </c>
      <c r="R369" s="1">
        <v>2</v>
      </c>
    </row>
    <row r="370" spans="1:18" x14ac:dyDescent="0.3">
      <c r="A370" s="1">
        <v>369</v>
      </c>
      <c r="B370" s="1" t="s">
        <v>16</v>
      </c>
      <c r="C370" s="1">
        <v>2</v>
      </c>
      <c r="D370" s="1">
        <v>120</v>
      </c>
      <c r="E370" s="1">
        <v>25</v>
      </c>
      <c r="F370" s="1">
        <v>11</v>
      </c>
      <c r="G370" s="1">
        <v>25</v>
      </c>
      <c r="H370" s="1">
        <v>150</v>
      </c>
      <c r="I370" s="1">
        <v>100</v>
      </c>
      <c r="J370" s="1">
        <v>2.7109999999999999</v>
      </c>
      <c r="K370" s="1">
        <v>19.577000000000002</v>
      </c>
      <c r="L370" s="1">
        <v>21.69</v>
      </c>
      <c r="M370" s="1">
        <v>66.8</v>
      </c>
      <c r="N370" s="1">
        <v>4.147E-2</v>
      </c>
      <c r="O370" s="1">
        <v>3.1940000000000001E-4</v>
      </c>
      <c r="P37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0.25517764432243834</v>
      </c>
      <c r="Q370" s="1">
        <f>LN(Table1[[#This Row],[qe_mg_g]]-Table1[[#This Row],[qt]])</f>
        <v>0.8984616769187227</v>
      </c>
      <c r="R370" s="1">
        <v>3</v>
      </c>
    </row>
    <row r="371" spans="1:18" x14ac:dyDescent="0.3">
      <c r="A371" s="1">
        <v>370</v>
      </c>
      <c r="B371" s="1" t="s">
        <v>16</v>
      </c>
      <c r="C371" s="1">
        <v>2</v>
      </c>
      <c r="D371" s="1">
        <v>120</v>
      </c>
      <c r="E371" s="1">
        <v>50</v>
      </c>
      <c r="F371" s="1">
        <v>3</v>
      </c>
      <c r="G371" s="1">
        <v>25</v>
      </c>
      <c r="H371" s="1">
        <v>150</v>
      </c>
      <c r="I371" s="1">
        <v>100</v>
      </c>
      <c r="J371" s="1">
        <v>6.98</v>
      </c>
      <c r="K371" s="1">
        <v>36.039000000000001</v>
      </c>
      <c r="L371" s="1">
        <v>27.92</v>
      </c>
      <c r="M371" s="1">
        <v>70.900000000000006</v>
      </c>
      <c r="N371" s="1">
        <v>4.1009999999999998E-2</v>
      </c>
      <c r="O371" s="1">
        <v>2.8689999999999998E-4</v>
      </c>
      <c r="P37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1.3523630328299894</v>
      </c>
      <c r="Q371" s="1">
        <f>LN(Table1[[#This Row],[qe_mg_g]]-Table1[[#This Row],[qt]])</f>
        <v>1.7276896324043873</v>
      </c>
      <c r="R371" s="1">
        <v>1</v>
      </c>
    </row>
    <row r="372" spans="1:18" x14ac:dyDescent="0.3">
      <c r="A372" s="1">
        <v>371</v>
      </c>
      <c r="B372" s="1" t="s">
        <v>16</v>
      </c>
      <c r="C372" s="1">
        <v>2</v>
      </c>
      <c r="D372" s="1">
        <v>120</v>
      </c>
      <c r="E372" s="1">
        <v>50</v>
      </c>
      <c r="F372" s="1">
        <v>3</v>
      </c>
      <c r="G372" s="1">
        <v>25</v>
      </c>
      <c r="H372" s="1">
        <v>150</v>
      </c>
      <c r="I372" s="1">
        <v>100</v>
      </c>
      <c r="J372" s="1">
        <v>7.4560000000000004</v>
      </c>
      <c r="K372" s="1">
        <v>35.088000000000001</v>
      </c>
      <c r="L372" s="1">
        <v>29.82</v>
      </c>
      <c r="M372" s="1">
        <v>62.9</v>
      </c>
      <c r="N372" s="1">
        <v>5.2769999999999997E-2</v>
      </c>
      <c r="O372" s="1">
        <v>2.8800000000000001E-4</v>
      </c>
      <c r="P37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1.5276209257023985</v>
      </c>
      <c r="Q372" s="1">
        <f>LN(Table1[[#This Row],[qe_mg_g]]-Table1[[#This Row],[qt]])</f>
        <v>1.7797508323557796</v>
      </c>
      <c r="R372" s="1">
        <v>2</v>
      </c>
    </row>
    <row r="373" spans="1:18" x14ac:dyDescent="0.3">
      <c r="A373" s="1">
        <v>372</v>
      </c>
      <c r="B373" s="1" t="s">
        <v>16</v>
      </c>
      <c r="C373" s="1">
        <v>2</v>
      </c>
      <c r="D373" s="1">
        <v>120</v>
      </c>
      <c r="E373" s="1">
        <v>50</v>
      </c>
      <c r="F373" s="1">
        <v>3</v>
      </c>
      <c r="G373" s="1">
        <v>25</v>
      </c>
      <c r="H373" s="1">
        <v>150</v>
      </c>
      <c r="I373" s="1">
        <v>100</v>
      </c>
      <c r="J373" s="1">
        <v>7.1749999999999998</v>
      </c>
      <c r="K373" s="1">
        <v>35.65</v>
      </c>
      <c r="L373" s="1">
        <v>28.7</v>
      </c>
      <c r="M373" s="1">
        <v>76</v>
      </c>
      <c r="N373" s="1">
        <v>3.8620000000000002E-2</v>
      </c>
      <c r="O373" s="1">
        <v>2.4719999999999999E-4</v>
      </c>
      <c r="P37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1.2591292069055815</v>
      </c>
      <c r="Q373" s="1">
        <f>LN(Table1[[#This Row],[qe_mg_g]]-Table1[[#This Row],[qt]])</f>
        <v>1.7776387043623199</v>
      </c>
      <c r="R373" s="1">
        <v>3</v>
      </c>
    </row>
    <row r="374" spans="1:18" x14ac:dyDescent="0.3">
      <c r="A374" s="1">
        <v>373</v>
      </c>
      <c r="B374" s="1" t="s">
        <v>16</v>
      </c>
      <c r="C374" s="1">
        <v>2</v>
      </c>
      <c r="D374" s="1">
        <v>120</v>
      </c>
      <c r="E374" s="1">
        <v>50</v>
      </c>
      <c r="F374" s="1">
        <v>7</v>
      </c>
      <c r="G374" s="1">
        <v>25</v>
      </c>
      <c r="H374" s="1">
        <v>150</v>
      </c>
      <c r="I374" s="1">
        <v>100</v>
      </c>
      <c r="J374" s="1">
        <v>9.7089999999999996</v>
      </c>
      <c r="K374" s="1">
        <v>30.582999999999998</v>
      </c>
      <c r="L374" s="1">
        <v>38.83</v>
      </c>
      <c r="M374" s="1">
        <v>79.3</v>
      </c>
      <c r="N374" s="1">
        <v>4.2520000000000002E-2</v>
      </c>
      <c r="O374" s="1">
        <v>3.7669999999999999E-4</v>
      </c>
      <c r="P37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2.9614171782058154</v>
      </c>
      <c r="Q374" s="1">
        <f>LN(Table1[[#This Row],[qe_mg_g]]-Table1[[#This Row],[qt]])</f>
        <v>1.9091843402762165</v>
      </c>
      <c r="R374" s="1">
        <v>1</v>
      </c>
    </row>
    <row r="375" spans="1:18" x14ac:dyDescent="0.3">
      <c r="A375" s="1">
        <v>374</v>
      </c>
      <c r="B375" s="1" t="s">
        <v>16</v>
      </c>
      <c r="C375" s="1">
        <v>2</v>
      </c>
      <c r="D375" s="1">
        <v>120</v>
      </c>
      <c r="E375" s="1">
        <v>50</v>
      </c>
      <c r="F375" s="1">
        <v>7</v>
      </c>
      <c r="G375" s="1">
        <v>25</v>
      </c>
      <c r="H375" s="1">
        <v>150</v>
      </c>
      <c r="I375" s="1">
        <v>100</v>
      </c>
      <c r="J375" s="1">
        <v>10.558999999999999</v>
      </c>
      <c r="K375" s="1">
        <v>28.882000000000001</v>
      </c>
      <c r="L375" s="1">
        <v>42.24</v>
      </c>
      <c r="M375" s="1">
        <v>68.5</v>
      </c>
      <c r="N375" s="1">
        <v>5.194E-2</v>
      </c>
      <c r="O375" s="1">
        <v>3.6019999999999997E-4</v>
      </c>
      <c r="P37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3.3089423689423989</v>
      </c>
      <c r="Q375" s="1">
        <f>LN(Table1[[#This Row],[qe_mg_g]]-Table1[[#This Row],[qt]])</f>
        <v>1.9810094179463826</v>
      </c>
      <c r="R375" s="1">
        <v>2</v>
      </c>
    </row>
    <row r="376" spans="1:18" x14ac:dyDescent="0.3">
      <c r="A376" s="1">
        <v>375</v>
      </c>
      <c r="B376" s="1" t="s">
        <v>16</v>
      </c>
      <c r="C376" s="1">
        <v>2</v>
      </c>
      <c r="D376" s="1">
        <v>120</v>
      </c>
      <c r="E376" s="1">
        <v>50</v>
      </c>
      <c r="F376" s="1">
        <v>7</v>
      </c>
      <c r="G376" s="1">
        <v>25</v>
      </c>
      <c r="H376" s="1">
        <v>150</v>
      </c>
      <c r="I376" s="1">
        <v>100</v>
      </c>
      <c r="J376" s="1">
        <v>12.882</v>
      </c>
      <c r="K376" s="1">
        <v>24.236000000000001</v>
      </c>
      <c r="L376" s="1">
        <v>51.53</v>
      </c>
      <c r="M376" s="1">
        <v>78.8</v>
      </c>
      <c r="N376" s="1">
        <v>4.9610000000000001E-2</v>
      </c>
      <c r="O376" s="1">
        <v>3.1780000000000003E-4</v>
      </c>
      <c r="P37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4.2437133777176479</v>
      </c>
      <c r="Q376" s="1">
        <f>LN(Table1[[#This Row],[qe_mg_g]]-Table1[[#This Row],[qt]])</f>
        <v>2.1562042555442016</v>
      </c>
      <c r="R376" s="1">
        <v>3</v>
      </c>
    </row>
    <row r="377" spans="1:18" x14ac:dyDescent="0.3">
      <c r="A377" s="1">
        <v>376</v>
      </c>
      <c r="B377" s="1" t="s">
        <v>16</v>
      </c>
      <c r="C377" s="1">
        <v>2</v>
      </c>
      <c r="D377" s="1">
        <v>120</v>
      </c>
      <c r="E377" s="1">
        <v>50</v>
      </c>
      <c r="F377" s="1">
        <v>11</v>
      </c>
      <c r="G377" s="1">
        <v>25</v>
      </c>
      <c r="H377" s="1">
        <v>150</v>
      </c>
      <c r="I377" s="1">
        <v>100</v>
      </c>
      <c r="J377" s="1">
        <v>9.1310000000000002</v>
      </c>
      <c r="K377" s="1">
        <v>31.738</v>
      </c>
      <c r="L377" s="1">
        <v>36.520000000000003</v>
      </c>
      <c r="M377" s="1">
        <v>61.2</v>
      </c>
      <c r="N377" s="1">
        <v>4.1320000000000003E-2</v>
      </c>
      <c r="O377" s="1">
        <v>2.9990000000000003E-4</v>
      </c>
      <c r="P37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2.2583853508708152</v>
      </c>
      <c r="Q377" s="1">
        <f>LN(Table1[[#This Row],[qe_mg_g]]-Table1[[#This Row],[qt]])</f>
        <v>1.92754462322138</v>
      </c>
      <c r="R377" s="1">
        <v>1</v>
      </c>
    </row>
    <row r="378" spans="1:18" x14ac:dyDescent="0.3">
      <c r="A378" s="1">
        <v>377</v>
      </c>
      <c r="B378" s="1" t="s">
        <v>16</v>
      </c>
      <c r="C378" s="1">
        <v>2</v>
      </c>
      <c r="D378" s="1">
        <v>120</v>
      </c>
      <c r="E378" s="1">
        <v>50</v>
      </c>
      <c r="F378" s="1">
        <v>11</v>
      </c>
      <c r="G378" s="1">
        <v>25</v>
      </c>
      <c r="H378" s="1">
        <v>150</v>
      </c>
      <c r="I378" s="1">
        <v>100</v>
      </c>
      <c r="J378" s="1">
        <v>8.4789999999999992</v>
      </c>
      <c r="K378" s="1">
        <v>33.042999999999999</v>
      </c>
      <c r="L378" s="1">
        <v>33.909999999999997</v>
      </c>
      <c r="M378" s="1">
        <v>62.1</v>
      </c>
      <c r="N378" s="1">
        <v>4.8129999999999999E-2</v>
      </c>
      <c r="O378" s="1">
        <v>3.2870000000000002E-4</v>
      </c>
      <c r="P37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2.1250508265755728</v>
      </c>
      <c r="Q378" s="1">
        <f>LN(Table1[[#This Row],[qe_mg_g]]-Table1[[#This Row],[qt]])</f>
        <v>1.8490765366690338</v>
      </c>
      <c r="R378" s="1">
        <v>2</v>
      </c>
    </row>
    <row r="379" spans="1:18" x14ac:dyDescent="0.3">
      <c r="A379" s="1">
        <v>378</v>
      </c>
      <c r="B379" s="1" t="s">
        <v>16</v>
      </c>
      <c r="C379" s="1">
        <v>2</v>
      </c>
      <c r="D379" s="1">
        <v>120</v>
      </c>
      <c r="E379" s="1">
        <v>50</v>
      </c>
      <c r="F379" s="1">
        <v>11</v>
      </c>
      <c r="G379" s="1">
        <v>25</v>
      </c>
      <c r="H379" s="1">
        <v>150</v>
      </c>
      <c r="I379" s="1">
        <v>100</v>
      </c>
      <c r="J379" s="1">
        <v>8.6560000000000006</v>
      </c>
      <c r="K379" s="1">
        <v>32.686999999999998</v>
      </c>
      <c r="L379" s="1">
        <v>34.630000000000003</v>
      </c>
      <c r="M379" s="1">
        <v>81.400000000000006</v>
      </c>
      <c r="N379" s="1">
        <v>3.986E-2</v>
      </c>
      <c r="O379" s="1">
        <v>2.942E-4</v>
      </c>
      <c r="P37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2.0260544895736081</v>
      </c>
      <c r="Q379" s="1">
        <f>LN(Table1[[#This Row],[qe_mg_g]]-Table1[[#This Row],[qt]])</f>
        <v>1.8915965855254446</v>
      </c>
      <c r="R379" s="1">
        <v>3</v>
      </c>
    </row>
    <row r="380" spans="1:18" x14ac:dyDescent="0.3">
      <c r="A380" s="1">
        <v>379</v>
      </c>
      <c r="B380" s="1" t="s">
        <v>16</v>
      </c>
      <c r="C380" s="1">
        <v>2</v>
      </c>
      <c r="D380" s="1">
        <v>120</v>
      </c>
      <c r="E380" s="1">
        <v>100</v>
      </c>
      <c r="F380" s="1">
        <v>3</v>
      </c>
      <c r="G380" s="1">
        <v>25</v>
      </c>
      <c r="H380" s="1">
        <v>150</v>
      </c>
      <c r="I380" s="1">
        <v>100</v>
      </c>
      <c r="J380" s="1">
        <v>18.943000000000001</v>
      </c>
      <c r="K380" s="1">
        <v>62.113999999999997</v>
      </c>
      <c r="L380" s="1">
        <v>37.89</v>
      </c>
      <c r="M380" s="1">
        <v>48</v>
      </c>
      <c r="N380" s="1">
        <v>4.4630000000000003E-2</v>
      </c>
      <c r="O380" s="1">
        <v>2.9629999999999999E-4</v>
      </c>
      <c r="P380" s="1">
        <f>(Table1[[#This Row],[Rate_Constant_k2_g_mg_min]]*Table1[[#This Row],[Contact_Time_min]]*Table1[[#This Row],[qe_mg_g]]^2)/(1+Table1[[#This Row],[Contact_Time_min]]*Table1[[#This Row],[qe_mg_g]]*Table1[[#This Row],[Rate_Constant_k2_g_mg_min]])</f>
        <v>7.6238618430871563</v>
      </c>
      <c r="Q380" s="1">
        <f>LN(Table1[[#This Row],[qe_mg_g]]-Table1[[#This Row],[qt]])</f>
        <v>2.4264949353283201</v>
      </c>
      <c r="R380" s="1">
        <v>1</v>
      </c>
    </row>
    <row r="381" spans="1:18" x14ac:dyDescent="0.3">
      <c r="A381" s="1">
        <v>380</v>
      </c>
      <c r="B381" s="1" t="s">
        <v>16</v>
      </c>
      <c r="C381" s="1">
        <v>2</v>
      </c>
      <c r="D381" s="1">
        <v>120</v>
      </c>
      <c r="E381" s="1">
        <v>100</v>
      </c>
      <c r="F381" s="1">
        <v>3</v>
      </c>
      <c r="G381" s="1">
        <v>25</v>
      </c>
      <c r="H381" s="1">
        <v>150</v>
      </c>
      <c r="I381" s="1">
        <v>100</v>
      </c>
      <c r="J381" s="1">
        <v>22.527999999999999</v>
      </c>
      <c r="K381" s="1">
        <v>54.942999999999998</v>
      </c>
      <c r="L381" s="1">
        <v>45.06</v>
      </c>
      <c r="M381" s="1">
        <v>73</v>
      </c>
      <c r="N381" s="1">
        <v>4.0390000000000002E-2</v>
      </c>
      <c r="O381" s="1">
        <v>3.5560000000000002E-4</v>
      </c>
      <c r="P381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11.041827654682848</v>
      </c>
      <c r="Q381" s="1">
        <f>LN(Table1[[#This Row],[qe_mg_g]]-Table1[[#This Row],[qt]])</f>
        <v>2.4411439071455838</v>
      </c>
      <c r="R381" s="1">
        <v>2</v>
      </c>
    </row>
    <row r="382" spans="1:18" x14ac:dyDescent="0.3">
      <c r="A382" s="1">
        <v>381</v>
      </c>
      <c r="B382" s="1" t="s">
        <v>16</v>
      </c>
      <c r="C382" s="1">
        <v>2</v>
      </c>
      <c r="D382" s="1">
        <v>120</v>
      </c>
      <c r="E382" s="1">
        <v>100</v>
      </c>
      <c r="F382" s="1">
        <v>3</v>
      </c>
      <c r="G382" s="1">
        <v>25</v>
      </c>
      <c r="H382" s="1">
        <v>150</v>
      </c>
      <c r="I382" s="1">
        <v>100</v>
      </c>
      <c r="J382" s="1">
        <v>22.058</v>
      </c>
      <c r="K382" s="1">
        <v>55.884</v>
      </c>
      <c r="L382" s="1">
        <v>44.12</v>
      </c>
      <c r="M382" s="1">
        <v>72.5</v>
      </c>
      <c r="N382" s="1">
        <v>4.3979999999999998E-2</v>
      </c>
      <c r="O382" s="1">
        <v>2.7119999999999998E-4</v>
      </c>
      <c r="P382" s="1">
        <f>(Table1[[#This Row],[Rate_Constant_k2_g_mg_min]]*Table1[[#This Row],[Contact_Time_min]]*Table1[[#This Row],[qe_mg_g]]^2)/(1+Table1[[#This Row],[Contact_Time_min]]*Table1[[#This Row],[qe_mg_g]]*Table1[[#This Row],[Rate_Constant_k2_g_mg_min]])</f>
        <v>9.2175723084405163</v>
      </c>
      <c r="Q382" s="1">
        <f>LN(Table1[[#This Row],[qe_mg_g]]-Table1[[#This Row],[qt]])</f>
        <v>2.5525986070185587</v>
      </c>
      <c r="R382" s="1">
        <v>3</v>
      </c>
    </row>
    <row r="383" spans="1:18" x14ac:dyDescent="0.3">
      <c r="A383" s="1">
        <v>382</v>
      </c>
      <c r="B383" s="1" t="s">
        <v>16</v>
      </c>
      <c r="C383" s="1">
        <v>2</v>
      </c>
      <c r="D383" s="1">
        <v>120</v>
      </c>
      <c r="E383" s="1">
        <v>100</v>
      </c>
      <c r="F383" s="1">
        <v>7</v>
      </c>
      <c r="G383" s="1">
        <v>25</v>
      </c>
      <c r="H383" s="1">
        <v>150</v>
      </c>
      <c r="I383" s="1">
        <v>100</v>
      </c>
      <c r="J383" s="1">
        <v>29.123000000000001</v>
      </c>
      <c r="K383" s="1">
        <v>41.753</v>
      </c>
      <c r="L383" s="1">
        <v>58.25</v>
      </c>
      <c r="M383" s="1">
        <v>77.599999999999994</v>
      </c>
      <c r="N383" s="1">
        <v>5.348E-2</v>
      </c>
      <c r="O383" s="1">
        <v>3.4630000000000001E-4</v>
      </c>
      <c r="P383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15.946575372054447</v>
      </c>
      <c r="Q383" s="1">
        <f>LN(Table1[[#This Row],[qe_mg_g]]-Table1[[#This Row],[qt]])</f>
        <v>2.5784292197350371</v>
      </c>
      <c r="R383" s="1">
        <v>1</v>
      </c>
    </row>
    <row r="384" spans="1:18" x14ac:dyDescent="0.3">
      <c r="A384" s="1">
        <v>383</v>
      </c>
      <c r="B384" s="1" t="s">
        <v>16</v>
      </c>
      <c r="C384" s="1">
        <v>2</v>
      </c>
      <c r="D384" s="1">
        <v>120</v>
      </c>
      <c r="E384" s="1">
        <v>100</v>
      </c>
      <c r="F384" s="1">
        <v>7</v>
      </c>
      <c r="G384" s="1">
        <v>25</v>
      </c>
      <c r="H384" s="1">
        <v>150</v>
      </c>
      <c r="I384" s="1">
        <v>100</v>
      </c>
      <c r="J384" s="1">
        <v>28.843</v>
      </c>
      <c r="K384" s="1">
        <v>42.313000000000002</v>
      </c>
      <c r="L384" s="1">
        <v>57.69</v>
      </c>
      <c r="M384" s="1">
        <v>55.5</v>
      </c>
      <c r="N384" s="1">
        <v>4.5629999999999997E-2</v>
      </c>
      <c r="O384" s="1">
        <v>2.4689999999999998E-4</v>
      </c>
      <c r="P384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13.290527328961563</v>
      </c>
      <c r="Q384" s="1">
        <f>LN(Table1[[#This Row],[qe_mg_g]]-Table1[[#This Row],[qt]])</f>
        <v>2.7442196401985135</v>
      </c>
      <c r="R384" s="1">
        <v>2</v>
      </c>
    </row>
    <row r="385" spans="1:18" x14ac:dyDescent="0.3">
      <c r="A385" s="1">
        <v>384</v>
      </c>
      <c r="B385" s="1" t="s">
        <v>16</v>
      </c>
      <c r="C385" s="1">
        <v>2</v>
      </c>
      <c r="D385" s="1">
        <v>120</v>
      </c>
      <c r="E385" s="1">
        <v>100</v>
      </c>
      <c r="F385" s="1">
        <v>7</v>
      </c>
      <c r="G385" s="1">
        <v>25</v>
      </c>
      <c r="H385" s="1">
        <v>150</v>
      </c>
      <c r="I385" s="1">
        <v>100</v>
      </c>
      <c r="J385" s="1">
        <v>30.792999999999999</v>
      </c>
      <c r="K385" s="1">
        <v>38.412999999999997</v>
      </c>
      <c r="L385" s="1">
        <v>61.59</v>
      </c>
      <c r="M385" s="1">
        <v>65.2</v>
      </c>
      <c r="N385" s="1">
        <v>4.2900000000000001E-2</v>
      </c>
      <c r="O385" s="1">
        <v>2.522E-4</v>
      </c>
      <c r="P385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14.85392885392868</v>
      </c>
      <c r="Q385" s="1">
        <f>LN(Table1[[#This Row],[qe_mg_g]]-Table1[[#This Row],[qt]])</f>
        <v>2.7687733997740658</v>
      </c>
      <c r="R385" s="1">
        <v>3</v>
      </c>
    </row>
    <row r="386" spans="1:18" x14ac:dyDescent="0.3">
      <c r="A386" s="1">
        <v>385</v>
      </c>
      <c r="B386" s="1" t="s">
        <v>16</v>
      </c>
      <c r="C386" s="1">
        <v>2</v>
      </c>
      <c r="D386" s="1">
        <v>120</v>
      </c>
      <c r="E386" s="1">
        <v>100</v>
      </c>
      <c r="F386" s="1">
        <v>11</v>
      </c>
      <c r="G386" s="1">
        <v>25</v>
      </c>
      <c r="H386" s="1">
        <v>150</v>
      </c>
      <c r="I386" s="1">
        <v>100</v>
      </c>
      <c r="J386" s="1">
        <v>24.972000000000001</v>
      </c>
      <c r="K386" s="1">
        <v>50.055</v>
      </c>
      <c r="L386" s="1">
        <v>49.94</v>
      </c>
      <c r="M386" s="1">
        <v>61.3</v>
      </c>
      <c r="N386" s="1">
        <v>3.9739999999999998E-2</v>
      </c>
      <c r="O386" s="1">
        <v>2.1379999999999999E-4</v>
      </c>
      <c r="P38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9.7514968183077695</v>
      </c>
      <c r="Q386" s="1">
        <f>LN(Table1[[#This Row],[qe_mg_g]]-Table1[[#This Row],[qt]])</f>
        <v>2.722643412445017</v>
      </c>
      <c r="R386" s="1">
        <v>1</v>
      </c>
    </row>
    <row r="387" spans="1:18" x14ac:dyDescent="0.3">
      <c r="A387" s="1">
        <v>386</v>
      </c>
      <c r="B387" s="1" t="s">
        <v>16</v>
      </c>
      <c r="C387" s="1">
        <v>2</v>
      </c>
      <c r="D387" s="1">
        <v>120</v>
      </c>
      <c r="E387" s="1">
        <v>100</v>
      </c>
      <c r="F387" s="1">
        <v>11</v>
      </c>
      <c r="G387" s="1">
        <v>25</v>
      </c>
      <c r="H387" s="1">
        <v>150</v>
      </c>
      <c r="I387" s="1">
        <v>100</v>
      </c>
      <c r="J387" s="1">
        <v>23.934000000000001</v>
      </c>
      <c r="K387" s="1">
        <v>52.131999999999998</v>
      </c>
      <c r="L387" s="1">
        <v>47.87</v>
      </c>
      <c r="M387" s="1">
        <v>84.4</v>
      </c>
      <c r="N387" s="1">
        <v>5.2479999999999999E-2</v>
      </c>
      <c r="O387" s="1">
        <v>2.8630000000000002E-4</v>
      </c>
      <c r="P387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10.799879054323801</v>
      </c>
      <c r="Q387" s="1">
        <f>LN(Table1[[#This Row],[qe_mg_g]]-Table1[[#This Row],[qt]])</f>
        <v>2.5752134963205804</v>
      </c>
      <c r="R387" s="1">
        <v>2</v>
      </c>
    </row>
    <row r="388" spans="1:18" x14ac:dyDescent="0.3">
      <c r="A388" s="1">
        <v>387</v>
      </c>
      <c r="B388" s="1" t="s">
        <v>16</v>
      </c>
      <c r="C388" s="1">
        <v>2</v>
      </c>
      <c r="D388" s="1">
        <v>120</v>
      </c>
      <c r="E388" s="1">
        <v>100</v>
      </c>
      <c r="F388" s="1">
        <v>11</v>
      </c>
      <c r="G388" s="1">
        <v>25</v>
      </c>
      <c r="H388" s="1">
        <v>150</v>
      </c>
      <c r="I388" s="1">
        <v>100</v>
      </c>
      <c r="J388" s="1">
        <v>22.831</v>
      </c>
      <c r="K388" s="1">
        <v>54.337000000000003</v>
      </c>
      <c r="L388" s="1">
        <v>45.66</v>
      </c>
      <c r="M388" s="1">
        <v>71.400000000000006</v>
      </c>
      <c r="N388" s="1">
        <v>4.0509999999999997E-2</v>
      </c>
      <c r="O388" s="1">
        <v>3.0909999999999998E-4</v>
      </c>
      <c r="P388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10.468852831171461</v>
      </c>
      <c r="Q388" s="1">
        <f>LN(Table1[[#This Row],[qe_mg_g]]-Table1[[#This Row],[qt]])</f>
        <v>2.5146391561030037</v>
      </c>
      <c r="R388" s="1">
        <v>3</v>
      </c>
    </row>
    <row r="389" spans="1:18" x14ac:dyDescent="0.3">
      <c r="A389" s="1">
        <v>388</v>
      </c>
      <c r="B389" s="1" t="s">
        <v>16</v>
      </c>
      <c r="C389" s="1">
        <v>2</v>
      </c>
      <c r="D389" s="1">
        <v>120</v>
      </c>
      <c r="E389" s="1">
        <v>200</v>
      </c>
      <c r="F389" s="1">
        <v>3</v>
      </c>
      <c r="G389" s="1">
        <v>25</v>
      </c>
      <c r="H389" s="1">
        <v>150</v>
      </c>
      <c r="I389" s="1">
        <v>100</v>
      </c>
      <c r="J389" s="1">
        <v>53.960999999999999</v>
      </c>
      <c r="K389" s="1">
        <v>92.076999999999998</v>
      </c>
      <c r="L389" s="1">
        <v>53.96</v>
      </c>
      <c r="M389" s="1">
        <v>78.900000000000006</v>
      </c>
      <c r="N389" s="1">
        <v>4.4549999999999999E-2</v>
      </c>
      <c r="O389" s="1">
        <v>2.9389999999999999E-4</v>
      </c>
      <c r="P389" s="1">
        <f>(Table1[[#This Row],[Rate_Constant_k2_g_mg_min]]*Table1[[#This Row],[Contact_Time_min]]*Table1[[#This Row],[qe_mg_g]]^2)/(1+Table1[[#This Row],[Contact_Time_min]]*Table1[[#This Row],[qe_mg_g]]*Table1[[#This Row],[Rate_Constant_k2_g_mg_min]])</f>
        <v>35.373605778758964</v>
      </c>
      <c r="Q389" s="1">
        <f>LN(Table1[[#This Row],[qe_mg_g]]-Table1[[#This Row],[qt]])</f>
        <v>2.9224836209155294</v>
      </c>
      <c r="R389" s="1">
        <v>1</v>
      </c>
    </row>
    <row r="390" spans="1:18" x14ac:dyDescent="0.3">
      <c r="A390" s="1">
        <v>389</v>
      </c>
      <c r="B390" s="1" t="s">
        <v>16</v>
      </c>
      <c r="C390" s="1">
        <v>2</v>
      </c>
      <c r="D390" s="1">
        <v>120</v>
      </c>
      <c r="E390" s="1">
        <v>200</v>
      </c>
      <c r="F390" s="1">
        <v>3</v>
      </c>
      <c r="G390" s="1">
        <v>25</v>
      </c>
      <c r="H390" s="1">
        <v>150</v>
      </c>
      <c r="I390" s="1">
        <v>100</v>
      </c>
      <c r="J390" s="1">
        <v>47.274000000000001</v>
      </c>
      <c r="K390" s="1">
        <v>105.452</v>
      </c>
      <c r="L390" s="1">
        <v>47.27</v>
      </c>
      <c r="M390" s="1">
        <v>58.4</v>
      </c>
      <c r="N390" s="1">
        <v>4.3979999999999998E-2</v>
      </c>
      <c r="O390" s="1">
        <v>3.1100000000000002E-4</v>
      </c>
      <c r="P390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30.172170627361695</v>
      </c>
      <c r="Q390" s="1">
        <f>LN(Table1[[#This Row],[qe_mg_g]]-Table1[[#This Row],[qt]])</f>
        <v>2.8391854386426116</v>
      </c>
      <c r="R390" s="1">
        <v>2</v>
      </c>
    </row>
    <row r="391" spans="1:18" x14ac:dyDescent="0.3">
      <c r="A391" s="1">
        <v>390</v>
      </c>
      <c r="B391" s="1" t="s">
        <v>16</v>
      </c>
      <c r="C391" s="1">
        <v>2</v>
      </c>
      <c r="D391" s="1">
        <v>120</v>
      </c>
      <c r="E391" s="1">
        <v>200</v>
      </c>
      <c r="F391" s="1">
        <v>3</v>
      </c>
      <c r="G391" s="1">
        <v>25</v>
      </c>
      <c r="H391" s="1">
        <v>150</v>
      </c>
      <c r="I391" s="1">
        <v>100</v>
      </c>
      <c r="J391" s="1">
        <v>54.561</v>
      </c>
      <c r="K391" s="1">
        <v>90.876999999999995</v>
      </c>
      <c r="L391" s="1">
        <v>54.56</v>
      </c>
      <c r="M391" s="1">
        <v>58.6</v>
      </c>
      <c r="N391" s="1">
        <v>5.1720000000000002E-2</v>
      </c>
      <c r="O391" s="1">
        <v>2.9189999999999999E-4</v>
      </c>
      <c r="P391" s="1">
        <f>(Table1[[#This Row],[Rate_Constant_k2_g_mg_min]]*Table1[[#This Row],[Contact_Time_min]]*Table1[[#This Row],[qe_mg_g]]^2)/(1+Table1[[#This Row],[Contact_Time_min]]*Table1[[#This Row],[qe_mg_g]]*Table1[[#This Row],[Rate_Constant_k2_g_mg_min]])</f>
        <v>35.819003941152431</v>
      </c>
      <c r="Q391" s="1">
        <f>LN(Table1[[#This Row],[qe_mg_g]]-Table1[[#This Row],[qt]])</f>
        <v>2.9307667844170919</v>
      </c>
      <c r="R391" s="1">
        <v>3</v>
      </c>
    </row>
    <row r="392" spans="1:18" x14ac:dyDescent="0.3">
      <c r="A392" s="1">
        <v>391</v>
      </c>
      <c r="B392" s="1" t="s">
        <v>16</v>
      </c>
      <c r="C392" s="1">
        <v>2</v>
      </c>
      <c r="D392" s="1">
        <v>120</v>
      </c>
      <c r="E392" s="1">
        <v>200</v>
      </c>
      <c r="F392" s="1">
        <v>7</v>
      </c>
      <c r="G392" s="1">
        <v>25</v>
      </c>
      <c r="H392" s="1">
        <v>150</v>
      </c>
      <c r="I392" s="1">
        <v>100</v>
      </c>
      <c r="J392" s="1">
        <v>72.665999999999997</v>
      </c>
      <c r="K392" s="1">
        <v>54.668999999999997</v>
      </c>
      <c r="L392" s="1">
        <v>72.67</v>
      </c>
      <c r="M392" s="1">
        <v>59.2</v>
      </c>
      <c r="N392" s="1">
        <v>3.4090000000000002E-2</v>
      </c>
      <c r="O392" s="1">
        <v>3.2650000000000002E-4</v>
      </c>
      <c r="P392" s="1">
        <f>(Table1[[#This Row],[Rate_Constant_k2_g_mg_min]]*Table1[[#This Row],[Contact_Time_min]]*Table1[[#This Row],[qe_mg_g]]^2)/(1+Table1[[#This Row],[Contact_Time_min]]*Table1[[#This Row],[qe_mg_g]]*Table1[[#This Row],[Rate_Constant_k2_g_mg_min]])</f>
        <v>53.777260131350168</v>
      </c>
      <c r="Q392" s="1">
        <f>LN(Table1[[#This Row],[qe_mg_g]]-Table1[[#This Row],[qt]])</f>
        <v>2.938565970376148</v>
      </c>
      <c r="R392" s="1">
        <v>1</v>
      </c>
    </row>
    <row r="393" spans="1:18" x14ac:dyDescent="0.3">
      <c r="A393" s="1">
        <v>392</v>
      </c>
      <c r="B393" s="1" t="s">
        <v>16</v>
      </c>
      <c r="C393" s="1">
        <v>2</v>
      </c>
      <c r="D393" s="1">
        <v>120</v>
      </c>
      <c r="E393" s="1">
        <v>200</v>
      </c>
      <c r="F393" s="1">
        <v>7</v>
      </c>
      <c r="G393" s="1">
        <v>25</v>
      </c>
      <c r="H393" s="1">
        <v>150</v>
      </c>
      <c r="I393" s="1">
        <v>100</v>
      </c>
      <c r="J393" s="1">
        <v>77.081000000000003</v>
      </c>
      <c r="K393" s="1">
        <v>45.838000000000001</v>
      </c>
      <c r="L393" s="1">
        <v>77.08</v>
      </c>
      <c r="M393" s="1">
        <v>63.9</v>
      </c>
      <c r="N393" s="1">
        <v>4.53E-2</v>
      </c>
      <c r="O393" s="1">
        <v>3.1550000000000003E-4</v>
      </c>
      <c r="P393" s="1">
        <f>(Table1[[#This Row],[Rate_Constant_k2_g_mg_min]]*Table1[[#This Row],[Contact_Time_min]]*Table1[[#This Row],[qe_mg_g]]^2)/(1+Table1[[#This Row],[Contact_Time_min]]*Table1[[#This Row],[qe_mg_g]]*Table1[[#This Row],[Rate_Constant_k2_g_mg_min]])</f>
        <v>57.408881370476351</v>
      </c>
      <c r="Q393" s="1">
        <f>LN(Table1[[#This Row],[qe_mg_g]]-Table1[[#This Row],[qt]])</f>
        <v>2.9792023352700303</v>
      </c>
      <c r="R393" s="1">
        <v>2</v>
      </c>
    </row>
    <row r="394" spans="1:18" x14ac:dyDescent="0.3">
      <c r="A394" s="1">
        <v>393</v>
      </c>
      <c r="B394" s="1" t="s">
        <v>16</v>
      </c>
      <c r="C394" s="1">
        <v>2</v>
      </c>
      <c r="D394" s="1">
        <v>120</v>
      </c>
      <c r="E394" s="1">
        <v>200</v>
      </c>
      <c r="F394" s="1">
        <v>7</v>
      </c>
      <c r="G394" s="1">
        <v>25</v>
      </c>
      <c r="H394" s="1">
        <v>150</v>
      </c>
      <c r="I394" s="1">
        <v>100</v>
      </c>
      <c r="J394" s="1">
        <v>63.691000000000003</v>
      </c>
      <c r="K394" s="1">
        <v>72.617999999999995</v>
      </c>
      <c r="L394" s="1">
        <v>63.69</v>
      </c>
      <c r="M394" s="1">
        <v>61.4</v>
      </c>
      <c r="N394" s="1">
        <v>4.8570000000000002E-2</v>
      </c>
      <c r="O394" s="1">
        <v>2.6239999999999998E-4</v>
      </c>
      <c r="P394" s="1">
        <f>(Table1[[#This Row],[Rate_Constant_k2_g_mg_min]]*Table1[[#This Row],[Contact_Time_min]]*Table1[[#This Row],[qe_mg_g]]^2)/(1+Table1[[#This Row],[Contact_Time_min]]*Table1[[#This Row],[qe_mg_g]]*Table1[[#This Row],[Rate_Constant_k2_g_mg_min]])</f>
        <v>42.49953328589536</v>
      </c>
      <c r="Q394" s="1">
        <f>LN(Table1[[#This Row],[qe_mg_g]]-Table1[[#This Row],[qt]])</f>
        <v>3.053598587162039</v>
      </c>
      <c r="R394" s="1">
        <v>3</v>
      </c>
    </row>
    <row r="395" spans="1:18" x14ac:dyDescent="0.3">
      <c r="A395" s="1">
        <v>394</v>
      </c>
      <c r="B395" s="1" t="s">
        <v>16</v>
      </c>
      <c r="C395" s="1">
        <v>2</v>
      </c>
      <c r="D395" s="1">
        <v>120</v>
      </c>
      <c r="E395" s="1">
        <v>200</v>
      </c>
      <c r="F395" s="1">
        <v>11</v>
      </c>
      <c r="G395" s="1">
        <v>25</v>
      </c>
      <c r="H395" s="1">
        <v>150</v>
      </c>
      <c r="I395" s="1">
        <v>100</v>
      </c>
      <c r="J395" s="1">
        <v>60.947000000000003</v>
      </c>
      <c r="K395" s="1">
        <v>78.106999999999999</v>
      </c>
      <c r="L395" s="1">
        <v>60.95</v>
      </c>
      <c r="M395" s="1">
        <v>53.1</v>
      </c>
      <c r="N395" s="1">
        <v>4.7100000000000003E-2</v>
      </c>
      <c r="O395" s="1">
        <v>2.989E-4</v>
      </c>
      <c r="P395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41.817652543255832</v>
      </c>
      <c r="Q395" s="1">
        <f>LN(Table1[[#This Row],[qe_mg_g]]-Table1[[#This Row],[qt]])</f>
        <v>2.9512236718794731</v>
      </c>
      <c r="R395" s="1">
        <v>1</v>
      </c>
    </row>
    <row r="396" spans="1:18" x14ac:dyDescent="0.3">
      <c r="A396" s="1">
        <v>395</v>
      </c>
      <c r="B396" s="1" t="s">
        <v>16</v>
      </c>
      <c r="C396" s="1">
        <v>2</v>
      </c>
      <c r="D396" s="1">
        <v>120</v>
      </c>
      <c r="E396" s="1">
        <v>200</v>
      </c>
      <c r="F396" s="1">
        <v>11</v>
      </c>
      <c r="G396" s="1">
        <v>25</v>
      </c>
      <c r="H396" s="1">
        <v>150</v>
      </c>
      <c r="I396" s="1">
        <v>100</v>
      </c>
      <c r="J396" s="1">
        <v>51.853999999999999</v>
      </c>
      <c r="K396" s="1">
        <v>96.292000000000002</v>
      </c>
      <c r="L396" s="1">
        <v>51.85</v>
      </c>
      <c r="M396" s="1">
        <v>78.3</v>
      </c>
      <c r="N396" s="1">
        <v>4.1689999999999998E-2</v>
      </c>
      <c r="O396" s="1">
        <v>2.7569999999999998E-4</v>
      </c>
      <c r="P396" s="1">
        <f>(Table1[[#This Row],[Rate_Constant_k2_g_mg_min]]*Table1[[#This Row],[Contact_Time_min]]*Table1[[#This Row],[qe_mg_g]]^2)/(1+Table1[[#This Row],[Contact_Time_min]]*Table1[[#This Row],[qe_mg_g]]*Table1[[#This Row],[Rate_Constant_k2_g_mg_min]])</f>
        <v>32.75870284667036</v>
      </c>
      <c r="Q396" s="1">
        <f>LN(Table1[[#This Row],[qe_mg_g]]-Table1[[#This Row],[qt]])</f>
        <v>2.9494420823961249</v>
      </c>
      <c r="R396" s="1">
        <v>2</v>
      </c>
    </row>
    <row r="397" spans="1:18" x14ac:dyDescent="0.3">
      <c r="A397" s="1">
        <v>396</v>
      </c>
      <c r="B397" s="1" t="s">
        <v>16</v>
      </c>
      <c r="C397" s="1">
        <v>2</v>
      </c>
      <c r="D397" s="1">
        <v>120</v>
      </c>
      <c r="E397" s="1">
        <v>200</v>
      </c>
      <c r="F397" s="1">
        <v>11</v>
      </c>
      <c r="G397" s="1">
        <v>25</v>
      </c>
      <c r="H397" s="1">
        <v>150</v>
      </c>
      <c r="I397" s="1">
        <v>100</v>
      </c>
      <c r="J397" s="1">
        <v>60.503999999999998</v>
      </c>
      <c r="K397" s="1">
        <v>78.992999999999995</v>
      </c>
      <c r="L397" s="1">
        <v>60.5</v>
      </c>
      <c r="M397" s="1">
        <v>78.2</v>
      </c>
      <c r="N397" s="1">
        <v>4.0430000000000001E-2</v>
      </c>
      <c r="O397" s="1">
        <v>3.0190000000000002E-4</v>
      </c>
      <c r="P397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41.548750019326185</v>
      </c>
      <c r="Q397" s="1">
        <f>LN(Table1[[#This Row],[qe_mg_g]]-Table1[[#This Row],[qt]])</f>
        <v>2.9420809369939085</v>
      </c>
      <c r="R397" s="1">
        <v>3</v>
      </c>
    </row>
    <row r="398" spans="1:18" x14ac:dyDescent="0.3">
      <c r="A398" s="1">
        <v>397</v>
      </c>
      <c r="B398" s="1" t="s">
        <v>16</v>
      </c>
      <c r="C398" s="1">
        <v>2</v>
      </c>
      <c r="D398" s="1">
        <v>240</v>
      </c>
      <c r="E398" s="1">
        <v>25</v>
      </c>
      <c r="F398" s="1">
        <v>3</v>
      </c>
      <c r="G398" s="1">
        <v>25</v>
      </c>
      <c r="H398" s="1">
        <v>150</v>
      </c>
      <c r="I398" s="1">
        <v>100</v>
      </c>
      <c r="J398" s="1">
        <v>3.65</v>
      </c>
      <c r="K398" s="1">
        <v>17.701000000000001</v>
      </c>
      <c r="L398" s="1">
        <v>29.2</v>
      </c>
      <c r="M398" s="1">
        <v>73.599999999999994</v>
      </c>
      <c r="N398" s="1">
        <v>4.5789999999999997E-2</v>
      </c>
      <c r="O398" s="1">
        <v>2.8899999999999998E-4</v>
      </c>
      <c r="P39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0.73737244287260084</v>
      </c>
      <c r="Q398" s="1">
        <f>LN(Table1[[#This Row],[qe_mg_g]]-Table1[[#This Row],[qt]])</f>
        <v>1.0690556143713748</v>
      </c>
      <c r="R398" s="1">
        <v>1</v>
      </c>
    </row>
    <row r="399" spans="1:18" x14ac:dyDescent="0.3">
      <c r="A399" s="1">
        <v>398</v>
      </c>
      <c r="B399" s="1" t="s">
        <v>16</v>
      </c>
      <c r="C399" s="1">
        <v>2</v>
      </c>
      <c r="D399" s="1">
        <v>240</v>
      </c>
      <c r="E399" s="1">
        <v>25</v>
      </c>
      <c r="F399" s="1">
        <v>3</v>
      </c>
      <c r="G399" s="1">
        <v>25</v>
      </c>
      <c r="H399" s="1">
        <v>150</v>
      </c>
      <c r="I399" s="1">
        <v>100</v>
      </c>
      <c r="J399" s="1">
        <v>3.2949999999999999</v>
      </c>
      <c r="K399" s="1">
        <v>18.41</v>
      </c>
      <c r="L399" s="1">
        <v>26.36</v>
      </c>
      <c r="M399" s="1">
        <v>67.5</v>
      </c>
      <c r="N399" s="1">
        <v>4.018E-2</v>
      </c>
      <c r="O399" s="1">
        <v>2.1240000000000001E-4</v>
      </c>
      <c r="P39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0.47385604059406117</v>
      </c>
      <c r="Q399" s="1">
        <f>LN(Table1[[#This Row],[qe_mg_g]]-Table1[[#This Row],[qt]])</f>
        <v>1.0371424620563154</v>
      </c>
      <c r="R399" s="1">
        <v>2</v>
      </c>
    </row>
    <row r="400" spans="1:18" x14ac:dyDescent="0.3">
      <c r="A400" s="1">
        <v>399</v>
      </c>
      <c r="B400" s="1" t="s">
        <v>16</v>
      </c>
      <c r="C400" s="1">
        <v>2</v>
      </c>
      <c r="D400" s="1">
        <v>240</v>
      </c>
      <c r="E400" s="1">
        <v>25</v>
      </c>
      <c r="F400" s="1">
        <v>3</v>
      </c>
      <c r="G400" s="1">
        <v>25</v>
      </c>
      <c r="H400" s="1">
        <v>150</v>
      </c>
      <c r="I400" s="1">
        <v>100</v>
      </c>
      <c r="J400" s="1">
        <v>3.6520000000000001</v>
      </c>
      <c r="K400" s="1">
        <v>17.696000000000002</v>
      </c>
      <c r="L400" s="1">
        <v>29.21</v>
      </c>
      <c r="M400" s="1">
        <v>75.7</v>
      </c>
      <c r="N400" s="1">
        <v>3.4369999999999998E-2</v>
      </c>
      <c r="O400" s="1">
        <v>2.697E-4</v>
      </c>
      <c r="P40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0.69823146628331134</v>
      </c>
      <c r="Q400" s="1">
        <f>LN(Table1[[#This Row],[qe_mg_g]]-Table1[[#This Row],[qt]])</f>
        <v>1.0830818241388851</v>
      </c>
      <c r="R400" s="1">
        <v>3</v>
      </c>
    </row>
    <row r="401" spans="1:18" x14ac:dyDescent="0.3">
      <c r="A401" s="1">
        <v>400</v>
      </c>
      <c r="B401" s="1" t="s">
        <v>16</v>
      </c>
      <c r="C401" s="1">
        <v>2</v>
      </c>
      <c r="D401" s="1">
        <v>240</v>
      </c>
      <c r="E401" s="1">
        <v>25</v>
      </c>
      <c r="F401" s="1">
        <v>7</v>
      </c>
      <c r="G401" s="1">
        <v>25</v>
      </c>
      <c r="H401" s="1">
        <v>150</v>
      </c>
      <c r="I401" s="1">
        <v>100</v>
      </c>
      <c r="J401" s="1">
        <v>5.81</v>
      </c>
      <c r="K401" s="1">
        <v>13.381</v>
      </c>
      <c r="L401" s="1">
        <v>46.48</v>
      </c>
      <c r="M401" s="1">
        <v>87.2</v>
      </c>
      <c r="N401" s="1">
        <v>4.5089999999999998E-2</v>
      </c>
      <c r="O401" s="1">
        <v>2.7819999999999999E-4</v>
      </c>
      <c r="P40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1.6238860360230016</v>
      </c>
      <c r="Q401" s="1">
        <f>LN(Table1[[#This Row],[qe_mg_g]]-Table1[[#This Row],[qt]])</f>
        <v>1.4317728486835524</v>
      </c>
      <c r="R401" s="1">
        <v>1</v>
      </c>
    </row>
    <row r="402" spans="1:18" x14ac:dyDescent="0.3">
      <c r="A402" s="1">
        <v>401</v>
      </c>
      <c r="B402" s="1" t="s">
        <v>16</v>
      </c>
      <c r="C402" s="1">
        <v>2</v>
      </c>
      <c r="D402" s="1">
        <v>240</v>
      </c>
      <c r="E402" s="1">
        <v>25</v>
      </c>
      <c r="F402" s="1">
        <v>7</v>
      </c>
      <c r="G402" s="1">
        <v>25</v>
      </c>
      <c r="H402" s="1">
        <v>150</v>
      </c>
      <c r="I402" s="1">
        <v>100</v>
      </c>
      <c r="J402" s="1">
        <v>5.4550000000000001</v>
      </c>
      <c r="K402" s="1">
        <v>14.090999999999999</v>
      </c>
      <c r="L402" s="1">
        <v>43.64</v>
      </c>
      <c r="M402" s="1">
        <v>80.400000000000006</v>
      </c>
      <c r="N402" s="1">
        <v>4.2090000000000002E-2</v>
      </c>
      <c r="O402" s="1">
        <v>2.7599999999999999E-4</v>
      </c>
      <c r="P40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1.4479163870400558</v>
      </c>
      <c r="Q402" s="1">
        <f>LN(Table1[[#This Row],[qe_mg_g]]-Table1[[#This Row],[qt]])</f>
        <v>1.3880636981595207</v>
      </c>
      <c r="R402" s="1">
        <v>2</v>
      </c>
    </row>
    <row r="403" spans="1:18" x14ac:dyDescent="0.3">
      <c r="A403" s="1">
        <v>402</v>
      </c>
      <c r="B403" s="1" t="s">
        <v>16</v>
      </c>
      <c r="C403" s="1">
        <v>2</v>
      </c>
      <c r="D403" s="1">
        <v>240</v>
      </c>
      <c r="E403" s="1">
        <v>25</v>
      </c>
      <c r="F403" s="1">
        <v>7</v>
      </c>
      <c r="G403" s="1">
        <v>25</v>
      </c>
      <c r="H403" s="1">
        <v>150</v>
      </c>
      <c r="I403" s="1">
        <v>100</v>
      </c>
      <c r="J403" s="1">
        <v>5.3220000000000001</v>
      </c>
      <c r="K403" s="1">
        <v>14.356</v>
      </c>
      <c r="L403" s="1">
        <v>42.57</v>
      </c>
      <c r="M403" s="1">
        <v>57.1</v>
      </c>
      <c r="N403" s="1">
        <v>4.555E-2</v>
      </c>
      <c r="O403" s="1">
        <v>3.4870000000000002E-4</v>
      </c>
      <c r="P40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1.6399425119935447</v>
      </c>
      <c r="Q403" s="1">
        <f>LN(Table1[[#This Row],[qe_mg_g]]-Table1[[#This Row],[qt]])</f>
        <v>1.3034716959444201</v>
      </c>
      <c r="R403" s="1">
        <v>3</v>
      </c>
    </row>
    <row r="404" spans="1:18" x14ac:dyDescent="0.3">
      <c r="A404" s="1">
        <v>403</v>
      </c>
      <c r="B404" s="1" t="s">
        <v>16</v>
      </c>
      <c r="C404" s="1">
        <v>2</v>
      </c>
      <c r="D404" s="1">
        <v>240</v>
      </c>
      <c r="E404" s="1">
        <v>25</v>
      </c>
      <c r="F404" s="1">
        <v>11</v>
      </c>
      <c r="G404" s="1">
        <v>25</v>
      </c>
      <c r="H404" s="1">
        <v>150</v>
      </c>
      <c r="I404" s="1">
        <v>100</v>
      </c>
      <c r="J404" s="1">
        <v>4.4139999999999997</v>
      </c>
      <c r="K404" s="1">
        <v>16.172000000000001</v>
      </c>
      <c r="L404" s="1">
        <v>35.31</v>
      </c>
      <c r="M404" s="1">
        <v>64.099999999999994</v>
      </c>
      <c r="N404" s="1">
        <v>4.369E-2</v>
      </c>
      <c r="O404" s="1">
        <v>2.5310000000000003E-4</v>
      </c>
      <c r="P40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0.93326787576902104</v>
      </c>
      <c r="Q404" s="1">
        <f>LN(Table1[[#This Row],[qe_mg_g]]-Table1[[#This Row],[qt]])</f>
        <v>1.2472426521856466</v>
      </c>
      <c r="R404" s="1">
        <v>1</v>
      </c>
    </row>
    <row r="405" spans="1:18" x14ac:dyDescent="0.3">
      <c r="A405" s="1">
        <v>404</v>
      </c>
      <c r="B405" s="1" t="s">
        <v>16</v>
      </c>
      <c r="C405" s="1">
        <v>2</v>
      </c>
      <c r="D405" s="1">
        <v>240</v>
      </c>
      <c r="E405" s="1">
        <v>25</v>
      </c>
      <c r="F405" s="1">
        <v>11</v>
      </c>
      <c r="G405" s="1">
        <v>25</v>
      </c>
      <c r="H405" s="1">
        <v>150</v>
      </c>
      <c r="I405" s="1">
        <v>100</v>
      </c>
      <c r="J405" s="1">
        <v>4.6070000000000002</v>
      </c>
      <c r="K405" s="1">
        <v>15.786</v>
      </c>
      <c r="L405" s="1">
        <v>36.86</v>
      </c>
      <c r="M405" s="1">
        <v>65.900000000000006</v>
      </c>
      <c r="N405" s="1">
        <v>4.419E-2</v>
      </c>
      <c r="O405" s="1">
        <v>3.9580000000000003E-4</v>
      </c>
      <c r="P40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1.4024161030948767</v>
      </c>
      <c r="Q405" s="1">
        <f>LN(Table1[[#This Row],[qe_mg_g]]-Table1[[#This Row],[qt]])</f>
        <v>1.1645822525852969</v>
      </c>
      <c r="R405" s="1">
        <v>2</v>
      </c>
    </row>
    <row r="406" spans="1:18" x14ac:dyDescent="0.3">
      <c r="A406" s="1">
        <v>405</v>
      </c>
      <c r="B406" s="1" t="s">
        <v>16</v>
      </c>
      <c r="C406" s="1">
        <v>2</v>
      </c>
      <c r="D406" s="1">
        <v>240</v>
      </c>
      <c r="E406" s="1">
        <v>25</v>
      </c>
      <c r="F406" s="1">
        <v>11</v>
      </c>
      <c r="G406" s="1">
        <v>25</v>
      </c>
      <c r="H406" s="1">
        <v>150</v>
      </c>
      <c r="I406" s="1">
        <v>100</v>
      </c>
      <c r="J406" s="1">
        <v>4.4059999999999997</v>
      </c>
      <c r="K406" s="1">
        <v>16.187999999999999</v>
      </c>
      <c r="L406" s="1">
        <v>35.25</v>
      </c>
      <c r="M406" s="1">
        <v>59.1</v>
      </c>
      <c r="N406" s="1">
        <v>4.308E-2</v>
      </c>
      <c r="O406" s="1">
        <v>3.345E-4</v>
      </c>
      <c r="P40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1.1512497045017673</v>
      </c>
      <c r="Q406" s="1">
        <f>LN(Table1[[#This Row],[qe_mg_g]]-Table1[[#This Row],[qt]])</f>
        <v>1.1801155585852054</v>
      </c>
      <c r="R406" s="1">
        <v>3</v>
      </c>
    </row>
    <row r="407" spans="1:18" x14ac:dyDescent="0.3">
      <c r="A407" s="1">
        <v>406</v>
      </c>
      <c r="B407" s="1" t="s">
        <v>16</v>
      </c>
      <c r="C407" s="1">
        <v>2</v>
      </c>
      <c r="D407" s="1">
        <v>240</v>
      </c>
      <c r="E407" s="1">
        <v>50</v>
      </c>
      <c r="F407" s="1">
        <v>3</v>
      </c>
      <c r="G407" s="1">
        <v>25</v>
      </c>
      <c r="H407" s="1">
        <v>150</v>
      </c>
      <c r="I407" s="1">
        <v>100</v>
      </c>
      <c r="J407" s="1">
        <v>10.164999999999999</v>
      </c>
      <c r="K407" s="1">
        <v>29.670999999999999</v>
      </c>
      <c r="L407" s="1">
        <v>40.659999999999997</v>
      </c>
      <c r="M407" s="1">
        <v>52.3</v>
      </c>
      <c r="N407" s="1">
        <v>4.9140000000000003E-2</v>
      </c>
      <c r="O407" s="1">
        <v>2.7999999999999998E-4</v>
      </c>
      <c r="P40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4.1255059272004786</v>
      </c>
      <c r="Q407" s="1">
        <f>LN(Table1[[#This Row],[qe_mg_g]]-Table1[[#This Row],[qt]])</f>
        <v>1.7983202456568896</v>
      </c>
      <c r="R407" s="1">
        <v>1</v>
      </c>
    </row>
    <row r="408" spans="1:18" x14ac:dyDescent="0.3">
      <c r="A408" s="1">
        <v>407</v>
      </c>
      <c r="B408" s="1" t="s">
        <v>16</v>
      </c>
      <c r="C408" s="1">
        <v>2</v>
      </c>
      <c r="D408" s="1">
        <v>240</v>
      </c>
      <c r="E408" s="1">
        <v>50</v>
      </c>
      <c r="F408" s="1">
        <v>3</v>
      </c>
      <c r="G408" s="1">
        <v>25</v>
      </c>
      <c r="H408" s="1">
        <v>150</v>
      </c>
      <c r="I408" s="1">
        <v>100</v>
      </c>
      <c r="J408" s="1">
        <v>11.583</v>
      </c>
      <c r="K408" s="1">
        <v>26.834</v>
      </c>
      <c r="L408" s="1">
        <v>46.33</v>
      </c>
      <c r="M408" s="1">
        <v>77.5</v>
      </c>
      <c r="N408" s="1">
        <v>4.299E-2</v>
      </c>
      <c r="O408" s="1">
        <v>3.3839999999999999E-4</v>
      </c>
      <c r="P408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5.6146116761911351</v>
      </c>
      <c r="Q408" s="1">
        <f>LN(Table1[[#This Row],[qe_mg_g]]-Table1[[#This Row],[qt]])</f>
        <v>1.7864769284469946</v>
      </c>
      <c r="R408" s="1">
        <v>2</v>
      </c>
    </row>
    <row r="409" spans="1:18" x14ac:dyDescent="0.3">
      <c r="A409" s="1">
        <v>408</v>
      </c>
      <c r="B409" s="1" t="s">
        <v>16</v>
      </c>
      <c r="C409" s="1">
        <v>2</v>
      </c>
      <c r="D409" s="1">
        <v>240</v>
      </c>
      <c r="E409" s="1">
        <v>50</v>
      </c>
      <c r="F409" s="1">
        <v>3</v>
      </c>
      <c r="G409" s="1">
        <v>25</v>
      </c>
      <c r="H409" s="1">
        <v>150</v>
      </c>
      <c r="I409" s="1">
        <v>100</v>
      </c>
      <c r="J409" s="1">
        <v>10.128</v>
      </c>
      <c r="K409" s="1">
        <v>29.744</v>
      </c>
      <c r="L409" s="1">
        <v>40.51</v>
      </c>
      <c r="M409" s="1">
        <v>75.2</v>
      </c>
      <c r="N409" s="1">
        <v>4.718E-2</v>
      </c>
      <c r="O409" s="1">
        <v>2.7460000000000001E-4</v>
      </c>
      <c r="P409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4.0541484127692051</v>
      </c>
      <c r="Q409" s="1">
        <f>LN(Table1[[#This Row],[qe_mg_g]]-Table1[[#This Row],[qt]])</f>
        <v>1.8039929322174981</v>
      </c>
      <c r="R409" s="1">
        <v>3</v>
      </c>
    </row>
    <row r="410" spans="1:18" x14ac:dyDescent="0.3">
      <c r="A410" s="1">
        <v>409</v>
      </c>
      <c r="B410" s="1" t="s">
        <v>16</v>
      </c>
      <c r="C410" s="1">
        <v>2</v>
      </c>
      <c r="D410" s="1">
        <v>240</v>
      </c>
      <c r="E410" s="1">
        <v>50</v>
      </c>
      <c r="F410" s="1">
        <v>7</v>
      </c>
      <c r="G410" s="1">
        <v>25</v>
      </c>
      <c r="H410" s="1">
        <v>150</v>
      </c>
      <c r="I410" s="1">
        <v>100</v>
      </c>
      <c r="J410" s="1">
        <v>14.27</v>
      </c>
      <c r="K410" s="1">
        <v>21.459</v>
      </c>
      <c r="L410" s="1">
        <v>57.08</v>
      </c>
      <c r="M410" s="1">
        <v>77</v>
      </c>
      <c r="N410" s="1">
        <v>4.3490000000000001E-2</v>
      </c>
      <c r="O410" s="1">
        <v>2.879E-4</v>
      </c>
      <c r="P410" s="1">
        <f>(Table1[[#This Row],[Rate_Constant_k2_g_mg_min]]*Table1[[#This Row],[Contact_Time_min]]*Table1[[#This Row],[qe_mg_g]]^2)/(1+Table1[[#This Row],[Contact_Time_min]]*Table1[[#This Row],[qe_mg_g]]*Table1[[#This Row],[Rate_Constant_k2_g_mg_min]])</f>
        <v>7.0847026310051415</v>
      </c>
      <c r="Q410" s="1">
        <f>LN(Table1[[#This Row],[qe_mg_g]]-Table1[[#This Row],[qt]])</f>
        <v>1.9720369061477387</v>
      </c>
      <c r="R410" s="1">
        <v>1</v>
      </c>
    </row>
    <row r="411" spans="1:18" x14ac:dyDescent="0.3">
      <c r="A411" s="1">
        <v>410</v>
      </c>
      <c r="B411" s="1" t="s">
        <v>16</v>
      </c>
      <c r="C411" s="1">
        <v>2</v>
      </c>
      <c r="D411" s="1">
        <v>240</v>
      </c>
      <c r="E411" s="1">
        <v>50</v>
      </c>
      <c r="F411" s="1">
        <v>7</v>
      </c>
      <c r="G411" s="1">
        <v>25</v>
      </c>
      <c r="H411" s="1">
        <v>150</v>
      </c>
      <c r="I411" s="1">
        <v>100</v>
      </c>
      <c r="J411" s="1">
        <v>13.895</v>
      </c>
      <c r="K411" s="1">
        <v>22.209</v>
      </c>
      <c r="L411" s="1">
        <v>55.58</v>
      </c>
      <c r="M411" s="1">
        <v>70.900000000000006</v>
      </c>
      <c r="N411" s="1">
        <v>5.4280000000000002E-2</v>
      </c>
      <c r="O411" s="1">
        <v>2.6800000000000001E-4</v>
      </c>
      <c r="P411" s="1">
        <f>(Table1[[#This Row],[Rate_Constant_k2_g_mg_min]]*Table1[[#This Row],[Contact_Time_min]]*Table1[[#This Row],[qe_mg_g]]^2)/(1+Table1[[#This Row],[Contact_Time_min]]*Table1[[#This Row],[qe_mg_g]]*Table1[[#This Row],[Rate_Constant_k2_g_mg_min]])</f>
        <v>6.5576148317940754</v>
      </c>
      <c r="Q411" s="1">
        <f>LN(Table1[[#This Row],[qe_mg_g]]-Table1[[#This Row],[qt]])</f>
        <v>1.9929825350427812</v>
      </c>
      <c r="R411" s="1">
        <v>2</v>
      </c>
    </row>
    <row r="412" spans="1:18" x14ac:dyDescent="0.3">
      <c r="A412" s="1">
        <v>411</v>
      </c>
      <c r="B412" s="1" t="s">
        <v>16</v>
      </c>
      <c r="C412" s="1">
        <v>2</v>
      </c>
      <c r="D412" s="1">
        <v>240</v>
      </c>
      <c r="E412" s="1">
        <v>50</v>
      </c>
      <c r="F412" s="1">
        <v>7</v>
      </c>
      <c r="G412" s="1">
        <v>25</v>
      </c>
      <c r="H412" s="1">
        <v>150</v>
      </c>
      <c r="I412" s="1">
        <v>100</v>
      </c>
      <c r="J412" s="1">
        <v>15.074</v>
      </c>
      <c r="K412" s="1">
        <v>19.852</v>
      </c>
      <c r="L412" s="1">
        <v>60.3</v>
      </c>
      <c r="M412" s="1">
        <v>80.8</v>
      </c>
      <c r="N412" s="1">
        <v>4.4639999999999999E-2</v>
      </c>
      <c r="O412" s="1">
        <v>3.1359999999999998E-4</v>
      </c>
      <c r="P412" s="1">
        <f>(Table1[[#This Row],[Rate_Constant_k2_g_mg_min]]*Table1[[#This Row],[Contact_Time_min]]*Table1[[#This Row],[qe_mg_g]]^2)/(1+Table1[[#This Row],[Contact_Time_min]]*Table1[[#This Row],[qe_mg_g]]*Table1[[#This Row],[Rate_Constant_k2_g_mg_min]])</f>
        <v>8.012022292140351</v>
      </c>
      <c r="Q412" s="1">
        <f>LN(Table1[[#This Row],[qe_mg_g]]-Table1[[#This Row],[qt]])</f>
        <v>1.9547251408684807</v>
      </c>
      <c r="R412" s="1">
        <v>3</v>
      </c>
    </row>
    <row r="413" spans="1:18" x14ac:dyDescent="0.3">
      <c r="A413" s="1">
        <v>412</v>
      </c>
      <c r="B413" s="1" t="s">
        <v>16</v>
      </c>
      <c r="C413" s="1">
        <v>2</v>
      </c>
      <c r="D413" s="1">
        <v>240</v>
      </c>
      <c r="E413" s="1">
        <v>50</v>
      </c>
      <c r="F413" s="1">
        <v>11</v>
      </c>
      <c r="G413" s="1">
        <v>25</v>
      </c>
      <c r="H413" s="1">
        <v>150</v>
      </c>
      <c r="I413" s="1">
        <v>100</v>
      </c>
      <c r="J413" s="1">
        <v>11.000999999999999</v>
      </c>
      <c r="K413" s="1">
        <v>27.997</v>
      </c>
      <c r="L413" s="1">
        <v>44.01</v>
      </c>
      <c r="M413" s="1">
        <v>70.900000000000006</v>
      </c>
      <c r="N413" s="1">
        <v>4.4159999999999998E-2</v>
      </c>
      <c r="O413" s="1">
        <v>3.2959999999999999E-4</v>
      </c>
      <c r="P41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5.1188140851370845</v>
      </c>
      <c r="Q413" s="1">
        <f>LN(Table1[[#This Row],[qe_mg_g]]-Table1[[#This Row],[qt]])</f>
        <v>1.7719284470554402</v>
      </c>
      <c r="R413" s="1">
        <v>1</v>
      </c>
    </row>
    <row r="414" spans="1:18" x14ac:dyDescent="0.3">
      <c r="A414" s="1">
        <v>413</v>
      </c>
      <c r="B414" s="1" t="s">
        <v>16</v>
      </c>
      <c r="C414" s="1">
        <v>2</v>
      </c>
      <c r="D414" s="1">
        <v>240</v>
      </c>
      <c r="E414" s="1">
        <v>50</v>
      </c>
      <c r="F414" s="1">
        <v>11</v>
      </c>
      <c r="G414" s="1">
        <v>25</v>
      </c>
      <c r="H414" s="1">
        <v>150</v>
      </c>
      <c r="I414" s="1">
        <v>100</v>
      </c>
      <c r="J414" s="1">
        <v>13.164999999999999</v>
      </c>
      <c r="K414" s="1">
        <v>23.669</v>
      </c>
      <c r="L414" s="1">
        <v>52.66</v>
      </c>
      <c r="M414" s="1">
        <v>92.6</v>
      </c>
      <c r="N414" s="1">
        <v>4.761E-2</v>
      </c>
      <c r="O414" s="1">
        <v>3.098E-4</v>
      </c>
      <c r="P414" s="1">
        <f>(Table1[[#This Row],[Rate_Constant_k2_g_mg_min]]*Table1[[#This Row],[Contact_Time_min]]*Table1[[#This Row],[qe_mg_g]]^2)/(1+Table1[[#This Row],[Contact_Time_min]]*Table1[[#This Row],[qe_mg_g]]*Table1[[#This Row],[Rate_Constant_k2_g_mg_min]])</f>
        <v>6.5121261667063726</v>
      </c>
      <c r="Q414" s="1">
        <f>LN(Table1[[#This Row],[qe_mg_g]]-Table1[[#This Row],[qt]])</f>
        <v>1.8950489166980198</v>
      </c>
      <c r="R414" s="1">
        <v>2</v>
      </c>
    </row>
    <row r="415" spans="1:18" x14ac:dyDescent="0.3">
      <c r="A415" s="1">
        <v>414</v>
      </c>
      <c r="B415" s="1" t="s">
        <v>16</v>
      </c>
      <c r="C415" s="1">
        <v>2</v>
      </c>
      <c r="D415" s="1">
        <v>240</v>
      </c>
      <c r="E415" s="1">
        <v>50</v>
      </c>
      <c r="F415" s="1">
        <v>11</v>
      </c>
      <c r="G415" s="1">
        <v>25</v>
      </c>
      <c r="H415" s="1">
        <v>150</v>
      </c>
      <c r="I415" s="1">
        <v>100</v>
      </c>
      <c r="J415" s="1">
        <v>12.21</v>
      </c>
      <c r="K415" s="1">
        <v>25.579000000000001</v>
      </c>
      <c r="L415" s="1">
        <v>48.84</v>
      </c>
      <c r="M415" s="1">
        <v>63.1</v>
      </c>
      <c r="N415" s="1">
        <v>4.6519999999999999E-2</v>
      </c>
      <c r="O415" s="1">
        <v>2.9109999999999997E-4</v>
      </c>
      <c r="P415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5.6208256217147774</v>
      </c>
      <c r="Q415" s="1">
        <f>LN(Table1[[#This Row],[qe_mg_g]]-Table1[[#This Row],[qt]])</f>
        <v>1.8854280566422303</v>
      </c>
      <c r="R415" s="1">
        <v>3</v>
      </c>
    </row>
    <row r="416" spans="1:18" x14ac:dyDescent="0.3">
      <c r="A416" s="1">
        <v>415</v>
      </c>
      <c r="B416" s="1" t="s">
        <v>16</v>
      </c>
      <c r="C416" s="1">
        <v>2</v>
      </c>
      <c r="D416" s="1">
        <v>240</v>
      </c>
      <c r="E416" s="1">
        <v>100</v>
      </c>
      <c r="F416" s="1">
        <v>3</v>
      </c>
      <c r="G416" s="1">
        <v>25</v>
      </c>
      <c r="H416" s="1">
        <v>150</v>
      </c>
      <c r="I416" s="1">
        <v>100</v>
      </c>
      <c r="J416" s="1">
        <v>25.937000000000001</v>
      </c>
      <c r="K416" s="1">
        <v>48.125999999999998</v>
      </c>
      <c r="L416" s="1">
        <v>51.87</v>
      </c>
      <c r="M416" s="1">
        <v>79.8</v>
      </c>
      <c r="N416" s="1">
        <v>4.0469999999999999E-2</v>
      </c>
      <c r="O416" s="1">
        <v>3.3419999999999999E-4</v>
      </c>
      <c r="P416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17.516866322000585</v>
      </c>
      <c r="Q416" s="1">
        <f>LN(Table1[[#This Row],[qe_mg_g]]-Table1[[#This Row],[qt]])</f>
        <v>2.1306257043751708</v>
      </c>
      <c r="R416" s="1">
        <v>1</v>
      </c>
    </row>
    <row r="417" spans="1:18" x14ac:dyDescent="0.3">
      <c r="A417" s="1">
        <v>416</v>
      </c>
      <c r="B417" s="1" t="s">
        <v>16</v>
      </c>
      <c r="C417" s="1">
        <v>2</v>
      </c>
      <c r="D417" s="1">
        <v>240</v>
      </c>
      <c r="E417" s="1">
        <v>100</v>
      </c>
      <c r="F417" s="1">
        <v>3</v>
      </c>
      <c r="G417" s="1">
        <v>25</v>
      </c>
      <c r="H417" s="1">
        <v>150</v>
      </c>
      <c r="I417" s="1">
        <v>100</v>
      </c>
      <c r="J417" s="1">
        <v>28.289000000000001</v>
      </c>
      <c r="K417" s="1">
        <v>43.423000000000002</v>
      </c>
      <c r="L417" s="1">
        <v>56.58</v>
      </c>
      <c r="M417" s="1">
        <v>65.5</v>
      </c>
      <c r="N417" s="1">
        <v>3.5450000000000002E-2</v>
      </c>
      <c r="O417" s="1">
        <v>2.8180000000000002E-4</v>
      </c>
      <c r="P417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18.57851133544964</v>
      </c>
      <c r="Q417" s="1">
        <f>LN(Table1[[#This Row],[qe_mg_g]]-Table1[[#This Row],[qt]])</f>
        <v>2.2732066069432468</v>
      </c>
      <c r="R417" s="1">
        <v>2</v>
      </c>
    </row>
    <row r="418" spans="1:18" x14ac:dyDescent="0.3">
      <c r="A418" s="1">
        <v>417</v>
      </c>
      <c r="B418" s="1" t="s">
        <v>16</v>
      </c>
      <c r="C418" s="1">
        <v>2</v>
      </c>
      <c r="D418" s="1">
        <v>240</v>
      </c>
      <c r="E418" s="1">
        <v>100</v>
      </c>
      <c r="F418" s="1">
        <v>3</v>
      </c>
      <c r="G418" s="1">
        <v>25</v>
      </c>
      <c r="H418" s="1">
        <v>150</v>
      </c>
      <c r="I418" s="1">
        <v>100</v>
      </c>
      <c r="J418" s="1">
        <v>28.247</v>
      </c>
      <c r="K418" s="1">
        <v>43.505000000000003</v>
      </c>
      <c r="L418" s="1">
        <v>56.49</v>
      </c>
      <c r="M418" s="1">
        <v>66.400000000000006</v>
      </c>
      <c r="N418" s="1">
        <v>4.0500000000000001E-2</v>
      </c>
      <c r="O418" s="1">
        <v>2.8489999999999999E-4</v>
      </c>
      <c r="P418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18.611045363248493</v>
      </c>
      <c r="Q418" s="1">
        <f>LN(Table1[[#This Row],[qe_mg_g]]-Table1[[#This Row],[qt]])</f>
        <v>2.2655013770569763</v>
      </c>
      <c r="R418" s="1">
        <v>3</v>
      </c>
    </row>
    <row r="419" spans="1:18" x14ac:dyDescent="0.3">
      <c r="A419" s="1">
        <v>418</v>
      </c>
      <c r="B419" s="1" t="s">
        <v>16</v>
      </c>
      <c r="C419" s="1">
        <v>2</v>
      </c>
      <c r="D419" s="1">
        <v>240</v>
      </c>
      <c r="E419" s="1">
        <v>100</v>
      </c>
      <c r="F419" s="1">
        <v>7</v>
      </c>
      <c r="G419" s="1">
        <v>25</v>
      </c>
      <c r="H419" s="1">
        <v>150</v>
      </c>
      <c r="I419" s="1">
        <v>100</v>
      </c>
      <c r="J419" s="1">
        <v>39.090000000000003</v>
      </c>
      <c r="K419" s="1">
        <v>21.818999999999999</v>
      </c>
      <c r="L419" s="1">
        <v>78.180000000000007</v>
      </c>
      <c r="M419" s="1">
        <v>72.099999999999994</v>
      </c>
      <c r="N419" s="1">
        <v>4.3920000000000001E-2</v>
      </c>
      <c r="O419" s="1">
        <v>2.8899999999999998E-4</v>
      </c>
      <c r="P419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28.557252613274596</v>
      </c>
      <c r="Q419" s="1">
        <f>LN(Table1[[#This Row],[qe_mg_g]]-Table1[[#This Row],[qt]])</f>
        <v>2.3544892025349462</v>
      </c>
      <c r="R419" s="1">
        <v>1</v>
      </c>
    </row>
    <row r="420" spans="1:18" x14ac:dyDescent="0.3">
      <c r="A420" s="1">
        <v>419</v>
      </c>
      <c r="B420" s="1" t="s">
        <v>16</v>
      </c>
      <c r="C420" s="1">
        <v>2</v>
      </c>
      <c r="D420" s="1">
        <v>240</v>
      </c>
      <c r="E420" s="1">
        <v>100</v>
      </c>
      <c r="F420" s="1">
        <v>7</v>
      </c>
      <c r="G420" s="1">
        <v>25</v>
      </c>
      <c r="H420" s="1">
        <v>150</v>
      </c>
      <c r="I420" s="1">
        <v>100</v>
      </c>
      <c r="J420" s="1">
        <v>35.478999999999999</v>
      </c>
      <c r="K420" s="1">
        <v>29.041</v>
      </c>
      <c r="L420" s="1">
        <v>70.959999999999994</v>
      </c>
      <c r="M420" s="1">
        <v>57.4</v>
      </c>
      <c r="N420" s="1">
        <v>5.2269999999999997E-2</v>
      </c>
      <c r="O420" s="1">
        <v>2.9030000000000001E-4</v>
      </c>
      <c r="P420" s="1">
        <f>(Table1[[#This Row],[Rate_Constant_k2_g_mg_min]]*Table1[[#This Row],[Contact_Time_min]]*Table1[[#This Row],[qe_mg_g]]^2)/(1+Table1[[#This Row],[Contact_Time_min]]*Table1[[#This Row],[qe_mg_g]]*Table1[[#This Row],[Rate_Constant_k2_g_mg_min]])</f>
        <v>25.260078753141531</v>
      </c>
      <c r="Q420" s="1">
        <f>LN(Table1[[#This Row],[qe_mg_g]]-Table1[[#This Row],[qt]])</f>
        <v>2.324241026059469</v>
      </c>
      <c r="R420" s="1">
        <v>2</v>
      </c>
    </row>
    <row r="421" spans="1:18" x14ac:dyDescent="0.3">
      <c r="A421" s="1">
        <v>420</v>
      </c>
      <c r="B421" s="1" t="s">
        <v>16</v>
      </c>
      <c r="C421" s="1">
        <v>2</v>
      </c>
      <c r="D421" s="1">
        <v>240</v>
      </c>
      <c r="E421" s="1">
        <v>100</v>
      </c>
      <c r="F421" s="1">
        <v>7</v>
      </c>
      <c r="G421" s="1">
        <v>25</v>
      </c>
      <c r="H421" s="1">
        <v>150</v>
      </c>
      <c r="I421" s="1">
        <v>100</v>
      </c>
      <c r="J421" s="1">
        <v>40.194000000000003</v>
      </c>
      <c r="K421" s="1">
        <v>19.613</v>
      </c>
      <c r="L421" s="1">
        <v>80.39</v>
      </c>
      <c r="M421" s="1">
        <v>81.900000000000006</v>
      </c>
      <c r="N421" s="1">
        <v>4.9489999999999999E-2</v>
      </c>
      <c r="O421" s="1">
        <v>2.8709999999999999E-4</v>
      </c>
      <c r="P421" s="1">
        <f>(Table1[[#This Row],[Rate_Constant_k2_g_mg_min]]*Table1[[#This Row],[Contact_Time_min]]*Table1[[#This Row],[qe_mg_g]]^2)/(1+Table1[[#This Row],[Contact_Time_min]]*Table1[[#This Row],[qe_mg_g]]*Table1[[#This Row],[Rate_Constant_k2_g_mg_min]])</f>
        <v>29.531124792909317</v>
      </c>
      <c r="Q421" s="1">
        <f>LN(Table1[[#This Row],[qe_mg_g]]-Table1[[#This Row],[qt]])</f>
        <v>2.3667681016092801</v>
      </c>
      <c r="R421" s="1">
        <v>3</v>
      </c>
    </row>
    <row r="422" spans="1:18" x14ac:dyDescent="0.3">
      <c r="A422" s="1">
        <v>421</v>
      </c>
      <c r="B422" s="1" t="s">
        <v>16</v>
      </c>
      <c r="C422" s="1">
        <v>2</v>
      </c>
      <c r="D422" s="1">
        <v>240</v>
      </c>
      <c r="E422" s="1">
        <v>100</v>
      </c>
      <c r="F422" s="1">
        <v>11</v>
      </c>
      <c r="G422" s="1">
        <v>25</v>
      </c>
      <c r="H422" s="1">
        <v>150</v>
      </c>
      <c r="I422" s="1">
        <v>100</v>
      </c>
      <c r="J422" s="1">
        <v>30.937000000000001</v>
      </c>
      <c r="K422" s="1">
        <v>38.127000000000002</v>
      </c>
      <c r="L422" s="1">
        <v>61.87</v>
      </c>
      <c r="M422" s="1">
        <v>66.400000000000006</v>
      </c>
      <c r="N422" s="1">
        <v>4.0930000000000001E-2</v>
      </c>
      <c r="O422" s="1">
        <v>3.0969999999999999E-4</v>
      </c>
      <c r="P422" s="1">
        <f>(Table1[[#This Row],[Rate_Constant_k2_g_mg_min]]*Table1[[#This Row],[Contact_Time_min]]*Table1[[#This Row],[qe_mg_g]]^2)/(1+Table1[[#This Row],[Contact_Time_min]]*Table1[[#This Row],[qe_mg_g]]*Table1[[#This Row],[Rate_Constant_k2_g_mg_min]])</f>
        <v>21.560689197083917</v>
      </c>
      <c r="Q422" s="1">
        <f>LN(Table1[[#This Row],[qe_mg_g]]-Table1[[#This Row],[qt]])</f>
        <v>2.2381863810604279</v>
      </c>
      <c r="R422" s="1">
        <v>1</v>
      </c>
    </row>
    <row r="423" spans="1:18" x14ac:dyDescent="0.3">
      <c r="A423" s="1">
        <v>422</v>
      </c>
      <c r="B423" s="1" t="s">
        <v>16</v>
      </c>
      <c r="C423" s="1">
        <v>2</v>
      </c>
      <c r="D423" s="1">
        <v>240</v>
      </c>
      <c r="E423" s="1">
        <v>100</v>
      </c>
      <c r="F423" s="1">
        <v>11</v>
      </c>
      <c r="G423" s="1">
        <v>25</v>
      </c>
      <c r="H423" s="1">
        <v>150</v>
      </c>
      <c r="I423" s="1">
        <v>100</v>
      </c>
      <c r="J423" s="1">
        <v>27.141999999999999</v>
      </c>
      <c r="K423" s="1">
        <v>45.716000000000001</v>
      </c>
      <c r="L423" s="1">
        <v>54.28</v>
      </c>
      <c r="M423" s="1">
        <v>78.5</v>
      </c>
      <c r="N423" s="1">
        <v>4.2909999999999997E-2</v>
      </c>
      <c r="O423" s="1">
        <v>3.0600000000000001E-4</v>
      </c>
      <c r="P423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18.074441416796439</v>
      </c>
      <c r="Q423" s="1">
        <f>LN(Table1[[#This Row],[qe_mg_g]]-Table1[[#This Row],[qt]])</f>
        <v>2.2047030529429725</v>
      </c>
      <c r="R423" s="1">
        <v>2</v>
      </c>
    </row>
    <row r="424" spans="1:18" x14ac:dyDescent="0.3">
      <c r="A424" s="1">
        <v>423</v>
      </c>
      <c r="B424" s="1" t="s">
        <v>16</v>
      </c>
      <c r="C424" s="1">
        <v>2</v>
      </c>
      <c r="D424" s="1">
        <v>240</v>
      </c>
      <c r="E424" s="1">
        <v>100</v>
      </c>
      <c r="F424" s="1">
        <v>11</v>
      </c>
      <c r="G424" s="1">
        <v>25</v>
      </c>
      <c r="H424" s="1">
        <v>150</v>
      </c>
      <c r="I424" s="1">
        <v>100</v>
      </c>
      <c r="J424" s="1">
        <v>30.648</v>
      </c>
      <c r="K424" s="1">
        <v>38.704000000000001</v>
      </c>
      <c r="L424" s="1">
        <v>61.3</v>
      </c>
      <c r="M424" s="1">
        <v>64.099999999999994</v>
      </c>
      <c r="N424" s="1">
        <v>4.7640000000000002E-2</v>
      </c>
      <c r="O424" s="1">
        <v>2.8580000000000001E-4</v>
      </c>
      <c r="P424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20.768583857144396</v>
      </c>
      <c r="Q424" s="1">
        <f>LN(Table1[[#This Row],[qe_mg_g]]-Table1[[#This Row],[qt]])</f>
        <v>2.2904534151609353</v>
      </c>
      <c r="R424" s="1">
        <v>3</v>
      </c>
    </row>
    <row r="425" spans="1:18" x14ac:dyDescent="0.3">
      <c r="A425" s="1">
        <v>424</v>
      </c>
      <c r="B425" s="1" t="s">
        <v>16</v>
      </c>
      <c r="C425" s="1">
        <v>2</v>
      </c>
      <c r="D425" s="1">
        <v>240</v>
      </c>
      <c r="E425" s="1">
        <v>200</v>
      </c>
      <c r="F425" s="1">
        <v>3</v>
      </c>
      <c r="G425" s="1">
        <v>25</v>
      </c>
      <c r="H425" s="1">
        <v>150</v>
      </c>
      <c r="I425" s="1">
        <v>100</v>
      </c>
      <c r="J425" s="1">
        <v>63.043999999999997</v>
      </c>
      <c r="K425" s="1">
        <v>73.911000000000001</v>
      </c>
      <c r="L425" s="1">
        <v>63.04</v>
      </c>
      <c r="M425" s="1">
        <v>53.2</v>
      </c>
      <c r="N425" s="1">
        <v>4.5569999999999999E-2</v>
      </c>
      <c r="O425" s="1">
        <v>3.5819999999999998E-4</v>
      </c>
      <c r="P425" s="1">
        <f>(Table1[[#This Row],[Rate_Constant_k2_g_mg_min]]*Table1[[#This Row],[Contact_Time_min]]*Table1[[#This Row],[qe_mg_g]]^2)/(1+Table1[[#This Row],[Contact_Time_min]]*Table1[[#This Row],[qe_mg_g]]*Table1[[#This Row],[Rate_Constant_k2_g_mg_min]])</f>
        <v>53.223705274867406</v>
      </c>
      <c r="Q425" s="1">
        <f>LN(Table1[[#This Row],[qe_mg_g]]-Table1[[#This Row],[qt]])</f>
        <v>2.2844511346586276</v>
      </c>
      <c r="R425" s="1">
        <v>1</v>
      </c>
    </row>
    <row r="426" spans="1:18" x14ac:dyDescent="0.3">
      <c r="A426" s="1">
        <v>425</v>
      </c>
      <c r="B426" s="1" t="s">
        <v>16</v>
      </c>
      <c r="C426" s="1">
        <v>2</v>
      </c>
      <c r="D426" s="1">
        <v>240</v>
      </c>
      <c r="E426" s="1">
        <v>200</v>
      </c>
      <c r="F426" s="1">
        <v>3</v>
      </c>
      <c r="G426" s="1">
        <v>25</v>
      </c>
      <c r="H426" s="1">
        <v>150</v>
      </c>
      <c r="I426" s="1">
        <v>100</v>
      </c>
      <c r="J426" s="1">
        <v>54.22</v>
      </c>
      <c r="K426" s="1">
        <v>91.561000000000007</v>
      </c>
      <c r="L426" s="1">
        <v>54.22</v>
      </c>
      <c r="M426" s="1">
        <v>59.9</v>
      </c>
      <c r="N426" s="1">
        <v>4.7309999999999998E-2</v>
      </c>
      <c r="O426" s="1">
        <v>3.054E-4</v>
      </c>
      <c r="P426" s="1">
        <f>(Table1[[#This Row],[Rate_Constant_k2_g_mg_min]]*Table1[[#This Row],[Contact_Time_min]]*Table1[[#This Row],[qe_mg_g]]^2)/(1+Table1[[#This Row],[Contact_Time_min]]*Table1[[#This Row],[qe_mg_g]]*Table1[[#This Row],[Rate_Constant_k2_g_mg_min]])</f>
        <v>43.319555580316667</v>
      </c>
      <c r="Q426" s="1">
        <f>LN(Table1[[#This Row],[qe_mg_g]]-Table1[[#This Row],[qt]])</f>
        <v>2.3888035608519362</v>
      </c>
      <c r="R426" s="1">
        <v>2</v>
      </c>
    </row>
    <row r="427" spans="1:18" x14ac:dyDescent="0.3">
      <c r="A427" s="1">
        <v>426</v>
      </c>
      <c r="B427" s="1" t="s">
        <v>16</v>
      </c>
      <c r="C427" s="1">
        <v>2</v>
      </c>
      <c r="D427" s="1">
        <v>240</v>
      </c>
      <c r="E427" s="1">
        <v>200</v>
      </c>
      <c r="F427" s="1">
        <v>3</v>
      </c>
      <c r="G427" s="1">
        <v>25</v>
      </c>
      <c r="H427" s="1">
        <v>150</v>
      </c>
      <c r="I427" s="1">
        <v>100</v>
      </c>
      <c r="J427" s="1">
        <v>60.588999999999999</v>
      </c>
      <c r="K427" s="1">
        <v>78.820999999999998</v>
      </c>
      <c r="L427" s="1">
        <v>60.59</v>
      </c>
      <c r="M427" s="1">
        <v>71.599999999999994</v>
      </c>
      <c r="N427" s="1">
        <v>4.786E-2</v>
      </c>
      <c r="O427" s="1">
        <v>3.3330000000000002E-4</v>
      </c>
      <c r="P427" s="1">
        <f>(Table1[[#This Row],[Rate_Constant_k2_g_mg_min]]*Table1[[#This Row],[Contact_Time_min]]*Table1[[#This Row],[qe_mg_g]]^2)/(1+Table1[[#This Row],[Contact_Time_min]]*Table1[[#This Row],[qe_mg_g]]*Table1[[#This Row],[Rate_Constant_k2_g_mg_min]])</f>
        <v>50.225945522434642</v>
      </c>
      <c r="Q427" s="1">
        <f>LN(Table1[[#This Row],[qe_mg_g]]-Table1[[#This Row],[qt]])</f>
        <v>2.3382470271182401</v>
      </c>
      <c r="R427" s="1">
        <v>3</v>
      </c>
    </row>
    <row r="428" spans="1:18" x14ac:dyDescent="0.3">
      <c r="A428" s="1">
        <v>427</v>
      </c>
      <c r="B428" s="1" t="s">
        <v>16</v>
      </c>
      <c r="C428" s="1">
        <v>2</v>
      </c>
      <c r="D428" s="1">
        <v>240</v>
      </c>
      <c r="E428" s="1">
        <v>200</v>
      </c>
      <c r="F428" s="1">
        <v>7</v>
      </c>
      <c r="G428" s="1">
        <v>25</v>
      </c>
      <c r="H428" s="1">
        <v>150</v>
      </c>
      <c r="I428" s="1">
        <v>100</v>
      </c>
      <c r="J428" s="1">
        <v>84.52</v>
      </c>
      <c r="K428" s="1">
        <v>30.959</v>
      </c>
      <c r="L428" s="1">
        <v>84.52</v>
      </c>
      <c r="M428" s="1">
        <v>64.3</v>
      </c>
      <c r="N428" s="1">
        <v>4.8030000000000003E-2</v>
      </c>
      <c r="O428" s="1">
        <v>3.57E-4</v>
      </c>
      <c r="P428" s="1">
        <f>(Table1[[#This Row],[Rate_Constant_k2_g_mg_min]]*Table1[[#This Row],[Contact_Time_min]]*Table1[[#This Row],[qe_mg_g]]^2)/(1+Table1[[#This Row],[Contact_Time_min]]*Table1[[#This Row],[qe_mg_g]]*Table1[[#This Row],[Rate_Constant_k2_g_mg_min]])</f>
        <v>74.264801347143873</v>
      </c>
      <c r="Q428" s="1">
        <f>LN(Table1[[#This Row],[qe_mg_g]]-Table1[[#This Row],[qt]])</f>
        <v>2.3277847626537507</v>
      </c>
      <c r="R428" s="1">
        <v>1</v>
      </c>
    </row>
    <row r="429" spans="1:18" x14ac:dyDescent="0.3">
      <c r="A429" s="1">
        <v>428</v>
      </c>
      <c r="B429" s="1" t="s">
        <v>16</v>
      </c>
      <c r="C429" s="1">
        <v>2</v>
      </c>
      <c r="D429" s="1">
        <v>240</v>
      </c>
      <c r="E429" s="1">
        <v>200</v>
      </c>
      <c r="F429" s="1">
        <v>7</v>
      </c>
      <c r="G429" s="1">
        <v>25</v>
      </c>
      <c r="H429" s="1">
        <v>150</v>
      </c>
      <c r="I429" s="1">
        <v>100</v>
      </c>
      <c r="J429" s="1">
        <v>80.968999999999994</v>
      </c>
      <c r="K429" s="1">
        <v>38.061999999999998</v>
      </c>
      <c r="L429" s="1">
        <v>80.97</v>
      </c>
      <c r="M429" s="1">
        <v>56.9</v>
      </c>
      <c r="N429" s="1">
        <v>4.9979999999999997E-2</v>
      </c>
      <c r="O429" s="1">
        <v>2.9639999999999999E-4</v>
      </c>
      <c r="P429" s="1">
        <f>(Table1[[#This Row],[Rate_Constant_k2_g_mg_min]]*Table1[[#This Row],[Contact_Time_min]]*Table1[[#This Row],[qe_mg_g]]^2)/(1+Table1[[#This Row],[Contact_Time_min]]*Table1[[#This Row],[qe_mg_g]]*Table1[[#This Row],[Rate_Constant_k2_g_mg_min]])</f>
        <v>68.991002007563893</v>
      </c>
      <c r="Q429" s="1">
        <f>LN(Table1[[#This Row],[qe_mg_g]]-Table1[[#This Row],[qt]])</f>
        <v>2.4830714662379907</v>
      </c>
      <c r="R429" s="1">
        <v>2</v>
      </c>
    </row>
    <row r="430" spans="1:18" x14ac:dyDescent="0.3">
      <c r="A430" s="1">
        <v>429</v>
      </c>
      <c r="B430" s="1" t="s">
        <v>16</v>
      </c>
      <c r="C430" s="1">
        <v>2</v>
      </c>
      <c r="D430" s="1">
        <v>240</v>
      </c>
      <c r="E430" s="1">
        <v>200</v>
      </c>
      <c r="F430" s="1">
        <v>7</v>
      </c>
      <c r="G430" s="1">
        <v>25</v>
      </c>
      <c r="H430" s="1">
        <v>150</v>
      </c>
      <c r="I430" s="1">
        <v>100</v>
      </c>
      <c r="J430" s="1">
        <v>67.613</v>
      </c>
      <c r="K430" s="1">
        <v>64.774000000000001</v>
      </c>
      <c r="L430" s="1">
        <v>67.61</v>
      </c>
      <c r="M430" s="1">
        <v>75.099999999999994</v>
      </c>
      <c r="N430" s="1">
        <v>4.2590000000000003E-2</v>
      </c>
      <c r="O430" s="1">
        <v>2.9730000000000002E-4</v>
      </c>
      <c r="P430" s="1">
        <f>(Table1[[#This Row],[Rate_Constant_k2_g_mg_min]]*Table1[[#This Row],[Contact_Time_min]]*Table1[[#This Row],[qe_mg_g]]^2)/(1+Table1[[#This Row],[Contact_Time_min]]*Table1[[#This Row],[qe_mg_g]]*Table1[[#This Row],[Rate_Constant_k2_g_mg_min]])</f>
        <v>56.004268375679736</v>
      </c>
      <c r="Q430" s="1">
        <f>LN(Table1[[#This Row],[qe_mg_g]]-Table1[[#This Row],[qt]])</f>
        <v>2.4517575411905161</v>
      </c>
      <c r="R430" s="1">
        <v>3</v>
      </c>
    </row>
    <row r="431" spans="1:18" x14ac:dyDescent="0.3">
      <c r="A431" s="1">
        <v>430</v>
      </c>
      <c r="B431" s="1" t="s">
        <v>16</v>
      </c>
      <c r="C431" s="1">
        <v>2</v>
      </c>
      <c r="D431" s="1">
        <v>240</v>
      </c>
      <c r="E431" s="1">
        <v>200</v>
      </c>
      <c r="F431" s="1">
        <v>11</v>
      </c>
      <c r="G431" s="1">
        <v>25</v>
      </c>
      <c r="H431" s="1">
        <v>150</v>
      </c>
      <c r="I431" s="1">
        <v>100</v>
      </c>
      <c r="J431" s="1">
        <v>69.876000000000005</v>
      </c>
      <c r="K431" s="1">
        <v>60.247</v>
      </c>
      <c r="L431" s="1">
        <v>69.88</v>
      </c>
      <c r="M431" s="1">
        <v>68.599999999999994</v>
      </c>
      <c r="N431" s="1">
        <v>4.8189999999999997E-2</v>
      </c>
      <c r="O431" s="1">
        <v>2.8689999999999998E-4</v>
      </c>
      <c r="P431" s="1">
        <f>(Table1[[#This Row],[Rate_Constant_k2_g_mg_min]]*Table1[[#This Row],[Contact_Time_min]]*Table1[[#This Row],[qe_mg_g]]^2)/(1+Table1[[#This Row],[Contact_Time_min]]*Table1[[#This Row],[qe_mg_g]]*Table1[[#This Row],[Rate_Constant_k2_g_mg_min]])</f>
        <v>57.852009539305001</v>
      </c>
      <c r="Q431" s="1">
        <f>LN(Table1[[#This Row],[qe_mg_g]]-Table1[[#This Row],[qt]])</f>
        <v>2.4869038590949866</v>
      </c>
      <c r="R431" s="1">
        <v>1</v>
      </c>
    </row>
    <row r="432" spans="1:18" x14ac:dyDescent="0.3">
      <c r="A432" s="1">
        <v>431</v>
      </c>
      <c r="B432" s="1" t="s">
        <v>16</v>
      </c>
      <c r="C432" s="1">
        <v>2</v>
      </c>
      <c r="D432" s="1">
        <v>240</v>
      </c>
      <c r="E432" s="1">
        <v>200</v>
      </c>
      <c r="F432" s="1">
        <v>11</v>
      </c>
      <c r="G432" s="1">
        <v>25</v>
      </c>
      <c r="H432" s="1">
        <v>150</v>
      </c>
      <c r="I432" s="1">
        <v>100</v>
      </c>
      <c r="J432" s="1">
        <v>70.863</v>
      </c>
      <c r="K432" s="1">
        <v>58.274000000000001</v>
      </c>
      <c r="L432" s="1">
        <v>70.86</v>
      </c>
      <c r="M432" s="1">
        <v>64.099999999999994</v>
      </c>
      <c r="N432" s="1">
        <v>4.8320000000000002E-2</v>
      </c>
      <c r="O432" s="1">
        <v>3.1849999999999999E-4</v>
      </c>
      <c r="P432" s="1">
        <f>(Table1[[#This Row],[Rate_Constant_k2_g_mg_min]]*Table1[[#This Row],[Contact_Time_min]]*Table1[[#This Row],[qe_mg_g]]^2)/(1+Table1[[#This Row],[Contact_Time_min]]*Table1[[#This Row],[qe_mg_g]]*Table1[[#This Row],[Rate_Constant_k2_g_mg_min]])</f>
        <v>59.819589502354617</v>
      </c>
      <c r="Q432" s="1">
        <f>LN(Table1[[#This Row],[qe_mg_g]]-Table1[[#This Row],[qt]])</f>
        <v>2.4018339150305761</v>
      </c>
      <c r="R432" s="1">
        <v>2</v>
      </c>
    </row>
    <row r="433" spans="1:18" x14ac:dyDescent="0.3">
      <c r="A433" s="1">
        <v>432</v>
      </c>
      <c r="B433" s="1" t="s">
        <v>16</v>
      </c>
      <c r="C433" s="1">
        <v>2</v>
      </c>
      <c r="D433" s="1">
        <v>240</v>
      </c>
      <c r="E433" s="1">
        <v>200</v>
      </c>
      <c r="F433" s="1">
        <v>11</v>
      </c>
      <c r="G433" s="1">
        <v>25</v>
      </c>
      <c r="H433" s="1">
        <v>150</v>
      </c>
      <c r="I433" s="1">
        <v>100</v>
      </c>
      <c r="J433" s="1">
        <v>62.975000000000001</v>
      </c>
      <c r="K433" s="1">
        <v>74.051000000000002</v>
      </c>
      <c r="L433" s="1">
        <v>62.97</v>
      </c>
      <c r="M433" s="1">
        <v>77.5</v>
      </c>
      <c r="N433" s="1">
        <v>4.2590000000000003E-2</v>
      </c>
      <c r="O433" s="1">
        <v>3.2420000000000002E-4</v>
      </c>
      <c r="P433" s="1">
        <f>(Table1[[#This Row],[Rate_Constant_k2_g_mg_min]]*Table1[[#This Row],[Contact_Time_min]]*Table1[[#This Row],[qe_mg_g]]^2)/(1+Table1[[#This Row],[Contact_Time_min]]*Table1[[#This Row],[qe_mg_g]]*Table1[[#This Row],[Rate_Constant_k2_g_mg_min]])</f>
        <v>52.301196650729153</v>
      </c>
      <c r="Q433" s="1">
        <f>LN(Table1[[#This Row],[qe_mg_g]]-Table1[[#This Row],[qt]])</f>
        <v>2.3677924544022293</v>
      </c>
      <c r="R433" s="1">
        <v>3</v>
      </c>
    </row>
    <row r="434" spans="1:18" x14ac:dyDescent="0.3">
      <c r="A434" s="1">
        <v>433</v>
      </c>
      <c r="B434" s="1" t="s">
        <v>16</v>
      </c>
      <c r="C434" s="1">
        <v>4</v>
      </c>
      <c r="D434" s="1">
        <v>30</v>
      </c>
      <c r="E434" s="1">
        <v>25</v>
      </c>
      <c r="F434" s="1">
        <v>3</v>
      </c>
      <c r="G434" s="1">
        <v>25</v>
      </c>
      <c r="H434" s="1">
        <v>150</v>
      </c>
      <c r="I434" s="1">
        <v>100</v>
      </c>
      <c r="J434" s="1">
        <v>0.17199999999999999</v>
      </c>
      <c r="K434" s="1">
        <v>24.31</v>
      </c>
      <c r="L434" s="1">
        <v>2.76</v>
      </c>
      <c r="M434" s="1">
        <v>85</v>
      </c>
      <c r="N434" s="1">
        <v>4.3990000000000001E-2</v>
      </c>
      <c r="O434" s="1">
        <v>2.8949999999999999E-4</v>
      </c>
      <c r="P43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2.5655379481023647E-4</v>
      </c>
      <c r="Q434" s="1">
        <f>LN(Table1[[#This Row],[qe_mg_g]]-Table1[[#This Row],[qt]])</f>
        <v>-1.7617535075294968</v>
      </c>
      <c r="R434" s="1">
        <v>1</v>
      </c>
    </row>
    <row r="435" spans="1:18" x14ac:dyDescent="0.3">
      <c r="A435" s="1">
        <v>434</v>
      </c>
      <c r="B435" s="1" t="s">
        <v>16</v>
      </c>
      <c r="C435" s="1">
        <v>4</v>
      </c>
      <c r="D435" s="1">
        <v>30</v>
      </c>
      <c r="E435" s="1">
        <v>25</v>
      </c>
      <c r="F435" s="1">
        <v>3</v>
      </c>
      <c r="G435" s="1">
        <v>25</v>
      </c>
      <c r="H435" s="1">
        <v>150</v>
      </c>
      <c r="I435" s="1">
        <v>100</v>
      </c>
      <c r="J435" s="1">
        <v>0.16700000000000001</v>
      </c>
      <c r="K435" s="1">
        <v>24.331</v>
      </c>
      <c r="L435" s="1">
        <v>2.68</v>
      </c>
      <c r="M435" s="1">
        <v>63.6</v>
      </c>
      <c r="N435" s="1">
        <v>4.8599999999999997E-2</v>
      </c>
      <c r="O435" s="1">
        <v>2.5149999999999999E-4</v>
      </c>
      <c r="P43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2.1015770314167597E-4</v>
      </c>
      <c r="Q435" s="1">
        <f>LN(Table1[[#This Row],[qe_mg_g]]-Table1[[#This Row],[qt]])</f>
        <v>-1.791020688412668</v>
      </c>
      <c r="R435" s="1">
        <v>2</v>
      </c>
    </row>
    <row r="436" spans="1:18" x14ac:dyDescent="0.3">
      <c r="A436" s="1">
        <v>435</v>
      </c>
      <c r="B436" s="1" t="s">
        <v>16</v>
      </c>
      <c r="C436" s="1">
        <v>4</v>
      </c>
      <c r="D436" s="1">
        <v>30</v>
      </c>
      <c r="E436" s="1">
        <v>25</v>
      </c>
      <c r="F436" s="1">
        <v>3</v>
      </c>
      <c r="G436" s="1">
        <v>25</v>
      </c>
      <c r="H436" s="1">
        <v>150</v>
      </c>
      <c r="I436" s="1">
        <v>100</v>
      </c>
      <c r="J436" s="1">
        <v>0.153</v>
      </c>
      <c r="K436" s="1">
        <v>24.385999999999999</v>
      </c>
      <c r="L436" s="1">
        <v>2.46</v>
      </c>
      <c r="M436" s="1">
        <v>56</v>
      </c>
      <c r="N436" s="1">
        <v>4.9279999999999997E-2</v>
      </c>
      <c r="O436" s="1">
        <v>3.5129999999999997E-4</v>
      </c>
      <c r="P43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2.4631028379561891E-4</v>
      </c>
      <c r="Q436" s="1">
        <f>LN(Table1[[#This Row],[qe_mg_g]]-Table1[[#This Row],[qt]])</f>
        <v>-1.878928525960599</v>
      </c>
      <c r="R436" s="1">
        <v>3</v>
      </c>
    </row>
    <row r="437" spans="1:18" x14ac:dyDescent="0.3">
      <c r="A437" s="1">
        <v>436</v>
      </c>
      <c r="B437" s="1" t="s">
        <v>16</v>
      </c>
      <c r="C437" s="1">
        <v>4</v>
      </c>
      <c r="D437" s="1">
        <v>30</v>
      </c>
      <c r="E437" s="1">
        <v>25</v>
      </c>
      <c r="F437" s="1">
        <v>7</v>
      </c>
      <c r="G437" s="1">
        <v>25</v>
      </c>
      <c r="H437" s="1">
        <v>150</v>
      </c>
      <c r="I437" s="1">
        <v>100</v>
      </c>
      <c r="J437" s="1">
        <v>0.29199999999999998</v>
      </c>
      <c r="K437" s="1">
        <v>23.834</v>
      </c>
      <c r="L437" s="1">
        <v>4.66</v>
      </c>
      <c r="M437" s="1">
        <v>65</v>
      </c>
      <c r="N437" s="1">
        <v>4.5319999999999999E-2</v>
      </c>
      <c r="O437" s="1">
        <v>3.3490000000000001E-4</v>
      </c>
      <c r="P437" s="1">
        <f>(Table1[[#This Row],[Rate_Constant_k2_g_mg_min]]*Table1[[#This Row],[Contact_Time_min]]*Table1[[#This Row],[qe_mg_g]]^2)/(1+Table1[[#This Row],[Contact_Time_min]]*Table1[[#This Row],[qe_mg_g]]*Table1[[#This Row],[Rate_Constant_k2_g_mg_min]])</f>
        <v>8.5414159231123824E-4</v>
      </c>
      <c r="Q437" s="1">
        <f>LN(Table1[[#This Row],[qe_mg_g]]-Table1[[#This Row],[qt]])</f>
        <v>-1.2339309057437222</v>
      </c>
      <c r="R437" s="1">
        <v>1</v>
      </c>
    </row>
    <row r="438" spans="1:18" x14ac:dyDescent="0.3">
      <c r="A438" s="1">
        <v>437</v>
      </c>
      <c r="B438" s="1" t="s">
        <v>16</v>
      </c>
      <c r="C438" s="1">
        <v>4</v>
      </c>
      <c r="D438" s="1">
        <v>30</v>
      </c>
      <c r="E438" s="1">
        <v>25</v>
      </c>
      <c r="F438" s="1">
        <v>7</v>
      </c>
      <c r="G438" s="1">
        <v>25</v>
      </c>
      <c r="H438" s="1">
        <v>150</v>
      </c>
      <c r="I438" s="1">
        <v>100</v>
      </c>
      <c r="J438" s="1">
        <v>0.27200000000000002</v>
      </c>
      <c r="K438" s="1">
        <v>23.911000000000001</v>
      </c>
      <c r="L438" s="1">
        <v>4.3499999999999996</v>
      </c>
      <c r="M438" s="1">
        <v>69.099999999999994</v>
      </c>
      <c r="N438" s="1">
        <v>4.9390000000000003E-2</v>
      </c>
      <c r="O438" s="1">
        <v>3.1500000000000001E-4</v>
      </c>
      <c r="P438" s="1">
        <f>(Table1[[#This Row],[Rate_Constant_k2_g_mg_min]]*Table1[[#This Row],[Contact_Time_min]]*Table1[[#This Row],[qe_mg_g]]^2)/(1+Table1[[#This Row],[Contact_Time_min]]*Table1[[#This Row],[qe_mg_g]]*Table1[[#This Row],[Rate_Constant_k2_g_mg_min]])</f>
        <v>6.9735631532708334E-4</v>
      </c>
      <c r="Q438" s="1">
        <f>LN(Table1[[#This Row],[qe_mg_g]]-Table1[[#This Row],[qt]])</f>
        <v>-1.3045203148580091</v>
      </c>
      <c r="R438" s="1">
        <v>2</v>
      </c>
    </row>
    <row r="439" spans="1:18" x14ac:dyDescent="0.3">
      <c r="A439" s="1">
        <v>438</v>
      </c>
      <c r="B439" s="1" t="s">
        <v>16</v>
      </c>
      <c r="C439" s="1">
        <v>4</v>
      </c>
      <c r="D439" s="1">
        <v>30</v>
      </c>
      <c r="E439" s="1">
        <v>25</v>
      </c>
      <c r="F439" s="1">
        <v>7</v>
      </c>
      <c r="G439" s="1">
        <v>25</v>
      </c>
      <c r="H439" s="1">
        <v>150</v>
      </c>
      <c r="I439" s="1">
        <v>100</v>
      </c>
      <c r="J439" s="1">
        <v>0.29799999999999999</v>
      </c>
      <c r="K439" s="1">
        <v>23.806000000000001</v>
      </c>
      <c r="L439" s="1">
        <v>4.7699999999999996</v>
      </c>
      <c r="M439" s="1">
        <v>76.7</v>
      </c>
      <c r="N439" s="1">
        <v>3.2840000000000001E-2</v>
      </c>
      <c r="O439" s="1">
        <v>3.2029999999999998E-4</v>
      </c>
      <c r="P43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8.5088115313386187E-4</v>
      </c>
      <c r="Q439" s="1">
        <f>LN(Table1[[#This Row],[qe_mg_g]]-Table1[[#This Row],[qt]])</f>
        <v>-1.2135211825217822</v>
      </c>
      <c r="R439" s="1">
        <v>3</v>
      </c>
    </row>
    <row r="440" spans="1:18" x14ac:dyDescent="0.3">
      <c r="A440" s="1">
        <v>439</v>
      </c>
      <c r="B440" s="1" t="s">
        <v>16</v>
      </c>
      <c r="C440" s="1">
        <v>4</v>
      </c>
      <c r="D440" s="1">
        <v>30</v>
      </c>
      <c r="E440" s="1">
        <v>25</v>
      </c>
      <c r="F440" s="1">
        <v>11</v>
      </c>
      <c r="G440" s="1">
        <v>25</v>
      </c>
      <c r="H440" s="1">
        <v>150</v>
      </c>
      <c r="I440" s="1">
        <v>100</v>
      </c>
      <c r="J440" s="1">
        <v>0.20300000000000001</v>
      </c>
      <c r="K440" s="1">
        <v>24.187999999999999</v>
      </c>
      <c r="L440" s="1">
        <v>3.25</v>
      </c>
      <c r="M440" s="1">
        <v>48.4</v>
      </c>
      <c r="N440" s="1">
        <v>4.7300000000000002E-2</v>
      </c>
      <c r="O440" s="1">
        <v>3.412E-4</v>
      </c>
      <c r="P44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4.2094064805987125E-4</v>
      </c>
      <c r="Q440" s="1">
        <f>LN(Table1[[#This Row],[qe_mg_g]]-Table1[[#This Row],[qt]])</f>
        <v>-1.5966250520754641</v>
      </c>
      <c r="R440" s="1">
        <v>1</v>
      </c>
    </row>
    <row r="441" spans="1:18" x14ac:dyDescent="0.3">
      <c r="A441" s="1">
        <v>440</v>
      </c>
      <c r="B441" s="1" t="s">
        <v>16</v>
      </c>
      <c r="C441" s="1">
        <v>4</v>
      </c>
      <c r="D441" s="1">
        <v>30</v>
      </c>
      <c r="E441" s="1">
        <v>25</v>
      </c>
      <c r="F441" s="1">
        <v>11</v>
      </c>
      <c r="G441" s="1">
        <v>25</v>
      </c>
      <c r="H441" s="1">
        <v>150</v>
      </c>
      <c r="I441" s="1">
        <v>100</v>
      </c>
      <c r="J441" s="1">
        <v>0.21199999999999999</v>
      </c>
      <c r="K441" s="1">
        <v>24.152999999999999</v>
      </c>
      <c r="L441" s="1">
        <v>3.39</v>
      </c>
      <c r="M441" s="1">
        <v>76.2</v>
      </c>
      <c r="N441" s="1">
        <v>5.2260000000000001E-2</v>
      </c>
      <c r="O441" s="1">
        <v>3.3940000000000001E-4</v>
      </c>
      <c r="P441" s="1">
        <f>(Table1[[#This Row],[Rate_Constant_k2_g_mg_min]]*Table1[[#This Row],[Contact_Time_min]]*Table1[[#This Row],[qe_mg_g]]^2)/(1+Table1[[#This Row],[Contact_Time_min]]*Table1[[#This Row],[qe_mg_g]]*Table1[[#This Row],[Rate_Constant_k2_g_mg_min]])</f>
        <v>4.5663412488417102E-4</v>
      </c>
      <c r="Q441" s="1">
        <f>LN(Table1[[#This Row],[qe_mg_g]]-Table1[[#This Row],[qt]])</f>
        <v>-1.5533252619148936</v>
      </c>
      <c r="R441" s="1">
        <v>2</v>
      </c>
    </row>
    <row r="442" spans="1:18" x14ac:dyDescent="0.3">
      <c r="A442" s="1">
        <v>441</v>
      </c>
      <c r="B442" s="1" t="s">
        <v>16</v>
      </c>
      <c r="C442" s="1">
        <v>4</v>
      </c>
      <c r="D442" s="1">
        <v>30</v>
      </c>
      <c r="E442" s="1">
        <v>25</v>
      </c>
      <c r="F442" s="1">
        <v>11</v>
      </c>
      <c r="G442" s="1">
        <v>25</v>
      </c>
      <c r="H442" s="1">
        <v>150</v>
      </c>
      <c r="I442" s="1">
        <v>100</v>
      </c>
      <c r="J442" s="1">
        <v>0.24199999999999999</v>
      </c>
      <c r="K442" s="1">
        <v>24.030999999999999</v>
      </c>
      <c r="L442" s="1">
        <v>3.87</v>
      </c>
      <c r="M442" s="1">
        <v>74.099999999999994</v>
      </c>
      <c r="N442" s="1">
        <v>4.5339999999999998E-2</v>
      </c>
      <c r="O442" s="1">
        <v>2.519E-4</v>
      </c>
      <c r="P442" s="1">
        <f>(Table1[[#This Row],[Rate_Constant_k2_g_mg_min]]*Table1[[#This Row],[Contact_Time_min]]*Table1[[#This Row],[qe_mg_g]]^2)/(1+Table1[[#This Row],[Contact_Time_min]]*Table1[[#This Row],[qe_mg_g]]*Table1[[#This Row],[Rate_Constant_k2_g_mg_min]])</f>
        <v>4.4176025948800988E-4</v>
      </c>
      <c r="Q442" s="1">
        <f>LN(Table1[[#This Row],[qe_mg_g]]-Table1[[#This Row],[qt]])</f>
        <v>-1.4206446766177041</v>
      </c>
      <c r="R442" s="1">
        <v>3</v>
      </c>
    </row>
    <row r="443" spans="1:18" x14ac:dyDescent="0.3">
      <c r="A443" s="1">
        <v>442</v>
      </c>
      <c r="B443" s="1" t="s">
        <v>16</v>
      </c>
      <c r="C443" s="1">
        <v>4</v>
      </c>
      <c r="D443" s="1">
        <v>30</v>
      </c>
      <c r="E443" s="1">
        <v>50</v>
      </c>
      <c r="F443" s="1">
        <v>3</v>
      </c>
      <c r="G443" s="1">
        <v>25</v>
      </c>
      <c r="H443" s="1">
        <v>150</v>
      </c>
      <c r="I443" s="1">
        <v>100</v>
      </c>
      <c r="J443" s="1">
        <v>0.63100000000000001</v>
      </c>
      <c r="K443" s="1">
        <v>47.473999999999997</v>
      </c>
      <c r="L443" s="1">
        <v>5.05</v>
      </c>
      <c r="M443" s="1">
        <v>58.2</v>
      </c>
      <c r="N443" s="1">
        <v>5.4769999999999999E-2</v>
      </c>
      <c r="O443" s="1">
        <v>2.9470000000000001E-4</v>
      </c>
      <c r="P44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3.5006126348119406E-3</v>
      </c>
      <c r="Q443" s="1">
        <f>LN(Table1[[#This Row],[qe_mg_g]]-Table1[[#This Row],[qt]])</f>
        <v>-0.46601258428713194</v>
      </c>
      <c r="R443" s="1">
        <v>1</v>
      </c>
    </row>
    <row r="444" spans="1:18" x14ac:dyDescent="0.3">
      <c r="A444" s="1">
        <v>443</v>
      </c>
      <c r="B444" s="1" t="s">
        <v>16</v>
      </c>
      <c r="C444" s="1">
        <v>4</v>
      </c>
      <c r="D444" s="1">
        <v>30</v>
      </c>
      <c r="E444" s="1">
        <v>50</v>
      </c>
      <c r="F444" s="1">
        <v>3</v>
      </c>
      <c r="G444" s="1">
        <v>25</v>
      </c>
      <c r="H444" s="1">
        <v>150</v>
      </c>
      <c r="I444" s="1">
        <v>100</v>
      </c>
      <c r="J444" s="1">
        <v>0.65100000000000002</v>
      </c>
      <c r="K444" s="1">
        <v>47.398000000000003</v>
      </c>
      <c r="L444" s="1">
        <v>5.2</v>
      </c>
      <c r="M444" s="1">
        <v>72.2</v>
      </c>
      <c r="N444" s="1">
        <v>4.5199999999999997E-2</v>
      </c>
      <c r="O444" s="1">
        <v>3.5090000000000002E-4</v>
      </c>
      <c r="P44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4.4309872303245693E-3</v>
      </c>
      <c r="Q444" s="1">
        <f>LN(Table1[[#This Row],[qe_mg_g]]-Table1[[#This Row],[qt]])</f>
        <v>-0.43607533817712352</v>
      </c>
      <c r="R444" s="1">
        <v>2</v>
      </c>
    </row>
    <row r="445" spans="1:18" x14ac:dyDescent="0.3">
      <c r="A445" s="1">
        <v>444</v>
      </c>
      <c r="B445" s="1" t="s">
        <v>16</v>
      </c>
      <c r="C445" s="1">
        <v>4</v>
      </c>
      <c r="D445" s="1">
        <v>30</v>
      </c>
      <c r="E445" s="1">
        <v>50</v>
      </c>
      <c r="F445" s="1">
        <v>3</v>
      </c>
      <c r="G445" s="1">
        <v>25</v>
      </c>
      <c r="H445" s="1">
        <v>150</v>
      </c>
      <c r="I445" s="1">
        <v>100</v>
      </c>
      <c r="J445" s="1">
        <v>0.61199999999999999</v>
      </c>
      <c r="K445" s="1">
        <v>47.552</v>
      </c>
      <c r="L445" s="1">
        <v>4.9000000000000004</v>
      </c>
      <c r="M445" s="1">
        <v>68.599999999999994</v>
      </c>
      <c r="N445" s="1">
        <v>4.1660000000000003E-2</v>
      </c>
      <c r="O445" s="1">
        <v>2.6039999999999999E-4</v>
      </c>
      <c r="P44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2.9120155447534043E-3</v>
      </c>
      <c r="Q445" s="1">
        <f>LN(Table1[[#This Row],[qe_mg_g]]-Table1[[#This Row],[qt]])</f>
        <v>-0.495792548053618</v>
      </c>
      <c r="R445" s="1">
        <v>3</v>
      </c>
    </row>
    <row r="446" spans="1:18" x14ac:dyDescent="0.3">
      <c r="A446" s="1">
        <v>445</v>
      </c>
      <c r="B446" s="1" t="s">
        <v>16</v>
      </c>
      <c r="C446" s="1">
        <v>4</v>
      </c>
      <c r="D446" s="1">
        <v>30</v>
      </c>
      <c r="E446" s="1">
        <v>50</v>
      </c>
      <c r="F446" s="1">
        <v>7</v>
      </c>
      <c r="G446" s="1">
        <v>25</v>
      </c>
      <c r="H446" s="1">
        <v>150</v>
      </c>
      <c r="I446" s="1">
        <v>100</v>
      </c>
      <c r="J446" s="1">
        <v>1.0620000000000001</v>
      </c>
      <c r="K446" s="1">
        <v>45.753</v>
      </c>
      <c r="L446" s="1">
        <v>8.49</v>
      </c>
      <c r="M446" s="1">
        <v>66.3</v>
      </c>
      <c r="N446" s="1">
        <v>4.3069999999999997E-2</v>
      </c>
      <c r="O446" s="1">
        <v>2.7920000000000001E-4</v>
      </c>
      <c r="P44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9.3635298247872131E-3</v>
      </c>
      <c r="Q446" s="1">
        <f>LN(Table1[[#This Row],[qe_mg_g]]-Table1[[#This Row],[qt]])</f>
        <v>5.1297941043207056E-2</v>
      </c>
      <c r="R446" s="1">
        <v>1</v>
      </c>
    </row>
    <row r="447" spans="1:18" x14ac:dyDescent="0.3">
      <c r="A447" s="1">
        <v>446</v>
      </c>
      <c r="B447" s="1" t="s">
        <v>16</v>
      </c>
      <c r="C447" s="1">
        <v>4</v>
      </c>
      <c r="D447" s="1">
        <v>30</v>
      </c>
      <c r="E447" s="1">
        <v>50</v>
      </c>
      <c r="F447" s="1">
        <v>7</v>
      </c>
      <c r="G447" s="1">
        <v>25</v>
      </c>
      <c r="H447" s="1">
        <v>150</v>
      </c>
      <c r="I447" s="1">
        <v>100</v>
      </c>
      <c r="J447" s="1">
        <v>0.99099999999999999</v>
      </c>
      <c r="K447" s="1">
        <v>46.036999999999999</v>
      </c>
      <c r="L447" s="1">
        <v>7.93</v>
      </c>
      <c r="M447" s="1">
        <v>65.8</v>
      </c>
      <c r="N447" s="1">
        <v>3.823E-2</v>
      </c>
      <c r="O447" s="1">
        <v>3.2279999999999999E-4</v>
      </c>
      <c r="P447" s="1">
        <f>(Table1[[#This Row],[Rate_Constant_k2_g_mg_min]]*Table1[[#This Row],[Contact_Time_min]]*Table1[[#This Row],[qe_mg_g]]^2)/(1+Table1[[#This Row],[Contact_Time_min]]*Table1[[#This Row],[qe_mg_g]]*Table1[[#This Row],[Rate_Constant_k2_g_mg_min]])</f>
        <v>9.4200694668574048E-3</v>
      </c>
      <c r="Q447" s="1">
        <f>LN(Table1[[#This Row],[qe_mg_g]]-Table1[[#This Row],[qt]])</f>
        <v>-1.8591831461583483E-2</v>
      </c>
      <c r="R447" s="1">
        <v>2</v>
      </c>
    </row>
    <row r="448" spans="1:18" x14ac:dyDescent="0.3">
      <c r="A448" s="1">
        <v>447</v>
      </c>
      <c r="B448" s="1" t="s">
        <v>16</v>
      </c>
      <c r="C448" s="1">
        <v>4</v>
      </c>
      <c r="D448" s="1">
        <v>30</v>
      </c>
      <c r="E448" s="1">
        <v>50</v>
      </c>
      <c r="F448" s="1">
        <v>7</v>
      </c>
      <c r="G448" s="1">
        <v>25</v>
      </c>
      <c r="H448" s="1">
        <v>150</v>
      </c>
      <c r="I448" s="1">
        <v>100</v>
      </c>
      <c r="J448" s="1">
        <v>1.1240000000000001</v>
      </c>
      <c r="K448" s="1">
        <v>45.505000000000003</v>
      </c>
      <c r="L448" s="1">
        <v>8.99</v>
      </c>
      <c r="M448" s="1">
        <v>52.1</v>
      </c>
      <c r="N448" s="1">
        <v>4.3610000000000003E-2</v>
      </c>
      <c r="O448" s="1">
        <v>2.7740000000000002E-4</v>
      </c>
      <c r="P44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1.0416380994160064E-2</v>
      </c>
      <c r="Q448" s="1">
        <f>LN(Table1[[#This Row],[qe_mg_g]]-Table1[[#This Row],[qt]])</f>
        <v>0.10758330054535759</v>
      </c>
      <c r="R448" s="1">
        <v>3</v>
      </c>
    </row>
    <row r="449" spans="1:18" x14ac:dyDescent="0.3">
      <c r="A449" s="1">
        <v>448</v>
      </c>
      <c r="B449" s="1" t="s">
        <v>16</v>
      </c>
      <c r="C449" s="1">
        <v>4</v>
      </c>
      <c r="D449" s="1">
        <v>30</v>
      </c>
      <c r="E449" s="1">
        <v>50</v>
      </c>
      <c r="F449" s="1">
        <v>11</v>
      </c>
      <c r="G449" s="1">
        <v>25</v>
      </c>
      <c r="H449" s="1">
        <v>150</v>
      </c>
      <c r="I449" s="1">
        <v>100</v>
      </c>
      <c r="J449" s="1">
        <v>0.84</v>
      </c>
      <c r="K449" s="1">
        <v>46.640999999999998</v>
      </c>
      <c r="L449" s="1">
        <v>6.72</v>
      </c>
      <c r="M449" s="1">
        <v>80.099999999999994</v>
      </c>
      <c r="N449" s="1">
        <v>3.6560000000000002E-2</v>
      </c>
      <c r="O449" s="1">
        <v>3.035E-4</v>
      </c>
      <c r="P449" s="1">
        <f>(Table1[[#This Row],[Rate_Constant_k2_g_mg_min]]*Table1[[#This Row],[Contact_Time_min]]*Table1[[#This Row],[qe_mg_g]]^2)/(1+Table1[[#This Row],[Contact_Time_min]]*Table1[[#This Row],[qe_mg_g]]*Table1[[#This Row],[Rate_Constant_k2_g_mg_min]])</f>
        <v>6.3757251786883545E-3</v>
      </c>
      <c r="Q449" s="1">
        <f>LN(Table1[[#This Row],[qe_mg_g]]-Table1[[#This Row],[qt]])</f>
        <v>-0.18197248794000265</v>
      </c>
      <c r="R449" s="1">
        <v>1</v>
      </c>
    </row>
    <row r="450" spans="1:18" x14ac:dyDescent="0.3">
      <c r="A450" s="1">
        <v>449</v>
      </c>
      <c r="B450" s="1" t="s">
        <v>16</v>
      </c>
      <c r="C450" s="1">
        <v>4</v>
      </c>
      <c r="D450" s="1">
        <v>30</v>
      </c>
      <c r="E450" s="1">
        <v>50</v>
      </c>
      <c r="F450" s="1">
        <v>11</v>
      </c>
      <c r="G450" s="1">
        <v>25</v>
      </c>
      <c r="H450" s="1">
        <v>150</v>
      </c>
      <c r="I450" s="1">
        <v>100</v>
      </c>
      <c r="J450" s="1">
        <v>0.80800000000000005</v>
      </c>
      <c r="K450" s="1">
        <v>46.765999999999998</v>
      </c>
      <c r="L450" s="1">
        <v>6.47</v>
      </c>
      <c r="M450" s="1">
        <v>73.400000000000006</v>
      </c>
      <c r="N450" s="1">
        <v>4.5960000000000001E-2</v>
      </c>
      <c r="O450" s="1">
        <v>2.7740000000000002E-4</v>
      </c>
      <c r="P450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5.3968448732277206E-3</v>
      </c>
      <c r="Q450" s="1">
        <f>LN(Table1[[#This Row],[qe_mg_g]]-Table1[[#This Row],[qt]])</f>
        <v>-0.21989489002476204</v>
      </c>
      <c r="R450" s="1">
        <v>2</v>
      </c>
    </row>
    <row r="451" spans="1:18" x14ac:dyDescent="0.3">
      <c r="A451" s="1">
        <v>450</v>
      </c>
      <c r="B451" s="1" t="s">
        <v>16</v>
      </c>
      <c r="C451" s="1">
        <v>4</v>
      </c>
      <c r="D451" s="1">
        <v>30</v>
      </c>
      <c r="E451" s="1">
        <v>50</v>
      </c>
      <c r="F451" s="1">
        <v>11</v>
      </c>
      <c r="G451" s="1">
        <v>25</v>
      </c>
      <c r="H451" s="1">
        <v>150</v>
      </c>
      <c r="I451" s="1">
        <v>100</v>
      </c>
      <c r="J451" s="1">
        <v>0.79800000000000004</v>
      </c>
      <c r="K451" s="1">
        <v>46.808</v>
      </c>
      <c r="L451" s="1">
        <v>6.38</v>
      </c>
      <c r="M451" s="1">
        <v>58.7</v>
      </c>
      <c r="N451" s="1">
        <v>4.9840000000000002E-2</v>
      </c>
      <c r="O451" s="1">
        <v>3.0059999999999999E-4</v>
      </c>
      <c r="P451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5.7016671994260699E-3</v>
      </c>
      <c r="Q451" s="1">
        <f>LN(Table1[[#This Row],[qe_mg_g]]-Table1[[#This Row],[qt]])</f>
        <v>-0.23281727526586973</v>
      </c>
      <c r="R451" s="1">
        <v>3</v>
      </c>
    </row>
    <row r="452" spans="1:18" x14ac:dyDescent="0.3">
      <c r="A452" s="1">
        <v>451</v>
      </c>
      <c r="B452" s="1" t="s">
        <v>16</v>
      </c>
      <c r="C452" s="1">
        <v>4</v>
      </c>
      <c r="D452" s="1">
        <v>30</v>
      </c>
      <c r="E452" s="1">
        <v>100</v>
      </c>
      <c r="F452" s="1">
        <v>3</v>
      </c>
      <c r="G452" s="1">
        <v>25</v>
      </c>
      <c r="H452" s="1">
        <v>150</v>
      </c>
      <c r="I452" s="1">
        <v>100</v>
      </c>
      <c r="J452" s="1">
        <v>2.754</v>
      </c>
      <c r="K452" s="1">
        <v>88.986000000000004</v>
      </c>
      <c r="L452" s="1">
        <v>11.01</v>
      </c>
      <c r="M452" s="1">
        <v>66.099999999999994</v>
      </c>
      <c r="N452" s="1">
        <v>4.181E-2</v>
      </c>
      <c r="O452" s="1">
        <v>2.5460000000000001E-4</v>
      </c>
      <c r="P45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5.6737066072830578E-2</v>
      </c>
      <c r="Q452" s="1">
        <f>LN(Table1[[#This Row],[qe_mg_g]]-Table1[[#This Row],[qt]])</f>
        <v>0.99223753066523945</v>
      </c>
      <c r="R452" s="1">
        <v>1</v>
      </c>
    </row>
    <row r="453" spans="1:18" x14ac:dyDescent="0.3">
      <c r="A453" s="1">
        <v>452</v>
      </c>
      <c r="B453" s="1" t="s">
        <v>16</v>
      </c>
      <c r="C453" s="1">
        <v>4</v>
      </c>
      <c r="D453" s="1">
        <v>30</v>
      </c>
      <c r="E453" s="1">
        <v>100</v>
      </c>
      <c r="F453" s="1">
        <v>3</v>
      </c>
      <c r="G453" s="1">
        <v>25</v>
      </c>
      <c r="H453" s="1">
        <v>150</v>
      </c>
      <c r="I453" s="1">
        <v>100</v>
      </c>
      <c r="J453" s="1">
        <v>2.0449999999999999</v>
      </c>
      <c r="K453" s="1">
        <v>91.819000000000003</v>
      </c>
      <c r="L453" s="1">
        <v>8.18</v>
      </c>
      <c r="M453" s="1">
        <v>50.8</v>
      </c>
      <c r="N453" s="1">
        <v>4.6199999999999998E-2</v>
      </c>
      <c r="O453" s="1">
        <v>3.1530000000000002E-4</v>
      </c>
      <c r="P45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3.8807103258027338E-2</v>
      </c>
      <c r="Q453" s="1">
        <f>LN(Table1[[#This Row],[qe_mg_g]]-Table1[[#This Row],[qt]])</f>
        <v>0.69623884480799014</v>
      </c>
      <c r="R453" s="1">
        <v>2</v>
      </c>
    </row>
    <row r="454" spans="1:18" x14ac:dyDescent="0.3">
      <c r="A454" s="1">
        <v>453</v>
      </c>
      <c r="B454" s="1" t="s">
        <v>16</v>
      </c>
      <c r="C454" s="1">
        <v>4</v>
      </c>
      <c r="D454" s="1">
        <v>30</v>
      </c>
      <c r="E454" s="1">
        <v>100</v>
      </c>
      <c r="F454" s="1">
        <v>3</v>
      </c>
      <c r="G454" s="1">
        <v>25</v>
      </c>
      <c r="H454" s="1">
        <v>150</v>
      </c>
      <c r="I454" s="1">
        <v>100</v>
      </c>
      <c r="J454" s="1">
        <v>2.0880000000000001</v>
      </c>
      <c r="K454" s="1">
        <v>91.649000000000001</v>
      </c>
      <c r="L454" s="1">
        <v>8.35</v>
      </c>
      <c r="M454" s="1">
        <v>75.599999999999994</v>
      </c>
      <c r="N454" s="1">
        <v>4.283E-2</v>
      </c>
      <c r="O454" s="1">
        <v>3.0440000000000003E-4</v>
      </c>
      <c r="P45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3.9068243934855848E-2</v>
      </c>
      <c r="Q454" s="1">
        <f>LN(Table1[[#This Row],[qe_mg_g]]-Table1[[#This Row],[qt]])</f>
        <v>0.7173185627309715</v>
      </c>
      <c r="R454" s="1">
        <v>3</v>
      </c>
    </row>
    <row r="455" spans="1:18" x14ac:dyDescent="0.3">
      <c r="A455" s="1">
        <v>454</v>
      </c>
      <c r="B455" s="1" t="s">
        <v>16</v>
      </c>
      <c r="C455" s="1">
        <v>4</v>
      </c>
      <c r="D455" s="1">
        <v>30</v>
      </c>
      <c r="E455" s="1">
        <v>100</v>
      </c>
      <c r="F455" s="1">
        <v>7</v>
      </c>
      <c r="G455" s="1">
        <v>25</v>
      </c>
      <c r="H455" s="1">
        <v>150</v>
      </c>
      <c r="I455" s="1">
        <v>100</v>
      </c>
      <c r="J455" s="1">
        <v>4.5780000000000003</v>
      </c>
      <c r="K455" s="1">
        <v>81.688000000000002</v>
      </c>
      <c r="L455" s="1">
        <v>18.309999999999999</v>
      </c>
      <c r="M455" s="1">
        <v>75.599999999999994</v>
      </c>
      <c r="N455" s="1">
        <v>4.3790000000000003E-2</v>
      </c>
      <c r="O455" s="1">
        <v>2.7329999999999998E-4</v>
      </c>
      <c r="P45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0.16561882449496729</v>
      </c>
      <c r="Q455" s="1">
        <f>LN(Table1[[#This Row],[qe_mg_g]]-Table1[[#This Row],[qt]])</f>
        <v>1.484414492832806</v>
      </c>
      <c r="R455" s="1">
        <v>1</v>
      </c>
    </row>
    <row r="456" spans="1:18" x14ac:dyDescent="0.3">
      <c r="A456" s="1">
        <v>455</v>
      </c>
      <c r="B456" s="1" t="s">
        <v>16</v>
      </c>
      <c r="C456" s="1">
        <v>4</v>
      </c>
      <c r="D456" s="1">
        <v>30</v>
      </c>
      <c r="E456" s="1">
        <v>100</v>
      </c>
      <c r="F456" s="1">
        <v>7</v>
      </c>
      <c r="G456" s="1">
        <v>25</v>
      </c>
      <c r="H456" s="1">
        <v>150</v>
      </c>
      <c r="I456" s="1">
        <v>100</v>
      </c>
      <c r="J456" s="1">
        <v>3.3570000000000002</v>
      </c>
      <c r="K456" s="1">
        <v>86.572000000000003</v>
      </c>
      <c r="L456" s="1">
        <v>13.43</v>
      </c>
      <c r="M456" s="1">
        <v>59.5</v>
      </c>
      <c r="N456" s="1">
        <v>4.4049999999999999E-2</v>
      </c>
      <c r="O456" s="1">
        <v>2.7040000000000001E-4</v>
      </c>
      <c r="P456" s="1">
        <f>(Table1[[#This Row],[Rate_Constant_k2_g_mg_min]]*Table1[[#This Row],[Contact_Time_min]]*Table1[[#This Row],[qe_mg_g]]^2)/(1+Table1[[#This Row],[Contact_Time_min]]*Table1[[#This Row],[qe_mg_g]]*Table1[[#This Row],[Rate_Constant_k2_g_mg_min]])</f>
        <v>8.8994279492761619E-2</v>
      </c>
      <c r="Q456" s="1">
        <f>LN(Table1[[#This Row],[qe_mg_g]]-Table1[[#This Row],[qt]])</f>
        <v>1.1841799274574356</v>
      </c>
      <c r="R456" s="1">
        <v>2</v>
      </c>
    </row>
    <row r="457" spans="1:18" x14ac:dyDescent="0.3">
      <c r="A457" s="1">
        <v>456</v>
      </c>
      <c r="B457" s="1" t="s">
        <v>16</v>
      </c>
      <c r="C457" s="1">
        <v>4</v>
      </c>
      <c r="D457" s="1">
        <v>30</v>
      </c>
      <c r="E457" s="1">
        <v>100</v>
      </c>
      <c r="F457" s="1">
        <v>7</v>
      </c>
      <c r="G457" s="1">
        <v>25</v>
      </c>
      <c r="H457" s="1">
        <v>150</v>
      </c>
      <c r="I457" s="1">
        <v>100</v>
      </c>
      <c r="J457" s="1">
        <v>4.0119999999999996</v>
      </c>
      <c r="K457" s="1">
        <v>83.95</v>
      </c>
      <c r="L457" s="1">
        <v>16.05</v>
      </c>
      <c r="M457" s="1">
        <v>67.400000000000006</v>
      </c>
      <c r="N457" s="1">
        <v>4.3990000000000001E-2</v>
      </c>
      <c r="O457" s="1">
        <v>2.8049999999999999E-4</v>
      </c>
      <c r="P45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0.13102550239418007</v>
      </c>
      <c r="Q457" s="1">
        <f>LN(Table1[[#This Row],[qe_mg_g]]-Table1[[#This Row],[qt]])</f>
        <v>1.3560862812767538</v>
      </c>
      <c r="R457" s="1">
        <v>3</v>
      </c>
    </row>
    <row r="458" spans="1:18" x14ac:dyDescent="0.3">
      <c r="A458" s="1">
        <v>457</v>
      </c>
      <c r="B458" s="1" t="s">
        <v>16</v>
      </c>
      <c r="C458" s="1">
        <v>4</v>
      </c>
      <c r="D458" s="1">
        <v>30</v>
      </c>
      <c r="E458" s="1">
        <v>100</v>
      </c>
      <c r="F458" s="1">
        <v>11</v>
      </c>
      <c r="G458" s="1">
        <v>25</v>
      </c>
      <c r="H458" s="1">
        <v>150</v>
      </c>
      <c r="I458" s="1">
        <v>100</v>
      </c>
      <c r="J458" s="1">
        <v>3.0529999999999999</v>
      </c>
      <c r="K458" s="1">
        <v>87.789000000000001</v>
      </c>
      <c r="L458" s="1">
        <v>12.21</v>
      </c>
      <c r="M458" s="1">
        <v>71.099999999999994</v>
      </c>
      <c r="N458" s="1">
        <v>4.0090000000000001E-2</v>
      </c>
      <c r="O458" s="1">
        <v>3.4230000000000003E-4</v>
      </c>
      <c r="P458" s="1">
        <f>(Table1[[#This Row],[Rate_Constant_k2_g_mg_min]]*Table1[[#This Row],[Contact_Time_min]]*Table1[[#This Row],[qe_mg_g]]^2)/(1+Table1[[#This Row],[Contact_Time_min]]*Table1[[#This Row],[qe_mg_g]]*Table1[[#This Row],[Rate_Constant_k2_g_mg_min]])</f>
        <v>9.2805808856448582E-2</v>
      </c>
      <c r="Q458" s="1">
        <f>LN(Table1[[#This Row],[qe_mg_g]]-Table1[[#This Row],[qt]])</f>
        <v>1.085254871300112</v>
      </c>
      <c r="R458" s="1">
        <v>1</v>
      </c>
    </row>
    <row r="459" spans="1:18" x14ac:dyDescent="0.3">
      <c r="A459" s="1">
        <v>458</v>
      </c>
      <c r="B459" s="1" t="s">
        <v>16</v>
      </c>
      <c r="C459" s="1">
        <v>4</v>
      </c>
      <c r="D459" s="1">
        <v>30</v>
      </c>
      <c r="E459" s="1">
        <v>100</v>
      </c>
      <c r="F459" s="1">
        <v>11</v>
      </c>
      <c r="G459" s="1">
        <v>25</v>
      </c>
      <c r="H459" s="1">
        <v>150</v>
      </c>
      <c r="I459" s="1">
        <v>100</v>
      </c>
      <c r="J459" s="1">
        <v>2.988</v>
      </c>
      <c r="K459" s="1">
        <v>88.046000000000006</v>
      </c>
      <c r="L459" s="1">
        <v>11.95</v>
      </c>
      <c r="M459" s="1">
        <v>66.900000000000006</v>
      </c>
      <c r="N459" s="1">
        <v>4.8189999999999997E-2</v>
      </c>
      <c r="O459" s="1">
        <v>3.0699999999999998E-4</v>
      </c>
      <c r="P45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8.0025934145793509E-2</v>
      </c>
      <c r="Q459" s="1">
        <f>LN(Table1[[#This Row],[qe_mg_g]]-Table1[[#This Row],[qt]])</f>
        <v>1.0674566414245614</v>
      </c>
      <c r="R459" s="1">
        <v>2</v>
      </c>
    </row>
    <row r="460" spans="1:18" x14ac:dyDescent="0.3">
      <c r="A460" s="1">
        <v>459</v>
      </c>
      <c r="B460" s="1" t="s">
        <v>16</v>
      </c>
      <c r="C460" s="1">
        <v>4</v>
      </c>
      <c r="D460" s="1">
        <v>30</v>
      </c>
      <c r="E460" s="1">
        <v>100</v>
      </c>
      <c r="F460" s="1">
        <v>11</v>
      </c>
      <c r="G460" s="1">
        <v>25</v>
      </c>
      <c r="H460" s="1">
        <v>150</v>
      </c>
      <c r="I460" s="1">
        <v>100</v>
      </c>
      <c r="J460" s="1">
        <v>3.242</v>
      </c>
      <c r="K460" s="1">
        <v>87.031999999999996</v>
      </c>
      <c r="L460" s="1">
        <v>12.97</v>
      </c>
      <c r="M460" s="1">
        <v>69.5</v>
      </c>
      <c r="N460" s="1">
        <v>4.224E-2</v>
      </c>
      <c r="O460" s="1">
        <v>3.1080000000000002E-4</v>
      </c>
      <c r="P460" s="1">
        <f>(Table1[[#This Row],[Rate_Constant_k2_g_mg_min]]*Table1[[#This Row],[Contact_Time_min]]*Table1[[#This Row],[qe_mg_g]]^2)/(1+Table1[[#This Row],[Contact_Time_min]]*Table1[[#This Row],[qe_mg_g]]*Table1[[#This Row],[Rate_Constant_k2_g_mg_min]])</f>
        <v>9.5125020796359191E-2</v>
      </c>
      <c r="Q460" s="1">
        <f>LN(Table1[[#This Row],[qe_mg_g]]-Table1[[#This Row],[qt]])</f>
        <v>1.1464098903162152</v>
      </c>
      <c r="R460" s="1">
        <v>3</v>
      </c>
    </row>
    <row r="461" spans="1:18" x14ac:dyDescent="0.3">
      <c r="A461" s="1">
        <v>460</v>
      </c>
      <c r="B461" s="1" t="s">
        <v>16</v>
      </c>
      <c r="C461" s="1">
        <v>4</v>
      </c>
      <c r="D461" s="1">
        <v>30</v>
      </c>
      <c r="E461" s="1">
        <v>200</v>
      </c>
      <c r="F461" s="1">
        <v>3</v>
      </c>
      <c r="G461" s="1">
        <v>25</v>
      </c>
      <c r="H461" s="1">
        <v>150</v>
      </c>
      <c r="I461" s="1">
        <v>100</v>
      </c>
      <c r="J461" s="1">
        <v>7.5839999999999996</v>
      </c>
      <c r="K461" s="1">
        <v>169.666</v>
      </c>
      <c r="L461" s="1">
        <v>15.17</v>
      </c>
      <c r="M461" s="1">
        <v>67.8</v>
      </c>
      <c r="N461" s="1">
        <v>4.4850000000000001E-2</v>
      </c>
      <c r="O461" s="1">
        <v>2.9379999999999999E-4</v>
      </c>
      <c r="P46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0.47519100985820817</v>
      </c>
      <c r="Q461" s="1">
        <f>LN(Table1[[#This Row],[qe_mg_g]]-Table1[[#This Row],[qt]])</f>
        <v>1.961334717848408</v>
      </c>
      <c r="R461" s="1">
        <v>1</v>
      </c>
    </row>
    <row r="462" spans="1:18" x14ac:dyDescent="0.3">
      <c r="A462" s="1">
        <v>461</v>
      </c>
      <c r="B462" s="1" t="s">
        <v>16</v>
      </c>
      <c r="C462" s="1">
        <v>4</v>
      </c>
      <c r="D462" s="1">
        <v>30</v>
      </c>
      <c r="E462" s="1">
        <v>200</v>
      </c>
      <c r="F462" s="1">
        <v>3</v>
      </c>
      <c r="G462" s="1">
        <v>25</v>
      </c>
      <c r="H462" s="1">
        <v>150</v>
      </c>
      <c r="I462" s="1">
        <v>100</v>
      </c>
      <c r="J462" s="1">
        <v>8.2609999999999992</v>
      </c>
      <c r="K462" s="1">
        <v>166.95400000000001</v>
      </c>
      <c r="L462" s="1">
        <v>16.52</v>
      </c>
      <c r="M462" s="1">
        <v>47.8</v>
      </c>
      <c r="N462" s="1">
        <v>4.2529999999999998E-2</v>
      </c>
      <c r="O462" s="1">
        <v>3.0279999999999999E-4</v>
      </c>
      <c r="P46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0.57665566771731991</v>
      </c>
      <c r="Q462" s="1">
        <f>LN(Table1[[#This Row],[qe_mg_g]]-Table1[[#This Row],[qt]])</f>
        <v>2.0391850554955697</v>
      </c>
      <c r="R462" s="1">
        <v>2</v>
      </c>
    </row>
    <row r="463" spans="1:18" x14ac:dyDescent="0.3">
      <c r="A463" s="1">
        <v>462</v>
      </c>
      <c r="B463" s="1" t="s">
        <v>16</v>
      </c>
      <c r="C463" s="1">
        <v>4</v>
      </c>
      <c r="D463" s="1">
        <v>30</v>
      </c>
      <c r="E463" s="1">
        <v>200</v>
      </c>
      <c r="F463" s="1">
        <v>3</v>
      </c>
      <c r="G463" s="1">
        <v>25</v>
      </c>
      <c r="H463" s="1">
        <v>150</v>
      </c>
      <c r="I463" s="1">
        <v>100</v>
      </c>
      <c r="J463" s="1">
        <v>8.4540000000000006</v>
      </c>
      <c r="K463" s="1">
        <v>166.184</v>
      </c>
      <c r="L463" s="1">
        <v>16.91</v>
      </c>
      <c r="M463" s="1">
        <v>56.4</v>
      </c>
      <c r="N463" s="1">
        <v>5.0700000000000002E-2</v>
      </c>
      <c r="O463" s="1">
        <v>2.7399999999999999E-4</v>
      </c>
      <c r="P46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0.5493116539790841</v>
      </c>
      <c r="Q463" s="1">
        <f>LN(Table1[[#This Row],[qe_mg_g]]-Table1[[#This Row],[qt]])</f>
        <v>2.0674560449659629</v>
      </c>
      <c r="R463" s="1">
        <v>3</v>
      </c>
    </row>
    <row r="464" spans="1:18" x14ac:dyDescent="0.3">
      <c r="A464" s="1">
        <v>463</v>
      </c>
      <c r="B464" s="1" t="s">
        <v>16</v>
      </c>
      <c r="C464" s="1">
        <v>4</v>
      </c>
      <c r="D464" s="1">
        <v>30</v>
      </c>
      <c r="E464" s="1">
        <v>200</v>
      </c>
      <c r="F464" s="1">
        <v>7</v>
      </c>
      <c r="G464" s="1">
        <v>25</v>
      </c>
      <c r="H464" s="1">
        <v>150</v>
      </c>
      <c r="I464" s="1">
        <v>100</v>
      </c>
      <c r="J464" s="1">
        <v>14.757</v>
      </c>
      <c r="K464" s="1">
        <v>140.97200000000001</v>
      </c>
      <c r="L464" s="1">
        <v>29.51</v>
      </c>
      <c r="M464" s="1">
        <v>70.900000000000006</v>
      </c>
      <c r="N464" s="1">
        <v>4.2090000000000002E-2</v>
      </c>
      <c r="O464" s="1">
        <v>3.5330000000000002E-4</v>
      </c>
      <c r="P46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1.9959488953697517</v>
      </c>
      <c r="Q464" s="1">
        <f>LN(Table1[[#This Row],[qe_mg_g]]-Table1[[#This Row],[qt]])</f>
        <v>2.5463976494950349</v>
      </c>
      <c r="R464" s="1">
        <v>1</v>
      </c>
    </row>
    <row r="465" spans="1:18" x14ac:dyDescent="0.3">
      <c r="A465" s="1">
        <v>464</v>
      </c>
      <c r="B465" s="1" t="s">
        <v>16</v>
      </c>
      <c r="C465" s="1">
        <v>4</v>
      </c>
      <c r="D465" s="1">
        <v>30</v>
      </c>
      <c r="E465" s="1">
        <v>200</v>
      </c>
      <c r="F465" s="1">
        <v>7</v>
      </c>
      <c r="G465" s="1">
        <v>25</v>
      </c>
      <c r="H465" s="1">
        <v>150</v>
      </c>
      <c r="I465" s="1">
        <v>100</v>
      </c>
      <c r="J465" s="1">
        <v>12.387</v>
      </c>
      <c r="K465" s="1">
        <v>150.452</v>
      </c>
      <c r="L465" s="1">
        <v>24.77</v>
      </c>
      <c r="M465" s="1">
        <v>75.900000000000006</v>
      </c>
      <c r="N465" s="1">
        <v>4.9500000000000002E-2</v>
      </c>
      <c r="O465" s="1">
        <v>2.7989999999999997E-4</v>
      </c>
      <c r="P46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1.1670299177282175</v>
      </c>
      <c r="Q465" s="1">
        <f>LN(Table1[[#This Row],[qe_mg_g]]-Table1[[#This Row],[qt]])</f>
        <v>2.4176952336268047</v>
      </c>
      <c r="R465" s="1">
        <v>2</v>
      </c>
    </row>
    <row r="466" spans="1:18" x14ac:dyDescent="0.3">
      <c r="A466" s="1">
        <v>465</v>
      </c>
      <c r="B466" s="1" t="s">
        <v>16</v>
      </c>
      <c r="C466" s="1">
        <v>4</v>
      </c>
      <c r="D466" s="1">
        <v>30</v>
      </c>
      <c r="E466" s="1">
        <v>200</v>
      </c>
      <c r="F466" s="1">
        <v>7</v>
      </c>
      <c r="G466" s="1">
        <v>25</v>
      </c>
      <c r="H466" s="1">
        <v>150</v>
      </c>
      <c r="I466" s="1">
        <v>100</v>
      </c>
      <c r="J466" s="1">
        <v>15.22</v>
      </c>
      <c r="K466" s="1">
        <v>139.11799999999999</v>
      </c>
      <c r="L466" s="1">
        <v>30.44</v>
      </c>
      <c r="M466" s="1">
        <v>64.2</v>
      </c>
      <c r="N466" s="1">
        <v>4.6300000000000001E-2</v>
      </c>
      <c r="O466" s="1">
        <v>3.078E-4</v>
      </c>
      <c r="P46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1.8754612288191395</v>
      </c>
      <c r="Q466" s="1">
        <f>LN(Table1[[#This Row],[qe_mg_g]]-Table1[[#This Row],[qt]])</f>
        <v>2.5911072203394547</v>
      </c>
      <c r="R466" s="1">
        <v>3</v>
      </c>
    </row>
    <row r="467" spans="1:18" x14ac:dyDescent="0.3">
      <c r="A467" s="1">
        <v>466</v>
      </c>
      <c r="B467" s="1" t="s">
        <v>16</v>
      </c>
      <c r="C467" s="1">
        <v>4</v>
      </c>
      <c r="D467" s="1">
        <v>30</v>
      </c>
      <c r="E467" s="1">
        <v>200</v>
      </c>
      <c r="F467" s="1">
        <v>11</v>
      </c>
      <c r="G467" s="1">
        <v>25</v>
      </c>
      <c r="H467" s="1">
        <v>150</v>
      </c>
      <c r="I467" s="1">
        <v>100</v>
      </c>
      <c r="J467" s="1">
        <v>10.263</v>
      </c>
      <c r="K467" s="1">
        <v>158.947</v>
      </c>
      <c r="L467" s="1">
        <v>20.53</v>
      </c>
      <c r="M467" s="1">
        <v>74.8</v>
      </c>
      <c r="N467" s="1">
        <v>4.8570000000000002E-2</v>
      </c>
      <c r="O467" s="1">
        <v>2.475E-4</v>
      </c>
      <c r="P46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0.7266930526405676</v>
      </c>
      <c r="Q467" s="1">
        <f>LN(Table1[[#This Row],[qe_mg_g]]-Table1[[#This Row],[qt]])</f>
        <v>2.2551062980767149</v>
      </c>
      <c r="R467" s="1">
        <v>1</v>
      </c>
    </row>
    <row r="468" spans="1:18" x14ac:dyDescent="0.3">
      <c r="A468" s="1">
        <v>467</v>
      </c>
      <c r="B468" s="1" t="s">
        <v>16</v>
      </c>
      <c r="C468" s="1">
        <v>4</v>
      </c>
      <c r="D468" s="1">
        <v>30</v>
      </c>
      <c r="E468" s="1">
        <v>200</v>
      </c>
      <c r="F468" s="1">
        <v>11</v>
      </c>
      <c r="G468" s="1">
        <v>25</v>
      </c>
      <c r="H468" s="1">
        <v>150</v>
      </c>
      <c r="I468" s="1">
        <v>100</v>
      </c>
      <c r="J468" s="1">
        <v>11.457000000000001</v>
      </c>
      <c r="K468" s="1">
        <v>154.17099999999999</v>
      </c>
      <c r="L468" s="1">
        <v>22.91</v>
      </c>
      <c r="M468" s="1">
        <v>50</v>
      </c>
      <c r="N468" s="1">
        <v>4.965E-2</v>
      </c>
      <c r="O468" s="1">
        <v>3.3379999999999998E-4</v>
      </c>
      <c r="P46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1.1791785459913511</v>
      </c>
      <c r="Q468" s="1">
        <f>LN(Table1[[#This Row],[qe_mg_g]]-Table1[[#This Row],[qt]])</f>
        <v>2.3299883167523507</v>
      </c>
      <c r="R468" s="1">
        <v>2</v>
      </c>
    </row>
    <row r="469" spans="1:18" x14ac:dyDescent="0.3">
      <c r="A469" s="1">
        <v>468</v>
      </c>
      <c r="B469" s="1" t="s">
        <v>16</v>
      </c>
      <c r="C469" s="1">
        <v>4</v>
      </c>
      <c r="D469" s="1">
        <v>30</v>
      </c>
      <c r="E469" s="1">
        <v>200</v>
      </c>
      <c r="F469" s="1">
        <v>11</v>
      </c>
      <c r="G469" s="1">
        <v>25</v>
      </c>
      <c r="H469" s="1">
        <v>150</v>
      </c>
      <c r="I469" s="1">
        <v>100</v>
      </c>
      <c r="J469" s="1">
        <v>9.4689999999999994</v>
      </c>
      <c r="K469" s="1">
        <v>162.12299999999999</v>
      </c>
      <c r="L469" s="1">
        <v>18.940000000000001</v>
      </c>
      <c r="M469" s="1">
        <v>62.6</v>
      </c>
      <c r="N469" s="1">
        <v>4.002E-2</v>
      </c>
      <c r="O469" s="1">
        <v>2.9359999999999998E-4</v>
      </c>
      <c r="P46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0.72894628081833035</v>
      </c>
      <c r="Q469" s="1">
        <f>LN(Table1[[#This Row],[qe_mg_g]]-Table1[[#This Row],[qt]])</f>
        <v>2.1679163360080138</v>
      </c>
      <c r="R469" s="1">
        <v>3</v>
      </c>
    </row>
    <row r="470" spans="1:18" x14ac:dyDescent="0.3">
      <c r="A470" s="1">
        <v>469</v>
      </c>
      <c r="B470" s="1" t="s">
        <v>16</v>
      </c>
      <c r="C470" s="1">
        <v>4</v>
      </c>
      <c r="D470" s="1">
        <v>60</v>
      </c>
      <c r="E470" s="1">
        <v>25</v>
      </c>
      <c r="F470" s="1">
        <v>3</v>
      </c>
      <c r="G470" s="1">
        <v>25</v>
      </c>
      <c r="H470" s="1">
        <v>150</v>
      </c>
      <c r="I470" s="1">
        <v>100</v>
      </c>
      <c r="J470" s="1">
        <v>0.314</v>
      </c>
      <c r="K470" s="1">
        <v>23.742999999999999</v>
      </c>
      <c r="L470" s="1">
        <v>5.03</v>
      </c>
      <c r="M470" s="1">
        <v>74.5</v>
      </c>
      <c r="N470" s="1">
        <v>5.0900000000000001E-2</v>
      </c>
      <c r="O470" s="1">
        <v>3.4190000000000002E-4</v>
      </c>
      <c r="P47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2.00965337081584E-3</v>
      </c>
      <c r="Q470" s="1">
        <f>LN(Table1[[#This Row],[qe_mg_g]]-Table1[[#This Row],[qt]])</f>
        <v>-1.1647830319423917</v>
      </c>
      <c r="R470" s="1">
        <v>1</v>
      </c>
    </row>
    <row r="471" spans="1:18" x14ac:dyDescent="0.3">
      <c r="A471" s="1">
        <v>470</v>
      </c>
      <c r="B471" s="1" t="s">
        <v>16</v>
      </c>
      <c r="C471" s="1">
        <v>4</v>
      </c>
      <c r="D471" s="1">
        <v>60</v>
      </c>
      <c r="E471" s="1">
        <v>25</v>
      </c>
      <c r="F471" s="1">
        <v>3</v>
      </c>
      <c r="G471" s="1">
        <v>25</v>
      </c>
      <c r="H471" s="1">
        <v>150</v>
      </c>
      <c r="I471" s="1">
        <v>100</v>
      </c>
      <c r="J471" s="1">
        <v>0.308</v>
      </c>
      <c r="K471" s="1">
        <v>23.768999999999998</v>
      </c>
      <c r="L471" s="1">
        <v>4.92</v>
      </c>
      <c r="M471" s="1">
        <v>64.599999999999994</v>
      </c>
      <c r="N471" s="1">
        <v>3.7420000000000002E-2</v>
      </c>
      <c r="O471" s="1">
        <v>2.7579999999999998E-4</v>
      </c>
      <c r="P47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1.5618490646767407E-3</v>
      </c>
      <c r="Q471" s="1">
        <f>LN(Table1[[#This Row],[qe_mg_g]]-Table1[[#This Row],[qt]])</f>
        <v>-1.182739335370377</v>
      </c>
      <c r="R471" s="1">
        <v>2</v>
      </c>
    </row>
    <row r="472" spans="1:18" x14ac:dyDescent="0.3">
      <c r="A472" s="1">
        <v>471</v>
      </c>
      <c r="B472" s="1" t="s">
        <v>16</v>
      </c>
      <c r="C472" s="1">
        <v>4</v>
      </c>
      <c r="D472" s="1">
        <v>60</v>
      </c>
      <c r="E472" s="1">
        <v>25</v>
      </c>
      <c r="F472" s="1">
        <v>3</v>
      </c>
      <c r="G472" s="1">
        <v>25</v>
      </c>
      <c r="H472" s="1">
        <v>150</v>
      </c>
      <c r="I472" s="1">
        <v>100</v>
      </c>
      <c r="J472" s="1">
        <v>0.34699999999999998</v>
      </c>
      <c r="K472" s="1">
        <v>23.611999999999998</v>
      </c>
      <c r="L472" s="1">
        <v>5.55</v>
      </c>
      <c r="M472" s="1">
        <v>82.8</v>
      </c>
      <c r="N472" s="1">
        <v>3.9449999999999999E-2</v>
      </c>
      <c r="O472" s="1">
        <v>2.8219999999999997E-4</v>
      </c>
      <c r="P47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2.0268565867030582E-3</v>
      </c>
      <c r="Q472" s="1">
        <f>LN(Table1[[#This Row],[qe_mg_g]]-Table1[[#This Row],[qt]])</f>
        <v>-1.06428871015972</v>
      </c>
      <c r="R472" s="1">
        <v>3</v>
      </c>
    </row>
    <row r="473" spans="1:18" x14ac:dyDescent="0.3">
      <c r="A473" s="1">
        <v>472</v>
      </c>
      <c r="B473" s="1" t="s">
        <v>16</v>
      </c>
      <c r="C473" s="1">
        <v>4</v>
      </c>
      <c r="D473" s="1">
        <v>60</v>
      </c>
      <c r="E473" s="1">
        <v>25</v>
      </c>
      <c r="F473" s="1">
        <v>7</v>
      </c>
      <c r="G473" s="1">
        <v>25</v>
      </c>
      <c r="H473" s="1">
        <v>150</v>
      </c>
      <c r="I473" s="1">
        <v>100</v>
      </c>
      <c r="J473" s="1">
        <v>0.55700000000000005</v>
      </c>
      <c r="K473" s="1">
        <v>22.771000000000001</v>
      </c>
      <c r="L473" s="1">
        <v>8.92</v>
      </c>
      <c r="M473" s="1">
        <v>69.5</v>
      </c>
      <c r="N473" s="1">
        <v>4.1360000000000001E-2</v>
      </c>
      <c r="O473" s="1">
        <v>3.1270000000000001E-4</v>
      </c>
      <c r="P47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5.7606900270775691E-3</v>
      </c>
      <c r="Q473" s="1">
        <f>LN(Table1[[#This Row],[qe_mg_g]]-Table1[[#This Row],[qt]])</f>
        <v>-0.59558624474848476</v>
      </c>
      <c r="R473" s="1">
        <v>1</v>
      </c>
    </row>
    <row r="474" spans="1:18" x14ac:dyDescent="0.3">
      <c r="A474" s="1">
        <v>473</v>
      </c>
      <c r="B474" s="1" t="s">
        <v>16</v>
      </c>
      <c r="C474" s="1">
        <v>4</v>
      </c>
      <c r="D474" s="1">
        <v>60</v>
      </c>
      <c r="E474" s="1">
        <v>25</v>
      </c>
      <c r="F474" s="1">
        <v>7</v>
      </c>
      <c r="G474" s="1">
        <v>25</v>
      </c>
      <c r="H474" s="1">
        <v>150</v>
      </c>
      <c r="I474" s="1">
        <v>100</v>
      </c>
      <c r="J474" s="1">
        <v>0.53700000000000003</v>
      </c>
      <c r="K474" s="1">
        <v>22.850999999999999</v>
      </c>
      <c r="L474" s="1">
        <v>8.6</v>
      </c>
      <c r="M474" s="1">
        <v>66.5</v>
      </c>
      <c r="N474" s="1">
        <v>4.7460000000000002E-2</v>
      </c>
      <c r="O474" s="1">
        <v>3.0019999999999998E-4</v>
      </c>
      <c r="P474" s="1">
        <f>(Table1[[#This Row],[Rate_Constant_k2_g_mg_min]]*Table1[[#This Row],[Contact_Time_min]]*Table1[[#This Row],[qe_mg_g]]^2)/(1+Table1[[#This Row],[Contact_Time_min]]*Table1[[#This Row],[qe_mg_g]]*Table1[[#This Row],[Rate_Constant_k2_g_mg_min]])</f>
        <v>5.1443440482763147E-3</v>
      </c>
      <c r="Q474" s="1">
        <f>LN(Table1[[#This Row],[qe_mg_g]]-Table1[[#This Row],[qt]])</f>
        <v>-0.63138314985436106</v>
      </c>
      <c r="R474" s="1">
        <v>2</v>
      </c>
    </row>
    <row r="475" spans="1:18" x14ac:dyDescent="0.3">
      <c r="A475" s="1">
        <v>474</v>
      </c>
      <c r="B475" s="1" t="s">
        <v>16</v>
      </c>
      <c r="C475" s="1">
        <v>4</v>
      </c>
      <c r="D475" s="1">
        <v>60</v>
      </c>
      <c r="E475" s="1">
        <v>25</v>
      </c>
      <c r="F475" s="1">
        <v>7</v>
      </c>
      <c r="G475" s="1">
        <v>25</v>
      </c>
      <c r="H475" s="1">
        <v>150</v>
      </c>
      <c r="I475" s="1">
        <v>100</v>
      </c>
      <c r="J475" s="1">
        <v>0.53900000000000003</v>
      </c>
      <c r="K475" s="1">
        <v>22.844000000000001</v>
      </c>
      <c r="L475" s="1">
        <v>8.6199999999999992</v>
      </c>
      <c r="M475" s="1">
        <v>65.599999999999994</v>
      </c>
      <c r="N475" s="1">
        <v>4.4600000000000001E-2</v>
      </c>
      <c r="O475" s="1">
        <v>2.8889999999999997E-4</v>
      </c>
      <c r="P475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4.9892760778831591E-3</v>
      </c>
      <c r="Q475" s="1">
        <f>LN(Table1[[#This Row],[qe_mg_g]]-Table1[[#This Row],[qt]])</f>
        <v>-0.62733935797243268</v>
      </c>
      <c r="R475" s="1">
        <v>3</v>
      </c>
    </row>
    <row r="476" spans="1:18" x14ac:dyDescent="0.3">
      <c r="A476" s="1">
        <v>475</v>
      </c>
      <c r="B476" s="1" t="s">
        <v>16</v>
      </c>
      <c r="C476" s="1">
        <v>4</v>
      </c>
      <c r="D476" s="1">
        <v>60</v>
      </c>
      <c r="E476" s="1">
        <v>25</v>
      </c>
      <c r="F476" s="1">
        <v>11</v>
      </c>
      <c r="G476" s="1">
        <v>25</v>
      </c>
      <c r="H476" s="1">
        <v>150</v>
      </c>
      <c r="I476" s="1">
        <v>100</v>
      </c>
      <c r="J476" s="1">
        <v>0.40100000000000002</v>
      </c>
      <c r="K476" s="1">
        <v>23.395</v>
      </c>
      <c r="L476" s="1">
        <v>6.42</v>
      </c>
      <c r="M476" s="1">
        <v>82.7</v>
      </c>
      <c r="N476" s="1">
        <v>4.752E-2</v>
      </c>
      <c r="O476" s="1">
        <v>2.9109999999999997E-4</v>
      </c>
      <c r="P47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2.7890163690791631E-3</v>
      </c>
      <c r="Q476" s="1">
        <f>LN(Table1[[#This Row],[qe_mg_g]]-Table1[[#This Row],[qt]])</f>
        <v>-0.92077330453074091</v>
      </c>
      <c r="R476" s="1">
        <v>1</v>
      </c>
    </row>
    <row r="477" spans="1:18" x14ac:dyDescent="0.3">
      <c r="A477" s="1">
        <v>476</v>
      </c>
      <c r="B477" s="1" t="s">
        <v>16</v>
      </c>
      <c r="C477" s="1">
        <v>4</v>
      </c>
      <c r="D477" s="1">
        <v>60</v>
      </c>
      <c r="E477" s="1">
        <v>25</v>
      </c>
      <c r="F477" s="1">
        <v>11</v>
      </c>
      <c r="G477" s="1">
        <v>25</v>
      </c>
      <c r="H477" s="1">
        <v>150</v>
      </c>
      <c r="I477" s="1">
        <v>100</v>
      </c>
      <c r="J477" s="1">
        <v>0.432</v>
      </c>
      <c r="K477" s="1">
        <v>23.27</v>
      </c>
      <c r="L477" s="1">
        <v>6.92</v>
      </c>
      <c r="M477" s="1">
        <v>63.3</v>
      </c>
      <c r="N477" s="1">
        <v>5.0279999999999998E-2</v>
      </c>
      <c r="O477" s="1">
        <v>3.1110000000000003E-4</v>
      </c>
      <c r="P47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3.455658151892685E-3</v>
      </c>
      <c r="Q477" s="1">
        <f>LN(Table1[[#This Row],[qe_mg_g]]-Table1[[#This Row],[qt]])</f>
        <v>-0.84736106473897288</v>
      </c>
      <c r="R477" s="1">
        <v>2</v>
      </c>
    </row>
    <row r="478" spans="1:18" x14ac:dyDescent="0.3">
      <c r="A478" s="1">
        <v>477</v>
      </c>
      <c r="B478" s="1" t="s">
        <v>16</v>
      </c>
      <c r="C478" s="1">
        <v>4</v>
      </c>
      <c r="D478" s="1">
        <v>60</v>
      </c>
      <c r="E478" s="1">
        <v>25</v>
      </c>
      <c r="F478" s="1">
        <v>11</v>
      </c>
      <c r="G478" s="1">
        <v>25</v>
      </c>
      <c r="H478" s="1">
        <v>150</v>
      </c>
      <c r="I478" s="1">
        <v>100</v>
      </c>
      <c r="J478" s="1">
        <v>0.40600000000000003</v>
      </c>
      <c r="K478" s="1">
        <v>23.376000000000001</v>
      </c>
      <c r="L478" s="1">
        <v>6.5</v>
      </c>
      <c r="M478" s="1">
        <v>71.099999999999994</v>
      </c>
      <c r="N478" s="1">
        <v>3.7929999999999998E-2</v>
      </c>
      <c r="O478" s="1">
        <v>2.6620000000000002E-4</v>
      </c>
      <c r="P47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2.6157981039098472E-3</v>
      </c>
      <c r="Q478" s="1">
        <f>LN(Table1[[#This Row],[qe_mg_g]]-Table1[[#This Row],[qt]])</f>
        <v>-0.90786581660844001</v>
      </c>
      <c r="R478" s="1">
        <v>3</v>
      </c>
    </row>
    <row r="479" spans="1:18" x14ac:dyDescent="0.3">
      <c r="A479" s="1">
        <v>478</v>
      </c>
      <c r="B479" s="1" t="s">
        <v>16</v>
      </c>
      <c r="C479" s="1">
        <v>4</v>
      </c>
      <c r="D479" s="1">
        <v>60</v>
      </c>
      <c r="E479" s="1">
        <v>50</v>
      </c>
      <c r="F479" s="1">
        <v>3</v>
      </c>
      <c r="G479" s="1">
        <v>25</v>
      </c>
      <c r="H479" s="1">
        <v>150</v>
      </c>
      <c r="I479" s="1">
        <v>100</v>
      </c>
      <c r="J479" s="1">
        <v>1.0820000000000001</v>
      </c>
      <c r="K479" s="1">
        <v>45.673000000000002</v>
      </c>
      <c r="L479" s="1">
        <v>8.65</v>
      </c>
      <c r="M479" s="1">
        <v>68.099999999999994</v>
      </c>
      <c r="N479" s="1">
        <v>5.28E-2</v>
      </c>
      <c r="O479" s="1">
        <v>3.6689999999999997E-4</v>
      </c>
      <c r="P47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2.517272526729496E-2</v>
      </c>
      <c r="Q479" s="1">
        <f>LN(Table1[[#This Row],[qe_mg_g]]-Table1[[#This Row],[qt]])</f>
        <v>5.5271282686186023E-2</v>
      </c>
      <c r="R479" s="1">
        <v>1</v>
      </c>
    </row>
    <row r="480" spans="1:18" x14ac:dyDescent="0.3">
      <c r="A480" s="1">
        <v>479</v>
      </c>
      <c r="B480" s="1" t="s">
        <v>16</v>
      </c>
      <c r="C480" s="1">
        <v>4</v>
      </c>
      <c r="D480" s="1">
        <v>60</v>
      </c>
      <c r="E480" s="1">
        <v>50</v>
      </c>
      <c r="F480" s="1">
        <v>3</v>
      </c>
      <c r="G480" s="1">
        <v>25</v>
      </c>
      <c r="H480" s="1">
        <v>150</v>
      </c>
      <c r="I480" s="1">
        <v>100</v>
      </c>
      <c r="J480" s="1">
        <v>1.2569999999999999</v>
      </c>
      <c r="K480" s="1">
        <v>44.972000000000001</v>
      </c>
      <c r="L480" s="1">
        <v>10.06</v>
      </c>
      <c r="M480" s="1">
        <v>71.7</v>
      </c>
      <c r="N480" s="1">
        <v>3.6900000000000002E-2</v>
      </c>
      <c r="O480" s="1">
        <v>2.8370000000000001E-4</v>
      </c>
      <c r="P48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2.6332173668937829E-2</v>
      </c>
      <c r="Q480" s="1">
        <f>LN(Table1[[#This Row],[qe_mg_g]]-Table1[[#This Row],[qt]])</f>
        <v>0.20755697027789874</v>
      </c>
      <c r="R480" s="1">
        <v>2</v>
      </c>
    </row>
    <row r="481" spans="1:18" x14ac:dyDescent="0.3">
      <c r="A481" s="1">
        <v>480</v>
      </c>
      <c r="B481" s="1" t="s">
        <v>16</v>
      </c>
      <c r="C481" s="1">
        <v>4</v>
      </c>
      <c r="D481" s="1">
        <v>60</v>
      </c>
      <c r="E481" s="1">
        <v>50</v>
      </c>
      <c r="F481" s="1">
        <v>3</v>
      </c>
      <c r="G481" s="1">
        <v>25</v>
      </c>
      <c r="H481" s="1">
        <v>150</v>
      </c>
      <c r="I481" s="1">
        <v>100</v>
      </c>
      <c r="J481" s="1">
        <v>1.1200000000000001</v>
      </c>
      <c r="K481" s="1">
        <v>45.518000000000001</v>
      </c>
      <c r="L481" s="1">
        <v>8.9600000000000009</v>
      </c>
      <c r="M481" s="1">
        <v>60.5</v>
      </c>
      <c r="N481" s="1">
        <v>4.4240000000000002E-2</v>
      </c>
      <c r="O481" s="1">
        <v>2.8580000000000001E-4</v>
      </c>
      <c r="P48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2.1105111493875391E-2</v>
      </c>
      <c r="Q481" s="1">
        <f>LN(Table1[[#This Row],[qe_mg_g]]-Table1[[#This Row],[qt]])</f>
        <v>9.4305027995845253E-2</v>
      </c>
      <c r="R481" s="1">
        <v>3</v>
      </c>
    </row>
    <row r="482" spans="1:18" x14ac:dyDescent="0.3">
      <c r="A482" s="1">
        <v>481</v>
      </c>
      <c r="B482" s="1" t="s">
        <v>16</v>
      </c>
      <c r="C482" s="1">
        <v>4</v>
      </c>
      <c r="D482" s="1">
        <v>60</v>
      </c>
      <c r="E482" s="1">
        <v>50</v>
      </c>
      <c r="F482" s="1">
        <v>7</v>
      </c>
      <c r="G482" s="1">
        <v>25</v>
      </c>
      <c r="H482" s="1">
        <v>150</v>
      </c>
      <c r="I482" s="1">
        <v>100</v>
      </c>
      <c r="J482" s="1">
        <v>1.708</v>
      </c>
      <c r="K482" s="1">
        <v>43.168999999999997</v>
      </c>
      <c r="L482" s="1">
        <v>13.66</v>
      </c>
      <c r="M482" s="1">
        <v>74.099999999999994</v>
      </c>
      <c r="N482" s="1">
        <v>4.0169999999999997E-2</v>
      </c>
      <c r="O482" s="1">
        <v>3.0719999999999999E-4</v>
      </c>
      <c r="P48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5.2129865140352012E-2</v>
      </c>
      <c r="Q482" s="1">
        <f>LN(Table1[[#This Row],[qe_mg_g]]-Table1[[#This Row],[qt]])</f>
        <v>0.50432663190950877</v>
      </c>
      <c r="R482" s="1">
        <v>1</v>
      </c>
    </row>
    <row r="483" spans="1:18" x14ac:dyDescent="0.3">
      <c r="A483" s="1">
        <v>482</v>
      </c>
      <c r="B483" s="1" t="s">
        <v>16</v>
      </c>
      <c r="C483" s="1">
        <v>4</v>
      </c>
      <c r="D483" s="1">
        <v>60</v>
      </c>
      <c r="E483" s="1">
        <v>50</v>
      </c>
      <c r="F483" s="1">
        <v>7</v>
      </c>
      <c r="G483" s="1">
        <v>25</v>
      </c>
      <c r="H483" s="1">
        <v>150</v>
      </c>
      <c r="I483" s="1">
        <v>100</v>
      </c>
      <c r="J483" s="1">
        <v>2.3660000000000001</v>
      </c>
      <c r="K483" s="1">
        <v>40.537999999999997</v>
      </c>
      <c r="L483" s="1">
        <v>18.920000000000002</v>
      </c>
      <c r="M483" s="1">
        <v>57.5</v>
      </c>
      <c r="N483" s="1">
        <v>3.3610000000000001E-2</v>
      </c>
      <c r="O483" s="1">
        <v>2.9139999999999998E-4</v>
      </c>
      <c r="P483" s="1">
        <f>(Table1[[#This Row],[Rate_Constant_k2_g_mg_min]]*Table1[[#This Row],[Contact_Time_min]]*Table1[[#This Row],[qe_mg_g]]^2)/(1+Table1[[#This Row],[Contact_Time_min]]*Table1[[#This Row],[qe_mg_g]]*Table1[[#This Row],[Rate_Constant_k2_g_mg_min]])</f>
        <v>9.3986701297347638E-2</v>
      </c>
      <c r="Q483" s="1">
        <f>LN(Table1[[#This Row],[qe_mg_g]]-Table1[[#This Row],[qt]])</f>
        <v>0.82066635414399824</v>
      </c>
      <c r="R483" s="1">
        <v>2</v>
      </c>
    </row>
    <row r="484" spans="1:18" x14ac:dyDescent="0.3">
      <c r="A484" s="1">
        <v>483</v>
      </c>
      <c r="B484" s="1" t="s">
        <v>16</v>
      </c>
      <c r="C484" s="1">
        <v>4</v>
      </c>
      <c r="D484" s="1">
        <v>60</v>
      </c>
      <c r="E484" s="1">
        <v>50</v>
      </c>
      <c r="F484" s="1">
        <v>7</v>
      </c>
      <c r="G484" s="1">
        <v>25</v>
      </c>
      <c r="H484" s="1">
        <v>150</v>
      </c>
      <c r="I484" s="1">
        <v>100</v>
      </c>
      <c r="J484" s="1">
        <v>2.2080000000000002</v>
      </c>
      <c r="K484" s="1">
        <v>41.17</v>
      </c>
      <c r="L484" s="1">
        <v>17.66</v>
      </c>
      <c r="M484" s="1">
        <v>86.3</v>
      </c>
      <c r="N484" s="1">
        <v>3.9469999999999998E-2</v>
      </c>
      <c r="O484" s="1">
        <v>3.1490000000000001E-4</v>
      </c>
      <c r="P484" s="1">
        <f>(Table1[[#This Row],[Rate_Constant_k2_g_mg_min]]*Table1[[#This Row],[Contact_Time_min]]*Table1[[#This Row],[qe_mg_g]]^2)/(1+Table1[[#This Row],[Contact_Time_min]]*Table1[[#This Row],[qe_mg_g]]*Table1[[#This Row],[Rate_Constant_k2_g_mg_min]])</f>
        <v>8.8424355017739029E-2</v>
      </c>
      <c r="Q484" s="1">
        <f>LN(Table1[[#This Row],[qe_mg_g]]-Table1[[#This Row],[qt]])</f>
        <v>0.75121590118654347</v>
      </c>
      <c r="R484" s="1">
        <v>3</v>
      </c>
    </row>
    <row r="485" spans="1:18" x14ac:dyDescent="0.3">
      <c r="A485" s="1">
        <v>484</v>
      </c>
      <c r="B485" s="1" t="s">
        <v>16</v>
      </c>
      <c r="C485" s="1">
        <v>4</v>
      </c>
      <c r="D485" s="1">
        <v>60</v>
      </c>
      <c r="E485" s="1">
        <v>50</v>
      </c>
      <c r="F485" s="1">
        <v>11</v>
      </c>
      <c r="G485" s="1">
        <v>25</v>
      </c>
      <c r="H485" s="1">
        <v>150</v>
      </c>
      <c r="I485" s="1">
        <v>100</v>
      </c>
      <c r="J485" s="1">
        <v>1.4510000000000001</v>
      </c>
      <c r="K485" s="1">
        <v>44.195999999999998</v>
      </c>
      <c r="L485" s="1">
        <v>11.61</v>
      </c>
      <c r="M485" s="1">
        <v>65.599999999999994</v>
      </c>
      <c r="N485" s="1">
        <v>5.6899999999999999E-2</v>
      </c>
      <c r="O485" s="1">
        <v>2.5490000000000002E-4</v>
      </c>
      <c r="P48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3.1500946674777687E-2</v>
      </c>
      <c r="Q485" s="1">
        <f>LN(Table1[[#This Row],[qe_mg_g]]-Table1[[#This Row],[qt]])</f>
        <v>0.35030403002346128</v>
      </c>
      <c r="R485" s="1">
        <v>1</v>
      </c>
    </row>
    <row r="486" spans="1:18" x14ac:dyDescent="0.3">
      <c r="A486" s="1">
        <v>485</v>
      </c>
      <c r="B486" s="1" t="s">
        <v>16</v>
      </c>
      <c r="C486" s="1">
        <v>4</v>
      </c>
      <c r="D486" s="1">
        <v>60</v>
      </c>
      <c r="E486" s="1">
        <v>50</v>
      </c>
      <c r="F486" s="1">
        <v>11</v>
      </c>
      <c r="G486" s="1">
        <v>25</v>
      </c>
      <c r="H486" s="1">
        <v>150</v>
      </c>
      <c r="I486" s="1">
        <v>100</v>
      </c>
      <c r="J486" s="1">
        <v>1.538</v>
      </c>
      <c r="K486" s="1">
        <v>43.848999999999997</v>
      </c>
      <c r="L486" s="1">
        <v>12.3</v>
      </c>
      <c r="M486" s="1">
        <v>71.3</v>
      </c>
      <c r="N486" s="1">
        <v>4.9889999999999997E-2</v>
      </c>
      <c r="O486" s="1">
        <v>3.0289999999999999E-4</v>
      </c>
      <c r="P48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4.1820625362276292E-2</v>
      </c>
      <c r="Q486" s="1">
        <f>LN(Table1[[#This Row],[qe_mg_g]]-Table1[[#This Row],[qt]])</f>
        <v>0.40291477519721841</v>
      </c>
      <c r="R486" s="1">
        <v>2</v>
      </c>
    </row>
    <row r="487" spans="1:18" x14ac:dyDescent="0.3">
      <c r="A487" s="1">
        <v>486</v>
      </c>
      <c r="B487" s="1" t="s">
        <v>16</v>
      </c>
      <c r="C487" s="1">
        <v>4</v>
      </c>
      <c r="D487" s="1">
        <v>60</v>
      </c>
      <c r="E487" s="1">
        <v>50</v>
      </c>
      <c r="F487" s="1">
        <v>11</v>
      </c>
      <c r="G487" s="1">
        <v>25</v>
      </c>
      <c r="H487" s="1">
        <v>150</v>
      </c>
      <c r="I487" s="1">
        <v>100</v>
      </c>
      <c r="J487" s="1">
        <v>1.544</v>
      </c>
      <c r="K487" s="1">
        <v>43.823</v>
      </c>
      <c r="L487" s="1">
        <v>12.35</v>
      </c>
      <c r="M487" s="1">
        <v>62.8</v>
      </c>
      <c r="N487" s="1">
        <v>4.6210000000000001E-2</v>
      </c>
      <c r="O487" s="1">
        <v>2.8969999999999999E-4</v>
      </c>
      <c r="P48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4.0354547942395201E-2</v>
      </c>
      <c r="Q487" s="1">
        <f>LN(Table1[[#This Row],[qe_mg_g]]-Table1[[#This Row],[qt]])</f>
        <v>0.40789246107356664</v>
      </c>
      <c r="R487" s="1">
        <v>3</v>
      </c>
    </row>
    <row r="488" spans="1:18" x14ac:dyDescent="0.3">
      <c r="A488" s="1">
        <v>487</v>
      </c>
      <c r="B488" s="1" t="s">
        <v>16</v>
      </c>
      <c r="C488" s="1">
        <v>4</v>
      </c>
      <c r="D488" s="1">
        <v>60</v>
      </c>
      <c r="E488" s="1">
        <v>100</v>
      </c>
      <c r="F488" s="1">
        <v>3</v>
      </c>
      <c r="G488" s="1">
        <v>25</v>
      </c>
      <c r="H488" s="1">
        <v>150</v>
      </c>
      <c r="I488" s="1">
        <v>100</v>
      </c>
      <c r="J488" s="1">
        <v>4.3879999999999999</v>
      </c>
      <c r="K488" s="1">
        <v>82.447000000000003</v>
      </c>
      <c r="L488" s="1">
        <v>17.55</v>
      </c>
      <c r="M488" s="1">
        <v>63</v>
      </c>
      <c r="N488" s="1">
        <v>4.6699999999999998E-2</v>
      </c>
      <c r="O488" s="1">
        <v>2.9910000000000001E-4</v>
      </c>
      <c r="P48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0.32031795337436697</v>
      </c>
      <c r="Q488" s="1">
        <f>LN(Table1[[#This Row],[qe_mg_g]]-Table1[[#This Row],[qt]])</f>
        <v>1.4030733155018067</v>
      </c>
      <c r="R488" s="1">
        <v>1</v>
      </c>
    </row>
    <row r="489" spans="1:18" x14ac:dyDescent="0.3">
      <c r="A489" s="1">
        <v>488</v>
      </c>
      <c r="B489" s="1" t="s">
        <v>16</v>
      </c>
      <c r="C489" s="1">
        <v>4</v>
      </c>
      <c r="D489" s="1">
        <v>60</v>
      </c>
      <c r="E489" s="1">
        <v>100</v>
      </c>
      <c r="F489" s="1">
        <v>3</v>
      </c>
      <c r="G489" s="1">
        <v>25</v>
      </c>
      <c r="H489" s="1">
        <v>150</v>
      </c>
      <c r="I489" s="1">
        <v>100</v>
      </c>
      <c r="J489" s="1">
        <v>4.5570000000000004</v>
      </c>
      <c r="K489" s="1">
        <v>81.772999999999996</v>
      </c>
      <c r="L489" s="1">
        <v>18.23</v>
      </c>
      <c r="M489" s="1">
        <v>66.2</v>
      </c>
      <c r="N489" s="1">
        <v>3.7019999999999997E-2</v>
      </c>
      <c r="O489" s="1">
        <v>3.3789999999999997E-4</v>
      </c>
      <c r="P48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0.38540765190030563</v>
      </c>
      <c r="Q489" s="1">
        <f>LN(Table1[[#This Row],[qe_mg_g]]-Table1[[#This Row],[qt]])</f>
        <v>1.4282978209789576</v>
      </c>
      <c r="R489" s="1">
        <v>2</v>
      </c>
    </row>
    <row r="490" spans="1:18" x14ac:dyDescent="0.3">
      <c r="A490" s="1">
        <v>489</v>
      </c>
      <c r="B490" s="1" t="s">
        <v>16</v>
      </c>
      <c r="C490" s="1">
        <v>4</v>
      </c>
      <c r="D490" s="1">
        <v>60</v>
      </c>
      <c r="E490" s="1">
        <v>100</v>
      </c>
      <c r="F490" s="1">
        <v>3</v>
      </c>
      <c r="G490" s="1">
        <v>25</v>
      </c>
      <c r="H490" s="1">
        <v>150</v>
      </c>
      <c r="I490" s="1">
        <v>100</v>
      </c>
      <c r="J490" s="1">
        <v>3.8769999999999998</v>
      </c>
      <c r="K490" s="1">
        <v>84.49</v>
      </c>
      <c r="L490" s="1">
        <v>15.51</v>
      </c>
      <c r="M490" s="1">
        <v>60.1</v>
      </c>
      <c r="N490" s="1">
        <v>4.2320000000000003E-2</v>
      </c>
      <c r="O490" s="1">
        <v>3.412E-4</v>
      </c>
      <c r="P49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0.28508971794011712</v>
      </c>
      <c r="Q490" s="1">
        <f>LN(Table1[[#This Row],[qe_mg_g]]-Table1[[#This Row],[qt]])</f>
        <v>1.2786841729731977</v>
      </c>
      <c r="R490" s="1">
        <v>3</v>
      </c>
    </row>
    <row r="491" spans="1:18" x14ac:dyDescent="0.3">
      <c r="A491" s="1">
        <v>490</v>
      </c>
      <c r="B491" s="1" t="s">
        <v>16</v>
      </c>
      <c r="C491" s="1">
        <v>4</v>
      </c>
      <c r="D491" s="1">
        <v>60</v>
      </c>
      <c r="E491" s="1">
        <v>100</v>
      </c>
      <c r="F491" s="1">
        <v>7</v>
      </c>
      <c r="G491" s="1">
        <v>25</v>
      </c>
      <c r="H491" s="1">
        <v>150</v>
      </c>
      <c r="I491" s="1">
        <v>100</v>
      </c>
      <c r="J491" s="1">
        <v>5.6859999999999999</v>
      </c>
      <c r="K491" s="1">
        <v>77.254999999999995</v>
      </c>
      <c r="L491" s="1">
        <v>22.74</v>
      </c>
      <c r="M491" s="1">
        <v>98</v>
      </c>
      <c r="N491" s="1">
        <v>4.9750000000000003E-2</v>
      </c>
      <c r="O491" s="1">
        <v>3.0669999999999997E-4</v>
      </c>
      <c r="P49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0.53859264733035883</v>
      </c>
      <c r="Q491" s="1">
        <f>LN(Table1[[#This Row],[qe_mg_g]]-Table1[[#This Row],[qt]])</f>
        <v>1.6384931612478064</v>
      </c>
      <c r="R491" s="1">
        <v>1</v>
      </c>
    </row>
    <row r="492" spans="1:18" x14ac:dyDescent="0.3">
      <c r="A492" s="1">
        <v>491</v>
      </c>
      <c r="B492" s="1" t="s">
        <v>16</v>
      </c>
      <c r="C492" s="1">
        <v>4</v>
      </c>
      <c r="D492" s="1">
        <v>60</v>
      </c>
      <c r="E492" s="1">
        <v>100</v>
      </c>
      <c r="F492" s="1">
        <v>7</v>
      </c>
      <c r="G492" s="1">
        <v>25</v>
      </c>
      <c r="H492" s="1">
        <v>150</v>
      </c>
      <c r="I492" s="1">
        <v>100</v>
      </c>
      <c r="J492" s="1">
        <v>6.8280000000000003</v>
      </c>
      <c r="K492" s="1">
        <v>72.688999999999993</v>
      </c>
      <c r="L492" s="1">
        <v>27.31</v>
      </c>
      <c r="M492" s="1">
        <v>69.5</v>
      </c>
      <c r="N492" s="1">
        <v>4.7350000000000003E-2</v>
      </c>
      <c r="O492" s="1">
        <v>3.1940000000000001E-4</v>
      </c>
      <c r="P49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0.7900735022012505</v>
      </c>
      <c r="Q492" s="1">
        <f>LN(Table1[[#This Row],[qe_mg_g]]-Table1[[#This Row],[qt]])</f>
        <v>1.7980606579410505</v>
      </c>
      <c r="R492" s="1">
        <v>2</v>
      </c>
    </row>
    <row r="493" spans="1:18" x14ac:dyDescent="0.3">
      <c r="A493" s="1">
        <v>492</v>
      </c>
      <c r="B493" s="1" t="s">
        <v>16</v>
      </c>
      <c r="C493" s="1">
        <v>4</v>
      </c>
      <c r="D493" s="1">
        <v>60</v>
      </c>
      <c r="E493" s="1">
        <v>100</v>
      </c>
      <c r="F493" s="1">
        <v>7</v>
      </c>
      <c r="G493" s="1">
        <v>25</v>
      </c>
      <c r="H493" s="1">
        <v>150</v>
      </c>
      <c r="I493" s="1">
        <v>100</v>
      </c>
      <c r="J493" s="1">
        <v>7.1630000000000003</v>
      </c>
      <c r="K493" s="1">
        <v>71.349000000000004</v>
      </c>
      <c r="L493" s="1">
        <v>28.65</v>
      </c>
      <c r="M493" s="1">
        <v>67.599999999999994</v>
      </c>
      <c r="N493" s="1">
        <v>4.4110000000000003E-2</v>
      </c>
      <c r="O493" s="1">
        <v>2.9550000000000003E-4</v>
      </c>
      <c r="P49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0.80718805363077262</v>
      </c>
      <c r="Q493" s="1">
        <f>LN(Table1[[#This Row],[qe_mg_g]]-Table1[[#This Row],[qt]])</f>
        <v>1.8493696614477895</v>
      </c>
      <c r="R493" s="1">
        <v>3</v>
      </c>
    </row>
    <row r="494" spans="1:18" x14ac:dyDescent="0.3">
      <c r="A494" s="1">
        <v>493</v>
      </c>
      <c r="B494" s="1" t="s">
        <v>16</v>
      </c>
      <c r="C494" s="1">
        <v>4</v>
      </c>
      <c r="D494" s="1">
        <v>60</v>
      </c>
      <c r="E494" s="1">
        <v>100</v>
      </c>
      <c r="F494" s="1">
        <v>11</v>
      </c>
      <c r="G494" s="1">
        <v>25</v>
      </c>
      <c r="H494" s="1">
        <v>150</v>
      </c>
      <c r="I494" s="1">
        <v>100</v>
      </c>
      <c r="J494" s="1">
        <v>5.1139999999999999</v>
      </c>
      <c r="K494" s="1">
        <v>79.542000000000002</v>
      </c>
      <c r="L494" s="1">
        <v>20.46</v>
      </c>
      <c r="M494" s="1">
        <v>78</v>
      </c>
      <c r="N494" s="1">
        <v>4.7669999999999997E-2</v>
      </c>
      <c r="O494" s="1">
        <v>2.118E-4</v>
      </c>
      <c r="P49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0.31207116979095267</v>
      </c>
      <c r="Q494" s="1">
        <f>LN(Table1[[#This Row],[qe_mg_g]]-Table1[[#This Row],[qt]])</f>
        <v>1.5690176768248099</v>
      </c>
      <c r="R494" s="1">
        <v>1</v>
      </c>
    </row>
    <row r="495" spans="1:18" x14ac:dyDescent="0.3">
      <c r="A495" s="1">
        <v>494</v>
      </c>
      <c r="B495" s="1" t="s">
        <v>16</v>
      </c>
      <c r="C495" s="1">
        <v>4</v>
      </c>
      <c r="D495" s="1">
        <v>60</v>
      </c>
      <c r="E495" s="1">
        <v>100</v>
      </c>
      <c r="F495" s="1">
        <v>11</v>
      </c>
      <c r="G495" s="1">
        <v>25</v>
      </c>
      <c r="H495" s="1">
        <v>150</v>
      </c>
      <c r="I495" s="1">
        <v>100</v>
      </c>
      <c r="J495" s="1">
        <v>5.468</v>
      </c>
      <c r="K495" s="1">
        <v>78.128</v>
      </c>
      <c r="L495" s="1">
        <v>21.87</v>
      </c>
      <c r="M495" s="1">
        <v>68.599999999999994</v>
      </c>
      <c r="N495" s="1">
        <v>4.4920000000000002E-2</v>
      </c>
      <c r="O495" s="1">
        <v>2.8830000000000001E-4</v>
      </c>
      <c r="P49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0.47250153977195519</v>
      </c>
      <c r="Q495" s="1">
        <f>LN(Table1[[#This Row],[qe_mg_g]]-Table1[[#This Row],[qt]])</f>
        <v>1.6085371989590891</v>
      </c>
      <c r="R495" s="1">
        <v>2</v>
      </c>
    </row>
    <row r="496" spans="1:18" x14ac:dyDescent="0.3">
      <c r="A496" s="1">
        <v>495</v>
      </c>
      <c r="B496" s="1" t="s">
        <v>16</v>
      </c>
      <c r="C496" s="1">
        <v>4</v>
      </c>
      <c r="D496" s="1">
        <v>60</v>
      </c>
      <c r="E496" s="1">
        <v>100</v>
      </c>
      <c r="F496" s="1">
        <v>11</v>
      </c>
      <c r="G496" s="1">
        <v>25</v>
      </c>
      <c r="H496" s="1">
        <v>150</v>
      </c>
      <c r="I496" s="1">
        <v>100</v>
      </c>
      <c r="J496" s="1">
        <v>5.6630000000000003</v>
      </c>
      <c r="K496" s="1">
        <v>77.349000000000004</v>
      </c>
      <c r="L496" s="1">
        <v>22.65</v>
      </c>
      <c r="M496" s="1">
        <v>76.099999999999994</v>
      </c>
      <c r="N496" s="1">
        <v>4.1520000000000001E-2</v>
      </c>
      <c r="O496" s="1">
        <v>3.122E-4</v>
      </c>
      <c r="P49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0.54311400441015023</v>
      </c>
      <c r="Q496" s="1">
        <f>LN(Table1[[#This Row],[qe_mg_g]]-Table1[[#This Row],[qt]])</f>
        <v>1.633132172317157</v>
      </c>
      <c r="R496" s="1">
        <v>3</v>
      </c>
    </row>
    <row r="497" spans="1:18" x14ac:dyDescent="0.3">
      <c r="A497" s="1">
        <v>496</v>
      </c>
      <c r="B497" s="1" t="s">
        <v>16</v>
      </c>
      <c r="C497" s="1">
        <v>4</v>
      </c>
      <c r="D497" s="1">
        <v>60</v>
      </c>
      <c r="E497" s="1">
        <v>200</v>
      </c>
      <c r="F497" s="1">
        <v>3</v>
      </c>
      <c r="G497" s="1">
        <v>25</v>
      </c>
      <c r="H497" s="1">
        <v>150</v>
      </c>
      <c r="I497" s="1">
        <v>100</v>
      </c>
      <c r="J497" s="1">
        <v>12.31</v>
      </c>
      <c r="K497" s="1">
        <v>150.761</v>
      </c>
      <c r="L497" s="1">
        <v>24.62</v>
      </c>
      <c r="M497" s="1">
        <v>52.9</v>
      </c>
      <c r="N497" s="1">
        <v>4.2180000000000002E-2</v>
      </c>
      <c r="O497" s="1">
        <v>3.2590000000000001E-4</v>
      </c>
      <c r="P49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2.3882595613378519</v>
      </c>
      <c r="Q497" s="1">
        <f>LN(Table1[[#This Row],[qe_mg_g]]-Table1[[#This Row],[qt]])</f>
        <v>2.2947283533534595</v>
      </c>
      <c r="R497" s="1">
        <v>1</v>
      </c>
    </row>
    <row r="498" spans="1:18" x14ac:dyDescent="0.3">
      <c r="A498" s="1">
        <v>497</v>
      </c>
      <c r="B498" s="1" t="s">
        <v>16</v>
      </c>
      <c r="C498" s="1">
        <v>4</v>
      </c>
      <c r="D498" s="1">
        <v>60</v>
      </c>
      <c r="E498" s="1">
        <v>200</v>
      </c>
      <c r="F498" s="1">
        <v>3</v>
      </c>
      <c r="G498" s="1">
        <v>25</v>
      </c>
      <c r="H498" s="1">
        <v>150</v>
      </c>
      <c r="I498" s="1">
        <v>100</v>
      </c>
      <c r="J498" s="1">
        <v>14.365</v>
      </c>
      <c r="K498" s="1">
        <v>142.54</v>
      </c>
      <c r="L498" s="1">
        <v>28.73</v>
      </c>
      <c r="M498" s="1">
        <v>71.8</v>
      </c>
      <c r="N498" s="1">
        <v>4.8259999999999997E-2</v>
      </c>
      <c r="O498" s="1">
        <v>3.1550000000000003E-4</v>
      </c>
      <c r="P498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3.0711346051858461</v>
      </c>
      <c r="Q498" s="1">
        <f>LN(Table1[[#This Row],[qe_mg_g]]-Table1[[#This Row],[qt]])</f>
        <v>2.424259692887976</v>
      </c>
      <c r="R498" s="1">
        <v>2</v>
      </c>
    </row>
    <row r="499" spans="1:18" x14ac:dyDescent="0.3">
      <c r="A499" s="1">
        <v>498</v>
      </c>
      <c r="B499" s="1" t="s">
        <v>16</v>
      </c>
      <c r="C499" s="1">
        <v>4</v>
      </c>
      <c r="D499" s="1">
        <v>60</v>
      </c>
      <c r="E499" s="1">
        <v>200</v>
      </c>
      <c r="F499" s="1">
        <v>3</v>
      </c>
      <c r="G499" s="1">
        <v>25</v>
      </c>
      <c r="H499" s="1">
        <v>150</v>
      </c>
      <c r="I499" s="1">
        <v>100</v>
      </c>
      <c r="J499" s="1">
        <v>12.662000000000001</v>
      </c>
      <c r="K499" s="1">
        <v>149.35</v>
      </c>
      <c r="L499" s="1">
        <v>25.32</v>
      </c>
      <c r="M499" s="1">
        <v>71</v>
      </c>
      <c r="N499" s="1">
        <v>4.8599999999999997E-2</v>
      </c>
      <c r="O499" s="1">
        <v>3.2259999999999998E-4</v>
      </c>
      <c r="P49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2.4924186733906932</v>
      </c>
      <c r="Q499" s="1">
        <f>LN(Table1[[#This Row],[qe_mg_g]]-Table1[[#This Row],[qt]])</f>
        <v>2.319401041721354</v>
      </c>
      <c r="R499" s="1">
        <v>3</v>
      </c>
    </row>
    <row r="500" spans="1:18" x14ac:dyDescent="0.3">
      <c r="A500" s="1">
        <v>499</v>
      </c>
      <c r="B500" s="1" t="s">
        <v>16</v>
      </c>
      <c r="C500" s="1">
        <v>4</v>
      </c>
      <c r="D500" s="1">
        <v>60</v>
      </c>
      <c r="E500" s="1">
        <v>200</v>
      </c>
      <c r="F500" s="1">
        <v>7</v>
      </c>
      <c r="G500" s="1">
        <v>25</v>
      </c>
      <c r="H500" s="1">
        <v>150</v>
      </c>
      <c r="I500" s="1">
        <v>100</v>
      </c>
      <c r="J500" s="1">
        <v>22.922000000000001</v>
      </c>
      <c r="K500" s="1">
        <v>108.313</v>
      </c>
      <c r="L500" s="1">
        <v>45.84</v>
      </c>
      <c r="M500" s="1">
        <v>73.7</v>
      </c>
      <c r="N500" s="1">
        <v>4.6580000000000003E-2</v>
      </c>
      <c r="O500" s="1">
        <v>3.321E-4</v>
      </c>
      <c r="P500" s="1">
        <f>(Table1[[#This Row],[Rate_Constant_k2_g_mg_min]]*Table1[[#This Row],[Contact_Time_min]]*Table1[[#This Row],[qe_mg_g]]^2)/(1+Table1[[#This Row],[Contact_Time_min]]*Table1[[#This Row],[qe_mg_g]]*Table1[[#This Row],[Rate_Constant_k2_g_mg_min]])</f>
        <v>7.1869061279116968</v>
      </c>
      <c r="Q500" s="1">
        <f>LN(Table1[[#This Row],[qe_mg_g]]-Table1[[#This Row],[qt]])</f>
        <v>2.7558934963128934</v>
      </c>
      <c r="R500" s="1">
        <v>1</v>
      </c>
    </row>
    <row r="501" spans="1:18" x14ac:dyDescent="0.3">
      <c r="A501" s="1">
        <v>500</v>
      </c>
      <c r="B501" s="1" t="s">
        <v>16</v>
      </c>
      <c r="C501" s="1">
        <v>4</v>
      </c>
      <c r="D501" s="1">
        <v>60</v>
      </c>
      <c r="E501" s="1">
        <v>200</v>
      </c>
      <c r="F501" s="1">
        <v>7</v>
      </c>
      <c r="G501" s="1">
        <v>25</v>
      </c>
      <c r="H501" s="1">
        <v>150</v>
      </c>
      <c r="I501" s="1">
        <v>100</v>
      </c>
      <c r="J501" s="1">
        <v>20.887</v>
      </c>
      <c r="K501" s="1">
        <v>116.45399999999999</v>
      </c>
      <c r="L501" s="1">
        <v>41.77</v>
      </c>
      <c r="M501" s="1">
        <v>57.8</v>
      </c>
      <c r="N501" s="1">
        <v>4.4269999999999997E-2</v>
      </c>
      <c r="O501" s="1">
        <v>2.7769999999999997E-4</v>
      </c>
      <c r="P501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5.3924135037783447</v>
      </c>
      <c r="Q501" s="1">
        <f>LN(Table1[[#This Row],[qe_mg_g]]-Table1[[#This Row],[qt]])</f>
        <v>2.740490704612033</v>
      </c>
      <c r="R501" s="1">
        <v>2</v>
      </c>
    </row>
    <row r="502" spans="1:18" x14ac:dyDescent="0.3">
      <c r="A502" s="1">
        <v>501</v>
      </c>
      <c r="B502" s="1" t="s">
        <v>16</v>
      </c>
      <c r="C502" s="1">
        <v>4</v>
      </c>
      <c r="D502" s="1">
        <v>60</v>
      </c>
      <c r="E502" s="1">
        <v>200</v>
      </c>
      <c r="F502" s="1">
        <v>7</v>
      </c>
      <c r="G502" s="1">
        <v>25</v>
      </c>
      <c r="H502" s="1">
        <v>150</v>
      </c>
      <c r="I502" s="1">
        <v>100</v>
      </c>
      <c r="J502" s="1">
        <v>19.8</v>
      </c>
      <c r="K502" s="1">
        <v>120.79900000000001</v>
      </c>
      <c r="L502" s="1">
        <v>39.6</v>
      </c>
      <c r="M502" s="1">
        <v>65.2</v>
      </c>
      <c r="N502" s="1">
        <v>4.1430000000000002E-2</v>
      </c>
      <c r="O502" s="1">
        <v>2.9080000000000002E-4</v>
      </c>
      <c r="P50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5.0839571944503579</v>
      </c>
      <c r="Q502" s="1">
        <f>LN(Table1[[#This Row],[qe_mg_g]]-Table1[[#This Row],[qt]])</f>
        <v>2.6889382460144353</v>
      </c>
      <c r="R502" s="1">
        <v>3</v>
      </c>
    </row>
    <row r="503" spans="1:18" x14ac:dyDescent="0.3">
      <c r="A503" s="1">
        <v>502</v>
      </c>
      <c r="B503" s="1" t="s">
        <v>16</v>
      </c>
      <c r="C503" s="1">
        <v>4</v>
      </c>
      <c r="D503" s="1">
        <v>60</v>
      </c>
      <c r="E503" s="1">
        <v>200</v>
      </c>
      <c r="F503" s="1">
        <v>11</v>
      </c>
      <c r="G503" s="1">
        <v>25</v>
      </c>
      <c r="H503" s="1">
        <v>150</v>
      </c>
      <c r="I503" s="1">
        <v>100</v>
      </c>
      <c r="J503" s="1">
        <v>13.808999999999999</v>
      </c>
      <c r="K503" s="1">
        <v>144.76599999999999</v>
      </c>
      <c r="L503" s="1">
        <v>27.62</v>
      </c>
      <c r="M503" s="1">
        <v>68.8</v>
      </c>
      <c r="N503" s="1">
        <v>4.5010000000000001E-2</v>
      </c>
      <c r="O503" s="1">
        <v>2.7549999999999997E-4</v>
      </c>
      <c r="P503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2.5662917316381733</v>
      </c>
      <c r="Q503" s="1">
        <f>LN(Table1[[#This Row],[qe_mg_g]]-Table1[[#This Row],[qt]])</f>
        <v>2.4197197645844737</v>
      </c>
      <c r="R503" s="1">
        <v>1</v>
      </c>
    </row>
    <row r="504" spans="1:18" x14ac:dyDescent="0.3">
      <c r="A504" s="1">
        <v>503</v>
      </c>
      <c r="B504" s="1" t="s">
        <v>16</v>
      </c>
      <c r="C504" s="1">
        <v>4</v>
      </c>
      <c r="D504" s="1">
        <v>60</v>
      </c>
      <c r="E504" s="1">
        <v>200</v>
      </c>
      <c r="F504" s="1">
        <v>11</v>
      </c>
      <c r="G504" s="1">
        <v>25</v>
      </c>
      <c r="H504" s="1">
        <v>150</v>
      </c>
      <c r="I504" s="1">
        <v>100</v>
      </c>
      <c r="J504" s="1">
        <v>17.132000000000001</v>
      </c>
      <c r="K504" s="1">
        <v>131.471</v>
      </c>
      <c r="L504" s="1">
        <v>34.26</v>
      </c>
      <c r="M504" s="1">
        <v>76</v>
      </c>
      <c r="N504" s="1">
        <v>3.7769999999999998E-2</v>
      </c>
      <c r="O504" s="1">
        <v>2.7710000000000001E-4</v>
      </c>
      <c r="P50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3.7980090681474294</v>
      </c>
      <c r="Q504" s="1">
        <f>LN(Table1[[#This Row],[qe_mg_g]]-Table1[[#This Row],[qt]])</f>
        <v>2.590316484118584</v>
      </c>
      <c r="R504" s="1">
        <v>2</v>
      </c>
    </row>
    <row r="505" spans="1:18" x14ac:dyDescent="0.3">
      <c r="A505" s="1">
        <v>504</v>
      </c>
      <c r="B505" s="1" t="s">
        <v>16</v>
      </c>
      <c r="C505" s="1">
        <v>4</v>
      </c>
      <c r="D505" s="1">
        <v>60</v>
      </c>
      <c r="E505" s="1">
        <v>200</v>
      </c>
      <c r="F505" s="1">
        <v>11</v>
      </c>
      <c r="G505" s="1">
        <v>25</v>
      </c>
      <c r="H505" s="1">
        <v>150</v>
      </c>
      <c r="I505" s="1">
        <v>100</v>
      </c>
      <c r="J505" s="1">
        <v>15.273</v>
      </c>
      <c r="K505" s="1">
        <v>138.91</v>
      </c>
      <c r="L505" s="1">
        <v>30.55</v>
      </c>
      <c r="M505" s="1">
        <v>57.3</v>
      </c>
      <c r="N505" s="1">
        <v>4.8730000000000002E-2</v>
      </c>
      <c r="O505" s="1">
        <v>2.942E-4</v>
      </c>
      <c r="P50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3.2432173299450215</v>
      </c>
      <c r="Q505" s="1">
        <f>LN(Table1[[#This Row],[qe_mg_g]]-Table1[[#This Row],[qt]])</f>
        <v>2.4873854641588111</v>
      </c>
      <c r="R505" s="1">
        <v>3</v>
      </c>
    </row>
    <row r="506" spans="1:18" x14ac:dyDescent="0.3">
      <c r="A506" s="1">
        <v>505</v>
      </c>
      <c r="B506" s="1" t="s">
        <v>16</v>
      </c>
      <c r="C506" s="1">
        <v>4</v>
      </c>
      <c r="D506" s="1">
        <v>120</v>
      </c>
      <c r="E506" s="1">
        <v>25</v>
      </c>
      <c r="F506" s="1">
        <v>3</v>
      </c>
      <c r="G506" s="1">
        <v>25</v>
      </c>
      <c r="H506" s="1">
        <v>150</v>
      </c>
      <c r="I506" s="1">
        <v>100</v>
      </c>
      <c r="J506" s="1">
        <v>0.58499999999999996</v>
      </c>
      <c r="K506" s="1">
        <v>22.658000000000001</v>
      </c>
      <c r="L506" s="1">
        <v>9.3699999999999992</v>
      </c>
      <c r="M506" s="1">
        <v>46.6</v>
      </c>
      <c r="N506" s="1">
        <v>4.786E-2</v>
      </c>
      <c r="O506" s="1">
        <v>2.6279999999999999E-4</v>
      </c>
      <c r="P50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1.0596909872404355E-2</v>
      </c>
      <c r="Q506" s="1">
        <f>LN(Table1[[#This Row],[qe_mg_g]]-Table1[[#This Row],[qt]])</f>
        <v>-0.5544238815139938</v>
      </c>
      <c r="R506" s="1">
        <v>1</v>
      </c>
    </row>
    <row r="507" spans="1:18" x14ac:dyDescent="0.3">
      <c r="A507" s="1">
        <v>506</v>
      </c>
      <c r="B507" s="1" t="s">
        <v>16</v>
      </c>
      <c r="C507" s="1">
        <v>4</v>
      </c>
      <c r="D507" s="1">
        <v>120</v>
      </c>
      <c r="E507" s="1">
        <v>25</v>
      </c>
      <c r="F507" s="1">
        <v>3</v>
      </c>
      <c r="G507" s="1">
        <v>25</v>
      </c>
      <c r="H507" s="1">
        <v>150</v>
      </c>
      <c r="I507" s="1">
        <v>100</v>
      </c>
      <c r="J507" s="1">
        <v>0.60099999999999998</v>
      </c>
      <c r="K507" s="1">
        <v>22.596</v>
      </c>
      <c r="L507" s="1">
        <v>9.6199999999999992</v>
      </c>
      <c r="M507" s="1">
        <v>69.400000000000006</v>
      </c>
      <c r="N507" s="1">
        <v>5.1119999999999999E-2</v>
      </c>
      <c r="O507" s="1">
        <v>2.6069999999999999E-4</v>
      </c>
      <c r="P50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1.1091277391331833E-2</v>
      </c>
      <c r="Q507" s="1">
        <f>LN(Table1[[#This Row],[qe_mg_g]]-Table1[[#This Row],[qt]])</f>
        <v>-0.52778746149373823</v>
      </c>
      <c r="R507" s="1">
        <v>2</v>
      </c>
    </row>
    <row r="508" spans="1:18" x14ac:dyDescent="0.3">
      <c r="A508" s="1">
        <v>507</v>
      </c>
      <c r="B508" s="1" t="s">
        <v>16</v>
      </c>
      <c r="C508" s="1">
        <v>4</v>
      </c>
      <c r="D508" s="1">
        <v>120</v>
      </c>
      <c r="E508" s="1">
        <v>25</v>
      </c>
      <c r="F508" s="1">
        <v>3</v>
      </c>
      <c r="G508" s="1">
        <v>25</v>
      </c>
      <c r="H508" s="1">
        <v>150</v>
      </c>
      <c r="I508" s="1">
        <v>100</v>
      </c>
      <c r="J508" s="1">
        <v>0.45400000000000001</v>
      </c>
      <c r="K508" s="1">
        <v>23.184999999999999</v>
      </c>
      <c r="L508" s="1">
        <v>7.26</v>
      </c>
      <c r="M508" s="1">
        <v>68.5</v>
      </c>
      <c r="N508" s="1">
        <v>5.3100000000000001E-2</v>
      </c>
      <c r="O508" s="1">
        <v>3.3720000000000001E-4</v>
      </c>
      <c r="P508" s="1">
        <f>(Table1[[#This Row],[Rate_Constant_k2_g_mg_min]]*Table1[[#This Row],[Contact_Time_min]]*Table1[[#This Row],[qe_mg_g]]^2)/(1+Table1[[#This Row],[Contact_Time_min]]*Table1[[#This Row],[qe_mg_g]]*Table1[[#This Row],[Rate_Constant_k2_g_mg_min]])</f>
        <v>8.1898253596183745E-3</v>
      </c>
      <c r="Q508" s="1">
        <f>LN(Table1[[#This Row],[qe_mg_g]]-Table1[[#This Row],[qt]])</f>
        <v>-0.80786203496111375</v>
      </c>
      <c r="R508" s="1">
        <v>3</v>
      </c>
    </row>
    <row r="509" spans="1:18" x14ac:dyDescent="0.3">
      <c r="A509" s="1">
        <v>508</v>
      </c>
      <c r="B509" s="1" t="s">
        <v>16</v>
      </c>
      <c r="C509" s="1">
        <v>4</v>
      </c>
      <c r="D509" s="1">
        <v>120</v>
      </c>
      <c r="E509" s="1">
        <v>25</v>
      </c>
      <c r="F509" s="1">
        <v>7</v>
      </c>
      <c r="G509" s="1">
        <v>25</v>
      </c>
      <c r="H509" s="1">
        <v>150</v>
      </c>
      <c r="I509" s="1">
        <v>100</v>
      </c>
      <c r="J509" s="1">
        <v>1.032</v>
      </c>
      <c r="K509" s="1">
        <v>20.873000000000001</v>
      </c>
      <c r="L509" s="1">
        <v>16.510000000000002</v>
      </c>
      <c r="M509" s="1">
        <v>61.8</v>
      </c>
      <c r="N509" s="1">
        <v>4.863E-2</v>
      </c>
      <c r="O509" s="1">
        <v>2.7080000000000002E-4</v>
      </c>
      <c r="P50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3.3486036471117281E-2</v>
      </c>
      <c r="Q509" s="1">
        <f>LN(Table1[[#This Row],[qe_mg_g]]-Table1[[#This Row],[qt]])</f>
        <v>-1.487141718408196E-3</v>
      </c>
      <c r="R509" s="1">
        <v>1</v>
      </c>
    </row>
    <row r="510" spans="1:18" x14ac:dyDescent="0.3">
      <c r="A510" s="1">
        <v>509</v>
      </c>
      <c r="B510" s="1" t="s">
        <v>16</v>
      </c>
      <c r="C510" s="1">
        <v>4</v>
      </c>
      <c r="D510" s="1">
        <v>120</v>
      </c>
      <c r="E510" s="1">
        <v>25</v>
      </c>
      <c r="F510" s="1">
        <v>7</v>
      </c>
      <c r="G510" s="1">
        <v>25</v>
      </c>
      <c r="H510" s="1">
        <v>150</v>
      </c>
      <c r="I510" s="1">
        <v>100</v>
      </c>
      <c r="J510" s="1">
        <v>1.0529999999999999</v>
      </c>
      <c r="K510" s="1">
        <v>20.786000000000001</v>
      </c>
      <c r="L510" s="1">
        <v>16.86</v>
      </c>
      <c r="M510" s="1">
        <v>71.7</v>
      </c>
      <c r="N510" s="1">
        <v>4.9770000000000002E-2</v>
      </c>
      <c r="O510" s="1">
        <v>3.8279999999999998E-4</v>
      </c>
      <c r="P51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4.8584202795582378E-2</v>
      </c>
      <c r="Q510" s="1">
        <f>LN(Table1[[#This Row],[qe_mg_g]]-Table1[[#This Row],[qt]])</f>
        <v>4.4060761788214942E-3</v>
      </c>
      <c r="R510" s="1">
        <v>2</v>
      </c>
    </row>
    <row r="511" spans="1:18" x14ac:dyDescent="0.3">
      <c r="A511" s="1">
        <v>510</v>
      </c>
      <c r="B511" s="1" t="s">
        <v>16</v>
      </c>
      <c r="C511" s="1">
        <v>4</v>
      </c>
      <c r="D511" s="1">
        <v>120</v>
      </c>
      <c r="E511" s="1">
        <v>25</v>
      </c>
      <c r="F511" s="1">
        <v>7</v>
      </c>
      <c r="G511" s="1">
        <v>25</v>
      </c>
      <c r="H511" s="1">
        <v>150</v>
      </c>
      <c r="I511" s="1">
        <v>100</v>
      </c>
      <c r="J511" s="1">
        <v>1.0469999999999999</v>
      </c>
      <c r="K511" s="1">
        <v>20.812999999999999</v>
      </c>
      <c r="L511" s="1">
        <v>16.75</v>
      </c>
      <c r="M511" s="1">
        <v>61.6</v>
      </c>
      <c r="N511" s="1">
        <v>4.4880000000000003E-2</v>
      </c>
      <c r="O511" s="1">
        <v>2.4689999999999998E-4</v>
      </c>
      <c r="P51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3.1501293861741157E-2</v>
      </c>
      <c r="Q511" s="1">
        <f>LN(Table1[[#This Row],[qe_mg_g]]-Table1[[#This Row],[qt]])</f>
        <v>1.5379827924500751E-2</v>
      </c>
      <c r="R511" s="1">
        <v>3</v>
      </c>
    </row>
    <row r="512" spans="1:18" x14ac:dyDescent="0.3">
      <c r="A512" s="1">
        <v>511</v>
      </c>
      <c r="B512" s="1" t="s">
        <v>16</v>
      </c>
      <c r="C512" s="1">
        <v>4</v>
      </c>
      <c r="D512" s="1">
        <v>120</v>
      </c>
      <c r="E512" s="1">
        <v>25</v>
      </c>
      <c r="F512" s="1">
        <v>11</v>
      </c>
      <c r="G512" s="1">
        <v>25</v>
      </c>
      <c r="H512" s="1">
        <v>150</v>
      </c>
      <c r="I512" s="1">
        <v>100</v>
      </c>
      <c r="J512" s="1">
        <v>0.71199999999999997</v>
      </c>
      <c r="K512" s="1">
        <v>22.152000000000001</v>
      </c>
      <c r="L512" s="1">
        <v>11.39</v>
      </c>
      <c r="M512" s="1">
        <v>62.6</v>
      </c>
      <c r="N512" s="1">
        <v>4.2639999999999997E-2</v>
      </c>
      <c r="O512" s="1">
        <v>3.0459999999999998E-4</v>
      </c>
      <c r="P51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1.8059810096795453E-2</v>
      </c>
      <c r="Q512" s="1">
        <f>LN(Table1[[#This Row],[qe_mg_g]]-Table1[[#This Row],[qt]])</f>
        <v>-0.365369503884859</v>
      </c>
      <c r="R512" s="1">
        <v>1</v>
      </c>
    </row>
    <row r="513" spans="1:18" x14ac:dyDescent="0.3">
      <c r="A513" s="1">
        <v>512</v>
      </c>
      <c r="B513" s="1" t="s">
        <v>16</v>
      </c>
      <c r="C513" s="1">
        <v>4</v>
      </c>
      <c r="D513" s="1">
        <v>120</v>
      </c>
      <c r="E513" s="1">
        <v>25</v>
      </c>
      <c r="F513" s="1">
        <v>11</v>
      </c>
      <c r="G513" s="1">
        <v>25</v>
      </c>
      <c r="H513" s="1">
        <v>150</v>
      </c>
      <c r="I513" s="1">
        <v>100</v>
      </c>
      <c r="J513" s="1">
        <v>0.70399999999999996</v>
      </c>
      <c r="K513" s="1">
        <v>22.183</v>
      </c>
      <c r="L513" s="1">
        <v>11.27</v>
      </c>
      <c r="M513" s="1">
        <v>77.900000000000006</v>
      </c>
      <c r="N513" s="1">
        <v>4.4999999999999998E-2</v>
      </c>
      <c r="O513" s="1">
        <v>2.9970000000000002E-4</v>
      </c>
      <c r="P51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1.7384189509958549E-2</v>
      </c>
      <c r="Q513" s="1">
        <f>LN(Table1[[#This Row],[qe_mg_g]]-Table1[[#This Row],[qt]])</f>
        <v>-0.37598037100251808</v>
      </c>
      <c r="R513" s="1">
        <v>2</v>
      </c>
    </row>
    <row r="514" spans="1:18" x14ac:dyDescent="0.3">
      <c r="A514" s="1">
        <v>513</v>
      </c>
      <c r="B514" s="1" t="s">
        <v>16</v>
      </c>
      <c r="C514" s="1">
        <v>4</v>
      </c>
      <c r="D514" s="1">
        <v>120</v>
      </c>
      <c r="E514" s="1">
        <v>25</v>
      </c>
      <c r="F514" s="1">
        <v>11</v>
      </c>
      <c r="G514" s="1">
        <v>25</v>
      </c>
      <c r="H514" s="1">
        <v>150</v>
      </c>
      <c r="I514" s="1">
        <v>100</v>
      </c>
      <c r="J514" s="1">
        <v>0.73399999999999999</v>
      </c>
      <c r="K514" s="1">
        <v>22.064</v>
      </c>
      <c r="L514" s="1">
        <v>11.74</v>
      </c>
      <c r="M514" s="1">
        <v>68.2</v>
      </c>
      <c r="N514" s="1">
        <v>4.8710000000000003E-2</v>
      </c>
      <c r="O514" s="1">
        <v>2.7399999999999999E-4</v>
      </c>
      <c r="P51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1.7296856333007701E-2</v>
      </c>
      <c r="Q514" s="1">
        <f>LN(Table1[[#This Row],[qe_mg_g]]-Table1[[#This Row],[qt]])</f>
        <v>-0.33309354968381538</v>
      </c>
      <c r="R514" s="1">
        <v>3</v>
      </c>
    </row>
    <row r="515" spans="1:18" x14ac:dyDescent="0.3">
      <c r="A515" s="1">
        <v>514</v>
      </c>
      <c r="B515" s="1" t="s">
        <v>16</v>
      </c>
      <c r="C515" s="1">
        <v>4</v>
      </c>
      <c r="D515" s="1">
        <v>120</v>
      </c>
      <c r="E515" s="1">
        <v>50</v>
      </c>
      <c r="F515" s="1">
        <v>3</v>
      </c>
      <c r="G515" s="1">
        <v>25</v>
      </c>
      <c r="H515" s="1">
        <v>150</v>
      </c>
      <c r="I515" s="1">
        <v>100</v>
      </c>
      <c r="J515" s="1">
        <v>1.9810000000000001</v>
      </c>
      <c r="K515" s="1">
        <v>42.073999999999998</v>
      </c>
      <c r="L515" s="1">
        <v>15.85</v>
      </c>
      <c r="M515" s="1">
        <v>63.6</v>
      </c>
      <c r="N515" s="1">
        <v>3.8940000000000002E-2</v>
      </c>
      <c r="O515" s="1">
        <v>2.7540000000000003E-4</v>
      </c>
      <c r="P51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0.1217232911888019</v>
      </c>
      <c r="Q515" s="1">
        <f>LN(Table1[[#This Row],[qe_mg_g]]-Table1[[#This Row],[qt]])</f>
        <v>0.62018754586649183</v>
      </c>
      <c r="R515" s="1">
        <v>1</v>
      </c>
    </row>
    <row r="516" spans="1:18" x14ac:dyDescent="0.3">
      <c r="A516" s="1">
        <v>515</v>
      </c>
      <c r="B516" s="1" t="s">
        <v>16</v>
      </c>
      <c r="C516" s="1">
        <v>4</v>
      </c>
      <c r="D516" s="1">
        <v>120</v>
      </c>
      <c r="E516" s="1">
        <v>50</v>
      </c>
      <c r="F516" s="1">
        <v>3</v>
      </c>
      <c r="G516" s="1">
        <v>25</v>
      </c>
      <c r="H516" s="1">
        <v>150</v>
      </c>
      <c r="I516" s="1">
        <v>100</v>
      </c>
      <c r="J516" s="1">
        <v>2.012</v>
      </c>
      <c r="K516" s="1">
        <v>41.953000000000003</v>
      </c>
      <c r="L516" s="1">
        <v>16.09</v>
      </c>
      <c r="M516" s="1">
        <v>75.400000000000006</v>
      </c>
      <c r="N516" s="1">
        <v>4.6179999999999999E-2</v>
      </c>
      <c r="O516" s="1">
        <v>3.0580000000000001E-4</v>
      </c>
      <c r="P51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0.13833694984820127</v>
      </c>
      <c r="Q516" s="1">
        <f>LN(Table1[[#This Row],[qe_mg_g]]-Table1[[#This Row],[qt]])</f>
        <v>0.62789536516946309</v>
      </c>
      <c r="R516" s="1">
        <v>2</v>
      </c>
    </row>
    <row r="517" spans="1:18" x14ac:dyDescent="0.3">
      <c r="A517" s="1">
        <v>516</v>
      </c>
      <c r="B517" s="1" t="s">
        <v>16</v>
      </c>
      <c r="C517" s="1">
        <v>4</v>
      </c>
      <c r="D517" s="1">
        <v>120</v>
      </c>
      <c r="E517" s="1">
        <v>50</v>
      </c>
      <c r="F517" s="1">
        <v>3</v>
      </c>
      <c r="G517" s="1">
        <v>25</v>
      </c>
      <c r="H517" s="1">
        <v>150</v>
      </c>
      <c r="I517" s="1">
        <v>100</v>
      </c>
      <c r="J517" s="1">
        <v>2.234</v>
      </c>
      <c r="K517" s="1">
        <v>41.064</v>
      </c>
      <c r="L517" s="1">
        <v>17.87</v>
      </c>
      <c r="M517" s="1">
        <v>65.3</v>
      </c>
      <c r="N517" s="1">
        <v>4.6760000000000003E-2</v>
      </c>
      <c r="O517" s="1">
        <v>2.9690000000000001E-4</v>
      </c>
      <c r="P51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0.16470157056749662</v>
      </c>
      <c r="Q517" s="1">
        <f>LN(Table1[[#This Row],[qe_mg_g]]-Table1[[#This Row],[qt]])</f>
        <v>0.72720962685043711</v>
      </c>
      <c r="R517" s="1">
        <v>3</v>
      </c>
    </row>
    <row r="518" spans="1:18" x14ac:dyDescent="0.3">
      <c r="A518" s="1">
        <v>517</v>
      </c>
      <c r="B518" s="1" t="s">
        <v>16</v>
      </c>
      <c r="C518" s="1">
        <v>4</v>
      </c>
      <c r="D518" s="1">
        <v>120</v>
      </c>
      <c r="E518" s="1">
        <v>50</v>
      </c>
      <c r="F518" s="1">
        <v>7</v>
      </c>
      <c r="G518" s="1">
        <v>25</v>
      </c>
      <c r="H518" s="1">
        <v>150</v>
      </c>
      <c r="I518" s="1">
        <v>100</v>
      </c>
      <c r="J518" s="1">
        <v>3.504</v>
      </c>
      <c r="K518" s="1">
        <v>35.984000000000002</v>
      </c>
      <c r="L518" s="1">
        <v>28.03</v>
      </c>
      <c r="M518" s="1">
        <v>60.8</v>
      </c>
      <c r="N518" s="1">
        <v>3.4029999999999998E-2</v>
      </c>
      <c r="O518" s="1">
        <v>2.9599999999999998E-4</v>
      </c>
      <c r="P51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0.38784333956374939</v>
      </c>
      <c r="Q518" s="1">
        <f>LN(Table1[[#This Row],[qe_mg_g]]-Table1[[#This Row],[qt]])</f>
        <v>1.136600402879568</v>
      </c>
      <c r="R518" s="1">
        <v>1</v>
      </c>
    </row>
    <row r="519" spans="1:18" x14ac:dyDescent="0.3">
      <c r="A519" s="1">
        <v>518</v>
      </c>
      <c r="B519" s="1" t="s">
        <v>16</v>
      </c>
      <c r="C519" s="1">
        <v>4</v>
      </c>
      <c r="D519" s="1">
        <v>120</v>
      </c>
      <c r="E519" s="1">
        <v>50</v>
      </c>
      <c r="F519" s="1">
        <v>7</v>
      </c>
      <c r="G519" s="1">
        <v>25</v>
      </c>
      <c r="H519" s="1">
        <v>150</v>
      </c>
      <c r="I519" s="1">
        <v>100</v>
      </c>
      <c r="J519" s="1">
        <v>3.8220000000000001</v>
      </c>
      <c r="K519" s="1">
        <v>34.713000000000001</v>
      </c>
      <c r="L519" s="1">
        <v>30.57</v>
      </c>
      <c r="M519" s="1">
        <v>75.900000000000006</v>
      </c>
      <c r="N519" s="1">
        <v>4.9340000000000002E-2</v>
      </c>
      <c r="O519" s="1">
        <v>3.3710000000000001E-4</v>
      </c>
      <c r="P51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0.5117843168778049</v>
      </c>
      <c r="Q519" s="1">
        <f>LN(Table1[[#This Row],[qe_mg_g]]-Table1[[#This Row],[qt]])</f>
        <v>1.197013348330189</v>
      </c>
      <c r="R519" s="1">
        <v>2</v>
      </c>
    </row>
    <row r="520" spans="1:18" x14ac:dyDescent="0.3">
      <c r="A520" s="1">
        <v>519</v>
      </c>
      <c r="B520" s="1" t="s">
        <v>16</v>
      </c>
      <c r="C520" s="1">
        <v>4</v>
      </c>
      <c r="D520" s="1">
        <v>120</v>
      </c>
      <c r="E520" s="1">
        <v>50</v>
      </c>
      <c r="F520" s="1">
        <v>7</v>
      </c>
      <c r="G520" s="1">
        <v>25</v>
      </c>
      <c r="H520" s="1">
        <v>150</v>
      </c>
      <c r="I520" s="1">
        <v>100</v>
      </c>
      <c r="J520" s="1">
        <v>3.456</v>
      </c>
      <c r="K520" s="1">
        <v>36.177999999999997</v>
      </c>
      <c r="L520" s="1">
        <v>27.64</v>
      </c>
      <c r="M520" s="1">
        <v>68.599999999999994</v>
      </c>
      <c r="N520" s="1">
        <v>4.2220000000000001E-2</v>
      </c>
      <c r="O520" s="1">
        <v>2.9050000000000001E-4</v>
      </c>
      <c r="P52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0.37159702617858464</v>
      </c>
      <c r="Q520" s="1">
        <f>LN(Table1[[#This Row],[qe_mg_g]]-Table1[[#This Row],[qt]])</f>
        <v>1.1263581131252816</v>
      </c>
      <c r="R520" s="1">
        <v>3</v>
      </c>
    </row>
    <row r="521" spans="1:18" x14ac:dyDescent="0.3">
      <c r="A521" s="1">
        <v>520</v>
      </c>
      <c r="B521" s="1" t="s">
        <v>16</v>
      </c>
      <c r="C521" s="1">
        <v>4</v>
      </c>
      <c r="D521" s="1">
        <v>120</v>
      </c>
      <c r="E521" s="1">
        <v>50</v>
      </c>
      <c r="F521" s="1">
        <v>11</v>
      </c>
      <c r="G521" s="1">
        <v>25</v>
      </c>
      <c r="H521" s="1">
        <v>150</v>
      </c>
      <c r="I521" s="1">
        <v>100</v>
      </c>
      <c r="J521" s="1">
        <v>2.7280000000000002</v>
      </c>
      <c r="K521" s="1">
        <v>39.090000000000003</v>
      </c>
      <c r="L521" s="1">
        <v>21.82</v>
      </c>
      <c r="M521" s="1">
        <v>78.7</v>
      </c>
      <c r="N521" s="1">
        <v>4.437E-2</v>
      </c>
      <c r="O521" s="1">
        <v>2.8650000000000003E-4</v>
      </c>
      <c r="P52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0.2339166824040155</v>
      </c>
      <c r="Q521" s="1">
        <f>LN(Table1[[#This Row],[qe_mg_g]]-Table1[[#This Row],[qt]])</f>
        <v>0.91392125391554779</v>
      </c>
      <c r="R521" s="1">
        <v>1</v>
      </c>
    </row>
    <row r="522" spans="1:18" x14ac:dyDescent="0.3">
      <c r="A522" s="1">
        <v>521</v>
      </c>
      <c r="B522" s="1" t="s">
        <v>16</v>
      </c>
      <c r="C522" s="1">
        <v>4</v>
      </c>
      <c r="D522" s="1">
        <v>120</v>
      </c>
      <c r="E522" s="1">
        <v>50</v>
      </c>
      <c r="F522" s="1">
        <v>11</v>
      </c>
      <c r="G522" s="1">
        <v>25</v>
      </c>
      <c r="H522" s="1">
        <v>150</v>
      </c>
      <c r="I522" s="1">
        <v>100</v>
      </c>
      <c r="J522" s="1">
        <v>2.6</v>
      </c>
      <c r="K522" s="1">
        <v>39.601999999999997</v>
      </c>
      <c r="L522" s="1">
        <v>20.8</v>
      </c>
      <c r="M522" s="1">
        <v>72.7</v>
      </c>
      <c r="N522" s="1">
        <v>3.85E-2</v>
      </c>
      <c r="O522" s="1">
        <v>2.3110000000000001E-4</v>
      </c>
      <c r="P52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0.1748603306099637</v>
      </c>
      <c r="Q522" s="1">
        <f>LN(Table1[[#This Row],[qe_mg_g]]-Table1[[#This Row],[qt]])</f>
        <v>0.88588911835563955</v>
      </c>
      <c r="R522" s="1">
        <v>2</v>
      </c>
    </row>
    <row r="523" spans="1:18" x14ac:dyDescent="0.3">
      <c r="A523" s="1">
        <v>522</v>
      </c>
      <c r="B523" s="1" t="s">
        <v>16</v>
      </c>
      <c r="C523" s="1">
        <v>4</v>
      </c>
      <c r="D523" s="1">
        <v>120</v>
      </c>
      <c r="E523" s="1">
        <v>50</v>
      </c>
      <c r="F523" s="1">
        <v>11</v>
      </c>
      <c r="G523" s="1">
        <v>25</v>
      </c>
      <c r="H523" s="1">
        <v>150</v>
      </c>
      <c r="I523" s="1">
        <v>100</v>
      </c>
      <c r="J523" s="1">
        <v>2.4849999999999999</v>
      </c>
      <c r="K523" s="1">
        <v>40.06</v>
      </c>
      <c r="L523" s="1">
        <v>19.88</v>
      </c>
      <c r="M523" s="1">
        <v>54.5</v>
      </c>
      <c r="N523" s="1">
        <v>4.2709999999999998E-2</v>
      </c>
      <c r="O523" s="1">
        <v>2.9559999999999998E-4</v>
      </c>
      <c r="P52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0.20130312908193582</v>
      </c>
      <c r="Q523" s="1">
        <f>LN(Table1[[#This Row],[qe_mg_g]]-Table1[[#This Row],[qt]])</f>
        <v>0.82579556447365143</v>
      </c>
      <c r="R523" s="1">
        <v>3</v>
      </c>
    </row>
    <row r="524" spans="1:18" x14ac:dyDescent="0.3">
      <c r="A524" s="1">
        <v>523</v>
      </c>
      <c r="B524" s="1" t="s">
        <v>16</v>
      </c>
      <c r="C524" s="1">
        <v>4</v>
      </c>
      <c r="D524" s="1">
        <v>120</v>
      </c>
      <c r="E524" s="1">
        <v>100</v>
      </c>
      <c r="F524" s="1">
        <v>3</v>
      </c>
      <c r="G524" s="1">
        <v>25</v>
      </c>
      <c r="H524" s="1">
        <v>150</v>
      </c>
      <c r="I524" s="1">
        <v>100</v>
      </c>
      <c r="J524" s="1">
        <v>6.4409999999999998</v>
      </c>
      <c r="K524" s="1">
        <v>74.236000000000004</v>
      </c>
      <c r="L524" s="1">
        <v>25.76</v>
      </c>
      <c r="M524" s="1">
        <v>81.2</v>
      </c>
      <c r="N524" s="1">
        <v>4.6469999999999997E-2</v>
      </c>
      <c r="O524" s="1">
        <v>3.0899999999999998E-4</v>
      </c>
      <c r="P52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1.2417489762859584</v>
      </c>
      <c r="Q524" s="1">
        <f>LN(Table1[[#This Row],[qe_mg_g]]-Table1[[#This Row],[qt]])</f>
        <v>1.6485145813123574</v>
      </c>
      <c r="R524" s="1">
        <v>1</v>
      </c>
    </row>
    <row r="525" spans="1:18" x14ac:dyDescent="0.3">
      <c r="A525" s="1">
        <v>524</v>
      </c>
      <c r="B525" s="1" t="s">
        <v>16</v>
      </c>
      <c r="C525" s="1">
        <v>4</v>
      </c>
      <c r="D525" s="1">
        <v>120</v>
      </c>
      <c r="E525" s="1">
        <v>100</v>
      </c>
      <c r="F525" s="1">
        <v>3</v>
      </c>
      <c r="G525" s="1">
        <v>25</v>
      </c>
      <c r="H525" s="1">
        <v>150</v>
      </c>
      <c r="I525" s="1">
        <v>100</v>
      </c>
      <c r="J525" s="1">
        <v>7.016</v>
      </c>
      <c r="K525" s="1">
        <v>71.936000000000007</v>
      </c>
      <c r="L525" s="1">
        <v>28.06</v>
      </c>
      <c r="M525" s="1">
        <v>55.3</v>
      </c>
      <c r="N525" s="1">
        <v>4.9680000000000002E-2</v>
      </c>
      <c r="O525" s="1">
        <v>2.9770000000000003E-4</v>
      </c>
      <c r="P52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1.4060704169619505</v>
      </c>
      <c r="Q525" s="1">
        <f>LN(Table1[[#This Row],[qe_mg_g]]-Table1[[#This Row],[qt]])</f>
        <v>1.7245381674126989</v>
      </c>
      <c r="R525" s="1">
        <v>2</v>
      </c>
    </row>
    <row r="526" spans="1:18" x14ac:dyDescent="0.3">
      <c r="A526" s="1">
        <v>525</v>
      </c>
      <c r="B526" s="1" t="s">
        <v>16</v>
      </c>
      <c r="C526" s="1">
        <v>4</v>
      </c>
      <c r="D526" s="1">
        <v>120</v>
      </c>
      <c r="E526" s="1">
        <v>100</v>
      </c>
      <c r="F526" s="1">
        <v>3</v>
      </c>
      <c r="G526" s="1">
        <v>25</v>
      </c>
      <c r="H526" s="1">
        <v>150</v>
      </c>
      <c r="I526" s="1">
        <v>100</v>
      </c>
      <c r="J526" s="1">
        <v>7.0419999999999998</v>
      </c>
      <c r="K526" s="1">
        <v>71.832999999999998</v>
      </c>
      <c r="L526" s="1">
        <v>28.17</v>
      </c>
      <c r="M526" s="1">
        <v>55.9</v>
      </c>
      <c r="N526" s="1">
        <v>3.8010000000000002E-2</v>
      </c>
      <c r="O526" s="1">
        <v>3.2449999999999997E-4</v>
      </c>
      <c r="P52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1.5154622122154719</v>
      </c>
      <c r="Q526" s="1">
        <f>LN(Table1[[#This Row],[qe_mg_g]]-Table1[[#This Row],[qt]])</f>
        <v>1.7095615413071594</v>
      </c>
      <c r="R526" s="1">
        <v>3</v>
      </c>
    </row>
    <row r="527" spans="1:18" x14ac:dyDescent="0.3">
      <c r="A527" s="1">
        <v>526</v>
      </c>
      <c r="B527" s="1" t="s">
        <v>16</v>
      </c>
      <c r="C527" s="1">
        <v>4</v>
      </c>
      <c r="D527" s="1">
        <v>120</v>
      </c>
      <c r="E527" s="1">
        <v>100</v>
      </c>
      <c r="F527" s="1">
        <v>7</v>
      </c>
      <c r="G527" s="1">
        <v>25</v>
      </c>
      <c r="H527" s="1">
        <v>150</v>
      </c>
      <c r="I527" s="1">
        <v>100</v>
      </c>
      <c r="J527" s="1">
        <v>10.795999999999999</v>
      </c>
      <c r="K527" s="1">
        <v>56.817999999999998</v>
      </c>
      <c r="L527" s="1">
        <v>43.18</v>
      </c>
      <c r="M527" s="1">
        <v>57.6</v>
      </c>
      <c r="N527" s="1">
        <v>4.1090000000000002E-2</v>
      </c>
      <c r="O527" s="1">
        <v>3.3379999999999998E-4</v>
      </c>
      <c r="P52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3.2592337048969351</v>
      </c>
      <c r="Q527" s="1">
        <f>LN(Table1[[#This Row],[qe_mg_g]]-Table1[[#This Row],[qt]])</f>
        <v>2.0197932166988894</v>
      </c>
      <c r="R527" s="1">
        <v>1</v>
      </c>
    </row>
    <row r="528" spans="1:18" x14ac:dyDescent="0.3">
      <c r="A528" s="1">
        <v>527</v>
      </c>
      <c r="B528" s="1" t="s">
        <v>16</v>
      </c>
      <c r="C528" s="1">
        <v>4</v>
      </c>
      <c r="D528" s="1">
        <v>120</v>
      </c>
      <c r="E528" s="1">
        <v>100</v>
      </c>
      <c r="F528" s="1">
        <v>7</v>
      </c>
      <c r="G528" s="1">
        <v>25</v>
      </c>
      <c r="H528" s="1">
        <v>150</v>
      </c>
      <c r="I528" s="1">
        <v>100</v>
      </c>
      <c r="J528" s="1">
        <v>9.4830000000000005</v>
      </c>
      <c r="K528" s="1">
        <v>62.069000000000003</v>
      </c>
      <c r="L528" s="1">
        <v>37.93</v>
      </c>
      <c r="M528" s="1">
        <v>83.1</v>
      </c>
      <c r="N528" s="1">
        <v>4.095E-2</v>
      </c>
      <c r="O528" s="1">
        <v>3.1920000000000001E-4</v>
      </c>
      <c r="P52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2.5267618927244477</v>
      </c>
      <c r="Q528" s="1">
        <f>LN(Table1[[#This Row],[qe_mg_g]]-Table1[[#This Row],[qt]])</f>
        <v>1.939638826394334</v>
      </c>
      <c r="R528" s="1">
        <v>2</v>
      </c>
    </row>
    <row r="529" spans="1:18" x14ac:dyDescent="0.3">
      <c r="A529" s="1">
        <v>528</v>
      </c>
      <c r="B529" s="1" t="s">
        <v>16</v>
      </c>
      <c r="C529" s="1">
        <v>4</v>
      </c>
      <c r="D529" s="1">
        <v>120</v>
      </c>
      <c r="E529" s="1">
        <v>100</v>
      </c>
      <c r="F529" s="1">
        <v>7</v>
      </c>
      <c r="G529" s="1">
        <v>25</v>
      </c>
      <c r="H529" s="1">
        <v>150</v>
      </c>
      <c r="I529" s="1">
        <v>100</v>
      </c>
      <c r="J529" s="1">
        <v>10.204000000000001</v>
      </c>
      <c r="K529" s="1">
        <v>59.182000000000002</v>
      </c>
      <c r="L529" s="1">
        <v>40.82</v>
      </c>
      <c r="M529" s="1">
        <v>72.7</v>
      </c>
      <c r="N529" s="1">
        <v>4.2549999999999998E-2</v>
      </c>
      <c r="O529" s="1">
        <v>2.9510000000000002E-4</v>
      </c>
      <c r="P52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2.7084664388909867</v>
      </c>
      <c r="Q529" s="1">
        <f>LN(Table1[[#This Row],[qe_mg_g]]-Table1[[#This Row],[qt]])</f>
        <v>2.0143073179612441</v>
      </c>
      <c r="R529" s="1">
        <v>3</v>
      </c>
    </row>
    <row r="530" spans="1:18" x14ac:dyDescent="0.3">
      <c r="A530" s="1">
        <v>529</v>
      </c>
      <c r="B530" s="1" t="s">
        <v>16</v>
      </c>
      <c r="C530" s="1">
        <v>4</v>
      </c>
      <c r="D530" s="1">
        <v>120</v>
      </c>
      <c r="E530" s="1">
        <v>100</v>
      </c>
      <c r="F530" s="1">
        <v>11</v>
      </c>
      <c r="G530" s="1">
        <v>25</v>
      </c>
      <c r="H530" s="1">
        <v>150</v>
      </c>
      <c r="I530" s="1">
        <v>100</v>
      </c>
      <c r="J530" s="1">
        <v>8.1750000000000007</v>
      </c>
      <c r="K530" s="1">
        <v>67.299000000000007</v>
      </c>
      <c r="L530" s="1">
        <v>32.700000000000003</v>
      </c>
      <c r="M530" s="1">
        <v>56.6</v>
      </c>
      <c r="N530" s="1">
        <v>4.8329999999999998E-2</v>
      </c>
      <c r="O530" s="1">
        <v>2.8459999999999998E-4</v>
      </c>
      <c r="P53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1.78425008478004</v>
      </c>
      <c r="Q530" s="1">
        <f>LN(Table1[[#This Row],[qe_mg_g]]-Table1[[#This Row],[qt]])</f>
        <v>1.8548516191279831</v>
      </c>
      <c r="R530" s="1">
        <v>1</v>
      </c>
    </row>
    <row r="531" spans="1:18" x14ac:dyDescent="0.3">
      <c r="A531" s="1">
        <v>530</v>
      </c>
      <c r="B531" s="1" t="s">
        <v>16</v>
      </c>
      <c r="C531" s="1">
        <v>4</v>
      </c>
      <c r="D531" s="1">
        <v>120</v>
      </c>
      <c r="E531" s="1">
        <v>100</v>
      </c>
      <c r="F531" s="1">
        <v>11</v>
      </c>
      <c r="G531" s="1">
        <v>25</v>
      </c>
      <c r="H531" s="1">
        <v>150</v>
      </c>
      <c r="I531" s="1">
        <v>100</v>
      </c>
      <c r="J531" s="1">
        <v>8</v>
      </c>
      <c r="K531" s="1">
        <v>68.001999999999995</v>
      </c>
      <c r="L531" s="1">
        <v>32</v>
      </c>
      <c r="M531" s="1">
        <v>56.7</v>
      </c>
      <c r="N531" s="1">
        <v>3.347E-2</v>
      </c>
      <c r="O531" s="1">
        <v>2.943E-4</v>
      </c>
      <c r="P53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1.7623194191471843</v>
      </c>
      <c r="Q531" s="1">
        <f>LN(Table1[[#This Row],[qe_mg_g]]-Table1[[#This Row],[qt]])</f>
        <v>1.8306084114966965</v>
      </c>
      <c r="R531" s="1">
        <v>2</v>
      </c>
    </row>
    <row r="532" spans="1:18" x14ac:dyDescent="0.3">
      <c r="A532" s="1">
        <v>531</v>
      </c>
      <c r="B532" s="1" t="s">
        <v>16</v>
      </c>
      <c r="C532" s="1">
        <v>4</v>
      </c>
      <c r="D532" s="1">
        <v>120</v>
      </c>
      <c r="E532" s="1">
        <v>100</v>
      </c>
      <c r="F532" s="1">
        <v>11</v>
      </c>
      <c r="G532" s="1">
        <v>25</v>
      </c>
      <c r="H532" s="1">
        <v>150</v>
      </c>
      <c r="I532" s="1">
        <v>100</v>
      </c>
      <c r="J532" s="1">
        <v>9.7210000000000001</v>
      </c>
      <c r="K532" s="1">
        <v>61.115000000000002</v>
      </c>
      <c r="L532" s="1">
        <v>38.89</v>
      </c>
      <c r="M532" s="1">
        <v>74.5</v>
      </c>
      <c r="N532" s="1">
        <v>4.4909999999999999E-2</v>
      </c>
      <c r="O532" s="1">
        <v>2.921E-4</v>
      </c>
      <c r="P53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2.4705290415977084</v>
      </c>
      <c r="Q532" s="1">
        <f>LN(Table1[[#This Row],[qe_mg_g]]-Table1[[#This Row],[qt]])</f>
        <v>1.9810664265364146</v>
      </c>
      <c r="R532" s="1">
        <v>3</v>
      </c>
    </row>
    <row r="533" spans="1:18" x14ac:dyDescent="0.3">
      <c r="A533" s="1">
        <v>532</v>
      </c>
      <c r="B533" s="1" t="s">
        <v>16</v>
      </c>
      <c r="C533" s="1">
        <v>4</v>
      </c>
      <c r="D533" s="1">
        <v>120</v>
      </c>
      <c r="E533" s="1">
        <v>200</v>
      </c>
      <c r="F533" s="1">
        <v>3</v>
      </c>
      <c r="G533" s="1">
        <v>25</v>
      </c>
      <c r="H533" s="1">
        <v>150</v>
      </c>
      <c r="I533" s="1">
        <v>100</v>
      </c>
      <c r="J533" s="1">
        <v>19.088000000000001</v>
      </c>
      <c r="K533" s="1">
        <v>123.646</v>
      </c>
      <c r="L533" s="1">
        <v>38.18</v>
      </c>
      <c r="M533" s="1">
        <v>72.099999999999994</v>
      </c>
      <c r="N533" s="1">
        <v>3.9690000000000003E-2</v>
      </c>
      <c r="O533" s="1">
        <v>3.3340000000000003E-4</v>
      </c>
      <c r="P533" s="1">
        <f>(Table1[[#This Row],[Rate_Constant_k2_g_mg_min]]*Table1[[#This Row],[Contact_Time_min]]*Table1[[#This Row],[qe_mg_g]]^2)/(1+Table1[[#This Row],[Contact_Time_min]]*Table1[[#This Row],[qe_mg_g]]*Table1[[#This Row],[Rate_Constant_k2_g_mg_min]])</f>
        <v>8.2651302256317063</v>
      </c>
      <c r="Q533" s="1">
        <f>LN(Table1[[#This Row],[qe_mg_g]]-Table1[[#This Row],[qt]])</f>
        <v>2.3816614669361114</v>
      </c>
      <c r="R533" s="1">
        <v>1</v>
      </c>
    </row>
    <row r="534" spans="1:18" x14ac:dyDescent="0.3">
      <c r="A534" s="1">
        <v>533</v>
      </c>
      <c r="B534" s="1" t="s">
        <v>16</v>
      </c>
      <c r="C534" s="1">
        <v>4</v>
      </c>
      <c r="D534" s="1">
        <v>120</v>
      </c>
      <c r="E534" s="1">
        <v>200</v>
      </c>
      <c r="F534" s="1">
        <v>3</v>
      </c>
      <c r="G534" s="1">
        <v>25</v>
      </c>
      <c r="H534" s="1">
        <v>150</v>
      </c>
      <c r="I534" s="1">
        <v>100</v>
      </c>
      <c r="J534" s="1">
        <v>20.145</v>
      </c>
      <c r="K534" s="1">
        <v>119.422</v>
      </c>
      <c r="L534" s="1">
        <v>40.29</v>
      </c>
      <c r="M534" s="1">
        <v>73.8</v>
      </c>
      <c r="N534" s="1">
        <v>4.6969999999999998E-2</v>
      </c>
      <c r="O534" s="1">
        <v>3.0059999999999999E-4</v>
      </c>
      <c r="P534" s="1">
        <f>(Table1[[#This Row],[Rate_Constant_k2_g_mg_min]]*Table1[[#This Row],[Contact_Time_min]]*Table1[[#This Row],[qe_mg_g]]^2)/(1+Table1[[#This Row],[Contact_Time_min]]*Table1[[#This Row],[qe_mg_g]]*Table1[[#This Row],[Rate_Constant_k2_g_mg_min]])</f>
        <v>8.4780370791544915</v>
      </c>
      <c r="Q534" s="1">
        <f>LN(Table1[[#This Row],[qe_mg_g]]-Table1[[#This Row],[qt]])</f>
        <v>2.456761165714231</v>
      </c>
      <c r="R534" s="1">
        <v>2</v>
      </c>
    </row>
    <row r="535" spans="1:18" x14ac:dyDescent="0.3">
      <c r="A535" s="1">
        <v>534</v>
      </c>
      <c r="B535" s="1" t="s">
        <v>16</v>
      </c>
      <c r="C535" s="1">
        <v>4</v>
      </c>
      <c r="D535" s="1">
        <v>120</v>
      </c>
      <c r="E535" s="1">
        <v>200</v>
      </c>
      <c r="F535" s="1">
        <v>3</v>
      </c>
      <c r="G535" s="1">
        <v>25</v>
      </c>
      <c r="H535" s="1">
        <v>150</v>
      </c>
      <c r="I535" s="1">
        <v>100</v>
      </c>
      <c r="J535" s="1">
        <v>20.079999999999998</v>
      </c>
      <c r="K535" s="1">
        <v>119.681</v>
      </c>
      <c r="L535" s="1">
        <v>40.159999999999997</v>
      </c>
      <c r="M535" s="1">
        <v>72.599999999999994</v>
      </c>
      <c r="N535" s="1">
        <v>4.3409999999999997E-2</v>
      </c>
      <c r="O535" s="1">
        <v>2.8279999999999999E-4</v>
      </c>
      <c r="P535" s="1">
        <f>(Table1[[#This Row],[Rate_Constant_k2_g_mg_min]]*Table1[[#This Row],[Contact_Time_min]]*Table1[[#This Row],[qe_mg_g]]^2)/(1+Table1[[#This Row],[Contact_Time_min]]*Table1[[#This Row],[qe_mg_g]]*Table1[[#This Row],[Rate_Constant_k2_g_mg_min]])</f>
        <v>8.1378188077078537</v>
      </c>
      <c r="Q535" s="1">
        <f>LN(Table1[[#This Row],[qe_mg_g]]-Table1[[#This Row],[qt]])</f>
        <v>2.480076770702055</v>
      </c>
      <c r="R535" s="1">
        <v>3</v>
      </c>
    </row>
    <row r="536" spans="1:18" x14ac:dyDescent="0.3">
      <c r="A536" s="1">
        <v>535</v>
      </c>
      <c r="B536" s="1" t="s">
        <v>16</v>
      </c>
      <c r="C536" s="1">
        <v>4</v>
      </c>
      <c r="D536" s="1">
        <v>120</v>
      </c>
      <c r="E536" s="1">
        <v>200</v>
      </c>
      <c r="F536" s="1">
        <v>7</v>
      </c>
      <c r="G536" s="1">
        <v>25</v>
      </c>
      <c r="H536" s="1">
        <v>150</v>
      </c>
      <c r="I536" s="1">
        <v>100</v>
      </c>
      <c r="J536" s="1">
        <v>28.678000000000001</v>
      </c>
      <c r="K536" s="1">
        <v>85.287999999999997</v>
      </c>
      <c r="L536" s="1">
        <v>57.36</v>
      </c>
      <c r="M536" s="1">
        <v>82.2</v>
      </c>
      <c r="N536" s="1">
        <v>3.9419999999999997E-2</v>
      </c>
      <c r="O536" s="1">
        <v>2.5599999999999999E-4</v>
      </c>
      <c r="P536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13.431758364964933</v>
      </c>
      <c r="Q536" s="1">
        <f>LN(Table1[[#This Row],[qe_mg_g]]-Table1[[#This Row],[qt]])</f>
        <v>2.7243330225179543</v>
      </c>
      <c r="R536" s="1">
        <v>1</v>
      </c>
    </row>
    <row r="537" spans="1:18" x14ac:dyDescent="0.3">
      <c r="A537" s="1">
        <v>536</v>
      </c>
      <c r="B537" s="1" t="s">
        <v>16</v>
      </c>
      <c r="C537" s="1">
        <v>4</v>
      </c>
      <c r="D537" s="1">
        <v>120</v>
      </c>
      <c r="E537" s="1">
        <v>200</v>
      </c>
      <c r="F537" s="1">
        <v>7</v>
      </c>
      <c r="G537" s="1">
        <v>25</v>
      </c>
      <c r="H537" s="1">
        <v>150</v>
      </c>
      <c r="I537" s="1">
        <v>100</v>
      </c>
      <c r="J537" s="1">
        <v>28.821000000000002</v>
      </c>
      <c r="K537" s="1">
        <v>84.715999999999994</v>
      </c>
      <c r="L537" s="1">
        <v>57.64</v>
      </c>
      <c r="M537" s="1">
        <v>67.2</v>
      </c>
      <c r="N537" s="1">
        <v>4.5780000000000001E-2</v>
      </c>
      <c r="O537" s="1">
        <v>3.0729999999999999E-4</v>
      </c>
      <c r="P537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14.849235725110832</v>
      </c>
      <c r="Q537" s="1">
        <f>LN(Table1[[#This Row],[qe_mg_g]]-Table1[[#This Row],[qt]])</f>
        <v>2.6370384555518469</v>
      </c>
      <c r="R537" s="1">
        <v>2</v>
      </c>
    </row>
    <row r="538" spans="1:18" x14ac:dyDescent="0.3">
      <c r="A538" s="1">
        <v>537</v>
      </c>
      <c r="B538" s="1" t="s">
        <v>16</v>
      </c>
      <c r="C538" s="1">
        <v>4</v>
      </c>
      <c r="D538" s="1">
        <v>120</v>
      </c>
      <c r="E538" s="1">
        <v>200</v>
      </c>
      <c r="F538" s="1">
        <v>7</v>
      </c>
      <c r="G538" s="1">
        <v>25</v>
      </c>
      <c r="H538" s="1">
        <v>150</v>
      </c>
      <c r="I538" s="1">
        <v>100</v>
      </c>
      <c r="J538" s="1">
        <v>27.937999999999999</v>
      </c>
      <c r="K538" s="1">
        <v>88.247</v>
      </c>
      <c r="L538" s="1">
        <v>55.88</v>
      </c>
      <c r="M538" s="1">
        <v>81.599999999999994</v>
      </c>
      <c r="N538" s="1">
        <v>3.78E-2</v>
      </c>
      <c r="O538" s="1">
        <v>2.7510000000000002E-4</v>
      </c>
      <c r="P538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13.404287181912022</v>
      </c>
      <c r="Q538" s="1">
        <f>LN(Table1[[#This Row],[qe_mg_g]]-Table1[[#This Row],[qt]])</f>
        <v>2.6764709726823126</v>
      </c>
      <c r="R538" s="1">
        <v>3</v>
      </c>
    </row>
    <row r="539" spans="1:18" x14ac:dyDescent="0.3">
      <c r="A539" s="1">
        <v>538</v>
      </c>
      <c r="B539" s="1" t="s">
        <v>16</v>
      </c>
      <c r="C539" s="1">
        <v>4</v>
      </c>
      <c r="D539" s="1">
        <v>120</v>
      </c>
      <c r="E539" s="1">
        <v>200</v>
      </c>
      <c r="F539" s="1">
        <v>11</v>
      </c>
      <c r="G539" s="1">
        <v>25</v>
      </c>
      <c r="H539" s="1">
        <v>150</v>
      </c>
      <c r="I539" s="1">
        <v>100</v>
      </c>
      <c r="J539" s="1">
        <v>22.550999999999998</v>
      </c>
      <c r="K539" s="1">
        <v>109.797</v>
      </c>
      <c r="L539" s="1">
        <v>45.1</v>
      </c>
      <c r="M539" s="1">
        <v>50.2</v>
      </c>
      <c r="N539" s="1">
        <v>4.4209999999999999E-2</v>
      </c>
      <c r="O539" s="1">
        <v>3.4979999999999999E-4</v>
      </c>
      <c r="P539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10.966190069769088</v>
      </c>
      <c r="Q539" s="1">
        <f>LN(Table1[[#This Row],[qe_mg_g]]-Table1[[#This Row],[qt]])</f>
        <v>2.4496947512094756</v>
      </c>
      <c r="R539" s="1">
        <v>1</v>
      </c>
    </row>
    <row r="540" spans="1:18" x14ac:dyDescent="0.3">
      <c r="A540" s="1">
        <v>539</v>
      </c>
      <c r="B540" s="1" t="s">
        <v>16</v>
      </c>
      <c r="C540" s="1">
        <v>4</v>
      </c>
      <c r="D540" s="1">
        <v>120</v>
      </c>
      <c r="E540" s="1">
        <v>200</v>
      </c>
      <c r="F540" s="1">
        <v>11</v>
      </c>
      <c r="G540" s="1">
        <v>25</v>
      </c>
      <c r="H540" s="1">
        <v>150</v>
      </c>
      <c r="I540" s="1">
        <v>100</v>
      </c>
      <c r="J540" s="1">
        <v>22.776</v>
      </c>
      <c r="K540" s="1">
        <v>108.89400000000001</v>
      </c>
      <c r="L540" s="1">
        <v>45.55</v>
      </c>
      <c r="M540" s="1">
        <v>69</v>
      </c>
      <c r="N540" s="1">
        <v>3.9329999999999997E-2</v>
      </c>
      <c r="O540" s="1">
        <v>2.8150000000000001E-4</v>
      </c>
      <c r="P540" s="1">
        <f>(Table1[[#This Row],[Rate_Constant_k2_g_mg_min]]*Table1[[#This Row],[Contact_Time_min]]*Table1[[#This Row],[qe_mg_g]]^2)/(1+Table1[[#This Row],[Contact_Time_min]]*Table1[[#This Row],[qe_mg_g]]*Table1[[#This Row],[Rate_Constant_k2_g_mg_min]])</f>
        <v>9.9036455582057865</v>
      </c>
      <c r="Q540" s="1">
        <f>LN(Table1[[#This Row],[qe_mg_g]]-Table1[[#This Row],[qt]])</f>
        <v>2.5550819451868478</v>
      </c>
      <c r="R540" s="1">
        <v>2</v>
      </c>
    </row>
    <row r="541" spans="1:18" x14ac:dyDescent="0.3">
      <c r="A541" s="1">
        <v>540</v>
      </c>
      <c r="B541" s="1" t="s">
        <v>16</v>
      </c>
      <c r="C541" s="1">
        <v>4</v>
      </c>
      <c r="D541" s="1">
        <v>120</v>
      </c>
      <c r="E541" s="1">
        <v>200</v>
      </c>
      <c r="F541" s="1">
        <v>11</v>
      </c>
      <c r="G541" s="1">
        <v>25</v>
      </c>
      <c r="H541" s="1">
        <v>150</v>
      </c>
      <c r="I541" s="1">
        <v>100</v>
      </c>
      <c r="J541" s="1">
        <v>22.056000000000001</v>
      </c>
      <c r="K541" s="1">
        <v>111.776</v>
      </c>
      <c r="L541" s="1">
        <v>44.11</v>
      </c>
      <c r="M541" s="1">
        <v>63.5</v>
      </c>
      <c r="N541" s="1">
        <v>5.0770000000000003E-2</v>
      </c>
      <c r="O541" s="1">
        <v>3.167E-4</v>
      </c>
      <c r="P541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10.057411524915365</v>
      </c>
      <c r="Q541" s="1">
        <f>LN(Table1[[#This Row],[qe_mg_g]]-Table1[[#This Row],[qt]])</f>
        <v>2.4847890157931127</v>
      </c>
      <c r="R541" s="1">
        <v>3</v>
      </c>
    </row>
    <row r="542" spans="1:18" x14ac:dyDescent="0.3">
      <c r="A542" s="1">
        <v>541</v>
      </c>
      <c r="B542" s="1" t="s">
        <v>16</v>
      </c>
      <c r="C542" s="1">
        <v>4</v>
      </c>
      <c r="D542" s="1">
        <v>240</v>
      </c>
      <c r="E542" s="1">
        <v>25</v>
      </c>
      <c r="F542" s="1">
        <v>3</v>
      </c>
      <c r="G542" s="1">
        <v>25</v>
      </c>
      <c r="H542" s="1">
        <v>150</v>
      </c>
      <c r="I542" s="1">
        <v>100</v>
      </c>
      <c r="J542" s="1">
        <v>0.95299999999999996</v>
      </c>
      <c r="K542" s="1">
        <v>21.187999999999999</v>
      </c>
      <c r="L542" s="1">
        <v>15.25</v>
      </c>
      <c r="M542" s="1">
        <v>69.099999999999994</v>
      </c>
      <c r="N542" s="1">
        <v>4.7239999999999997E-2</v>
      </c>
      <c r="O542" s="1">
        <v>3.3419999999999999E-4</v>
      </c>
      <c r="P542" s="1">
        <f>(Table1[[#This Row],[Rate_Constant_k2_g_mg_min]]*Table1[[#This Row],[Contact_Time_min]]*Table1[[#This Row],[qe_mg_g]]^2)/(1+Table1[[#This Row],[Contact_Time_min]]*Table1[[#This Row],[qe_mg_g]]*Table1[[#This Row],[Rate_Constant_k2_g_mg_min]])</f>
        <v>6.7672836069782666E-2</v>
      </c>
      <c r="Q542" s="1">
        <f>LN(Table1[[#This Row],[qe_mg_g]]-Table1[[#This Row],[qt]])</f>
        <v>-0.12179802553051688</v>
      </c>
      <c r="R542" s="1">
        <v>1</v>
      </c>
    </row>
    <row r="543" spans="1:18" x14ac:dyDescent="0.3">
      <c r="A543" s="1">
        <v>542</v>
      </c>
      <c r="B543" s="1" t="s">
        <v>16</v>
      </c>
      <c r="C543" s="1">
        <v>4</v>
      </c>
      <c r="D543" s="1">
        <v>240</v>
      </c>
      <c r="E543" s="1">
        <v>25</v>
      </c>
      <c r="F543" s="1">
        <v>3</v>
      </c>
      <c r="G543" s="1">
        <v>25</v>
      </c>
      <c r="H543" s="1">
        <v>150</v>
      </c>
      <c r="I543" s="1">
        <v>100</v>
      </c>
      <c r="J543" s="1">
        <v>1.1779999999999999</v>
      </c>
      <c r="K543" s="1">
        <v>20.286999999999999</v>
      </c>
      <c r="L543" s="1">
        <v>18.850000000000001</v>
      </c>
      <c r="M543" s="1">
        <v>56.5</v>
      </c>
      <c r="N543" s="1">
        <v>4.1349999999999998E-2</v>
      </c>
      <c r="O543" s="1">
        <v>2.6229999999999998E-4</v>
      </c>
      <c r="P543" s="1">
        <f>(Table1[[#This Row],[Rate_Constant_k2_g_mg_min]]*Table1[[#This Row],[Contact_Time_min]]*Table1[[#This Row],[qe_mg_g]]^2)/(1+Table1[[#This Row],[Contact_Time_min]]*Table1[[#This Row],[qe_mg_g]]*Table1[[#This Row],[Rate_Constant_k2_g_mg_min]])</f>
        <v>8.1326515661219775E-2</v>
      </c>
      <c r="Q543" s="1">
        <f>LN(Table1[[#This Row],[qe_mg_g]]-Table1[[#This Row],[qt]])</f>
        <v>9.2281492812139071E-2</v>
      </c>
      <c r="R543" s="1">
        <v>2</v>
      </c>
    </row>
    <row r="544" spans="1:18" x14ac:dyDescent="0.3">
      <c r="A544" s="1">
        <v>543</v>
      </c>
      <c r="B544" s="1" t="s">
        <v>16</v>
      </c>
      <c r="C544" s="1">
        <v>4</v>
      </c>
      <c r="D544" s="1">
        <v>240</v>
      </c>
      <c r="E544" s="1">
        <v>25</v>
      </c>
      <c r="F544" s="1">
        <v>3</v>
      </c>
      <c r="G544" s="1">
        <v>25</v>
      </c>
      <c r="H544" s="1">
        <v>150</v>
      </c>
      <c r="I544" s="1">
        <v>100</v>
      </c>
      <c r="J544" s="1">
        <v>1.0269999999999999</v>
      </c>
      <c r="K544" s="1">
        <v>20.893999999999998</v>
      </c>
      <c r="L544" s="1">
        <v>16.420000000000002</v>
      </c>
      <c r="M544" s="1">
        <v>71.3</v>
      </c>
      <c r="N544" s="1">
        <v>4.9439999999999998E-2</v>
      </c>
      <c r="O544" s="1">
        <v>2.9770000000000003E-4</v>
      </c>
      <c r="P544" s="1">
        <f>(Table1[[#This Row],[Rate_Constant_k2_g_mg_min]]*Table1[[#This Row],[Contact_Time_min]]*Table1[[#This Row],[qe_mg_g]]^2)/(1+Table1[[#This Row],[Contact_Time_min]]*Table1[[#This Row],[qe_mg_g]]*Table1[[#This Row],[Rate_Constant_k2_g_mg_min]])</f>
        <v>7.0206712881080519E-2</v>
      </c>
      <c r="Q544" s="1">
        <f>LN(Table1[[#This Row],[qe_mg_g]]-Table1[[#This Row],[qt]])</f>
        <v>-4.4167911781410836E-2</v>
      </c>
      <c r="R544" s="1">
        <v>3</v>
      </c>
    </row>
    <row r="545" spans="1:18" x14ac:dyDescent="0.3">
      <c r="A545" s="1">
        <v>544</v>
      </c>
      <c r="B545" s="1" t="s">
        <v>16</v>
      </c>
      <c r="C545" s="1">
        <v>4</v>
      </c>
      <c r="D545" s="1">
        <v>240</v>
      </c>
      <c r="E545" s="1">
        <v>25</v>
      </c>
      <c r="F545" s="1">
        <v>7</v>
      </c>
      <c r="G545" s="1">
        <v>25</v>
      </c>
      <c r="H545" s="1">
        <v>150</v>
      </c>
      <c r="I545" s="1">
        <v>100</v>
      </c>
      <c r="J545" s="1">
        <v>1.6719999999999999</v>
      </c>
      <c r="K545" s="1">
        <v>18.311</v>
      </c>
      <c r="L545" s="1">
        <v>26.76</v>
      </c>
      <c r="M545" s="1">
        <v>68.2</v>
      </c>
      <c r="N545" s="1">
        <v>4.1239999999999999E-2</v>
      </c>
      <c r="O545" s="1">
        <v>3.6269999999999998E-4</v>
      </c>
      <c r="P54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0.21243177184766923</v>
      </c>
      <c r="Q545" s="1">
        <f>LN(Table1[[#This Row],[qe_mg_g]]-Table1[[#This Row],[qt]])</f>
        <v>0.37814065784004103</v>
      </c>
      <c r="R545" s="1">
        <v>1</v>
      </c>
    </row>
    <row r="546" spans="1:18" x14ac:dyDescent="0.3">
      <c r="A546" s="1">
        <v>545</v>
      </c>
      <c r="B546" s="1" t="s">
        <v>16</v>
      </c>
      <c r="C546" s="1">
        <v>4</v>
      </c>
      <c r="D546" s="1">
        <v>240</v>
      </c>
      <c r="E546" s="1">
        <v>25</v>
      </c>
      <c r="F546" s="1">
        <v>7</v>
      </c>
      <c r="G546" s="1">
        <v>25</v>
      </c>
      <c r="H546" s="1">
        <v>150</v>
      </c>
      <c r="I546" s="1">
        <v>100</v>
      </c>
      <c r="J546" s="1">
        <v>1.4950000000000001</v>
      </c>
      <c r="K546" s="1">
        <v>19.018000000000001</v>
      </c>
      <c r="L546" s="1">
        <v>23.93</v>
      </c>
      <c r="M546" s="1">
        <v>68.5</v>
      </c>
      <c r="N546" s="1">
        <v>5.4109999999999998E-2</v>
      </c>
      <c r="O546" s="1">
        <v>3.0019999999999998E-4</v>
      </c>
      <c r="P54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0.14537092320839856</v>
      </c>
      <c r="Q546" s="1">
        <f>LN(Table1[[#This Row],[qe_mg_g]]-Table1[[#This Row],[qt]])</f>
        <v>0.29982979676531496</v>
      </c>
      <c r="R546" s="1">
        <v>2</v>
      </c>
    </row>
    <row r="547" spans="1:18" x14ac:dyDescent="0.3">
      <c r="A547" s="1">
        <v>546</v>
      </c>
      <c r="B547" s="1" t="s">
        <v>16</v>
      </c>
      <c r="C547" s="1">
        <v>4</v>
      </c>
      <c r="D547" s="1">
        <v>240</v>
      </c>
      <c r="E547" s="1">
        <v>25</v>
      </c>
      <c r="F547" s="1">
        <v>7</v>
      </c>
      <c r="G547" s="1">
        <v>25</v>
      </c>
      <c r="H547" s="1">
        <v>150</v>
      </c>
      <c r="I547" s="1">
        <v>100</v>
      </c>
      <c r="J547" s="1">
        <v>1.69</v>
      </c>
      <c r="K547" s="1">
        <v>18.239999999999998</v>
      </c>
      <c r="L547" s="1">
        <v>27.04</v>
      </c>
      <c r="M547" s="1">
        <v>63.1</v>
      </c>
      <c r="N547" s="1">
        <v>4.419E-2</v>
      </c>
      <c r="O547" s="1">
        <v>3.412E-4</v>
      </c>
      <c r="P54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0.20544819339356524</v>
      </c>
      <c r="Q547" s="1">
        <f>LN(Table1[[#This Row],[qe_mg_g]]-Table1[[#This Row],[qt]])</f>
        <v>0.39511291296669132</v>
      </c>
      <c r="R547" s="1">
        <v>3</v>
      </c>
    </row>
    <row r="548" spans="1:18" x14ac:dyDescent="0.3">
      <c r="A548" s="1">
        <v>547</v>
      </c>
      <c r="B548" s="1" t="s">
        <v>16</v>
      </c>
      <c r="C548" s="1">
        <v>4</v>
      </c>
      <c r="D548" s="1">
        <v>240</v>
      </c>
      <c r="E548" s="1">
        <v>25</v>
      </c>
      <c r="F548" s="1">
        <v>11</v>
      </c>
      <c r="G548" s="1">
        <v>25</v>
      </c>
      <c r="H548" s="1">
        <v>150</v>
      </c>
      <c r="I548" s="1">
        <v>100</v>
      </c>
      <c r="J548" s="1">
        <v>1.07</v>
      </c>
      <c r="K548" s="1">
        <v>20.72</v>
      </c>
      <c r="L548" s="1">
        <v>17.12</v>
      </c>
      <c r="M548" s="1">
        <v>82</v>
      </c>
      <c r="N548" s="1">
        <v>3.8589999999999999E-2</v>
      </c>
      <c r="O548" s="1">
        <v>2.92E-4</v>
      </c>
      <c r="P548" s="1">
        <f>(Table1[[#This Row],[Rate_Constant_k2_g_mg_min]]*Table1[[#This Row],[Contact_Time_min]]*Table1[[#This Row],[qe_mg_g]]^2)/(1+Table1[[#This Row],[Contact_Time_min]]*Table1[[#This Row],[qe_mg_g]]*Table1[[#This Row],[Rate_Constant_k2_g_mg_min]])</f>
        <v>7.4637829567205369E-2</v>
      </c>
      <c r="Q548" s="1">
        <f>LN(Table1[[#This Row],[qe_mg_g]]-Table1[[#This Row],[qt]])</f>
        <v>-4.6486176672555189E-3</v>
      </c>
      <c r="R548" s="1">
        <v>1</v>
      </c>
    </row>
    <row r="549" spans="1:18" x14ac:dyDescent="0.3">
      <c r="A549" s="1">
        <v>548</v>
      </c>
      <c r="B549" s="1" t="s">
        <v>16</v>
      </c>
      <c r="C549" s="1">
        <v>4</v>
      </c>
      <c r="D549" s="1">
        <v>240</v>
      </c>
      <c r="E549" s="1">
        <v>25</v>
      </c>
      <c r="F549" s="1">
        <v>11</v>
      </c>
      <c r="G549" s="1">
        <v>25</v>
      </c>
      <c r="H549" s="1">
        <v>150</v>
      </c>
      <c r="I549" s="1">
        <v>100</v>
      </c>
      <c r="J549" s="1">
        <v>1.2549999999999999</v>
      </c>
      <c r="K549" s="1">
        <v>19.978000000000002</v>
      </c>
      <c r="L549" s="1">
        <v>20.09</v>
      </c>
      <c r="M549" s="1">
        <v>72.599999999999994</v>
      </c>
      <c r="N549" s="1">
        <v>3.7810000000000003E-2</v>
      </c>
      <c r="O549" s="1">
        <v>3.1389999999999999E-4</v>
      </c>
      <c r="P54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0.108406599342113</v>
      </c>
      <c r="Q549" s="1">
        <f>LN(Table1[[#This Row],[qe_mg_g]]-Table1[[#This Row],[qt]])</f>
        <v>0.1367952859007405</v>
      </c>
      <c r="R549" s="1">
        <v>2</v>
      </c>
    </row>
    <row r="550" spans="1:18" x14ac:dyDescent="0.3">
      <c r="A550" s="1">
        <v>549</v>
      </c>
      <c r="B550" s="1" t="s">
        <v>16</v>
      </c>
      <c r="C550" s="1">
        <v>4</v>
      </c>
      <c r="D550" s="1">
        <v>240</v>
      </c>
      <c r="E550" s="1">
        <v>25</v>
      </c>
      <c r="F550" s="1">
        <v>11</v>
      </c>
      <c r="G550" s="1">
        <v>25</v>
      </c>
      <c r="H550" s="1">
        <v>150</v>
      </c>
      <c r="I550" s="1">
        <v>100</v>
      </c>
      <c r="J550" s="1">
        <v>1.5109999999999999</v>
      </c>
      <c r="K550" s="1">
        <v>18.957000000000001</v>
      </c>
      <c r="L550" s="1">
        <v>24.17</v>
      </c>
      <c r="M550" s="1">
        <v>53</v>
      </c>
      <c r="N550" s="1">
        <v>4.5850000000000002E-2</v>
      </c>
      <c r="O550" s="1">
        <v>2.8009999999999998E-4</v>
      </c>
      <c r="P55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0.13932819958306547</v>
      </c>
      <c r="Q550" s="1">
        <f>LN(Table1[[#This Row],[qe_mg_g]]-Table1[[#This Row],[qt]])</f>
        <v>0.3160302881637137</v>
      </c>
      <c r="R550" s="1">
        <v>3</v>
      </c>
    </row>
    <row r="551" spans="1:18" x14ac:dyDescent="0.3">
      <c r="A551" s="1">
        <v>550</v>
      </c>
      <c r="B551" s="1" t="s">
        <v>16</v>
      </c>
      <c r="C551" s="1">
        <v>4</v>
      </c>
      <c r="D551" s="1">
        <v>240</v>
      </c>
      <c r="E551" s="1">
        <v>50</v>
      </c>
      <c r="F551" s="1">
        <v>3</v>
      </c>
      <c r="G551" s="1">
        <v>25</v>
      </c>
      <c r="H551" s="1">
        <v>150</v>
      </c>
      <c r="I551" s="1">
        <v>100</v>
      </c>
      <c r="J551" s="1">
        <v>3.4580000000000002</v>
      </c>
      <c r="K551" s="1">
        <v>36.168999999999997</v>
      </c>
      <c r="L551" s="1">
        <v>27.66</v>
      </c>
      <c r="M551" s="1">
        <v>66.900000000000006</v>
      </c>
      <c r="N551" s="1">
        <v>4.2110000000000002E-2</v>
      </c>
      <c r="O551" s="1">
        <v>3.146E-4</v>
      </c>
      <c r="P55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0.715933823542659</v>
      </c>
      <c r="Q551" s="1">
        <f>LN(Table1[[#This Row],[qe_mg_g]]-Table1[[#This Row],[qt]])</f>
        <v>1.0087117152242913</v>
      </c>
      <c r="R551" s="1">
        <v>1</v>
      </c>
    </row>
    <row r="552" spans="1:18" x14ac:dyDescent="0.3">
      <c r="A552" s="1">
        <v>551</v>
      </c>
      <c r="B552" s="1" t="s">
        <v>16</v>
      </c>
      <c r="C552" s="1">
        <v>4</v>
      </c>
      <c r="D552" s="1">
        <v>240</v>
      </c>
      <c r="E552" s="1">
        <v>50</v>
      </c>
      <c r="F552" s="1">
        <v>3</v>
      </c>
      <c r="G552" s="1">
        <v>25</v>
      </c>
      <c r="H552" s="1">
        <v>150</v>
      </c>
      <c r="I552" s="1">
        <v>100</v>
      </c>
      <c r="J552" s="1">
        <v>3.8260000000000001</v>
      </c>
      <c r="K552" s="1">
        <v>34.694000000000003</v>
      </c>
      <c r="L552" s="1">
        <v>30.61</v>
      </c>
      <c r="M552" s="1">
        <v>64.8</v>
      </c>
      <c r="N552" s="1">
        <v>4.8239999999999998E-2</v>
      </c>
      <c r="O552" s="1">
        <v>2.6120000000000001E-4</v>
      </c>
      <c r="P55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0.74012862322272532</v>
      </c>
      <c r="Q552" s="1">
        <f>LN(Table1[[#This Row],[qe_mg_g]]-Table1[[#This Row],[qt]])</f>
        <v>1.1268340734797633</v>
      </c>
      <c r="R552" s="1">
        <v>2</v>
      </c>
    </row>
    <row r="553" spans="1:18" x14ac:dyDescent="0.3">
      <c r="A553" s="1">
        <v>552</v>
      </c>
      <c r="B553" s="1" t="s">
        <v>16</v>
      </c>
      <c r="C553" s="1">
        <v>4</v>
      </c>
      <c r="D553" s="1">
        <v>240</v>
      </c>
      <c r="E553" s="1">
        <v>50</v>
      </c>
      <c r="F553" s="1">
        <v>3</v>
      </c>
      <c r="G553" s="1">
        <v>25</v>
      </c>
      <c r="H553" s="1">
        <v>150</v>
      </c>
      <c r="I553" s="1">
        <v>100</v>
      </c>
      <c r="J553" s="1">
        <v>3.0880000000000001</v>
      </c>
      <c r="K553" s="1">
        <v>37.648000000000003</v>
      </c>
      <c r="L553" s="1">
        <v>24.7</v>
      </c>
      <c r="M553" s="1">
        <v>71.400000000000006</v>
      </c>
      <c r="N553" s="1">
        <v>5.1679999999999997E-2</v>
      </c>
      <c r="O553" s="1">
        <v>3.1070000000000002E-4</v>
      </c>
      <c r="P55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0.57797368035821439</v>
      </c>
      <c r="Q553" s="1">
        <f>LN(Table1[[#This Row],[qe_mg_g]]-Table1[[#This Row],[qt]])</f>
        <v>0.92029323900177784</v>
      </c>
      <c r="R553" s="1">
        <v>3</v>
      </c>
    </row>
    <row r="554" spans="1:18" x14ac:dyDescent="0.3">
      <c r="A554" s="1">
        <v>553</v>
      </c>
      <c r="B554" s="1" t="s">
        <v>16</v>
      </c>
      <c r="C554" s="1">
        <v>4</v>
      </c>
      <c r="D554" s="1">
        <v>240</v>
      </c>
      <c r="E554" s="1">
        <v>50</v>
      </c>
      <c r="F554" s="1">
        <v>7</v>
      </c>
      <c r="G554" s="1">
        <v>25</v>
      </c>
      <c r="H554" s="1">
        <v>150</v>
      </c>
      <c r="I554" s="1">
        <v>100</v>
      </c>
      <c r="J554" s="1">
        <v>5.1120000000000001</v>
      </c>
      <c r="K554" s="1">
        <v>29.553000000000001</v>
      </c>
      <c r="L554" s="1">
        <v>40.89</v>
      </c>
      <c r="M554" s="1">
        <v>66.7</v>
      </c>
      <c r="N554" s="1">
        <v>3.9370000000000002E-2</v>
      </c>
      <c r="O554" s="1">
        <v>3.1809999999999998E-4</v>
      </c>
      <c r="P55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1.4350177889522231</v>
      </c>
      <c r="Q554" s="1">
        <f>LN(Table1[[#This Row],[qe_mg_g]]-Table1[[#This Row],[qt]])</f>
        <v>1.3020923644090852</v>
      </c>
      <c r="R554" s="1">
        <v>1</v>
      </c>
    </row>
    <row r="555" spans="1:18" x14ac:dyDescent="0.3">
      <c r="A555" s="1">
        <v>554</v>
      </c>
      <c r="B555" s="1" t="s">
        <v>16</v>
      </c>
      <c r="C555" s="1">
        <v>4</v>
      </c>
      <c r="D555" s="1">
        <v>240</v>
      </c>
      <c r="E555" s="1">
        <v>50</v>
      </c>
      <c r="F555" s="1">
        <v>7</v>
      </c>
      <c r="G555" s="1">
        <v>25</v>
      </c>
      <c r="H555" s="1">
        <v>150</v>
      </c>
      <c r="I555" s="1">
        <v>100</v>
      </c>
      <c r="J555" s="1">
        <v>5.6130000000000004</v>
      </c>
      <c r="K555" s="1">
        <v>27.547000000000001</v>
      </c>
      <c r="L555" s="1">
        <v>44.91</v>
      </c>
      <c r="M555" s="1">
        <v>62.1</v>
      </c>
      <c r="N555" s="1">
        <v>4.2880000000000001E-2</v>
      </c>
      <c r="O555" s="1">
        <v>3.0800000000000001E-4</v>
      </c>
      <c r="P55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1.6459715263898635</v>
      </c>
      <c r="Q555" s="1">
        <f>LN(Table1[[#This Row],[qe_mg_g]]-Table1[[#This Row],[qt]])</f>
        <v>1.3780173191243159</v>
      </c>
      <c r="R555" s="1">
        <v>2</v>
      </c>
    </row>
    <row r="556" spans="1:18" x14ac:dyDescent="0.3">
      <c r="A556" s="1">
        <v>555</v>
      </c>
      <c r="B556" s="1" t="s">
        <v>16</v>
      </c>
      <c r="C556" s="1">
        <v>4</v>
      </c>
      <c r="D556" s="1">
        <v>240</v>
      </c>
      <c r="E556" s="1">
        <v>50</v>
      </c>
      <c r="F556" s="1">
        <v>7</v>
      </c>
      <c r="G556" s="1">
        <v>25</v>
      </c>
      <c r="H556" s="1">
        <v>150</v>
      </c>
      <c r="I556" s="1">
        <v>100</v>
      </c>
      <c r="J556" s="1">
        <v>5.0599999999999996</v>
      </c>
      <c r="K556" s="1">
        <v>29.76</v>
      </c>
      <c r="L556" s="1">
        <v>40.479999999999997</v>
      </c>
      <c r="M556" s="1">
        <v>66</v>
      </c>
      <c r="N556" s="1">
        <v>5.4449999999999998E-2</v>
      </c>
      <c r="O556" s="1">
        <v>2.9260000000000001E-4</v>
      </c>
      <c r="P55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1.3266013759684112</v>
      </c>
      <c r="Q556" s="1">
        <f>LN(Table1[[#This Row],[qe_mg_g]]-Table1[[#This Row],[qt]])</f>
        <v>1.3173189780599055</v>
      </c>
      <c r="R556" s="1">
        <v>3</v>
      </c>
    </row>
    <row r="557" spans="1:18" x14ac:dyDescent="0.3">
      <c r="A557" s="1">
        <v>556</v>
      </c>
      <c r="B557" s="1" t="s">
        <v>16</v>
      </c>
      <c r="C557" s="1">
        <v>4</v>
      </c>
      <c r="D557" s="1">
        <v>240</v>
      </c>
      <c r="E557" s="1">
        <v>50</v>
      </c>
      <c r="F557" s="1">
        <v>11</v>
      </c>
      <c r="G557" s="1">
        <v>25</v>
      </c>
      <c r="H557" s="1">
        <v>150</v>
      </c>
      <c r="I557" s="1">
        <v>100</v>
      </c>
      <c r="J557" s="1">
        <v>3.96</v>
      </c>
      <c r="K557" s="1">
        <v>34.161000000000001</v>
      </c>
      <c r="L557" s="1">
        <v>31.68</v>
      </c>
      <c r="M557" s="1">
        <v>60.2</v>
      </c>
      <c r="N557" s="1">
        <v>4.8349999999999997E-2</v>
      </c>
      <c r="O557" s="1">
        <v>2.9460000000000001E-4</v>
      </c>
      <c r="P55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0.86622060909578635</v>
      </c>
      <c r="Q557" s="1">
        <f>LN(Table1[[#This Row],[qe_mg_g]]-Table1[[#This Row],[qt]])</f>
        <v>1.1293934473799887</v>
      </c>
      <c r="R557" s="1">
        <v>1</v>
      </c>
    </row>
    <row r="558" spans="1:18" x14ac:dyDescent="0.3">
      <c r="A558" s="1">
        <v>557</v>
      </c>
      <c r="B558" s="1" t="s">
        <v>16</v>
      </c>
      <c r="C558" s="1">
        <v>4</v>
      </c>
      <c r="D558" s="1">
        <v>240</v>
      </c>
      <c r="E558" s="1">
        <v>50</v>
      </c>
      <c r="F558" s="1">
        <v>11</v>
      </c>
      <c r="G558" s="1">
        <v>25</v>
      </c>
      <c r="H558" s="1">
        <v>150</v>
      </c>
      <c r="I558" s="1">
        <v>100</v>
      </c>
      <c r="J558" s="1">
        <v>3.8650000000000002</v>
      </c>
      <c r="K558" s="1">
        <v>34.54</v>
      </c>
      <c r="L558" s="1">
        <v>30.92</v>
      </c>
      <c r="M558" s="1">
        <v>79.900000000000006</v>
      </c>
      <c r="N558" s="1">
        <v>5.1389999999999998E-2</v>
      </c>
      <c r="O558" s="1">
        <v>2.8200000000000002E-4</v>
      </c>
      <c r="P55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0.80138913390730016</v>
      </c>
      <c r="Q558" s="1">
        <f>LN(Table1[[#This Row],[qe_mg_g]]-Table1[[#This Row],[qt]])</f>
        <v>1.1195942418849472</v>
      </c>
      <c r="R558" s="1">
        <v>2</v>
      </c>
    </row>
    <row r="559" spans="1:18" x14ac:dyDescent="0.3">
      <c r="A559" s="1">
        <v>558</v>
      </c>
      <c r="B559" s="1" t="s">
        <v>16</v>
      </c>
      <c r="C559" s="1">
        <v>4</v>
      </c>
      <c r="D559" s="1">
        <v>240</v>
      </c>
      <c r="E559" s="1">
        <v>50</v>
      </c>
      <c r="F559" s="1">
        <v>11</v>
      </c>
      <c r="G559" s="1">
        <v>25</v>
      </c>
      <c r="H559" s="1">
        <v>150</v>
      </c>
      <c r="I559" s="1">
        <v>100</v>
      </c>
      <c r="J559" s="1">
        <v>3.468</v>
      </c>
      <c r="K559" s="1">
        <v>36.128</v>
      </c>
      <c r="L559" s="1">
        <v>27.74</v>
      </c>
      <c r="M559" s="1">
        <v>76.7</v>
      </c>
      <c r="N559" s="1">
        <v>4.1919999999999999E-2</v>
      </c>
      <c r="O559" s="1">
        <v>3.2370000000000001E-4</v>
      </c>
      <c r="P55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0.73604794330708545</v>
      </c>
      <c r="Q559" s="1">
        <f>LN(Table1[[#This Row],[qe_mg_g]]-Table1[[#This Row],[qt]])</f>
        <v>1.0050163927598745</v>
      </c>
      <c r="R559" s="1">
        <v>3</v>
      </c>
    </row>
    <row r="560" spans="1:18" x14ac:dyDescent="0.3">
      <c r="A560" s="1">
        <v>559</v>
      </c>
      <c r="B560" s="1" t="s">
        <v>16</v>
      </c>
      <c r="C560" s="1">
        <v>4</v>
      </c>
      <c r="D560" s="1">
        <v>240</v>
      </c>
      <c r="E560" s="1">
        <v>100</v>
      </c>
      <c r="F560" s="1">
        <v>3</v>
      </c>
      <c r="G560" s="1">
        <v>25</v>
      </c>
      <c r="H560" s="1">
        <v>150</v>
      </c>
      <c r="I560" s="1">
        <v>100</v>
      </c>
      <c r="J560" s="1">
        <v>8.0359999999999996</v>
      </c>
      <c r="K560" s="1">
        <v>67.855999999999995</v>
      </c>
      <c r="L560" s="1">
        <v>32.14</v>
      </c>
      <c r="M560" s="1">
        <v>75.599999999999994</v>
      </c>
      <c r="N560" s="1">
        <v>3.9550000000000002E-2</v>
      </c>
      <c r="O560" s="1">
        <v>3.2190000000000002E-4</v>
      </c>
      <c r="P56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3.0780439607870442</v>
      </c>
      <c r="Q560" s="1">
        <f>LN(Table1[[#This Row],[qe_mg_g]]-Table1[[#This Row],[qt]])</f>
        <v>1.6009935669365289</v>
      </c>
      <c r="R560" s="1">
        <v>1</v>
      </c>
    </row>
    <row r="561" spans="1:18" x14ac:dyDescent="0.3">
      <c r="A561" s="1">
        <v>560</v>
      </c>
      <c r="B561" s="1" t="s">
        <v>16</v>
      </c>
      <c r="C561" s="1">
        <v>4</v>
      </c>
      <c r="D561" s="1">
        <v>240</v>
      </c>
      <c r="E561" s="1">
        <v>100</v>
      </c>
      <c r="F561" s="1">
        <v>3</v>
      </c>
      <c r="G561" s="1">
        <v>25</v>
      </c>
      <c r="H561" s="1">
        <v>150</v>
      </c>
      <c r="I561" s="1">
        <v>100</v>
      </c>
      <c r="J561" s="1">
        <v>9.5500000000000007</v>
      </c>
      <c r="K561" s="1">
        <v>61.798999999999999</v>
      </c>
      <c r="L561" s="1">
        <v>38.200000000000003</v>
      </c>
      <c r="M561" s="1">
        <v>57.1</v>
      </c>
      <c r="N561" s="1">
        <v>4.317E-2</v>
      </c>
      <c r="O561" s="1">
        <v>3.2059999999999999E-4</v>
      </c>
      <c r="P561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4.0450908892197868</v>
      </c>
      <c r="Q561" s="1">
        <f>LN(Table1[[#This Row],[qe_mg_g]]-Table1[[#This Row],[qt]])</f>
        <v>1.7056402597350251</v>
      </c>
      <c r="R561" s="1">
        <v>2</v>
      </c>
    </row>
    <row r="562" spans="1:18" x14ac:dyDescent="0.3">
      <c r="A562" s="1">
        <v>561</v>
      </c>
      <c r="B562" s="1" t="s">
        <v>16</v>
      </c>
      <c r="C562" s="1">
        <v>4</v>
      </c>
      <c r="D562" s="1">
        <v>240</v>
      </c>
      <c r="E562" s="1">
        <v>100</v>
      </c>
      <c r="F562" s="1">
        <v>3</v>
      </c>
      <c r="G562" s="1">
        <v>25</v>
      </c>
      <c r="H562" s="1">
        <v>150</v>
      </c>
      <c r="I562" s="1">
        <v>100</v>
      </c>
      <c r="J562" s="1">
        <v>9.6199999999999992</v>
      </c>
      <c r="K562" s="1">
        <v>61.518999999999998</v>
      </c>
      <c r="L562" s="1">
        <v>38.479999999999997</v>
      </c>
      <c r="M562" s="1">
        <v>72.5</v>
      </c>
      <c r="N562" s="1">
        <v>5.389E-2</v>
      </c>
      <c r="O562" s="1">
        <v>2.5310000000000003E-4</v>
      </c>
      <c r="P56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3.5481372191504681</v>
      </c>
      <c r="Q562" s="1">
        <f>LN(Table1[[#This Row],[qe_mg_g]]-Table1[[#This Row],[qt]])</f>
        <v>1.8036654411636552</v>
      </c>
      <c r="R562" s="1">
        <v>3</v>
      </c>
    </row>
    <row r="563" spans="1:18" x14ac:dyDescent="0.3">
      <c r="A563" s="1">
        <v>562</v>
      </c>
      <c r="B563" s="1" t="s">
        <v>16</v>
      </c>
      <c r="C563" s="1">
        <v>4</v>
      </c>
      <c r="D563" s="1">
        <v>240</v>
      </c>
      <c r="E563" s="1">
        <v>100</v>
      </c>
      <c r="F563" s="1">
        <v>7</v>
      </c>
      <c r="G563" s="1">
        <v>25</v>
      </c>
      <c r="H563" s="1">
        <v>150</v>
      </c>
      <c r="I563" s="1">
        <v>100</v>
      </c>
      <c r="J563" s="1">
        <v>16.082999999999998</v>
      </c>
      <c r="K563" s="1">
        <v>35.667999999999999</v>
      </c>
      <c r="L563" s="1">
        <v>64.33</v>
      </c>
      <c r="M563" s="1">
        <v>67.7</v>
      </c>
      <c r="N563" s="1">
        <v>4.0960000000000003E-2</v>
      </c>
      <c r="O563" s="1">
        <v>2.6009999999999998E-4</v>
      </c>
      <c r="P563" s="1">
        <f>(Table1[[#This Row],[Rate_Constant_k2_g_mg_min]]*Table1[[#This Row],[Contact_Time_min]]*Table1[[#This Row],[qe_mg_g]]^2)/(1+Table1[[#This Row],[Contact_Time_min]]*Table1[[#This Row],[qe_mg_g]]*Table1[[#This Row],[Rate_Constant_k2_g_mg_min]])</f>
        <v>8.0574114996584214</v>
      </c>
      <c r="Q563" s="1">
        <f>LN(Table1[[#This Row],[qe_mg_g]]-Table1[[#This Row],[qt]])</f>
        <v>2.0826349997032163</v>
      </c>
      <c r="R563" s="1">
        <v>1</v>
      </c>
    </row>
    <row r="564" spans="1:18" x14ac:dyDescent="0.3">
      <c r="A564" s="1">
        <v>563</v>
      </c>
      <c r="B564" s="1" t="s">
        <v>16</v>
      </c>
      <c r="C564" s="1">
        <v>4</v>
      </c>
      <c r="D564" s="1">
        <v>240</v>
      </c>
      <c r="E564" s="1">
        <v>100</v>
      </c>
      <c r="F564" s="1">
        <v>7</v>
      </c>
      <c r="G564" s="1">
        <v>25</v>
      </c>
      <c r="H564" s="1">
        <v>150</v>
      </c>
      <c r="I564" s="1">
        <v>100</v>
      </c>
      <c r="J564" s="1">
        <v>14.025</v>
      </c>
      <c r="K564" s="1">
        <v>43.899000000000001</v>
      </c>
      <c r="L564" s="1">
        <v>56.1</v>
      </c>
      <c r="M564" s="1">
        <v>75.900000000000006</v>
      </c>
      <c r="N564" s="1">
        <v>4.4429999999999997E-2</v>
      </c>
      <c r="O564" s="1">
        <v>3.4529999999999999E-4</v>
      </c>
      <c r="P564" s="1">
        <f>(Table1[[#This Row],[Rate_Constant_k2_g_mg_min]]*Table1[[#This Row],[Contact_Time_min]]*Table1[[#This Row],[qe_mg_g]]^2)/(1+Table1[[#This Row],[Contact_Time_min]]*Table1[[#This Row],[qe_mg_g]]*Table1[[#This Row],[Rate_Constant_k2_g_mg_min]])</f>
        <v>7.5387903984488975</v>
      </c>
      <c r="Q564" s="1">
        <f>LN(Table1[[#This Row],[qe_mg_g]]-Table1[[#This Row],[qt]])</f>
        <v>1.869678323359137</v>
      </c>
      <c r="R564" s="1">
        <v>2</v>
      </c>
    </row>
    <row r="565" spans="1:18" x14ac:dyDescent="0.3">
      <c r="A565" s="1">
        <v>564</v>
      </c>
      <c r="B565" s="1" t="s">
        <v>16</v>
      </c>
      <c r="C565" s="1">
        <v>4</v>
      </c>
      <c r="D565" s="1">
        <v>240</v>
      </c>
      <c r="E565" s="1">
        <v>100</v>
      </c>
      <c r="F565" s="1">
        <v>7</v>
      </c>
      <c r="G565" s="1">
        <v>25</v>
      </c>
      <c r="H565" s="1">
        <v>150</v>
      </c>
      <c r="I565" s="1">
        <v>100</v>
      </c>
      <c r="J565" s="1">
        <v>12.587</v>
      </c>
      <c r="K565" s="1">
        <v>49.651000000000003</v>
      </c>
      <c r="L565" s="1">
        <v>50.35</v>
      </c>
      <c r="M565" s="1">
        <v>66.5</v>
      </c>
      <c r="N565" s="1">
        <v>3.9359999999999999E-2</v>
      </c>
      <c r="O565" s="1">
        <v>3.1090000000000002E-4</v>
      </c>
      <c r="P565" s="1">
        <f>(Table1[[#This Row],[Rate_Constant_k2_g_mg_min]]*Table1[[#This Row],[Contact_Time_min]]*Table1[[#This Row],[qe_mg_g]]^2)/(1+Table1[[#This Row],[Contact_Time_min]]*Table1[[#This Row],[qe_mg_g]]*Table1[[#This Row],[Rate_Constant_k2_g_mg_min]])</f>
        <v>6.096150899825064</v>
      </c>
      <c r="Q565" s="1">
        <f>LN(Table1[[#This Row],[qe_mg_g]]-Table1[[#This Row],[qt]])</f>
        <v>1.8703933542344902</v>
      </c>
      <c r="R565" s="1">
        <v>3</v>
      </c>
    </row>
    <row r="566" spans="1:18" x14ac:dyDescent="0.3">
      <c r="A566" s="1">
        <v>565</v>
      </c>
      <c r="B566" s="1" t="s">
        <v>16</v>
      </c>
      <c r="C566" s="1">
        <v>4</v>
      </c>
      <c r="D566" s="1">
        <v>240</v>
      </c>
      <c r="E566" s="1">
        <v>100</v>
      </c>
      <c r="F566" s="1">
        <v>11</v>
      </c>
      <c r="G566" s="1">
        <v>25</v>
      </c>
      <c r="H566" s="1">
        <v>150</v>
      </c>
      <c r="I566" s="1">
        <v>100</v>
      </c>
      <c r="J566" s="1">
        <v>12.191000000000001</v>
      </c>
      <c r="K566" s="1">
        <v>51.234999999999999</v>
      </c>
      <c r="L566" s="1">
        <v>48.77</v>
      </c>
      <c r="M566" s="1">
        <v>62.5</v>
      </c>
      <c r="N566" s="1">
        <v>3.3279999999999997E-2</v>
      </c>
      <c r="O566" s="1">
        <v>3.0600000000000001E-4</v>
      </c>
      <c r="P566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5.7587968040471171</v>
      </c>
      <c r="Q566" s="1">
        <f>LN(Table1[[#This Row],[qe_mg_g]]-Table1[[#This Row],[qt]])</f>
        <v>1.8613171227882523</v>
      </c>
      <c r="R566" s="1">
        <v>1</v>
      </c>
    </row>
    <row r="567" spans="1:18" x14ac:dyDescent="0.3">
      <c r="A567" s="1">
        <v>566</v>
      </c>
      <c r="B567" s="1" t="s">
        <v>16</v>
      </c>
      <c r="C567" s="1">
        <v>4</v>
      </c>
      <c r="D567" s="1">
        <v>240</v>
      </c>
      <c r="E567" s="1">
        <v>100</v>
      </c>
      <c r="F567" s="1">
        <v>11</v>
      </c>
      <c r="G567" s="1">
        <v>25</v>
      </c>
      <c r="H567" s="1">
        <v>150</v>
      </c>
      <c r="I567" s="1">
        <v>100</v>
      </c>
      <c r="J567" s="1">
        <v>11.781000000000001</v>
      </c>
      <c r="K567" s="1">
        <v>52.874000000000002</v>
      </c>
      <c r="L567" s="1">
        <v>47.13</v>
      </c>
      <c r="M567" s="1">
        <v>70.7</v>
      </c>
      <c r="N567" s="1">
        <v>5.0560000000000001E-2</v>
      </c>
      <c r="O567" s="1">
        <v>2.6790000000000001E-4</v>
      </c>
      <c r="P567" s="1">
        <f>(Table1[[#This Row],[Rate_Constant_k2_g_mg_min]]*Table1[[#This Row],[Contact_Time_min]]*Table1[[#This Row],[qe_mg_g]]^2)/(1+Table1[[#This Row],[Contact_Time_min]]*Table1[[#This Row],[qe_mg_g]]*Table1[[#This Row],[Rate_Constant_k2_g_mg_min]])</f>
        <v>5.0776183679817013</v>
      </c>
      <c r="Q567" s="1">
        <f>LN(Table1[[#This Row],[qe_mg_g]]-Table1[[#This Row],[qt]])</f>
        <v>1.9026121202647801</v>
      </c>
      <c r="R567" s="1">
        <v>2</v>
      </c>
    </row>
    <row r="568" spans="1:18" x14ac:dyDescent="0.3">
      <c r="A568" s="1">
        <v>567</v>
      </c>
      <c r="B568" s="1" t="s">
        <v>16</v>
      </c>
      <c r="C568" s="1">
        <v>4</v>
      </c>
      <c r="D568" s="1">
        <v>240</v>
      </c>
      <c r="E568" s="1">
        <v>100</v>
      </c>
      <c r="F568" s="1">
        <v>11</v>
      </c>
      <c r="G568" s="1">
        <v>25</v>
      </c>
      <c r="H568" s="1">
        <v>150</v>
      </c>
      <c r="I568" s="1">
        <v>100</v>
      </c>
      <c r="J568" s="1">
        <v>12.003</v>
      </c>
      <c r="K568" s="1">
        <v>51.988</v>
      </c>
      <c r="L568" s="1">
        <v>48.01</v>
      </c>
      <c r="M568" s="1">
        <v>78.599999999999994</v>
      </c>
      <c r="N568" s="1">
        <v>3.6999999999999998E-2</v>
      </c>
      <c r="O568" s="1">
        <v>3.0959999999999999E-4</v>
      </c>
      <c r="P568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5.6584867861935813</v>
      </c>
      <c r="Q568" s="1">
        <f>LN(Table1[[#This Row],[qe_mg_g]]-Table1[[#This Row],[qt]])</f>
        <v>1.8475903785709893</v>
      </c>
      <c r="R568" s="1">
        <v>3</v>
      </c>
    </row>
    <row r="569" spans="1:18" x14ac:dyDescent="0.3">
      <c r="A569" s="1">
        <v>568</v>
      </c>
      <c r="B569" s="1" t="s">
        <v>16</v>
      </c>
      <c r="C569" s="1">
        <v>4</v>
      </c>
      <c r="D569" s="1">
        <v>240</v>
      </c>
      <c r="E569" s="1">
        <v>200</v>
      </c>
      <c r="F569" s="1">
        <v>3</v>
      </c>
      <c r="G569" s="1">
        <v>25</v>
      </c>
      <c r="H569" s="1">
        <v>150</v>
      </c>
      <c r="I569" s="1">
        <v>100</v>
      </c>
      <c r="J569" s="1">
        <v>23.257999999999999</v>
      </c>
      <c r="K569" s="1">
        <v>106.97</v>
      </c>
      <c r="L569" s="1">
        <v>46.52</v>
      </c>
      <c r="M569" s="1">
        <v>65.900000000000006</v>
      </c>
      <c r="N569" s="1">
        <v>4.6559999999999997E-2</v>
      </c>
      <c r="O569" s="1">
        <v>2.854E-4</v>
      </c>
      <c r="P569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14.288743252419431</v>
      </c>
      <c r="Q569" s="1">
        <f>LN(Table1[[#This Row],[qe_mg_g]]-Table1[[#This Row],[qt]])</f>
        <v>2.1938028128361444</v>
      </c>
      <c r="R569" s="1">
        <v>1</v>
      </c>
    </row>
    <row r="570" spans="1:18" x14ac:dyDescent="0.3">
      <c r="A570" s="1">
        <v>569</v>
      </c>
      <c r="B570" s="1" t="s">
        <v>16</v>
      </c>
      <c r="C570" s="1">
        <v>4</v>
      </c>
      <c r="D570" s="1">
        <v>240</v>
      </c>
      <c r="E570" s="1">
        <v>200</v>
      </c>
      <c r="F570" s="1">
        <v>3</v>
      </c>
      <c r="G570" s="1">
        <v>25</v>
      </c>
      <c r="H570" s="1">
        <v>150</v>
      </c>
      <c r="I570" s="1">
        <v>100</v>
      </c>
      <c r="J570" s="1">
        <v>22.925000000000001</v>
      </c>
      <c r="K570" s="1">
        <v>108.3</v>
      </c>
      <c r="L570" s="1">
        <v>45.85</v>
      </c>
      <c r="M570" s="1">
        <v>67</v>
      </c>
      <c r="N570" s="1">
        <v>4.011E-2</v>
      </c>
      <c r="O570" s="1">
        <v>2.6739999999999999E-4</v>
      </c>
      <c r="P570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13.648261100078392</v>
      </c>
      <c r="Q570" s="1">
        <f>LN(Table1[[#This Row],[qe_mg_g]]-Table1[[#This Row],[qt]])</f>
        <v>2.2275100733921893</v>
      </c>
      <c r="R570" s="1">
        <v>2</v>
      </c>
    </row>
    <row r="571" spans="1:18" x14ac:dyDescent="0.3">
      <c r="A571" s="1">
        <v>570</v>
      </c>
      <c r="B571" s="1" t="s">
        <v>16</v>
      </c>
      <c r="C571" s="1">
        <v>4</v>
      </c>
      <c r="D571" s="1">
        <v>240</v>
      </c>
      <c r="E571" s="1">
        <v>200</v>
      </c>
      <c r="F571" s="1">
        <v>3</v>
      </c>
      <c r="G571" s="1">
        <v>25</v>
      </c>
      <c r="H571" s="1">
        <v>150</v>
      </c>
      <c r="I571" s="1">
        <v>100</v>
      </c>
      <c r="J571" s="1">
        <v>25.552</v>
      </c>
      <c r="K571" s="1">
        <v>97.790999999999997</v>
      </c>
      <c r="L571" s="1">
        <v>51.1</v>
      </c>
      <c r="M571" s="1">
        <v>55.2</v>
      </c>
      <c r="N571" s="1">
        <v>4.8000000000000001E-2</v>
      </c>
      <c r="O571" s="1">
        <v>3.1389999999999999E-4</v>
      </c>
      <c r="P571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16.816230115123119</v>
      </c>
      <c r="Q571" s="1">
        <f>LN(Table1[[#This Row],[qe_mg_g]]-Table1[[#This Row],[qt]])</f>
        <v>2.1674260776387779</v>
      </c>
      <c r="R571" s="1">
        <v>3</v>
      </c>
    </row>
    <row r="572" spans="1:18" x14ac:dyDescent="0.3">
      <c r="A572" s="1">
        <v>571</v>
      </c>
      <c r="B572" s="1" t="s">
        <v>16</v>
      </c>
      <c r="C572" s="1">
        <v>4</v>
      </c>
      <c r="D572" s="1">
        <v>240</v>
      </c>
      <c r="E572" s="1">
        <v>200</v>
      </c>
      <c r="F572" s="1">
        <v>7</v>
      </c>
      <c r="G572" s="1">
        <v>25</v>
      </c>
      <c r="H572" s="1">
        <v>150</v>
      </c>
      <c r="I572" s="1">
        <v>100</v>
      </c>
      <c r="J572" s="1">
        <v>29.882999999999999</v>
      </c>
      <c r="K572" s="1">
        <v>80.465999999999994</v>
      </c>
      <c r="L572" s="1">
        <v>59.77</v>
      </c>
      <c r="M572" s="1">
        <v>59.9</v>
      </c>
      <c r="N572" s="1">
        <v>5.0369999999999998E-2</v>
      </c>
      <c r="O572" s="1">
        <v>2.7060000000000002E-4</v>
      </c>
      <c r="P572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19.721208252094989</v>
      </c>
      <c r="Q572" s="1">
        <f>LN(Table1[[#This Row],[qe_mg_g]]-Table1[[#This Row],[qt]])</f>
        <v>2.3186347797422058</v>
      </c>
      <c r="R572" s="1">
        <v>1</v>
      </c>
    </row>
    <row r="573" spans="1:18" x14ac:dyDescent="0.3">
      <c r="A573" s="1">
        <v>572</v>
      </c>
      <c r="B573" s="1" t="s">
        <v>16</v>
      </c>
      <c r="C573" s="1">
        <v>4</v>
      </c>
      <c r="D573" s="1">
        <v>240</v>
      </c>
      <c r="E573" s="1">
        <v>200</v>
      </c>
      <c r="F573" s="1">
        <v>7</v>
      </c>
      <c r="G573" s="1">
        <v>25</v>
      </c>
      <c r="H573" s="1">
        <v>150</v>
      </c>
      <c r="I573" s="1">
        <v>100</v>
      </c>
      <c r="J573" s="1">
        <v>33.381999999999998</v>
      </c>
      <c r="K573" s="1">
        <v>66.471000000000004</v>
      </c>
      <c r="L573" s="1">
        <v>66.760000000000005</v>
      </c>
      <c r="M573" s="1">
        <v>71.3</v>
      </c>
      <c r="N573" s="1">
        <v>4.8529999999999997E-2</v>
      </c>
      <c r="O573" s="1">
        <v>2.9250000000000001E-4</v>
      </c>
      <c r="P573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23.397602005182481</v>
      </c>
      <c r="Q573" s="1">
        <f>LN(Table1[[#This Row],[qe_mg_g]]-Table1[[#This Row],[qt]])</f>
        <v>2.3010236740955254</v>
      </c>
      <c r="R573" s="1">
        <v>2</v>
      </c>
    </row>
    <row r="574" spans="1:18" x14ac:dyDescent="0.3">
      <c r="A574" s="1">
        <v>573</v>
      </c>
      <c r="B574" s="1" t="s">
        <v>16</v>
      </c>
      <c r="C574" s="1">
        <v>4</v>
      </c>
      <c r="D574" s="1">
        <v>240</v>
      </c>
      <c r="E574" s="1">
        <v>200</v>
      </c>
      <c r="F574" s="1">
        <v>7</v>
      </c>
      <c r="G574" s="1">
        <v>25</v>
      </c>
      <c r="H574" s="1">
        <v>150</v>
      </c>
      <c r="I574" s="1">
        <v>100</v>
      </c>
      <c r="J574" s="1">
        <v>33.012999999999998</v>
      </c>
      <c r="K574" s="1">
        <v>67.947999999999993</v>
      </c>
      <c r="L574" s="1">
        <v>66.03</v>
      </c>
      <c r="M574" s="1">
        <v>80.900000000000006</v>
      </c>
      <c r="N574" s="1">
        <v>5.2830000000000002E-2</v>
      </c>
      <c r="O574" s="1">
        <v>3.2939999999999998E-4</v>
      </c>
      <c r="P574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23.867809836268137</v>
      </c>
      <c r="Q574" s="1">
        <f>LN(Table1[[#This Row],[qe_mg_g]]-Table1[[#This Row],[qt]])</f>
        <v>2.2132280759111427</v>
      </c>
      <c r="R574" s="1">
        <v>3</v>
      </c>
    </row>
    <row r="575" spans="1:18" x14ac:dyDescent="0.3">
      <c r="A575" s="1">
        <v>574</v>
      </c>
      <c r="B575" s="1" t="s">
        <v>16</v>
      </c>
      <c r="C575" s="1">
        <v>4</v>
      </c>
      <c r="D575" s="1">
        <v>240</v>
      </c>
      <c r="E575" s="1">
        <v>200</v>
      </c>
      <c r="F575" s="1">
        <v>11</v>
      </c>
      <c r="G575" s="1">
        <v>25</v>
      </c>
      <c r="H575" s="1">
        <v>150</v>
      </c>
      <c r="I575" s="1">
        <v>100</v>
      </c>
      <c r="J575" s="1">
        <v>28.568000000000001</v>
      </c>
      <c r="K575" s="1">
        <v>85.728999999999999</v>
      </c>
      <c r="L575" s="1">
        <v>57.14</v>
      </c>
      <c r="M575" s="1">
        <v>58.6</v>
      </c>
      <c r="N575" s="1">
        <v>4.1259999999999998E-2</v>
      </c>
      <c r="O575" s="1">
        <v>3.1569999999999998E-4</v>
      </c>
      <c r="P575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19.540464251413479</v>
      </c>
      <c r="Q575" s="1">
        <f>LN(Table1[[#This Row],[qe_mg_g]]-Table1[[#This Row],[qt]])</f>
        <v>2.2002794341269105</v>
      </c>
      <c r="R575" s="1">
        <v>1</v>
      </c>
    </row>
    <row r="576" spans="1:18" x14ac:dyDescent="0.3">
      <c r="A576" s="1">
        <v>575</v>
      </c>
      <c r="B576" s="1" t="s">
        <v>16</v>
      </c>
      <c r="C576" s="1">
        <v>4</v>
      </c>
      <c r="D576" s="1">
        <v>240</v>
      </c>
      <c r="E576" s="1">
        <v>200</v>
      </c>
      <c r="F576" s="1">
        <v>11</v>
      </c>
      <c r="G576" s="1">
        <v>25</v>
      </c>
      <c r="H576" s="1">
        <v>150</v>
      </c>
      <c r="I576" s="1">
        <v>100</v>
      </c>
      <c r="J576" s="1">
        <v>29.324000000000002</v>
      </c>
      <c r="K576" s="1">
        <v>82.704999999999998</v>
      </c>
      <c r="L576" s="1">
        <v>58.65</v>
      </c>
      <c r="M576" s="1">
        <v>80.7</v>
      </c>
      <c r="N576" s="1">
        <v>4.793E-2</v>
      </c>
      <c r="O576" s="1">
        <v>2.5490000000000002E-4</v>
      </c>
      <c r="P576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18.828371181007043</v>
      </c>
      <c r="Q576" s="1">
        <f>LN(Table1[[#This Row],[qe_mg_g]]-Table1[[#This Row],[qt]])</f>
        <v>2.3509588675322948</v>
      </c>
      <c r="R576" s="1">
        <v>2</v>
      </c>
    </row>
    <row r="577" spans="1:18" x14ac:dyDescent="0.3">
      <c r="A577" s="1">
        <v>576</v>
      </c>
      <c r="B577" s="1" t="s">
        <v>16</v>
      </c>
      <c r="C577" s="1">
        <v>4</v>
      </c>
      <c r="D577" s="1">
        <v>240</v>
      </c>
      <c r="E577" s="1">
        <v>200</v>
      </c>
      <c r="F577" s="1">
        <v>11</v>
      </c>
      <c r="G577" s="1">
        <v>25</v>
      </c>
      <c r="H577" s="1">
        <v>150</v>
      </c>
      <c r="I577" s="1">
        <v>100</v>
      </c>
      <c r="J577" s="1">
        <v>30.762</v>
      </c>
      <c r="K577" s="1">
        <v>76.951999999999998</v>
      </c>
      <c r="L577" s="1">
        <v>61.52</v>
      </c>
      <c r="M577" s="1">
        <v>56.7</v>
      </c>
      <c r="N577" s="1">
        <v>4.3270000000000003E-2</v>
      </c>
      <c r="O577" s="1">
        <v>3.0749999999999999E-4</v>
      </c>
      <c r="P577" s="1">
        <f>(Table1[[#This Row],[Rate_Constant_k2_g_mg_min]]*Table1[[#This Row],[Contact_Time_min]]*Table1[[#This Row],[qe_mg_g]]^2)/(1+Table1[[#This Row],[Contact_Time_min]]*Table1[[#This Row],[qe_mg_g]]*Table1[[#This Row],[Rate_Constant_k2_g_mg_min]])</f>
        <v>21.355338290366607</v>
      </c>
      <c r="Q577" s="1">
        <f>LN(Table1[[#This Row],[qe_mg_g]]-Table1[[#This Row],[qt]])</f>
        <v>2.241418130786192</v>
      </c>
      <c r="R577" s="1">
        <v>3</v>
      </c>
    </row>
    <row r="578" spans="1:18" x14ac:dyDescent="0.3">
      <c r="A578" s="1">
        <v>577</v>
      </c>
      <c r="B578" s="1" t="s">
        <v>17</v>
      </c>
      <c r="C578" s="1">
        <v>0.5</v>
      </c>
      <c r="D578" s="1">
        <v>30</v>
      </c>
      <c r="E578" s="1">
        <v>25</v>
      </c>
      <c r="F578" s="1">
        <v>3</v>
      </c>
      <c r="G578" s="1">
        <v>25</v>
      </c>
      <c r="H578" s="1">
        <v>150</v>
      </c>
      <c r="I578" s="1">
        <v>100</v>
      </c>
      <c r="J578" s="1">
        <v>6.4349999999999996</v>
      </c>
      <c r="K578" s="1">
        <v>21.782</v>
      </c>
      <c r="L578" s="1">
        <v>12.87</v>
      </c>
      <c r="M578" s="1">
        <v>125.7</v>
      </c>
      <c r="N578" s="1">
        <v>3.712E-2</v>
      </c>
      <c r="O578" s="1">
        <v>1.963E-4</v>
      </c>
      <c r="P57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0.23495513325729453</v>
      </c>
      <c r="Q578" s="1">
        <f>LN(Table1[[#This Row],[qe_mg_g]]-Table1[[#This Row],[qt]])</f>
        <v>1.8245565285962662</v>
      </c>
      <c r="R578" s="1">
        <v>1</v>
      </c>
    </row>
    <row r="579" spans="1:18" x14ac:dyDescent="0.3">
      <c r="A579" s="1">
        <v>578</v>
      </c>
      <c r="B579" s="1" t="s">
        <v>17</v>
      </c>
      <c r="C579" s="1">
        <v>0.5</v>
      </c>
      <c r="D579" s="1">
        <v>30</v>
      </c>
      <c r="E579" s="1">
        <v>25</v>
      </c>
      <c r="F579" s="1">
        <v>3</v>
      </c>
      <c r="G579" s="1">
        <v>25</v>
      </c>
      <c r="H579" s="1">
        <v>150</v>
      </c>
      <c r="I579" s="1">
        <v>100</v>
      </c>
      <c r="J579" s="1">
        <v>5.6520000000000001</v>
      </c>
      <c r="K579" s="1">
        <v>22.173999999999999</v>
      </c>
      <c r="L579" s="1">
        <v>11.3</v>
      </c>
      <c r="M579" s="1">
        <v>97.1</v>
      </c>
      <c r="N579" s="1">
        <v>3.388E-2</v>
      </c>
      <c r="O579" s="1">
        <v>2.3589999999999999E-4</v>
      </c>
      <c r="P57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0.21738045581042581</v>
      </c>
      <c r="Q579" s="1">
        <f>LN(Table1[[#This Row],[qe_mg_g]]-Table1[[#This Row],[qt]])</f>
        <v>1.692789517053908</v>
      </c>
      <c r="R579" s="1">
        <v>2</v>
      </c>
    </row>
    <row r="580" spans="1:18" x14ac:dyDescent="0.3">
      <c r="A580" s="1">
        <v>579</v>
      </c>
      <c r="B580" s="1" t="s">
        <v>17</v>
      </c>
      <c r="C580" s="1">
        <v>0.5</v>
      </c>
      <c r="D580" s="1">
        <v>30</v>
      </c>
      <c r="E580" s="1">
        <v>25</v>
      </c>
      <c r="F580" s="1">
        <v>3</v>
      </c>
      <c r="G580" s="1">
        <v>25</v>
      </c>
      <c r="H580" s="1">
        <v>150</v>
      </c>
      <c r="I580" s="1">
        <v>100</v>
      </c>
      <c r="J580" s="1">
        <v>5.4880000000000004</v>
      </c>
      <c r="K580" s="1">
        <v>22.256</v>
      </c>
      <c r="L580" s="1">
        <v>10.98</v>
      </c>
      <c r="M580" s="1">
        <v>92.1</v>
      </c>
      <c r="N580" s="1">
        <v>3.7330000000000002E-2</v>
      </c>
      <c r="O580" s="1">
        <v>2.084E-4</v>
      </c>
      <c r="P58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0.18205224604326353</v>
      </c>
      <c r="Q580" s="1">
        <f>LN(Table1[[#This Row],[qe_mg_g]]-Table1[[#This Row],[qt]])</f>
        <v>1.6688284090701488</v>
      </c>
      <c r="R580" s="1">
        <v>3</v>
      </c>
    </row>
    <row r="581" spans="1:18" x14ac:dyDescent="0.3">
      <c r="A581" s="1">
        <v>580</v>
      </c>
      <c r="B581" s="1" t="s">
        <v>17</v>
      </c>
      <c r="C581" s="1">
        <v>0.5</v>
      </c>
      <c r="D581" s="1">
        <v>30</v>
      </c>
      <c r="E581" s="1">
        <v>25</v>
      </c>
      <c r="F581" s="1">
        <v>7</v>
      </c>
      <c r="G581" s="1">
        <v>25</v>
      </c>
      <c r="H581" s="1">
        <v>150</v>
      </c>
      <c r="I581" s="1">
        <v>100</v>
      </c>
      <c r="J581" s="1">
        <v>9.8019999999999996</v>
      </c>
      <c r="K581" s="1">
        <v>20.099</v>
      </c>
      <c r="L581" s="1">
        <v>19.600000000000001</v>
      </c>
      <c r="M581" s="1">
        <v>77.8</v>
      </c>
      <c r="N581" s="1">
        <v>3.3050000000000003E-2</v>
      </c>
      <c r="O581" s="1">
        <v>1.7799999999999999E-4</v>
      </c>
      <c r="P58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0.48754361018598985</v>
      </c>
      <c r="Q581" s="1">
        <f>LN(Table1[[#This Row],[qe_mg_g]]-Table1[[#This Row],[qt]])</f>
        <v>2.2315676437691967</v>
      </c>
      <c r="R581" s="1">
        <v>1</v>
      </c>
    </row>
    <row r="582" spans="1:18" x14ac:dyDescent="0.3">
      <c r="A582" s="1">
        <v>581</v>
      </c>
      <c r="B582" s="1" t="s">
        <v>17</v>
      </c>
      <c r="C582" s="1">
        <v>0.5</v>
      </c>
      <c r="D582" s="1">
        <v>30</v>
      </c>
      <c r="E582" s="1">
        <v>25</v>
      </c>
      <c r="F582" s="1">
        <v>7</v>
      </c>
      <c r="G582" s="1">
        <v>25</v>
      </c>
      <c r="H582" s="1">
        <v>150</v>
      </c>
      <c r="I582" s="1">
        <v>100</v>
      </c>
      <c r="J582" s="1">
        <v>9.44</v>
      </c>
      <c r="K582" s="1">
        <v>20.28</v>
      </c>
      <c r="L582" s="1">
        <v>18.88</v>
      </c>
      <c r="M582" s="1">
        <v>95.7</v>
      </c>
      <c r="N582" s="1">
        <v>3.6600000000000001E-2</v>
      </c>
      <c r="O582" s="1">
        <v>2.3350000000000001E-4</v>
      </c>
      <c r="P58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0.58552184767446136</v>
      </c>
      <c r="Q582" s="1">
        <f>LN(Table1[[#This Row],[qe_mg_g]]-Table1[[#This Row],[qt]])</f>
        <v>2.1809233369545065</v>
      </c>
      <c r="R582" s="1">
        <v>2</v>
      </c>
    </row>
    <row r="583" spans="1:18" x14ac:dyDescent="0.3">
      <c r="A583" s="1">
        <v>582</v>
      </c>
      <c r="B583" s="1" t="s">
        <v>17</v>
      </c>
      <c r="C583" s="1">
        <v>0.5</v>
      </c>
      <c r="D583" s="1">
        <v>30</v>
      </c>
      <c r="E583" s="1">
        <v>25</v>
      </c>
      <c r="F583" s="1">
        <v>7</v>
      </c>
      <c r="G583" s="1">
        <v>25</v>
      </c>
      <c r="H583" s="1">
        <v>150</v>
      </c>
      <c r="I583" s="1">
        <v>100</v>
      </c>
      <c r="J583" s="1">
        <v>9.0380000000000003</v>
      </c>
      <c r="K583" s="1">
        <v>20.481000000000002</v>
      </c>
      <c r="L583" s="1">
        <v>18.079999999999998</v>
      </c>
      <c r="M583" s="1">
        <v>94.3</v>
      </c>
      <c r="N583" s="1">
        <v>3.1179999999999999E-2</v>
      </c>
      <c r="O583" s="1">
        <v>1.9230000000000001E-4</v>
      </c>
      <c r="P58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0.44789023039174342</v>
      </c>
      <c r="Q583" s="1">
        <f>LN(Table1[[#This Row],[qe_mg_g]]-Table1[[#This Row],[qt]])</f>
        <v>2.1506115146814846</v>
      </c>
      <c r="R583" s="1">
        <v>3</v>
      </c>
    </row>
    <row r="584" spans="1:18" x14ac:dyDescent="0.3">
      <c r="A584" s="1">
        <v>583</v>
      </c>
      <c r="B584" s="1" t="s">
        <v>17</v>
      </c>
      <c r="C584" s="1">
        <v>0.5</v>
      </c>
      <c r="D584" s="1">
        <v>30</v>
      </c>
      <c r="E584" s="1">
        <v>25</v>
      </c>
      <c r="F584" s="1">
        <v>11</v>
      </c>
      <c r="G584" s="1">
        <v>25</v>
      </c>
      <c r="H584" s="1">
        <v>150</v>
      </c>
      <c r="I584" s="1">
        <v>100</v>
      </c>
      <c r="J584" s="1">
        <v>7.2119999999999997</v>
      </c>
      <c r="K584" s="1">
        <v>21.393999999999998</v>
      </c>
      <c r="L584" s="1">
        <v>14.42</v>
      </c>
      <c r="M584" s="1">
        <v>96.6</v>
      </c>
      <c r="N584" s="1">
        <v>3.397E-2</v>
      </c>
      <c r="O584" s="1">
        <v>1.986E-4</v>
      </c>
      <c r="P58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0.29712588948273111</v>
      </c>
      <c r="Q584" s="1">
        <f>LN(Table1[[#This Row],[qe_mg_g]]-Table1[[#This Row],[qt]])</f>
        <v>1.9336747596751205</v>
      </c>
      <c r="R584" s="1">
        <v>1</v>
      </c>
    </row>
    <row r="585" spans="1:18" x14ac:dyDescent="0.3">
      <c r="A585" s="1">
        <v>584</v>
      </c>
      <c r="B585" s="1" t="s">
        <v>17</v>
      </c>
      <c r="C585" s="1">
        <v>0.5</v>
      </c>
      <c r="D585" s="1">
        <v>30</v>
      </c>
      <c r="E585" s="1">
        <v>25</v>
      </c>
      <c r="F585" s="1">
        <v>11</v>
      </c>
      <c r="G585" s="1">
        <v>25</v>
      </c>
      <c r="H585" s="1">
        <v>150</v>
      </c>
      <c r="I585" s="1">
        <v>100</v>
      </c>
      <c r="J585" s="1">
        <v>5.72</v>
      </c>
      <c r="K585" s="1">
        <v>22.14</v>
      </c>
      <c r="L585" s="1">
        <v>11.44</v>
      </c>
      <c r="M585" s="1">
        <v>81.099999999999994</v>
      </c>
      <c r="N585" s="1">
        <v>3.8120000000000001E-2</v>
      </c>
      <c r="O585" s="1">
        <v>2.1149999999999999E-4</v>
      </c>
      <c r="P58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0.20032767554053704</v>
      </c>
      <c r="Q585" s="1">
        <f>LN(Table1[[#This Row],[qe_mg_g]]-Table1[[#This Row],[qt]])</f>
        <v>1.7083184970160727</v>
      </c>
      <c r="R585" s="1">
        <v>2</v>
      </c>
    </row>
    <row r="586" spans="1:18" x14ac:dyDescent="0.3">
      <c r="A586" s="1">
        <v>585</v>
      </c>
      <c r="B586" s="1" t="s">
        <v>17</v>
      </c>
      <c r="C586" s="1">
        <v>0.5</v>
      </c>
      <c r="D586" s="1">
        <v>30</v>
      </c>
      <c r="E586" s="1">
        <v>25</v>
      </c>
      <c r="F586" s="1">
        <v>11</v>
      </c>
      <c r="G586" s="1">
        <v>25</v>
      </c>
      <c r="H586" s="1">
        <v>150</v>
      </c>
      <c r="I586" s="1">
        <v>100</v>
      </c>
      <c r="J586" s="1">
        <v>7.0810000000000004</v>
      </c>
      <c r="K586" s="1">
        <v>21.46</v>
      </c>
      <c r="L586" s="1">
        <v>14.16</v>
      </c>
      <c r="M586" s="1">
        <v>86.4</v>
      </c>
      <c r="N586" s="1">
        <v>3.5020000000000003E-2</v>
      </c>
      <c r="O586" s="1">
        <v>1.8679999999999999E-4</v>
      </c>
      <c r="P58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0.27026314236853083</v>
      </c>
      <c r="Q586" s="1">
        <f>LN(Table1[[#This Row],[qe_mg_g]]-Table1[[#This Row],[qt]])</f>
        <v>1.9185003166033447</v>
      </c>
      <c r="R586" s="1">
        <v>3</v>
      </c>
    </row>
    <row r="587" spans="1:18" x14ac:dyDescent="0.3">
      <c r="A587" s="1">
        <v>586</v>
      </c>
      <c r="B587" s="1" t="s">
        <v>17</v>
      </c>
      <c r="C587" s="1">
        <v>0.5</v>
      </c>
      <c r="D587" s="1">
        <v>30</v>
      </c>
      <c r="E587" s="1">
        <v>50</v>
      </c>
      <c r="F587" s="1">
        <v>3</v>
      </c>
      <c r="G587" s="1">
        <v>25</v>
      </c>
      <c r="H587" s="1">
        <v>150</v>
      </c>
      <c r="I587" s="1">
        <v>100</v>
      </c>
      <c r="J587" s="1">
        <v>18.079999999999998</v>
      </c>
      <c r="K587" s="1">
        <v>40.96</v>
      </c>
      <c r="L587" s="1">
        <v>18.079999999999998</v>
      </c>
      <c r="M587" s="1">
        <v>91.1</v>
      </c>
      <c r="N587" s="1">
        <v>3.6720000000000003E-2</v>
      </c>
      <c r="O587" s="1">
        <v>1.895E-4</v>
      </c>
      <c r="P58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1.6851421818654007</v>
      </c>
      <c r="Q587" s="1">
        <f>LN(Table1[[#This Row],[qe_mg_g]]-Table1[[#This Row],[qt]])</f>
        <v>2.7969677379890832</v>
      </c>
      <c r="R587" s="1">
        <v>1</v>
      </c>
    </row>
    <row r="588" spans="1:18" x14ac:dyDescent="0.3">
      <c r="A588" s="1">
        <v>587</v>
      </c>
      <c r="B588" s="1" t="s">
        <v>17</v>
      </c>
      <c r="C588" s="1">
        <v>0.5</v>
      </c>
      <c r="D588" s="1">
        <v>30</v>
      </c>
      <c r="E588" s="1">
        <v>50</v>
      </c>
      <c r="F588" s="1">
        <v>3</v>
      </c>
      <c r="G588" s="1">
        <v>25</v>
      </c>
      <c r="H588" s="1">
        <v>150</v>
      </c>
      <c r="I588" s="1">
        <v>100</v>
      </c>
      <c r="J588" s="1">
        <v>13.26</v>
      </c>
      <c r="K588" s="1">
        <v>43.37</v>
      </c>
      <c r="L588" s="1">
        <v>13.26</v>
      </c>
      <c r="M588" s="1">
        <v>99.8</v>
      </c>
      <c r="N588" s="1">
        <v>3.3320000000000002E-2</v>
      </c>
      <c r="O588" s="1">
        <v>1.827E-4</v>
      </c>
      <c r="P58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0.8984159474651694</v>
      </c>
      <c r="Q588" s="1">
        <f>LN(Table1[[#This Row],[qe_mg_g]]-Table1[[#This Row],[qt]])</f>
        <v>2.5145936034080028</v>
      </c>
      <c r="R588" s="1">
        <v>2</v>
      </c>
    </row>
    <row r="589" spans="1:18" x14ac:dyDescent="0.3">
      <c r="A589" s="1">
        <v>588</v>
      </c>
      <c r="B589" s="1" t="s">
        <v>17</v>
      </c>
      <c r="C589" s="1">
        <v>0.5</v>
      </c>
      <c r="D589" s="1">
        <v>30</v>
      </c>
      <c r="E589" s="1">
        <v>50</v>
      </c>
      <c r="F589" s="1">
        <v>3</v>
      </c>
      <c r="G589" s="1">
        <v>25</v>
      </c>
      <c r="H589" s="1">
        <v>150</v>
      </c>
      <c r="I589" s="1">
        <v>100</v>
      </c>
      <c r="J589" s="1">
        <v>18.071000000000002</v>
      </c>
      <c r="K589" s="1">
        <v>40.965000000000003</v>
      </c>
      <c r="L589" s="1">
        <v>18.07</v>
      </c>
      <c r="M589" s="1">
        <v>80.7</v>
      </c>
      <c r="N589" s="1">
        <v>3.8710000000000001E-2</v>
      </c>
      <c r="O589" s="1">
        <v>2.1230000000000001E-4</v>
      </c>
      <c r="P58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1.8651942338093004</v>
      </c>
      <c r="Q589" s="1">
        <f>LN(Table1[[#This Row],[qe_mg_g]]-Table1[[#This Row],[qt]])</f>
        <v>2.7853695586643954</v>
      </c>
      <c r="R589" s="1">
        <v>3</v>
      </c>
    </row>
    <row r="590" spans="1:18" x14ac:dyDescent="0.3">
      <c r="A590" s="1">
        <v>589</v>
      </c>
      <c r="B590" s="1" t="s">
        <v>17</v>
      </c>
      <c r="C590" s="1">
        <v>0.5</v>
      </c>
      <c r="D590" s="1">
        <v>30</v>
      </c>
      <c r="E590" s="1">
        <v>50</v>
      </c>
      <c r="F590" s="1">
        <v>7</v>
      </c>
      <c r="G590" s="1">
        <v>25</v>
      </c>
      <c r="H590" s="1">
        <v>150</v>
      </c>
      <c r="I590" s="1">
        <v>100</v>
      </c>
      <c r="J590" s="1">
        <v>29.43</v>
      </c>
      <c r="K590" s="1">
        <v>35.284999999999997</v>
      </c>
      <c r="L590" s="1">
        <v>29.43</v>
      </c>
      <c r="M590" s="1">
        <v>68.2</v>
      </c>
      <c r="N590" s="1">
        <v>3.9239999999999997E-2</v>
      </c>
      <c r="O590" s="1">
        <v>2.052E-4</v>
      </c>
      <c r="P59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4.5140496365691583</v>
      </c>
      <c r="Q590" s="1">
        <f>LN(Table1[[#This Row],[qe_mg_g]]-Table1[[#This Row],[qt]])</f>
        <v>3.2155081752335031</v>
      </c>
      <c r="R590" s="1">
        <v>1</v>
      </c>
    </row>
    <row r="591" spans="1:18" x14ac:dyDescent="0.3">
      <c r="A591" s="1">
        <v>590</v>
      </c>
      <c r="B591" s="1" t="s">
        <v>17</v>
      </c>
      <c r="C591" s="1">
        <v>0.5</v>
      </c>
      <c r="D591" s="1">
        <v>30</v>
      </c>
      <c r="E591" s="1">
        <v>50</v>
      </c>
      <c r="F591" s="1">
        <v>7</v>
      </c>
      <c r="G591" s="1">
        <v>25</v>
      </c>
      <c r="H591" s="1">
        <v>150</v>
      </c>
      <c r="I591" s="1">
        <v>100</v>
      </c>
      <c r="J591" s="1">
        <v>26.53</v>
      </c>
      <c r="K591" s="1">
        <v>36.734999999999999</v>
      </c>
      <c r="L591" s="1">
        <v>26.53</v>
      </c>
      <c r="M591" s="1">
        <v>87.6</v>
      </c>
      <c r="N591" s="1">
        <v>2.878E-2</v>
      </c>
      <c r="O591" s="1">
        <v>2.0819999999999999E-4</v>
      </c>
      <c r="P59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3.7712672220254984</v>
      </c>
      <c r="Q591" s="1">
        <f>LN(Table1[[#This Row],[qe_mg_g]]-Table1[[#This Row],[qt]])</f>
        <v>3.1249489301146878</v>
      </c>
      <c r="R591" s="1">
        <v>2</v>
      </c>
    </row>
    <row r="592" spans="1:18" x14ac:dyDescent="0.3">
      <c r="A592" s="1">
        <v>591</v>
      </c>
      <c r="B592" s="1" t="s">
        <v>17</v>
      </c>
      <c r="C592" s="1">
        <v>0.5</v>
      </c>
      <c r="D592" s="1">
        <v>30</v>
      </c>
      <c r="E592" s="1">
        <v>50</v>
      </c>
      <c r="F592" s="1">
        <v>7</v>
      </c>
      <c r="G592" s="1">
        <v>25</v>
      </c>
      <c r="H592" s="1">
        <v>150</v>
      </c>
      <c r="I592" s="1">
        <v>100</v>
      </c>
      <c r="J592" s="1">
        <v>24.712</v>
      </c>
      <c r="K592" s="1">
        <v>37.643999999999998</v>
      </c>
      <c r="L592" s="1">
        <v>24.71</v>
      </c>
      <c r="M592" s="1">
        <v>68.3</v>
      </c>
      <c r="N592" s="1">
        <v>2.9669999999999998E-2</v>
      </c>
      <c r="O592" s="1">
        <v>2.2230000000000001E-4</v>
      </c>
      <c r="P59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3.496419489210552</v>
      </c>
      <c r="Q592" s="1">
        <f>LN(Table1[[#This Row],[qe_mg_g]]-Table1[[#This Row],[qt]])</f>
        <v>3.0547358415035584</v>
      </c>
      <c r="R592" s="1">
        <v>3</v>
      </c>
    </row>
    <row r="593" spans="1:18" x14ac:dyDescent="0.3">
      <c r="A593" s="1">
        <v>592</v>
      </c>
      <c r="B593" s="1" t="s">
        <v>17</v>
      </c>
      <c r="C593" s="1">
        <v>0.5</v>
      </c>
      <c r="D593" s="1">
        <v>30</v>
      </c>
      <c r="E593" s="1">
        <v>50</v>
      </c>
      <c r="F593" s="1">
        <v>11</v>
      </c>
      <c r="G593" s="1">
        <v>25</v>
      </c>
      <c r="H593" s="1">
        <v>150</v>
      </c>
      <c r="I593" s="1">
        <v>100</v>
      </c>
      <c r="J593" s="1">
        <v>19.629000000000001</v>
      </c>
      <c r="K593" s="1">
        <v>40.186</v>
      </c>
      <c r="L593" s="1">
        <v>19.63</v>
      </c>
      <c r="M593" s="1">
        <v>105.4</v>
      </c>
      <c r="N593" s="1">
        <v>3.3119999999999997E-2</v>
      </c>
      <c r="O593" s="1">
        <v>1.6589999999999999E-4</v>
      </c>
      <c r="P59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1.746959694675545</v>
      </c>
      <c r="Q593" s="1">
        <f>LN(Table1[[#This Row],[qe_mg_g]]-Table1[[#This Row],[qt]])</f>
        <v>2.8837968742712423</v>
      </c>
      <c r="R593" s="1">
        <v>1</v>
      </c>
    </row>
    <row r="594" spans="1:18" x14ac:dyDescent="0.3">
      <c r="A594" s="1">
        <v>593</v>
      </c>
      <c r="B594" s="1" t="s">
        <v>17</v>
      </c>
      <c r="C594" s="1">
        <v>0.5</v>
      </c>
      <c r="D594" s="1">
        <v>30</v>
      </c>
      <c r="E594" s="1">
        <v>50</v>
      </c>
      <c r="F594" s="1">
        <v>11</v>
      </c>
      <c r="G594" s="1">
        <v>25</v>
      </c>
      <c r="H594" s="1">
        <v>150</v>
      </c>
      <c r="I594" s="1">
        <v>100</v>
      </c>
      <c r="J594" s="1">
        <v>18.608000000000001</v>
      </c>
      <c r="K594" s="1">
        <v>40.695999999999998</v>
      </c>
      <c r="L594" s="1">
        <v>18.61</v>
      </c>
      <c r="M594" s="1">
        <v>101.6</v>
      </c>
      <c r="N594" s="1">
        <v>3.4450000000000001E-2</v>
      </c>
      <c r="O594" s="1">
        <v>1.8900000000000001E-4</v>
      </c>
      <c r="P59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1.7759094384319614</v>
      </c>
      <c r="Q594" s="1">
        <f>LN(Table1[[#This Row],[qe_mg_g]]-Table1[[#This Row],[qt]])</f>
        <v>2.8232872168621204</v>
      </c>
      <c r="R594" s="1">
        <v>2</v>
      </c>
    </row>
    <row r="595" spans="1:18" x14ac:dyDescent="0.3">
      <c r="A595" s="1">
        <v>594</v>
      </c>
      <c r="B595" s="1" t="s">
        <v>17</v>
      </c>
      <c r="C595" s="1">
        <v>0.5</v>
      </c>
      <c r="D595" s="1">
        <v>30</v>
      </c>
      <c r="E595" s="1">
        <v>50</v>
      </c>
      <c r="F595" s="1">
        <v>11</v>
      </c>
      <c r="G595" s="1">
        <v>25</v>
      </c>
      <c r="H595" s="1">
        <v>150</v>
      </c>
      <c r="I595" s="1">
        <v>100</v>
      </c>
      <c r="J595" s="1">
        <v>21.282</v>
      </c>
      <c r="K595" s="1">
        <v>39.359000000000002</v>
      </c>
      <c r="L595" s="1">
        <v>21.28</v>
      </c>
      <c r="M595" s="1">
        <v>92.2</v>
      </c>
      <c r="N595" s="1">
        <v>3.891E-2</v>
      </c>
      <c r="O595" s="1">
        <v>2.2900000000000001E-4</v>
      </c>
      <c r="P59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2.7146786635304565</v>
      </c>
      <c r="Q595" s="1">
        <f>LN(Table1[[#This Row],[qe_mg_g]]-Table1[[#This Row],[qt]])</f>
        <v>2.9214031181355682</v>
      </c>
      <c r="R595" s="1">
        <v>3</v>
      </c>
    </row>
    <row r="596" spans="1:18" x14ac:dyDescent="0.3">
      <c r="A596" s="1">
        <v>595</v>
      </c>
      <c r="B596" s="1" t="s">
        <v>17</v>
      </c>
      <c r="C596" s="1">
        <v>0.5</v>
      </c>
      <c r="D596" s="1">
        <v>30</v>
      </c>
      <c r="E596" s="1">
        <v>100</v>
      </c>
      <c r="F596" s="1">
        <v>3</v>
      </c>
      <c r="G596" s="1">
        <v>25</v>
      </c>
      <c r="H596" s="1">
        <v>150</v>
      </c>
      <c r="I596" s="1">
        <v>100</v>
      </c>
      <c r="J596" s="1">
        <v>37.667000000000002</v>
      </c>
      <c r="K596" s="1">
        <v>81.165999999999997</v>
      </c>
      <c r="L596" s="1">
        <v>18.829999999999998</v>
      </c>
      <c r="M596" s="1">
        <v>68.7</v>
      </c>
      <c r="N596" s="1">
        <v>3.3550000000000003E-2</v>
      </c>
      <c r="O596" s="1">
        <v>2.052E-4</v>
      </c>
      <c r="P596" s="1">
        <f>(Table1[[#This Row],[Rate_Constant_k2_g_mg_min]]*Table1[[#This Row],[Contact_Time_min]]*Table1[[#This Row],[qe_mg_g]]^2)/(1+Table1[[#This Row],[Contact_Time_min]]*Table1[[#This Row],[qe_mg_g]]*Table1[[#This Row],[Rate_Constant_k2_g_mg_min]])</f>
        <v>7.0901097478794934</v>
      </c>
      <c r="Q596" s="1">
        <f>LN(Table1[[#This Row],[qe_mg_g]]-Table1[[#This Row],[qt]])</f>
        <v>3.4202445031167179</v>
      </c>
      <c r="R596" s="1">
        <v>1</v>
      </c>
    </row>
    <row r="597" spans="1:18" x14ac:dyDescent="0.3">
      <c r="A597" s="1">
        <v>596</v>
      </c>
      <c r="B597" s="1" t="s">
        <v>17</v>
      </c>
      <c r="C597" s="1">
        <v>0.5</v>
      </c>
      <c r="D597" s="1">
        <v>30</v>
      </c>
      <c r="E597" s="1">
        <v>100</v>
      </c>
      <c r="F597" s="1">
        <v>3</v>
      </c>
      <c r="G597" s="1">
        <v>25</v>
      </c>
      <c r="H597" s="1">
        <v>150</v>
      </c>
      <c r="I597" s="1">
        <v>100</v>
      </c>
      <c r="J597" s="1">
        <v>35.307000000000002</v>
      </c>
      <c r="K597" s="1">
        <v>82.346000000000004</v>
      </c>
      <c r="L597" s="1">
        <v>17.649999999999999</v>
      </c>
      <c r="M597" s="1">
        <v>73.400000000000006</v>
      </c>
      <c r="N597" s="1">
        <v>3.6200000000000003E-2</v>
      </c>
      <c r="O597" s="1">
        <v>1.9900000000000001E-4</v>
      </c>
      <c r="P597" s="1">
        <f>(Table1[[#This Row],[Rate_Constant_k2_g_mg_min]]*Table1[[#This Row],[Contact_Time_min]]*Table1[[#This Row],[qe_mg_g]]^2)/(1+Table1[[#This Row],[Contact_Time_min]]*Table1[[#This Row],[qe_mg_g]]*Table1[[#This Row],[Rate_Constant_k2_g_mg_min]])</f>
        <v>6.1465260557015364</v>
      </c>
      <c r="Q597" s="1">
        <f>LN(Table1[[#This Row],[qe_mg_g]]-Table1[[#This Row],[qt]])</f>
        <v>3.3728141602422044</v>
      </c>
      <c r="R597" s="1">
        <v>2</v>
      </c>
    </row>
    <row r="598" spans="1:18" x14ac:dyDescent="0.3">
      <c r="A598" s="1">
        <v>597</v>
      </c>
      <c r="B598" s="1" t="s">
        <v>17</v>
      </c>
      <c r="C598" s="1">
        <v>0.5</v>
      </c>
      <c r="D598" s="1">
        <v>30</v>
      </c>
      <c r="E598" s="1">
        <v>100</v>
      </c>
      <c r="F598" s="1">
        <v>3</v>
      </c>
      <c r="G598" s="1">
        <v>25</v>
      </c>
      <c r="H598" s="1">
        <v>150</v>
      </c>
      <c r="I598" s="1">
        <v>100</v>
      </c>
      <c r="J598" s="1">
        <v>39.201000000000001</v>
      </c>
      <c r="K598" s="1">
        <v>80.399000000000001</v>
      </c>
      <c r="L598" s="1">
        <v>19.600000000000001</v>
      </c>
      <c r="M598" s="1">
        <v>76</v>
      </c>
      <c r="N598" s="1">
        <v>3.4189999999999998E-2</v>
      </c>
      <c r="O598" s="1">
        <v>1.8149999999999999E-4</v>
      </c>
      <c r="P598" s="1">
        <f>(Table1[[#This Row],[Rate_Constant_k2_g_mg_min]]*Table1[[#This Row],[Contact_Time_min]]*Table1[[#This Row],[qe_mg_g]]^2)/(1+Table1[[#This Row],[Contact_Time_min]]*Table1[[#This Row],[qe_mg_g]]*Table1[[#This Row],[Rate_Constant_k2_g_mg_min]])</f>
        <v>6.8955750302766026</v>
      </c>
      <c r="Q598" s="1">
        <f>LN(Table1[[#This Row],[qe_mg_g]]-Table1[[#This Row],[qt]])</f>
        <v>3.4752351718446186</v>
      </c>
      <c r="R598" s="1">
        <v>3</v>
      </c>
    </row>
    <row r="599" spans="1:18" x14ac:dyDescent="0.3">
      <c r="A599" s="1">
        <v>598</v>
      </c>
      <c r="B599" s="1" t="s">
        <v>17</v>
      </c>
      <c r="C599" s="1">
        <v>0.5</v>
      </c>
      <c r="D599" s="1">
        <v>30</v>
      </c>
      <c r="E599" s="1">
        <v>100</v>
      </c>
      <c r="F599" s="1">
        <v>7</v>
      </c>
      <c r="G599" s="1">
        <v>25</v>
      </c>
      <c r="H599" s="1">
        <v>150</v>
      </c>
      <c r="I599" s="1">
        <v>100</v>
      </c>
      <c r="J599" s="1">
        <v>67.123000000000005</v>
      </c>
      <c r="K599" s="1">
        <v>66.438000000000002</v>
      </c>
      <c r="L599" s="1">
        <v>33.56</v>
      </c>
      <c r="M599" s="1">
        <v>99</v>
      </c>
      <c r="N599" s="1">
        <v>2.8539999999999999E-2</v>
      </c>
      <c r="O599" s="1">
        <v>1.8139999999999999E-4</v>
      </c>
      <c r="P599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17.95884721561751</v>
      </c>
      <c r="Q599" s="1">
        <f>LN(Table1[[#This Row],[qe_mg_g]]-Table1[[#This Row],[qt]])</f>
        <v>3.8951647559954221</v>
      </c>
      <c r="R599" s="1">
        <v>1</v>
      </c>
    </row>
    <row r="600" spans="1:18" x14ac:dyDescent="0.3">
      <c r="A600" s="1">
        <v>599</v>
      </c>
      <c r="B600" s="1" t="s">
        <v>17</v>
      </c>
      <c r="C600" s="1">
        <v>0.5</v>
      </c>
      <c r="D600" s="1">
        <v>30</v>
      </c>
      <c r="E600" s="1">
        <v>100</v>
      </c>
      <c r="F600" s="1">
        <v>7</v>
      </c>
      <c r="G600" s="1">
        <v>25</v>
      </c>
      <c r="H600" s="1">
        <v>150</v>
      </c>
      <c r="I600" s="1">
        <v>100</v>
      </c>
      <c r="J600" s="1">
        <v>52.411999999999999</v>
      </c>
      <c r="K600" s="1">
        <v>73.793999999999997</v>
      </c>
      <c r="L600" s="1">
        <v>26.21</v>
      </c>
      <c r="M600" s="1">
        <v>77.400000000000006</v>
      </c>
      <c r="N600" s="1">
        <v>3.4709999999999998E-2</v>
      </c>
      <c r="O600" s="1">
        <v>1.7100000000000001E-4</v>
      </c>
      <c r="P600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11.106071929436371</v>
      </c>
      <c r="Q600" s="1">
        <f>LN(Table1[[#This Row],[qe_mg_g]]-Table1[[#This Row],[qt]])</f>
        <v>3.7210060264840847</v>
      </c>
      <c r="R600" s="1">
        <v>2</v>
      </c>
    </row>
    <row r="601" spans="1:18" x14ac:dyDescent="0.3">
      <c r="A601" s="1">
        <v>600</v>
      </c>
      <c r="B601" s="1" t="s">
        <v>17</v>
      </c>
      <c r="C601" s="1">
        <v>0.5</v>
      </c>
      <c r="D601" s="1">
        <v>30</v>
      </c>
      <c r="E601" s="1">
        <v>100</v>
      </c>
      <c r="F601" s="1">
        <v>7</v>
      </c>
      <c r="G601" s="1">
        <v>25</v>
      </c>
      <c r="H601" s="1">
        <v>150</v>
      </c>
      <c r="I601" s="1">
        <v>100</v>
      </c>
      <c r="J601" s="1">
        <v>55.954000000000001</v>
      </c>
      <c r="K601" s="1">
        <v>72.022999999999996</v>
      </c>
      <c r="L601" s="1">
        <v>27.98</v>
      </c>
      <c r="M601" s="1">
        <v>72.8</v>
      </c>
      <c r="N601" s="1">
        <v>3.5729999999999998E-2</v>
      </c>
      <c r="O601" s="1">
        <v>2.0139999999999999E-4</v>
      </c>
      <c r="P601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14.13718182966236</v>
      </c>
      <c r="Q601" s="1">
        <f>LN(Table1[[#This Row],[qe_mg_g]]-Table1[[#This Row],[qt]])</f>
        <v>3.7332986071828991</v>
      </c>
      <c r="R601" s="1">
        <v>3</v>
      </c>
    </row>
    <row r="602" spans="1:18" x14ac:dyDescent="0.3">
      <c r="A602" s="1">
        <v>601</v>
      </c>
      <c r="B602" s="1" t="s">
        <v>17</v>
      </c>
      <c r="C602" s="1">
        <v>0.5</v>
      </c>
      <c r="D602" s="1">
        <v>30</v>
      </c>
      <c r="E602" s="1">
        <v>100</v>
      </c>
      <c r="F602" s="1">
        <v>11</v>
      </c>
      <c r="G602" s="1">
        <v>25</v>
      </c>
      <c r="H602" s="1">
        <v>150</v>
      </c>
      <c r="I602" s="1">
        <v>100</v>
      </c>
      <c r="J602" s="1">
        <v>44.314</v>
      </c>
      <c r="K602" s="1">
        <v>77.843000000000004</v>
      </c>
      <c r="L602" s="1">
        <v>22.16</v>
      </c>
      <c r="M602" s="1">
        <v>88</v>
      </c>
      <c r="N602" s="1">
        <v>3.3090000000000001E-2</v>
      </c>
      <c r="O602" s="1">
        <v>1.9459999999999999E-4</v>
      </c>
      <c r="P602" s="1">
        <f>(Table1[[#This Row],[Rate_Constant_k2_g_mg_min]]*Table1[[#This Row],[Contact_Time_min]]*Table1[[#This Row],[qe_mg_g]]^2)/(1+Table1[[#This Row],[Contact_Time_min]]*Table1[[#This Row],[qe_mg_g]]*Table1[[#This Row],[Rate_Constant_k2_g_mg_min]])</f>
        <v>9.1079784518174183</v>
      </c>
      <c r="Q602" s="1">
        <f>LN(Table1[[#This Row],[qe_mg_g]]-Table1[[#This Row],[qt]])</f>
        <v>3.5612171346835426</v>
      </c>
      <c r="R602" s="1">
        <v>1</v>
      </c>
    </row>
    <row r="603" spans="1:18" x14ac:dyDescent="0.3">
      <c r="A603" s="1">
        <v>602</v>
      </c>
      <c r="B603" s="1" t="s">
        <v>17</v>
      </c>
      <c r="C603" s="1">
        <v>0.5</v>
      </c>
      <c r="D603" s="1">
        <v>30</v>
      </c>
      <c r="E603" s="1">
        <v>100</v>
      </c>
      <c r="F603" s="1">
        <v>11</v>
      </c>
      <c r="G603" s="1">
        <v>25</v>
      </c>
      <c r="H603" s="1">
        <v>150</v>
      </c>
      <c r="I603" s="1">
        <v>100</v>
      </c>
      <c r="J603" s="1">
        <v>55.753999999999998</v>
      </c>
      <c r="K603" s="1">
        <v>72.123000000000005</v>
      </c>
      <c r="L603" s="1">
        <v>27.88</v>
      </c>
      <c r="M603" s="1">
        <v>102.9</v>
      </c>
      <c r="N603" s="1">
        <v>3.0450000000000001E-2</v>
      </c>
      <c r="O603" s="1">
        <v>2.1660000000000001E-4</v>
      </c>
      <c r="P603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14.827309801320849</v>
      </c>
      <c r="Q603" s="1">
        <f>LN(Table1[[#This Row],[qe_mg_g]]-Table1[[#This Row],[qt]])</f>
        <v>3.7117824223110185</v>
      </c>
      <c r="R603" s="1">
        <v>2</v>
      </c>
    </row>
    <row r="604" spans="1:18" x14ac:dyDescent="0.3">
      <c r="A604" s="1">
        <v>603</v>
      </c>
      <c r="B604" s="1" t="s">
        <v>17</v>
      </c>
      <c r="C604" s="1">
        <v>0.5</v>
      </c>
      <c r="D604" s="1">
        <v>30</v>
      </c>
      <c r="E604" s="1">
        <v>100</v>
      </c>
      <c r="F604" s="1">
        <v>11</v>
      </c>
      <c r="G604" s="1">
        <v>25</v>
      </c>
      <c r="H604" s="1">
        <v>150</v>
      </c>
      <c r="I604" s="1">
        <v>100</v>
      </c>
      <c r="J604" s="1">
        <v>51.637</v>
      </c>
      <c r="K604" s="1">
        <v>74.182000000000002</v>
      </c>
      <c r="L604" s="1">
        <v>25.82</v>
      </c>
      <c r="M604" s="1">
        <v>71</v>
      </c>
      <c r="N604" s="1">
        <v>3.7870000000000001E-2</v>
      </c>
      <c r="O604" s="1">
        <v>2.308E-4</v>
      </c>
      <c r="P604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13.599663451489162</v>
      </c>
      <c r="Q604" s="1">
        <f>LN(Table1[[#This Row],[qe_mg_g]]-Table1[[#This Row],[qt]])</f>
        <v>3.6385682180994521</v>
      </c>
      <c r="R604" s="1">
        <v>3</v>
      </c>
    </row>
    <row r="605" spans="1:18" x14ac:dyDescent="0.3">
      <c r="A605" s="1">
        <v>604</v>
      </c>
      <c r="B605" s="1" t="s">
        <v>17</v>
      </c>
      <c r="C605" s="1">
        <v>0.5</v>
      </c>
      <c r="D605" s="1">
        <v>30</v>
      </c>
      <c r="E605" s="1">
        <v>200</v>
      </c>
      <c r="F605" s="1">
        <v>3</v>
      </c>
      <c r="G605" s="1">
        <v>25</v>
      </c>
      <c r="H605" s="1">
        <v>150</v>
      </c>
      <c r="I605" s="1">
        <v>100</v>
      </c>
      <c r="J605" s="1">
        <v>47.186</v>
      </c>
      <c r="K605" s="1">
        <v>176.40700000000001</v>
      </c>
      <c r="L605" s="1">
        <v>11.8</v>
      </c>
      <c r="M605" s="1">
        <v>73.900000000000006</v>
      </c>
      <c r="N605" s="1">
        <v>3.8559999999999997E-2</v>
      </c>
      <c r="O605" s="1">
        <v>2.0540000000000001E-4</v>
      </c>
      <c r="P605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10.629246479199436</v>
      </c>
      <c r="Q605" s="1">
        <f>LN(Table1[[#This Row],[qe_mg_g]]-Table1[[#This Row],[qt]])</f>
        <v>3.598865943977922</v>
      </c>
      <c r="R605" s="1">
        <v>1</v>
      </c>
    </row>
    <row r="606" spans="1:18" x14ac:dyDescent="0.3">
      <c r="A606" s="1">
        <v>605</v>
      </c>
      <c r="B606" s="1" t="s">
        <v>17</v>
      </c>
      <c r="C606" s="1">
        <v>0.5</v>
      </c>
      <c r="D606" s="1">
        <v>30</v>
      </c>
      <c r="E606" s="1">
        <v>200</v>
      </c>
      <c r="F606" s="1">
        <v>3</v>
      </c>
      <c r="G606" s="1">
        <v>25</v>
      </c>
      <c r="H606" s="1">
        <v>150</v>
      </c>
      <c r="I606" s="1">
        <v>100</v>
      </c>
      <c r="J606" s="1">
        <v>56.082999999999998</v>
      </c>
      <c r="K606" s="1">
        <v>171.958</v>
      </c>
      <c r="L606" s="1">
        <v>14.02</v>
      </c>
      <c r="M606" s="1">
        <v>90.1</v>
      </c>
      <c r="N606" s="1">
        <v>3.637E-2</v>
      </c>
      <c r="O606" s="1">
        <v>1.7349999999999999E-4</v>
      </c>
      <c r="P606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12.672148990924121</v>
      </c>
      <c r="Q606" s="1">
        <f>LN(Table1[[#This Row],[qe_mg_g]]-Table1[[#This Row],[qt]])</f>
        <v>3.7707094331063513</v>
      </c>
      <c r="R606" s="1">
        <v>2</v>
      </c>
    </row>
    <row r="607" spans="1:18" x14ac:dyDescent="0.3">
      <c r="A607" s="1">
        <v>606</v>
      </c>
      <c r="B607" s="1" t="s">
        <v>17</v>
      </c>
      <c r="C607" s="1">
        <v>0.5</v>
      </c>
      <c r="D607" s="1">
        <v>30</v>
      </c>
      <c r="E607" s="1">
        <v>200</v>
      </c>
      <c r="F607" s="1">
        <v>3</v>
      </c>
      <c r="G607" s="1">
        <v>25</v>
      </c>
      <c r="H607" s="1">
        <v>150</v>
      </c>
      <c r="I607" s="1">
        <v>100</v>
      </c>
      <c r="J607" s="1">
        <v>58.719000000000001</v>
      </c>
      <c r="K607" s="1">
        <v>170.64099999999999</v>
      </c>
      <c r="L607" s="1">
        <v>14.68</v>
      </c>
      <c r="M607" s="1">
        <v>100.8</v>
      </c>
      <c r="N607" s="1">
        <v>3.4200000000000001E-2</v>
      </c>
      <c r="O607" s="1">
        <v>1.9909999999999999E-4</v>
      </c>
      <c r="P607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15.246906075922864</v>
      </c>
      <c r="Q607" s="1">
        <f>LN(Table1[[#This Row],[qe_mg_g]]-Table1[[#This Row],[qt]])</f>
        <v>3.7721192132465533</v>
      </c>
      <c r="R607" s="1">
        <v>3</v>
      </c>
    </row>
    <row r="608" spans="1:18" x14ac:dyDescent="0.3">
      <c r="A608" s="1">
        <v>607</v>
      </c>
      <c r="B608" s="1" t="s">
        <v>17</v>
      </c>
      <c r="C608" s="1">
        <v>0.5</v>
      </c>
      <c r="D608" s="1">
        <v>30</v>
      </c>
      <c r="E608" s="1">
        <v>200</v>
      </c>
      <c r="F608" s="1">
        <v>7</v>
      </c>
      <c r="G608" s="1">
        <v>25</v>
      </c>
      <c r="H608" s="1">
        <v>150</v>
      </c>
      <c r="I608" s="1">
        <v>100</v>
      </c>
      <c r="J608" s="1">
        <v>70.046999999999997</v>
      </c>
      <c r="K608" s="1">
        <v>164.977</v>
      </c>
      <c r="L608" s="1">
        <v>17.510000000000002</v>
      </c>
      <c r="M608" s="1">
        <v>92.3</v>
      </c>
      <c r="N608" s="1">
        <v>3.6999999999999998E-2</v>
      </c>
      <c r="O608" s="1">
        <v>1.9880000000000001E-4</v>
      </c>
      <c r="P608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20.640199989627583</v>
      </c>
      <c r="Q608" s="1">
        <f>LN(Table1[[#This Row],[qe_mg_g]]-Table1[[#This Row],[qt]])</f>
        <v>3.9000880667525353</v>
      </c>
      <c r="R608" s="1">
        <v>1</v>
      </c>
    </row>
    <row r="609" spans="1:18" x14ac:dyDescent="0.3">
      <c r="A609" s="1">
        <v>608</v>
      </c>
      <c r="B609" s="1" t="s">
        <v>17</v>
      </c>
      <c r="C609" s="1">
        <v>0.5</v>
      </c>
      <c r="D609" s="1">
        <v>30</v>
      </c>
      <c r="E609" s="1">
        <v>200</v>
      </c>
      <c r="F609" s="1">
        <v>7</v>
      </c>
      <c r="G609" s="1">
        <v>25</v>
      </c>
      <c r="H609" s="1">
        <v>150</v>
      </c>
      <c r="I609" s="1">
        <v>100</v>
      </c>
      <c r="J609" s="1">
        <v>92.01</v>
      </c>
      <c r="K609" s="1">
        <v>153.995</v>
      </c>
      <c r="L609" s="1">
        <v>23</v>
      </c>
      <c r="M609" s="1">
        <v>81.400000000000006</v>
      </c>
      <c r="N609" s="1">
        <v>3.6979999999999999E-2</v>
      </c>
      <c r="O609" s="1">
        <v>1.796E-4</v>
      </c>
      <c r="P609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30.495704575152637</v>
      </c>
      <c r="Q609" s="1">
        <f>LN(Table1[[#This Row],[qe_mg_g]]-Table1[[#This Row],[qt]])</f>
        <v>4.1192695937335797</v>
      </c>
      <c r="R609" s="1">
        <v>2</v>
      </c>
    </row>
    <row r="610" spans="1:18" x14ac:dyDescent="0.3">
      <c r="A610" s="1">
        <v>609</v>
      </c>
      <c r="B610" s="1" t="s">
        <v>17</v>
      </c>
      <c r="C610" s="1">
        <v>0.5</v>
      </c>
      <c r="D610" s="1">
        <v>30</v>
      </c>
      <c r="E610" s="1">
        <v>200</v>
      </c>
      <c r="F610" s="1">
        <v>7</v>
      </c>
      <c r="G610" s="1">
        <v>25</v>
      </c>
      <c r="H610" s="1">
        <v>150</v>
      </c>
      <c r="I610" s="1">
        <v>100</v>
      </c>
      <c r="J610" s="1">
        <v>82.516000000000005</v>
      </c>
      <c r="K610" s="1">
        <v>158.74199999999999</v>
      </c>
      <c r="L610" s="1">
        <v>20.63</v>
      </c>
      <c r="M610" s="1">
        <v>83.5</v>
      </c>
      <c r="N610" s="1">
        <v>3.5790000000000002E-2</v>
      </c>
      <c r="O610" s="1">
        <v>1.9259999999999999E-4</v>
      </c>
      <c r="P610" s="1">
        <f>(Table1[[#This Row],[Rate_Constant_k2_g_mg_min]]*Table1[[#This Row],[Contact_Time_min]]*Table1[[#This Row],[qe_mg_g]]^2)/(1+Table1[[#This Row],[Contact_Time_min]]*Table1[[#This Row],[qe_mg_g]]*Table1[[#This Row],[Rate_Constant_k2_g_mg_min]])</f>
        <v>26.640282157916598</v>
      </c>
      <c r="Q610" s="1">
        <f>LN(Table1[[#This Row],[qe_mg_g]]-Table1[[#This Row],[qt]])</f>
        <v>4.0231299001368166</v>
      </c>
      <c r="R610" s="1">
        <v>3</v>
      </c>
    </row>
    <row r="611" spans="1:18" x14ac:dyDescent="0.3">
      <c r="A611" s="1">
        <v>610</v>
      </c>
      <c r="B611" s="1" t="s">
        <v>17</v>
      </c>
      <c r="C611" s="1">
        <v>0.5</v>
      </c>
      <c r="D611" s="1">
        <v>30</v>
      </c>
      <c r="E611" s="1">
        <v>200</v>
      </c>
      <c r="F611" s="1">
        <v>11</v>
      </c>
      <c r="G611" s="1">
        <v>25</v>
      </c>
      <c r="H611" s="1">
        <v>150</v>
      </c>
      <c r="I611" s="1">
        <v>100</v>
      </c>
      <c r="J611" s="1">
        <v>63.741999999999997</v>
      </c>
      <c r="K611" s="1">
        <v>168.12899999999999</v>
      </c>
      <c r="L611" s="1">
        <v>15.94</v>
      </c>
      <c r="M611" s="1">
        <v>96.3</v>
      </c>
      <c r="N611" s="1">
        <v>3.347E-2</v>
      </c>
      <c r="O611" s="1">
        <v>1.6789999999999999E-4</v>
      </c>
      <c r="P611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15.491661565985739</v>
      </c>
      <c r="Q611" s="1">
        <f>LN(Table1[[#This Row],[qe_mg_g]]-Table1[[#This Row],[qt]])</f>
        <v>3.8764028419368572</v>
      </c>
      <c r="R611" s="1">
        <v>1</v>
      </c>
    </row>
    <row r="612" spans="1:18" x14ac:dyDescent="0.3">
      <c r="A612" s="1">
        <v>611</v>
      </c>
      <c r="B612" s="1" t="s">
        <v>17</v>
      </c>
      <c r="C612" s="1">
        <v>0.5</v>
      </c>
      <c r="D612" s="1">
        <v>30</v>
      </c>
      <c r="E612" s="1">
        <v>200</v>
      </c>
      <c r="F612" s="1">
        <v>11</v>
      </c>
      <c r="G612" s="1">
        <v>25</v>
      </c>
      <c r="H612" s="1">
        <v>150</v>
      </c>
      <c r="I612" s="1">
        <v>100</v>
      </c>
      <c r="J612" s="1">
        <v>75.891000000000005</v>
      </c>
      <c r="K612" s="1">
        <v>162.054</v>
      </c>
      <c r="L612" s="1">
        <v>18.97</v>
      </c>
      <c r="M612" s="1">
        <v>103.5</v>
      </c>
      <c r="N612" s="1">
        <v>3.048E-2</v>
      </c>
      <c r="O612" s="1">
        <v>2.1379999999999999E-4</v>
      </c>
      <c r="P612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24.846614080508608</v>
      </c>
      <c r="Q612" s="1">
        <f>LN(Table1[[#This Row],[qe_mg_g]]-Table1[[#This Row],[qt]])</f>
        <v>3.9326955663691936</v>
      </c>
      <c r="R612" s="1">
        <v>2</v>
      </c>
    </row>
    <row r="613" spans="1:18" x14ac:dyDescent="0.3">
      <c r="A613" s="1">
        <v>612</v>
      </c>
      <c r="B613" s="1" t="s">
        <v>17</v>
      </c>
      <c r="C613" s="1">
        <v>0.5</v>
      </c>
      <c r="D613" s="1">
        <v>30</v>
      </c>
      <c r="E613" s="1">
        <v>200</v>
      </c>
      <c r="F613" s="1">
        <v>11</v>
      </c>
      <c r="G613" s="1">
        <v>25</v>
      </c>
      <c r="H613" s="1">
        <v>150</v>
      </c>
      <c r="I613" s="1">
        <v>100</v>
      </c>
      <c r="J613" s="1">
        <v>61.341999999999999</v>
      </c>
      <c r="K613" s="1">
        <v>169.32900000000001</v>
      </c>
      <c r="L613" s="1">
        <v>15.34</v>
      </c>
      <c r="M613" s="1">
        <v>89.1</v>
      </c>
      <c r="N613" s="1">
        <v>3.603E-2</v>
      </c>
      <c r="O613" s="1">
        <v>1.953E-4</v>
      </c>
      <c r="P613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16.217772660808851</v>
      </c>
      <c r="Q613" s="1">
        <f>LN(Table1[[#This Row],[qe_mg_g]]-Table1[[#This Row],[qt]])</f>
        <v>3.8094192938292459</v>
      </c>
      <c r="R613" s="1">
        <v>3</v>
      </c>
    </row>
    <row r="614" spans="1:18" x14ac:dyDescent="0.3">
      <c r="A614" s="1">
        <v>613</v>
      </c>
      <c r="B614" s="1" t="s">
        <v>17</v>
      </c>
      <c r="C614" s="1">
        <v>0.5</v>
      </c>
      <c r="D614" s="1">
        <v>60</v>
      </c>
      <c r="E614" s="1">
        <v>25</v>
      </c>
      <c r="F614" s="1">
        <v>3</v>
      </c>
      <c r="G614" s="1">
        <v>25</v>
      </c>
      <c r="H614" s="1">
        <v>150</v>
      </c>
      <c r="I614" s="1">
        <v>100</v>
      </c>
      <c r="J614" s="1">
        <v>8.4949999999999992</v>
      </c>
      <c r="K614" s="1">
        <v>20.751999999999999</v>
      </c>
      <c r="L614" s="1">
        <v>16.989999999999998</v>
      </c>
      <c r="M614" s="1">
        <v>76.8</v>
      </c>
      <c r="N614" s="1">
        <v>3.1789999999999999E-2</v>
      </c>
      <c r="O614" s="1">
        <v>1.8340000000000001E-4</v>
      </c>
      <c r="P61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0.72621783282930585</v>
      </c>
      <c r="Q614" s="1">
        <f>LN(Table1[[#This Row],[qe_mg_g]]-Table1[[#This Row],[qt]])</f>
        <v>2.0501134168534376</v>
      </c>
      <c r="R614" s="1">
        <v>1</v>
      </c>
    </row>
    <row r="615" spans="1:18" x14ac:dyDescent="0.3">
      <c r="A615" s="1">
        <v>614</v>
      </c>
      <c r="B615" s="1" t="s">
        <v>17</v>
      </c>
      <c r="C615" s="1">
        <v>0.5</v>
      </c>
      <c r="D615" s="1">
        <v>60</v>
      </c>
      <c r="E615" s="1">
        <v>25</v>
      </c>
      <c r="F615" s="1">
        <v>3</v>
      </c>
      <c r="G615" s="1">
        <v>25</v>
      </c>
      <c r="H615" s="1">
        <v>150</v>
      </c>
      <c r="I615" s="1">
        <v>100</v>
      </c>
      <c r="J615" s="1">
        <v>9.1560000000000006</v>
      </c>
      <c r="K615" s="1">
        <v>20.422000000000001</v>
      </c>
      <c r="L615" s="1">
        <v>18.309999999999999</v>
      </c>
      <c r="M615" s="1">
        <v>76.5</v>
      </c>
      <c r="N615" s="1">
        <v>3.739E-2</v>
      </c>
      <c r="O615" s="1">
        <v>2.297E-4</v>
      </c>
      <c r="P61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1.0259186414340671</v>
      </c>
      <c r="Q615" s="1">
        <f>LN(Table1[[#This Row],[qe_mg_g]]-Table1[[#This Row],[qt]])</f>
        <v>2.0955709307133294</v>
      </c>
      <c r="R615" s="1">
        <v>2</v>
      </c>
    </row>
    <row r="616" spans="1:18" x14ac:dyDescent="0.3">
      <c r="A616" s="1">
        <v>615</v>
      </c>
      <c r="B616" s="1" t="s">
        <v>17</v>
      </c>
      <c r="C616" s="1">
        <v>0.5</v>
      </c>
      <c r="D616" s="1">
        <v>60</v>
      </c>
      <c r="E616" s="1">
        <v>25</v>
      </c>
      <c r="F616" s="1">
        <v>3</v>
      </c>
      <c r="G616" s="1">
        <v>25</v>
      </c>
      <c r="H616" s="1">
        <v>150</v>
      </c>
      <c r="I616" s="1">
        <v>100</v>
      </c>
      <c r="J616" s="1">
        <v>8.6829999999999998</v>
      </c>
      <c r="K616" s="1">
        <v>20.658999999999999</v>
      </c>
      <c r="L616" s="1">
        <v>17.37</v>
      </c>
      <c r="M616" s="1">
        <v>88.8</v>
      </c>
      <c r="N616" s="1">
        <v>3.6749999999999998E-2</v>
      </c>
      <c r="O616" s="1">
        <v>2.0939999999999999E-4</v>
      </c>
      <c r="P61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0.85408182968484347</v>
      </c>
      <c r="Q616" s="1">
        <f>LN(Table1[[#This Row],[qe_mg_g]]-Table1[[#This Row],[qt]])</f>
        <v>2.057824335746381</v>
      </c>
      <c r="R616" s="1">
        <v>3</v>
      </c>
    </row>
    <row r="617" spans="1:18" x14ac:dyDescent="0.3">
      <c r="A617" s="1">
        <v>616</v>
      </c>
      <c r="B617" s="1" t="s">
        <v>17</v>
      </c>
      <c r="C617" s="1">
        <v>0.5</v>
      </c>
      <c r="D617" s="1">
        <v>60</v>
      </c>
      <c r="E617" s="1">
        <v>25</v>
      </c>
      <c r="F617" s="1">
        <v>7</v>
      </c>
      <c r="G617" s="1">
        <v>25</v>
      </c>
      <c r="H617" s="1">
        <v>150</v>
      </c>
      <c r="I617" s="1">
        <v>100</v>
      </c>
      <c r="J617" s="1">
        <v>15.093</v>
      </c>
      <c r="K617" s="1">
        <v>17.452999999999999</v>
      </c>
      <c r="L617" s="1">
        <v>30.19</v>
      </c>
      <c r="M617" s="1">
        <v>95.3</v>
      </c>
      <c r="N617" s="1">
        <v>3.669E-2</v>
      </c>
      <c r="O617" s="1">
        <v>1.752E-4</v>
      </c>
      <c r="P61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2.0667187314185838</v>
      </c>
      <c r="Q617" s="1">
        <f>LN(Table1[[#This Row],[qe_mg_g]]-Table1[[#This Row],[qt]])</f>
        <v>2.5669689527500936</v>
      </c>
      <c r="R617" s="1">
        <v>1</v>
      </c>
    </row>
    <row r="618" spans="1:18" x14ac:dyDescent="0.3">
      <c r="A618" s="1">
        <v>617</v>
      </c>
      <c r="B618" s="1" t="s">
        <v>17</v>
      </c>
      <c r="C618" s="1">
        <v>0.5</v>
      </c>
      <c r="D618" s="1">
        <v>60</v>
      </c>
      <c r="E618" s="1">
        <v>25</v>
      </c>
      <c r="F618" s="1">
        <v>7</v>
      </c>
      <c r="G618" s="1">
        <v>25</v>
      </c>
      <c r="H618" s="1">
        <v>150</v>
      </c>
      <c r="I618" s="1">
        <v>100</v>
      </c>
      <c r="J618" s="1">
        <v>16.280999999999999</v>
      </c>
      <c r="K618" s="1">
        <v>16.859000000000002</v>
      </c>
      <c r="L618" s="1">
        <v>32.56</v>
      </c>
      <c r="M618" s="1">
        <v>97.1</v>
      </c>
      <c r="N618" s="1">
        <v>3.2329999999999998E-2</v>
      </c>
      <c r="O618" s="1">
        <v>2.008E-4</v>
      </c>
      <c r="P61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2.6698705226097199</v>
      </c>
      <c r="Q618" s="1">
        <f>LN(Table1[[#This Row],[qe_mg_g]]-Table1[[#This Row],[qt]])</f>
        <v>2.6108878020069377</v>
      </c>
      <c r="R618" s="1">
        <v>2</v>
      </c>
    </row>
    <row r="619" spans="1:18" x14ac:dyDescent="0.3">
      <c r="A619" s="1">
        <v>618</v>
      </c>
      <c r="B619" s="1" t="s">
        <v>17</v>
      </c>
      <c r="C619" s="1">
        <v>0.5</v>
      </c>
      <c r="D619" s="1">
        <v>60</v>
      </c>
      <c r="E619" s="1">
        <v>25</v>
      </c>
      <c r="F619" s="1">
        <v>7</v>
      </c>
      <c r="G619" s="1">
        <v>25</v>
      </c>
      <c r="H619" s="1">
        <v>150</v>
      </c>
      <c r="I619" s="1">
        <v>100</v>
      </c>
      <c r="J619" s="1">
        <v>16.003</v>
      </c>
      <c r="K619" s="1">
        <v>16.998999999999999</v>
      </c>
      <c r="L619" s="1">
        <v>32.01</v>
      </c>
      <c r="M619" s="1">
        <v>83</v>
      </c>
      <c r="N619" s="1">
        <v>3.8760000000000003E-2</v>
      </c>
      <c r="O619" s="1">
        <v>2.4729999999999999E-4</v>
      </c>
      <c r="P61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3.0707865865970509</v>
      </c>
      <c r="Q619" s="1">
        <f>LN(Table1[[#This Row],[qe_mg_g]]-Table1[[#This Row],[qt]])</f>
        <v>2.5597213624646415</v>
      </c>
      <c r="R619" s="1">
        <v>3</v>
      </c>
    </row>
    <row r="620" spans="1:18" x14ac:dyDescent="0.3">
      <c r="A620" s="1">
        <v>619</v>
      </c>
      <c r="B620" s="1" t="s">
        <v>17</v>
      </c>
      <c r="C620" s="1">
        <v>0.5</v>
      </c>
      <c r="D620" s="1">
        <v>60</v>
      </c>
      <c r="E620" s="1">
        <v>25</v>
      </c>
      <c r="F620" s="1">
        <v>11</v>
      </c>
      <c r="G620" s="1">
        <v>25</v>
      </c>
      <c r="H620" s="1">
        <v>150</v>
      </c>
      <c r="I620" s="1">
        <v>100</v>
      </c>
      <c r="J620" s="1">
        <v>10.513999999999999</v>
      </c>
      <c r="K620" s="1">
        <v>19.742999999999999</v>
      </c>
      <c r="L620" s="1">
        <v>21.03</v>
      </c>
      <c r="M620" s="1">
        <v>68</v>
      </c>
      <c r="N620" s="1">
        <v>3.6060000000000002E-2</v>
      </c>
      <c r="O620" s="1">
        <v>2.1440000000000001E-4</v>
      </c>
      <c r="P62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1.2526209309407874</v>
      </c>
      <c r="Q620" s="1">
        <f>LN(Table1[[#This Row],[qe_mg_g]]-Table1[[#This Row],[qt]])</f>
        <v>2.2258529651136736</v>
      </c>
      <c r="R620" s="1">
        <v>1</v>
      </c>
    </row>
    <row r="621" spans="1:18" x14ac:dyDescent="0.3">
      <c r="A621" s="1">
        <v>620</v>
      </c>
      <c r="B621" s="1" t="s">
        <v>17</v>
      </c>
      <c r="C621" s="1">
        <v>0.5</v>
      </c>
      <c r="D621" s="1">
        <v>60</v>
      </c>
      <c r="E621" s="1">
        <v>25</v>
      </c>
      <c r="F621" s="1">
        <v>11</v>
      </c>
      <c r="G621" s="1">
        <v>25</v>
      </c>
      <c r="H621" s="1">
        <v>150</v>
      </c>
      <c r="I621" s="1">
        <v>100</v>
      </c>
      <c r="J621" s="1">
        <v>11.147</v>
      </c>
      <c r="K621" s="1">
        <v>19.425999999999998</v>
      </c>
      <c r="L621" s="1">
        <v>22.29</v>
      </c>
      <c r="M621" s="1">
        <v>104.4</v>
      </c>
      <c r="N621" s="1">
        <v>3.031E-2</v>
      </c>
      <c r="O621" s="1">
        <v>2.139E-4</v>
      </c>
      <c r="P62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1.3951110629622105</v>
      </c>
      <c r="Q621" s="1">
        <f>LN(Table1[[#This Row],[qe_mg_g]]-Table1[[#This Row],[qt]])</f>
        <v>2.2774610033772222</v>
      </c>
      <c r="R621" s="1">
        <v>2</v>
      </c>
    </row>
    <row r="622" spans="1:18" x14ac:dyDescent="0.3">
      <c r="A622" s="1">
        <v>621</v>
      </c>
      <c r="B622" s="1" t="s">
        <v>17</v>
      </c>
      <c r="C622" s="1">
        <v>0.5</v>
      </c>
      <c r="D622" s="1">
        <v>60</v>
      </c>
      <c r="E622" s="1">
        <v>25</v>
      </c>
      <c r="F622" s="1">
        <v>11</v>
      </c>
      <c r="G622" s="1">
        <v>25</v>
      </c>
      <c r="H622" s="1">
        <v>150</v>
      </c>
      <c r="I622" s="1">
        <v>100</v>
      </c>
      <c r="J622" s="1">
        <v>10.718999999999999</v>
      </c>
      <c r="K622" s="1">
        <v>19.64</v>
      </c>
      <c r="L622" s="1">
        <v>21.44</v>
      </c>
      <c r="M622" s="1">
        <v>107.8</v>
      </c>
      <c r="N622" s="1">
        <v>4.197E-2</v>
      </c>
      <c r="O622" s="1">
        <v>1.8469999999999999E-4</v>
      </c>
      <c r="P62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1.1380960196230498</v>
      </c>
      <c r="Q622" s="1">
        <f>LN(Table1[[#This Row],[qe_mg_g]]-Table1[[#This Row],[qt]])</f>
        <v>2.2597719487394801</v>
      </c>
      <c r="R622" s="1">
        <v>3</v>
      </c>
    </row>
    <row r="623" spans="1:18" x14ac:dyDescent="0.3">
      <c r="A623" s="1">
        <v>622</v>
      </c>
      <c r="B623" s="1" t="s">
        <v>17</v>
      </c>
      <c r="C623" s="1">
        <v>0.5</v>
      </c>
      <c r="D623" s="1">
        <v>60</v>
      </c>
      <c r="E623" s="1">
        <v>50</v>
      </c>
      <c r="F623" s="1">
        <v>3</v>
      </c>
      <c r="G623" s="1">
        <v>25</v>
      </c>
      <c r="H623" s="1">
        <v>150</v>
      </c>
      <c r="I623" s="1">
        <v>100</v>
      </c>
      <c r="J623" s="1">
        <v>25.116</v>
      </c>
      <c r="K623" s="1">
        <v>37.442</v>
      </c>
      <c r="L623" s="1">
        <v>25.12</v>
      </c>
      <c r="M623" s="1">
        <v>96.8</v>
      </c>
      <c r="N623" s="1">
        <v>3.3649999999999999E-2</v>
      </c>
      <c r="O623" s="1">
        <v>1.9909999999999999E-4</v>
      </c>
      <c r="P62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5.7965310773395542</v>
      </c>
      <c r="Q623" s="1">
        <f>LN(Table1[[#This Row],[qe_mg_g]]-Table1[[#This Row],[qt]])</f>
        <v>2.9611133399314244</v>
      </c>
      <c r="R623" s="1">
        <v>1</v>
      </c>
    </row>
    <row r="624" spans="1:18" x14ac:dyDescent="0.3">
      <c r="A624" s="1">
        <v>623</v>
      </c>
      <c r="B624" s="1" t="s">
        <v>17</v>
      </c>
      <c r="C624" s="1">
        <v>0.5</v>
      </c>
      <c r="D624" s="1">
        <v>60</v>
      </c>
      <c r="E624" s="1">
        <v>50</v>
      </c>
      <c r="F624" s="1">
        <v>3</v>
      </c>
      <c r="G624" s="1">
        <v>25</v>
      </c>
      <c r="H624" s="1">
        <v>150</v>
      </c>
      <c r="I624" s="1">
        <v>100</v>
      </c>
      <c r="J624" s="1">
        <v>26.643999999999998</v>
      </c>
      <c r="K624" s="1">
        <v>36.677999999999997</v>
      </c>
      <c r="L624" s="1">
        <v>26.64</v>
      </c>
      <c r="M624" s="1">
        <v>61</v>
      </c>
      <c r="N624" s="1">
        <v>3.4950000000000002E-2</v>
      </c>
      <c r="O624" s="1">
        <v>1.862E-4</v>
      </c>
      <c r="P624" s="1">
        <f>(Table1[[#This Row],[Rate_Constant_k2_g_mg_min]]*Table1[[#This Row],[Contact_Time_min]]*Table1[[#This Row],[qe_mg_g]]^2)/(1+Table1[[#This Row],[Contact_Time_min]]*Table1[[#This Row],[qe_mg_g]]*Table1[[#This Row],[Rate_Constant_k2_g_mg_min]])</f>
        <v>6.111764254251133</v>
      </c>
      <c r="Q624" s="1">
        <f>LN(Table1[[#This Row],[qe_mg_g]]-Table1[[#This Row],[qt]])</f>
        <v>3.0219961265018496</v>
      </c>
      <c r="R624" s="1">
        <v>2</v>
      </c>
    </row>
    <row r="625" spans="1:18" x14ac:dyDescent="0.3">
      <c r="A625" s="1">
        <v>624</v>
      </c>
      <c r="B625" s="1" t="s">
        <v>17</v>
      </c>
      <c r="C625" s="1">
        <v>0.5</v>
      </c>
      <c r="D625" s="1">
        <v>60</v>
      </c>
      <c r="E625" s="1">
        <v>50</v>
      </c>
      <c r="F625" s="1">
        <v>3</v>
      </c>
      <c r="G625" s="1">
        <v>25</v>
      </c>
      <c r="H625" s="1">
        <v>150</v>
      </c>
      <c r="I625" s="1">
        <v>100</v>
      </c>
      <c r="J625" s="1">
        <v>25.265999999999998</v>
      </c>
      <c r="K625" s="1">
        <v>37.366999999999997</v>
      </c>
      <c r="L625" s="1">
        <v>25.27</v>
      </c>
      <c r="M625" s="1">
        <v>104.3</v>
      </c>
      <c r="N625" s="1">
        <v>3.0599999999999999E-2</v>
      </c>
      <c r="O625" s="1">
        <v>2.163E-4</v>
      </c>
      <c r="P625" s="1">
        <f>(Table1[[#This Row],[Rate_Constant_k2_g_mg_min]]*Table1[[#This Row],[Contact_Time_min]]*Table1[[#This Row],[qe_mg_g]]^2)/(1+Table1[[#This Row],[Contact_Time_min]]*Table1[[#This Row],[qe_mg_g]]*Table1[[#This Row],[Rate_Constant_k2_g_mg_min]])</f>
        <v>6.2389956096132462</v>
      </c>
      <c r="Q625" s="1">
        <f>LN(Table1[[#This Row],[qe_mg_g]]-Table1[[#This Row],[qt]])</f>
        <v>2.9458592538033228</v>
      </c>
      <c r="R625" s="1">
        <v>3</v>
      </c>
    </row>
    <row r="626" spans="1:18" x14ac:dyDescent="0.3">
      <c r="A626" s="1">
        <v>625</v>
      </c>
      <c r="B626" s="1" t="s">
        <v>17</v>
      </c>
      <c r="C626" s="1">
        <v>0.5</v>
      </c>
      <c r="D626" s="1">
        <v>60</v>
      </c>
      <c r="E626" s="1">
        <v>50</v>
      </c>
      <c r="F626" s="1">
        <v>7</v>
      </c>
      <c r="G626" s="1">
        <v>25</v>
      </c>
      <c r="H626" s="1">
        <v>150</v>
      </c>
      <c r="I626" s="1">
        <v>100</v>
      </c>
      <c r="J626" s="1">
        <v>40.201999999999998</v>
      </c>
      <c r="K626" s="1">
        <v>29.899000000000001</v>
      </c>
      <c r="L626" s="1">
        <v>40.200000000000003</v>
      </c>
      <c r="M626" s="1">
        <v>82.1</v>
      </c>
      <c r="N626" s="1">
        <v>3.7769999999999998E-2</v>
      </c>
      <c r="O626" s="1">
        <v>2.0680000000000001E-4</v>
      </c>
      <c r="P626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13.379681170519214</v>
      </c>
      <c r="Q626" s="1">
        <f>LN(Table1[[#This Row],[qe_mg_g]]-Table1[[#This Row],[qt]])</f>
        <v>3.2892343330826437</v>
      </c>
      <c r="R626" s="1">
        <v>1</v>
      </c>
    </row>
    <row r="627" spans="1:18" x14ac:dyDescent="0.3">
      <c r="A627" s="1">
        <v>626</v>
      </c>
      <c r="B627" s="1" t="s">
        <v>17</v>
      </c>
      <c r="C627" s="1">
        <v>0.5</v>
      </c>
      <c r="D627" s="1">
        <v>60</v>
      </c>
      <c r="E627" s="1">
        <v>50</v>
      </c>
      <c r="F627" s="1">
        <v>7</v>
      </c>
      <c r="G627" s="1">
        <v>25</v>
      </c>
      <c r="H627" s="1">
        <v>150</v>
      </c>
      <c r="I627" s="1">
        <v>100</v>
      </c>
      <c r="J627" s="1">
        <v>43.715000000000003</v>
      </c>
      <c r="K627" s="1">
        <v>28.141999999999999</v>
      </c>
      <c r="L627" s="1">
        <v>43.72</v>
      </c>
      <c r="M627" s="1">
        <v>98.2</v>
      </c>
      <c r="N627" s="1">
        <v>3.3840000000000002E-2</v>
      </c>
      <c r="O627" s="1">
        <v>1.8780000000000001E-4</v>
      </c>
      <c r="P627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14.426799808843828</v>
      </c>
      <c r="Q627" s="1">
        <f>LN(Table1[[#This Row],[qe_mg_g]]-Table1[[#This Row],[qt]])</f>
        <v>3.3771847110566675</v>
      </c>
      <c r="R627" s="1">
        <v>2</v>
      </c>
    </row>
    <row r="628" spans="1:18" x14ac:dyDescent="0.3">
      <c r="A628" s="1">
        <v>627</v>
      </c>
      <c r="B628" s="1" t="s">
        <v>17</v>
      </c>
      <c r="C628" s="1">
        <v>0.5</v>
      </c>
      <c r="D628" s="1">
        <v>60</v>
      </c>
      <c r="E628" s="1">
        <v>50</v>
      </c>
      <c r="F628" s="1">
        <v>7</v>
      </c>
      <c r="G628" s="1">
        <v>25</v>
      </c>
      <c r="H628" s="1">
        <v>150</v>
      </c>
      <c r="I628" s="1">
        <v>100</v>
      </c>
      <c r="J628" s="1">
        <v>36.868000000000002</v>
      </c>
      <c r="K628" s="1">
        <v>31.565999999999999</v>
      </c>
      <c r="L628" s="1">
        <v>36.869999999999997</v>
      </c>
      <c r="M628" s="1">
        <v>75.099999999999994</v>
      </c>
      <c r="N628" s="1">
        <v>4.5319999999999999E-2</v>
      </c>
      <c r="O628" s="1">
        <v>2.2489999999999999E-4</v>
      </c>
      <c r="P628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12.248247759489024</v>
      </c>
      <c r="Q628" s="1">
        <f>LN(Table1[[#This Row],[qe_mg_g]]-Table1[[#This Row],[qt]])</f>
        <v>3.2035490573633068</v>
      </c>
      <c r="R628" s="1">
        <v>3</v>
      </c>
    </row>
    <row r="629" spans="1:18" x14ac:dyDescent="0.3">
      <c r="A629" s="1">
        <v>628</v>
      </c>
      <c r="B629" s="1" t="s">
        <v>17</v>
      </c>
      <c r="C629" s="1">
        <v>0.5</v>
      </c>
      <c r="D629" s="1">
        <v>60</v>
      </c>
      <c r="E629" s="1">
        <v>50</v>
      </c>
      <c r="F629" s="1">
        <v>11</v>
      </c>
      <c r="G629" s="1">
        <v>25</v>
      </c>
      <c r="H629" s="1">
        <v>150</v>
      </c>
      <c r="I629" s="1">
        <v>100</v>
      </c>
      <c r="J629" s="1">
        <v>27.931999999999999</v>
      </c>
      <c r="K629" s="1">
        <v>36.033999999999999</v>
      </c>
      <c r="L629" s="1">
        <v>27.93</v>
      </c>
      <c r="M629" s="1">
        <v>68.7</v>
      </c>
      <c r="N629" s="1">
        <v>3.669E-2</v>
      </c>
      <c r="O629" s="1">
        <v>2.109E-4</v>
      </c>
      <c r="P62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7.2943935381895697</v>
      </c>
      <c r="Q629" s="1">
        <f>LN(Table1[[#This Row],[qe_mg_g]]-Table1[[#This Row],[qt]])</f>
        <v>3.027114967891229</v>
      </c>
      <c r="R629" s="1">
        <v>1</v>
      </c>
    </row>
    <row r="630" spans="1:18" x14ac:dyDescent="0.3">
      <c r="A630" s="1">
        <v>629</v>
      </c>
      <c r="B630" s="1" t="s">
        <v>17</v>
      </c>
      <c r="C630" s="1">
        <v>0.5</v>
      </c>
      <c r="D630" s="1">
        <v>60</v>
      </c>
      <c r="E630" s="1">
        <v>50</v>
      </c>
      <c r="F630" s="1">
        <v>11</v>
      </c>
      <c r="G630" s="1">
        <v>25</v>
      </c>
      <c r="H630" s="1">
        <v>150</v>
      </c>
      <c r="I630" s="1">
        <v>100</v>
      </c>
      <c r="J630" s="1">
        <v>34.067999999999998</v>
      </c>
      <c r="K630" s="1">
        <v>32.966000000000001</v>
      </c>
      <c r="L630" s="1">
        <v>34.07</v>
      </c>
      <c r="M630" s="1">
        <v>82.4</v>
      </c>
      <c r="N630" s="1">
        <v>3.456E-2</v>
      </c>
      <c r="O630" s="1">
        <v>2.0660000000000001E-4</v>
      </c>
      <c r="P630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10.115364089054061</v>
      </c>
      <c r="Q630" s="1">
        <f>LN(Table1[[#This Row],[qe_mg_g]]-Table1[[#This Row],[qt]])</f>
        <v>3.1760783767130341</v>
      </c>
      <c r="R630" s="1">
        <v>2</v>
      </c>
    </row>
    <row r="631" spans="1:18" x14ac:dyDescent="0.3">
      <c r="A631" s="1">
        <v>630</v>
      </c>
      <c r="B631" s="1" t="s">
        <v>17</v>
      </c>
      <c r="C631" s="1">
        <v>0.5</v>
      </c>
      <c r="D631" s="1">
        <v>60</v>
      </c>
      <c r="E631" s="1">
        <v>50</v>
      </c>
      <c r="F631" s="1">
        <v>11</v>
      </c>
      <c r="G631" s="1">
        <v>25</v>
      </c>
      <c r="H631" s="1">
        <v>150</v>
      </c>
      <c r="I631" s="1">
        <v>100</v>
      </c>
      <c r="J631" s="1">
        <v>32.573</v>
      </c>
      <c r="K631" s="1">
        <v>33.713999999999999</v>
      </c>
      <c r="L631" s="1">
        <v>32.57</v>
      </c>
      <c r="M631" s="1">
        <v>57.2</v>
      </c>
      <c r="N631" s="1">
        <v>3.4200000000000001E-2</v>
      </c>
      <c r="O631" s="1">
        <v>1.83E-4</v>
      </c>
      <c r="P631" s="1">
        <f>(Table1[[#This Row],[Rate_Constant_k2_g_mg_min]]*Table1[[#This Row],[Contact_Time_min]]*Table1[[#This Row],[qe_mg_g]]^2)/(1+Table1[[#This Row],[Contact_Time_min]]*Table1[[#This Row],[qe_mg_g]]*Table1[[#This Row],[Rate_Constant_k2_g_mg_min]])</f>
        <v>8.5808348233597549</v>
      </c>
      <c r="Q631" s="1">
        <f>LN(Table1[[#This Row],[qe_mg_g]]-Table1[[#This Row],[qt]])</f>
        <v>3.1777273260779042</v>
      </c>
      <c r="R631" s="1">
        <v>3</v>
      </c>
    </row>
    <row r="632" spans="1:18" x14ac:dyDescent="0.3">
      <c r="A632" s="1">
        <v>631</v>
      </c>
      <c r="B632" s="1" t="s">
        <v>17</v>
      </c>
      <c r="C632" s="1">
        <v>0.5</v>
      </c>
      <c r="D632" s="1">
        <v>60</v>
      </c>
      <c r="E632" s="1">
        <v>100</v>
      </c>
      <c r="F632" s="1">
        <v>3</v>
      </c>
      <c r="G632" s="1">
        <v>25</v>
      </c>
      <c r="H632" s="1">
        <v>150</v>
      </c>
      <c r="I632" s="1">
        <v>100</v>
      </c>
      <c r="J632" s="1">
        <v>57.58</v>
      </c>
      <c r="K632" s="1">
        <v>71.209999999999994</v>
      </c>
      <c r="L632" s="1">
        <v>28.79</v>
      </c>
      <c r="M632" s="1">
        <v>124.1</v>
      </c>
      <c r="N632" s="1">
        <v>3.6290000000000003E-2</v>
      </c>
      <c r="O632" s="1">
        <v>1.9369999999999999E-4</v>
      </c>
      <c r="P632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23.084324971640822</v>
      </c>
      <c r="Q632" s="1">
        <f>LN(Table1[[#This Row],[qe_mg_g]]-Table1[[#This Row],[qt]])</f>
        <v>3.5408339546820695</v>
      </c>
      <c r="R632" s="1">
        <v>1</v>
      </c>
    </row>
    <row r="633" spans="1:18" x14ac:dyDescent="0.3">
      <c r="A633" s="1">
        <v>632</v>
      </c>
      <c r="B633" s="1" t="s">
        <v>17</v>
      </c>
      <c r="C633" s="1">
        <v>0.5</v>
      </c>
      <c r="D633" s="1">
        <v>60</v>
      </c>
      <c r="E633" s="1">
        <v>100</v>
      </c>
      <c r="F633" s="1">
        <v>3</v>
      </c>
      <c r="G633" s="1">
        <v>25</v>
      </c>
      <c r="H633" s="1">
        <v>150</v>
      </c>
      <c r="I633" s="1">
        <v>100</v>
      </c>
      <c r="J633" s="1">
        <v>61.805</v>
      </c>
      <c r="K633" s="1">
        <v>69.097999999999999</v>
      </c>
      <c r="L633" s="1">
        <v>30.9</v>
      </c>
      <c r="M633" s="1">
        <v>91.9</v>
      </c>
      <c r="N633" s="1">
        <v>3.6470000000000002E-2</v>
      </c>
      <c r="O633" s="1">
        <v>2.1210000000000001E-4</v>
      </c>
      <c r="P633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27.210011321301703</v>
      </c>
      <c r="Q633" s="1">
        <f>LN(Table1[[#This Row],[qe_mg_g]]-Table1[[#This Row],[qt]])</f>
        <v>3.5437088356981787</v>
      </c>
      <c r="R633" s="1">
        <v>2</v>
      </c>
    </row>
    <row r="634" spans="1:18" x14ac:dyDescent="0.3">
      <c r="A634" s="1">
        <v>633</v>
      </c>
      <c r="B634" s="1" t="s">
        <v>17</v>
      </c>
      <c r="C634" s="1">
        <v>0.5</v>
      </c>
      <c r="D634" s="1">
        <v>60</v>
      </c>
      <c r="E634" s="1">
        <v>100</v>
      </c>
      <c r="F634" s="1">
        <v>3</v>
      </c>
      <c r="G634" s="1">
        <v>25</v>
      </c>
      <c r="H634" s="1">
        <v>150</v>
      </c>
      <c r="I634" s="1">
        <v>100</v>
      </c>
      <c r="J634" s="1">
        <v>68.225999999999999</v>
      </c>
      <c r="K634" s="1">
        <v>65.887</v>
      </c>
      <c r="L634" s="1">
        <v>34.11</v>
      </c>
      <c r="M634" s="1">
        <v>71.2</v>
      </c>
      <c r="N634" s="1">
        <v>3.6659999999999998E-2</v>
      </c>
      <c r="O634" s="1">
        <v>1.8149999999999999E-4</v>
      </c>
      <c r="P634" s="1">
        <f>(Table1[[#This Row],[Rate_Constant_k2_g_mg_min]]*Table1[[#This Row],[Contact_Time_min]]*Table1[[#This Row],[qe_mg_g]]^2)/(1+Table1[[#This Row],[Contact_Time_min]]*Table1[[#This Row],[qe_mg_g]]*Table1[[#This Row],[Rate_Constant_k2_g_mg_min]])</f>
        <v>29.082719310227304</v>
      </c>
      <c r="Q634" s="1">
        <f>LN(Table1[[#This Row],[qe_mg_g]]-Table1[[#This Row],[qt]])</f>
        <v>3.6672287778158537</v>
      </c>
      <c r="R634" s="1">
        <v>3</v>
      </c>
    </row>
    <row r="635" spans="1:18" x14ac:dyDescent="0.3">
      <c r="A635" s="1">
        <v>634</v>
      </c>
      <c r="B635" s="1" t="s">
        <v>17</v>
      </c>
      <c r="C635" s="1">
        <v>0.5</v>
      </c>
      <c r="D635" s="1">
        <v>60</v>
      </c>
      <c r="E635" s="1">
        <v>100</v>
      </c>
      <c r="F635" s="1">
        <v>7</v>
      </c>
      <c r="G635" s="1">
        <v>25</v>
      </c>
      <c r="H635" s="1">
        <v>150</v>
      </c>
      <c r="I635" s="1">
        <v>100</v>
      </c>
      <c r="J635" s="1">
        <v>89.694999999999993</v>
      </c>
      <c r="K635" s="1">
        <v>55.152999999999999</v>
      </c>
      <c r="L635" s="1">
        <v>44.85</v>
      </c>
      <c r="M635" s="1">
        <v>73.900000000000006</v>
      </c>
      <c r="N635" s="1">
        <v>3.354E-2</v>
      </c>
      <c r="O635" s="1">
        <v>1.941E-4</v>
      </c>
      <c r="P635" s="1">
        <f>(Table1[[#This Row],[Rate_Constant_k2_g_mg_min]]*Table1[[#This Row],[Contact_Time_min]]*Table1[[#This Row],[qe_mg_g]]^2)/(1+Table1[[#This Row],[Contact_Time_min]]*Table1[[#This Row],[qe_mg_g]]*Table1[[#This Row],[Rate_Constant_k2_g_mg_min]])</f>
        <v>45.825525408500752</v>
      </c>
      <c r="Q635" s="1">
        <f>LN(Table1[[#This Row],[qe_mg_g]]-Table1[[#This Row],[qt]])</f>
        <v>3.7812187386190375</v>
      </c>
      <c r="R635" s="1">
        <v>1</v>
      </c>
    </row>
    <row r="636" spans="1:18" x14ac:dyDescent="0.3">
      <c r="A636" s="1">
        <v>635</v>
      </c>
      <c r="B636" s="1" t="s">
        <v>17</v>
      </c>
      <c r="C636" s="1">
        <v>0.5</v>
      </c>
      <c r="D636" s="1">
        <v>60</v>
      </c>
      <c r="E636" s="1">
        <v>100</v>
      </c>
      <c r="F636" s="1">
        <v>7</v>
      </c>
      <c r="G636" s="1">
        <v>25</v>
      </c>
      <c r="H636" s="1">
        <v>150</v>
      </c>
      <c r="I636" s="1">
        <v>100</v>
      </c>
      <c r="J636" s="1">
        <v>93.266000000000005</v>
      </c>
      <c r="K636" s="1">
        <v>53.366999999999997</v>
      </c>
      <c r="L636" s="1">
        <v>46.63</v>
      </c>
      <c r="M636" s="1">
        <v>97.5</v>
      </c>
      <c r="N636" s="1">
        <v>3.0640000000000001E-2</v>
      </c>
      <c r="O636" s="1">
        <v>2.0110000000000001E-4</v>
      </c>
      <c r="P636" s="1">
        <f>(Table1[[#This Row],[Rate_Constant_k2_g_mg_min]]*Table1[[#This Row],[Contact_Time_min]]*Table1[[#This Row],[qe_mg_g]]^2)/(1+Table1[[#This Row],[Contact_Time_min]]*Table1[[#This Row],[qe_mg_g]]*Table1[[#This Row],[Rate_Constant_k2_g_mg_min]])</f>
        <v>49.383294916446133</v>
      </c>
      <c r="Q636" s="1">
        <f>LN(Table1[[#This Row],[qe_mg_g]]-Table1[[#This Row],[qt]])</f>
        <v>3.7815202808075936</v>
      </c>
      <c r="R636" s="1">
        <v>2</v>
      </c>
    </row>
    <row r="637" spans="1:18" x14ac:dyDescent="0.3">
      <c r="A637" s="1">
        <v>636</v>
      </c>
      <c r="B637" s="1" t="s">
        <v>17</v>
      </c>
      <c r="C637" s="1">
        <v>0.5</v>
      </c>
      <c r="D637" s="1">
        <v>60</v>
      </c>
      <c r="E637" s="1">
        <v>100</v>
      </c>
      <c r="F637" s="1">
        <v>7</v>
      </c>
      <c r="G637" s="1">
        <v>25</v>
      </c>
      <c r="H637" s="1">
        <v>150</v>
      </c>
      <c r="I637" s="1">
        <v>100</v>
      </c>
      <c r="J637" s="1">
        <v>78.944999999999993</v>
      </c>
      <c r="K637" s="1">
        <v>60.527999999999999</v>
      </c>
      <c r="L637" s="1">
        <v>39.47</v>
      </c>
      <c r="M637" s="1">
        <v>69.5</v>
      </c>
      <c r="N637" s="1">
        <v>3.424E-2</v>
      </c>
      <c r="O637" s="1">
        <v>1.9379999999999999E-4</v>
      </c>
      <c r="P637" s="1">
        <f>(Table1[[#This Row],[Rate_Constant_k2_g_mg_min]]*Table1[[#This Row],[Contact_Time_min]]*Table1[[#This Row],[qe_mg_g]]^2)/(1+Table1[[#This Row],[Contact_Time_min]]*Table1[[#This Row],[qe_mg_g]]*Table1[[#This Row],[Rate_Constant_k2_g_mg_min]])</f>
        <v>37.784346421063823</v>
      </c>
      <c r="Q637" s="1">
        <f>LN(Table1[[#This Row],[qe_mg_g]]-Table1[[#This Row],[qt]])</f>
        <v>3.7174827898226792</v>
      </c>
      <c r="R637" s="1">
        <v>3</v>
      </c>
    </row>
    <row r="638" spans="1:18" x14ac:dyDescent="0.3">
      <c r="A638" s="1">
        <v>637</v>
      </c>
      <c r="B638" s="1" t="s">
        <v>17</v>
      </c>
      <c r="C638" s="1">
        <v>0.5</v>
      </c>
      <c r="D638" s="1">
        <v>60</v>
      </c>
      <c r="E638" s="1">
        <v>100</v>
      </c>
      <c r="F638" s="1">
        <v>11</v>
      </c>
      <c r="G638" s="1">
        <v>25</v>
      </c>
      <c r="H638" s="1">
        <v>150</v>
      </c>
      <c r="I638" s="1">
        <v>100</v>
      </c>
      <c r="J638" s="1">
        <v>84.134</v>
      </c>
      <c r="K638" s="1">
        <v>57.933</v>
      </c>
      <c r="L638" s="1">
        <v>42.07</v>
      </c>
      <c r="M638" s="1">
        <v>91.3</v>
      </c>
      <c r="N638" s="1">
        <v>3.0179999999999998E-2</v>
      </c>
      <c r="O638" s="1">
        <v>1.8870000000000001E-4</v>
      </c>
      <c r="P638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41.045040798726788</v>
      </c>
      <c r="Q638" s="1">
        <f>LN(Table1[[#This Row],[qe_mg_g]]-Table1[[#This Row],[qt]])</f>
        <v>3.7632667972695022</v>
      </c>
      <c r="R638" s="1">
        <v>1</v>
      </c>
    </row>
    <row r="639" spans="1:18" x14ac:dyDescent="0.3">
      <c r="A639" s="1">
        <v>638</v>
      </c>
      <c r="B639" s="1" t="s">
        <v>17</v>
      </c>
      <c r="C639" s="1">
        <v>0.5</v>
      </c>
      <c r="D639" s="1">
        <v>60</v>
      </c>
      <c r="E639" s="1">
        <v>100</v>
      </c>
      <c r="F639" s="1">
        <v>11</v>
      </c>
      <c r="G639" s="1">
        <v>25</v>
      </c>
      <c r="H639" s="1">
        <v>150</v>
      </c>
      <c r="I639" s="1">
        <v>100</v>
      </c>
      <c r="J639" s="1">
        <v>74.619</v>
      </c>
      <c r="K639" s="1">
        <v>62.69</v>
      </c>
      <c r="L639" s="1">
        <v>37.31</v>
      </c>
      <c r="M639" s="1">
        <v>112.6</v>
      </c>
      <c r="N639" s="1">
        <v>2.945E-2</v>
      </c>
      <c r="O639" s="1">
        <v>1.6239999999999999E-4</v>
      </c>
      <c r="P639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31.413894037148559</v>
      </c>
      <c r="Q639" s="1">
        <f>LN(Table1[[#This Row],[qe_mg_g]]-Table1[[#This Row],[qt]])</f>
        <v>3.7659586818502775</v>
      </c>
      <c r="R639" s="1">
        <v>2</v>
      </c>
    </row>
    <row r="640" spans="1:18" x14ac:dyDescent="0.3">
      <c r="A640" s="1">
        <v>639</v>
      </c>
      <c r="B640" s="1" t="s">
        <v>17</v>
      </c>
      <c r="C640" s="1">
        <v>0.5</v>
      </c>
      <c r="D640" s="1">
        <v>60</v>
      </c>
      <c r="E640" s="1">
        <v>100</v>
      </c>
      <c r="F640" s="1">
        <v>11</v>
      </c>
      <c r="G640" s="1">
        <v>25</v>
      </c>
      <c r="H640" s="1">
        <v>150</v>
      </c>
      <c r="I640" s="1">
        <v>100</v>
      </c>
      <c r="J640" s="1">
        <v>80.370999999999995</v>
      </c>
      <c r="K640" s="1">
        <v>59.814</v>
      </c>
      <c r="L640" s="1">
        <v>40.19</v>
      </c>
      <c r="M640" s="1">
        <v>90.7</v>
      </c>
      <c r="N640" s="1">
        <v>3.1960000000000002E-2</v>
      </c>
      <c r="O640" s="1">
        <v>2.107E-4</v>
      </c>
      <c r="P640" s="1">
        <f>(Table1[[#This Row],[Rate_Constant_k2_g_mg_min]]*Table1[[#This Row],[Contact_Time_min]]*Table1[[#This Row],[qe_mg_g]]^2)/(1+Table1[[#This Row],[Contact_Time_min]]*Table1[[#This Row],[qe_mg_g]]*Table1[[#This Row],[Rate_Constant_k2_g_mg_min]])</f>
        <v>40.505424868200031</v>
      </c>
      <c r="Q640" s="1">
        <f>LN(Table1[[#This Row],[qe_mg_g]]-Table1[[#This Row],[qt]])</f>
        <v>3.6855131728364681</v>
      </c>
      <c r="R640" s="1">
        <v>3</v>
      </c>
    </row>
    <row r="641" spans="1:18" x14ac:dyDescent="0.3">
      <c r="A641" s="1">
        <v>640</v>
      </c>
      <c r="B641" s="1" t="s">
        <v>17</v>
      </c>
      <c r="C641" s="1">
        <v>0.5</v>
      </c>
      <c r="D641" s="1">
        <v>60</v>
      </c>
      <c r="E641" s="1">
        <v>200</v>
      </c>
      <c r="F641" s="1">
        <v>3</v>
      </c>
      <c r="G641" s="1">
        <v>25</v>
      </c>
      <c r="H641" s="1">
        <v>150</v>
      </c>
      <c r="I641" s="1">
        <v>100</v>
      </c>
      <c r="J641" s="1">
        <v>54.847000000000001</v>
      </c>
      <c r="K641" s="1">
        <v>172.577</v>
      </c>
      <c r="L641" s="1">
        <v>13.71</v>
      </c>
      <c r="M641" s="1">
        <v>85.8</v>
      </c>
      <c r="N641" s="1">
        <v>3.6150000000000002E-2</v>
      </c>
      <c r="O641" s="1">
        <v>2.185E-4</v>
      </c>
      <c r="P641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22.941478921969761</v>
      </c>
      <c r="Q641" s="1">
        <f>LN(Table1[[#This Row],[qe_mg_g]]-Table1[[#This Row],[qt]])</f>
        <v>3.4627790693615301</v>
      </c>
      <c r="R641" s="1">
        <v>1</v>
      </c>
    </row>
    <row r="642" spans="1:18" x14ac:dyDescent="0.3">
      <c r="A642" s="1">
        <v>641</v>
      </c>
      <c r="B642" s="1" t="s">
        <v>17</v>
      </c>
      <c r="C642" s="1">
        <v>0.5</v>
      </c>
      <c r="D642" s="1">
        <v>60</v>
      </c>
      <c r="E642" s="1">
        <v>200</v>
      </c>
      <c r="F642" s="1">
        <v>3</v>
      </c>
      <c r="G642" s="1">
        <v>25</v>
      </c>
      <c r="H642" s="1">
        <v>150</v>
      </c>
      <c r="I642" s="1">
        <v>100</v>
      </c>
      <c r="J642" s="1">
        <v>66.926000000000002</v>
      </c>
      <c r="K642" s="1">
        <v>166.53700000000001</v>
      </c>
      <c r="L642" s="1">
        <v>16.73</v>
      </c>
      <c r="M642" s="1">
        <v>86.8</v>
      </c>
      <c r="N642" s="1">
        <v>3.1759999999999997E-2</v>
      </c>
      <c r="O642" s="1">
        <v>2.051E-4</v>
      </c>
      <c r="P642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30.225891842654686</v>
      </c>
      <c r="Q642" s="1">
        <f>LN(Table1[[#This Row],[qe_mg_g]]-Table1[[#This Row],[qt]])</f>
        <v>3.6027797021228118</v>
      </c>
      <c r="R642" s="1">
        <v>2</v>
      </c>
    </row>
    <row r="643" spans="1:18" x14ac:dyDescent="0.3">
      <c r="A643" s="1">
        <v>642</v>
      </c>
      <c r="B643" s="1" t="s">
        <v>17</v>
      </c>
      <c r="C643" s="1">
        <v>0.5</v>
      </c>
      <c r="D643" s="1">
        <v>60</v>
      </c>
      <c r="E643" s="1">
        <v>200</v>
      </c>
      <c r="F643" s="1">
        <v>3</v>
      </c>
      <c r="G643" s="1">
        <v>25</v>
      </c>
      <c r="H643" s="1">
        <v>150</v>
      </c>
      <c r="I643" s="1">
        <v>100</v>
      </c>
      <c r="J643" s="1">
        <v>67.808999999999997</v>
      </c>
      <c r="K643" s="1">
        <v>166.096</v>
      </c>
      <c r="L643" s="1">
        <v>16.95</v>
      </c>
      <c r="M643" s="1">
        <v>80.5</v>
      </c>
      <c r="N643" s="1">
        <v>3.1510000000000003E-2</v>
      </c>
      <c r="O643" s="1">
        <v>2.13E-4</v>
      </c>
      <c r="P643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31.481433514938839</v>
      </c>
      <c r="Q643" s="1">
        <f>LN(Table1[[#This Row],[qe_mg_g]]-Table1[[#This Row],[qt]])</f>
        <v>3.5925768603689403</v>
      </c>
      <c r="R643" s="1">
        <v>3</v>
      </c>
    </row>
    <row r="644" spans="1:18" x14ac:dyDescent="0.3">
      <c r="A644" s="1">
        <v>643</v>
      </c>
      <c r="B644" s="1" t="s">
        <v>17</v>
      </c>
      <c r="C644" s="1">
        <v>0.5</v>
      </c>
      <c r="D644" s="1">
        <v>60</v>
      </c>
      <c r="E644" s="1">
        <v>200</v>
      </c>
      <c r="F644" s="1">
        <v>7</v>
      </c>
      <c r="G644" s="1">
        <v>25</v>
      </c>
      <c r="H644" s="1">
        <v>150</v>
      </c>
      <c r="I644" s="1">
        <v>100</v>
      </c>
      <c r="J644" s="1">
        <v>119.848</v>
      </c>
      <c r="K644" s="1">
        <v>140.07599999999999</v>
      </c>
      <c r="L644" s="1">
        <v>29.96</v>
      </c>
      <c r="M644" s="1">
        <v>82.7</v>
      </c>
      <c r="N644" s="1">
        <v>3.5130000000000002E-2</v>
      </c>
      <c r="O644" s="1">
        <v>1.7100000000000001E-4</v>
      </c>
      <c r="P644" s="1">
        <f>(Table1[[#This Row],[Rate_Constant_k2_g_mg_min]]*Table1[[#This Row],[Contact_Time_min]]*Table1[[#This Row],[qe_mg_g]]^2)/(1+Table1[[#This Row],[Contact_Time_min]]*Table1[[#This Row],[qe_mg_g]]*Table1[[#This Row],[Rate_Constant_k2_g_mg_min]])</f>
        <v>66.095836332788508</v>
      </c>
      <c r="Q644" s="1">
        <f>LN(Table1[[#This Row],[qe_mg_g]]-Table1[[#This Row],[qt]])</f>
        <v>3.9843839204712928</v>
      </c>
      <c r="R644" s="1">
        <v>1</v>
      </c>
    </row>
    <row r="645" spans="1:18" x14ac:dyDescent="0.3">
      <c r="A645" s="1">
        <v>644</v>
      </c>
      <c r="B645" s="1" t="s">
        <v>17</v>
      </c>
      <c r="C645" s="1">
        <v>0.5</v>
      </c>
      <c r="D645" s="1">
        <v>60</v>
      </c>
      <c r="E645" s="1">
        <v>200</v>
      </c>
      <c r="F645" s="1">
        <v>7</v>
      </c>
      <c r="G645" s="1">
        <v>25</v>
      </c>
      <c r="H645" s="1">
        <v>150</v>
      </c>
      <c r="I645" s="1">
        <v>100</v>
      </c>
      <c r="J645" s="1">
        <v>107.065</v>
      </c>
      <c r="K645" s="1">
        <v>146.46700000000001</v>
      </c>
      <c r="L645" s="1">
        <v>26.77</v>
      </c>
      <c r="M645" s="1">
        <v>85.1</v>
      </c>
      <c r="N645" s="1">
        <v>4.4170000000000001E-2</v>
      </c>
      <c r="O645" s="1">
        <v>1.7780000000000001E-4</v>
      </c>
      <c r="P645" s="1">
        <f>(Table1[[#This Row],[Rate_Constant_k2_g_mg_min]]*Table1[[#This Row],[Contact_Time_min]]*Table1[[#This Row],[qe_mg_g]]^2)/(1+Table1[[#This Row],[Contact_Time_min]]*Table1[[#This Row],[qe_mg_g]]*Table1[[#This Row],[Rate_Constant_k2_g_mg_min]])</f>
        <v>57.08529297944137</v>
      </c>
      <c r="Q645" s="1">
        <f>LN(Table1[[#This Row],[qe_mg_g]]-Table1[[#This Row],[qt]])</f>
        <v>3.9116170634560241</v>
      </c>
      <c r="R645" s="1">
        <v>2</v>
      </c>
    </row>
    <row r="646" spans="1:18" x14ac:dyDescent="0.3">
      <c r="A646" s="1">
        <v>645</v>
      </c>
      <c r="B646" s="1" t="s">
        <v>17</v>
      </c>
      <c r="C646" s="1">
        <v>0.5</v>
      </c>
      <c r="D646" s="1">
        <v>60</v>
      </c>
      <c r="E646" s="1">
        <v>200</v>
      </c>
      <c r="F646" s="1">
        <v>7</v>
      </c>
      <c r="G646" s="1">
        <v>25</v>
      </c>
      <c r="H646" s="1">
        <v>150</v>
      </c>
      <c r="I646" s="1">
        <v>100</v>
      </c>
      <c r="J646" s="1">
        <v>126.53400000000001</v>
      </c>
      <c r="K646" s="1">
        <v>136.733</v>
      </c>
      <c r="L646" s="1">
        <v>31.63</v>
      </c>
      <c r="M646" s="1">
        <v>98.5</v>
      </c>
      <c r="N646" s="1">
        <v>3.5979999999999998E-2</v>
      </c>
      <c r="O646" s="1">
        <v>2.352E-4</v>
      </c>
      <c r="P646" s="1">
        <f>(Table1[[#This Row],[Rate_Constant_k2_g_mg_min]]*Table1[[#This Row],[Contact_Time_min]]*Table1[[#This Row],[qe_mg_g]]^2)/(1+Table1[[#This Row],[Contact_Time_min]]*Table1[[#This Row],[qe_mg_g]]*Table1[[#This Row],[Rate_Constant_k2_g_mg_min]])</f>
        <v>81.110454483365899</v>
      </c>
      <c r="Q646" s="1">
        <f>LN(Table1[[#This Row],[qe_mg_g]]-Table1[[#This Row],[qt]])</f>
        <v>3.8160305943229114</v>
      </c>
      <c r="R646" s="1">
        <v>3</v>
      </c>
    </row>
    <row r="647" spans="1:18" x14ac:dyDescent="0.3">
      <c r="A647" s="1">
        <v>646</v>
      </c>
      <c r="B647" s="1" t="s">
        <v>17</v>
      </c>
      <c r="C647" s="1">
        <v>0.5</v>
      </c>
      <c r="D647" s="1">
        <v>60</v>
      </c>
      <c r="E647" s="1">
        <v>200</v>
      </c>
      <c r="F647" s="1">
        <v>11</v>
      </c>
      <c r="G647" s="1">
        <v>25</v>
      </c>
      <c r="H647" s="1">
        <v>150</v>
      </c>
      <c r="I647" s="1">
        <v>100</v>
      </c>
      <c r="J647" s="1">
        <v>91.885000000000005</v>
      </c>
      <c r="K647" s="1">
        <v>154.05799999999999</v>
      </c>
      <c r="L647" s="1">
        <v>22.97</v>
      </c>
      <c r="M647" s="1">
        <v>90.7</v>
      </c>
      <c r="N647" s="1">
        <v>3.4810000000000001E-2</v>
      </c>
      <c r="O647" s="1">
        <v>2.2450000000000001E-4</v>
      </c>
      <c r="P647" s="1">
        <f>(Table1[[#This Row],[Rate_Constant_k2_g_mg_min]]*Table1[[#This Row],[Contact_Time_min]]*Table1[[#This Row],[qe_mg_g]]^2)/(1+Table1[[#This Row],[Contact_Time_min]]*Table1[[#This Row],[qe_mg_g]]*Table1[[#This Row],[Rate_Constant_k2_g_mg_min]])</f>
        <v>50.822582511114867</v>
      </c>
      <c r="Q647" s="1">
        <f>LN(Table1[[#This Row],[qe_mg_g]]-Table1[[#This Row],[qt]])</f>
        <v>3.7150932868397089</v>
      </c>
      <c r="R647" s="1">
        <v>1</v>
      </c>
    </row>
    <row r="648" spans="1:18" x14ac:dyDescent="0.3">
      <c r="A648" s="1">
        <v>647</v>
      </c>
      <c r="B648" s="1" t="s">
        <v>17</v>
      </c>
      <c r="C648" s="1">
        <v>0.5</v>
      </c>
      <c r="D648" s="1">
        <v>60</v>
      </c>
      <c r="E648" s="1">
        <v>200</v>
      </c>
      <c r="F648" s="1">
        <v>11</v>
      </c>
      <c r="G648" s="1">
        <v>25</v>
      </c>
      <c r="H648" s="1">
        <v>150</v>
      </c>
      <c r="I648" s="1">
        <v>100</v>
      </c>
      <c r="J648" s="1">
        <v>98.302000000000007</v>
      </c>
      <c r="K648" s="1">
        <v>150.84899999999999</v>
      </c>
      <c r="L648" s="1">
        <v>24.58</v>
      </c>
      <c r="M648" s="1">
        <v>77.7</v>
      </c>
      <c r="N648" s="1">
        <v>3.0380000000000001E-2</v>
      </c>
      <c r="O648" s="1">
        <v>1.9589999999999999E-4</v>
      </c>
      <c r="P648" s="1">
        <f>(Table1[[#This Row],[Rate_Constant_k2_g_mg_min]]*Table1[[#This Row],[Contact_Time_min]]*Table1[[#This Row],[qe_mg_g]]^2)/(1+Table1[[#This Row],[Contact_Time_min]]*Table1[[#This Row],[qe_mg_g]]*Table1[[#This Row],[Rate_Constant_k2_g_mg_min]])</f>
        <v>52.695570637912141</v>
      </c>
      <c r="Q648" s="1">
        <f>LN(Table1[[#This Row],[qe_mg_g]]-Table1[[#This Row],[qt]])</f>
        <v>3.8200487013641387</v>
      </c>
      <c r="R648" s="1">
        <v>2</v>
      </c>
    </row>
    <row r="649" spans="1:18" x14ac:dyDescent="0.3">
      <c r="A649" s="1">
        <v>648</v>
      </c>
      <c r="B649" s="1" t="s">
        <v>17</v>
      </c>
      <c r="C649" s="1">
        <v>0.5</v>
      </c>
      <c r="D649" s="1">
        <v>60</v>
      </c>
      <c r="E649" s="1">
        <v>200</v>
      </c>
      <c r="F649" s="1">
        <v>11</v>
      </c>
      <c r="G649" s="1">
        <v>25</v>
      </c>
      <c r="H649" s="1">
        <v>150</v>
      </c>
      <c r="I649" s="1">
        <v>100</v>
      </c>
      <c r="J649" s="1">
        <v>81.501000000000005</v>
      </c>
      <c r="K649" s="1">
        <v>159.249</v>
      </c>
      <c r="L649" s="1">
        <v>20.38</v>
      </c>
      <c r="M649" s="1">
        <v>84.9</v>
      </c>
      <c r="N649" s="1">
        <v>3.9329999999999997E-2</v>
      </c>
      <c r="O649" s="1">
        <v>1.9090000000000001E-4</v>
      </c>
      <c r="P649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39.349215649507272</v>
      </c>
      <c r="Q649" s="1">
        <f>LN(Table1[[#This Row],[qe_mg_g]]-Table1[[#This Row],[qt]])</f>
        <v>3.741277016896857</v>
      </c>
      <c r="R649" s="1">
        <v>3</v>
      </c>
    </row>
    <row r="650" spans="1:18" x14ac:dyDescent="0.3">
      <c r="A650" s="1">
        <v>649</v>
      </c>
      <c r="B650" s="1" t="s">
        <v>17</v>
      </c>
      <c r="C650" s="1">
        <v>0.5</v>
      </c>
      <c r="D650" s="1">
        <v>120</v>
      </c>
      <c r="E650" s="1">
        <v>25</v>
      </c>
      <c r="F650" s="1">
        <v>3</v>
      </c>
      <c r="G650" s="1">
        <v>25</v>
      </c>
      <c r="H650" s="1">
        <v>150</v>
      </c>
      <c r="I650" s="1">
        <v>100</v>
      </c>
      <c r="J650" s="1">
        <v>14.32</v>
      </c>
      <c r="K650" s="1">
        <v>17.84</v>
      </c>
      <c r="L650" s="1">
        <v>28.64</v>
      </c>
      <c r="M650" s="1">
        <v>86.5</v>
      </c>
      <c r="N650" s="1">
        <v>3.7969999999999997E-2</v>
      </c>
      <c r="O650" s="1">
        <v>1.551E-4</v>
      </c>
      <c r="P65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3.0134619406769314</v>
      </c>
      <c r="Q650" s="1">
        <f>LN(Table1[[#This Row],[qe_mg_g]]-Table1[[#This Row],[qt]])</f>
        <v>2.4253811477206555</v>
      </c>
      <c r="R650" s="1">
        <v>1</v>
      </c>
    </row>
    <row r="651" spans="1:18" x14ac:dyDescent="0.3">
      <c r="A651" s="1">
        <v>650</v>
      </c>
      <c r="B651" s="1" t="s">
        <v>17</v>
      </c>
      <c r="C651" s="1">
        <v>0.5</v>
      </c>
      <c r="D651" s="1">
        <v>120</v>
      </c>
      <c r="E651" s="1">
        <v>25</v>
      </c>
      <c r="F651" s="1">
        <v>3</v>
      </c>
      <c r="G651" s="1">
        <v>25</v>
      </c>
      <c r="H651" s="1">
        <v>150</v>
      </c>
      <c r="I651" s="1">
        <v>100</v>
      </c>
      <c r="J651" s="1">
        <v>13.509</v>
      </c>
      <c r="K651" s="1">
        <v>18.245000000000001</v>
      </c>
      <c r="L651" s="1">
        <v>27.02</v>
      </c>
      <c r="M651" s="1">
        <v>88.4</v>
      </c>
      <c r="N651" s="1">
        <v>3.9199999999999999E-2</v>
      </c>
      <c r="O651" s="1">
        <v>1.9019999999999999E-4</v>
      </c>
      <c r="P65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3.1836187658903792</v>
      </c>
      <c r="Q651" s="1">
        <f>LN(Table1[[#This Row],[qe_mg_g]]-Table1[[#This Row],[qt]])</f>
        <v>2.3346050615658922</v>
      </c>
      <c r="R651" s="1">
        <v>2</v>
      </c>
    </row>
    <row r="652" spans="1:18" x14ac:dyDescent="0.3">
      <c r="A652" s="1">
        <v>651</v>
      </c>
      <c r="B652" s="1" t="s">
        <v>17</v>
      </c>
      <c r="C652" s="1">
        <v>0.5</v>
      </c>
      <c r="D652" s="1">
        <v>120</v>
      </c>
      <c r="E652" s="1">
        <v>25</v>
      </c>
      <c r="F652" s="1">
        <v>3</v>
      </c>
      <c r="G652" s="1">
        <v>25</v>
      </c>
      <c r="H652" s="1">
        <v>150</v>
      </c>
      <c r="I652" s="1">
        <v>100</v>
      </c>
      <c r="J652" s="1">
        <v>11.683</v>
      </c>
      <c r="K652" s="1">
        <v>19.158999999999999</v>
      </c>
      <c r="L652" s="1">
        <v>23.37</v>
      </c>
      <c r="M652" s="1">
        <v>93.7</v>
      </c>
      <c r="N652" s="1">
        <v>3.2779999999999997E-2</v>
      </c>
      <c r="O652" s="1">
        <v>1.762E-4</v>
      </c>
      <c r="P65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2.3143051444683058</v>
      </c>
      <c r="Q652" s="1">
        <f>LN(Table1[[#This Row],[qe_mg_g]]-Table1[[#This Row],[qt]])</f>
        <v>2.2373737968508283</v>
      </c>
      <c r="R652" s="1">
        <v>3</v>
      </c>
    </row>
    <row r="653" spans="1:18" x14ac:dyDescent="0.3">
      <c r="A653" s="1">
        <v>652</v>
      </c>
      <c r="B653" s="1" t="s">
        <v>17</v>
      </c>
      <c r="C653" s="1">
        <v>0.5</v>
      </c>
      <c r="D653" s="1">
        <v>120</v>
      </c>
      <c r="E653" s="1">
        <v>25</v>
      </c>
      <c r="F653" s="1">
        <v>7</v>
      </c>
      <c r="G653" s="1">
        <v>25</v>
      </c>
      <c r="H653" s="1">
        <v>150</v>
      </c>
      <c r="I653" s="1">
        <v>100</v>
      </c>
      <c r="J653" s="1">
        <v>20.907</v>
      </c>
      <c r="K653" s="1">
        <v>14.547000000000001</v>
      </c>
      <c r="L653" s="1">
        <v>41.81</v>
      </c>
      <c r="M653" s="1">
        <v>83.3</v>
      </c>
      <c r="N653" s="1">
        <v>3.288E-2</v>
      </c>
      <c r="O653" s="1">
        <v>1.5589999999999999E-4</v>
      </c>
      <c r="P65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5.878190533505383</v>
      </c>
      <c r="Q653" s="1">
        <f>LN(Table1[[#This Row],[qe_mg_g]]-Table1[[#This Row],[qt]])</f>
        <v>2.7099689901481674</v>
      </c>
      <c r="R653" s="1">
        <v>1</v>
      </c>
    </row>
    <row r="654" spans="1:18" x14ac:dyDescent="0.3">
      <c r="A654" s="1">
        <v>653</v>
      </c>
      <c r="B654" s="1" t="s">
        <v>17</v>
      </c>
      <c r="C654" s="1">
        <v>0.5</v>
      </c>
      <c r="D654" s="1">
        <v>120</v>
      </c>
      <c r="E654" s="1">
        <v>25</v>
      </c>
      <c r="F654" s="1">
        <v>7</v>
      </c>
      <c r="G654" s="1">
        <v>25</v>
      </c>
      <c r="H654" s="1">
        <v>150</v>
      </c>
      <c r="I654" s="1">
        <v>100</v>
      </c>
      <c r="J654" s="1">
        <v>24.298999999999999</v>
      </c>
      <c r="K654" s="1">
        <v>12.85</v>
      </c>
      <c r="L654" s="1">
        <v>48.6</v>
      </c>
      <c r="M654" s="1">
        <v>102.1</v>
      </c>
      <c r="N654" s="1">
        <v>3.7280000000000001E-2</v>
      </c>
      <c r="O654" s="1">
        <v>1.772E-4</v>
      </c>
      <c r="P654" s="1">
        <f>(Table1[[#This Row],[Rate_Constant_k2_g_mg_min]]*Table1[[#This Row],[Contact_Time_min]]*Table1[[#This Row],[qe_mg_g]]^2)/(1+Table1[[#This Row],[Contact_Time_min]]*Table1[[#This Row],[qe_mg_g]]*Table1[[#This Row],[Rate_Constant_k2_g_mg_min]])</f>
        <v>8.2779693732908797</v>
      </c>
      <c r="Q654" s="1">
        <f>LN(Table1[[#This Row],[qe_mg_g]]-Table1[[#This Row],[qt]])</f>
        <v>2.7739022733230159</v>
      </c>
      <c r="R654" s="1">
        <v>2</v>
      </c>
    </row>
    <row r="655" spans="1:18" x14ac:dyDescent="0.3">
      <c r="A655" s="1">
        <v>654</v>
      </c>
      <c r="B655" s="1" t="s">
        <v>17</v>
      </c>
      <c r="C655" s="1">
        <v>0.5</v>
      </c>
      <c r="D655" s="1">
        <v>120</v>
      </c>
      <c r="E655" s="1">
        <v>25</v>
      </c>
      <c r="F655" s="1">
        <v>7</v>
      </c>
      <c r="G655" s="1">
        <v>25</v>
      </c>
      <c r="H655" s="1">
        <v>150</v>
      </c>
      <c r="I655" s="1">
        <v>100</v>
      </c>
      <c r="J655" s="1">
        <v>21.849</v>
      </c>
      <c r="K655" s="1">
        <v>14.074999999999999</v>
      </c>
      <c r="L655" s="1">
        <v>43.7</v>
      </c>
      <c r="M655" s="1">
        <v>85.6</v>
      </c>
      <c r="N655" s="1">
        <v>3.7100000000000001E-2</v>
      </c>
      <c r="O655" s="1">
        <v>2.1340000000000001E-4</v>
      </c>
      <c r="P655" s="1">
        <f>(Table1[[#This Row],[Rate_Constant_k2_g_mg_min]]*Table1[[#This Row],[Contact_Time_min]]*Table1[[#This Row],[qe_mg_g]]^2)/(1+Table1[[#This Row],[Contact_Time_min]]*Table1[[#This Row],[qe_mg_g]]*Table1[[#This Row],[Rate_Constant_k2_g_mg_min]])</f>
        <v>7.8388228801206061</v>
      </c>
      <c r="Q655" s="1">
        <f>LN(Table1[[#This Row],[qe_mg_g]]-Table1[[#This Row],[qt]])</f>
        <v>2.6397840026586796</v>
      </c>
      <c r="R655" s="1">
        <v>3</v>
      </c>
    </row>
    <row r="656" spans="1:18" x14ac:dyDescent="0.3">
      <c r="A656" s="1">
        <v>655</v>
      </c>
      <c r="B656" s="1" t="s">
        <v>17</v>
      </c>
      <c r="C656" s="1">
        <v>0.5</v>
      </c>
      <c r="D656" s="1">
        <v>120</v>
      </c>
      <c r="E656" s="1">
        <v>25</v>
      </c>
      <c r="F656" s="1">
        <v>11</v>
      </c>
      <c r="G656" s="1">
        <v>25</v>
      </c>
      <c r="H656" s="1">
        <v>150</v>
      </c>
      <c r="I656" s="1">
        <v>100</v>
      </c>
      <c r="J656" s="1">
        <v>16.167999999999999</v>
      </c>
      <c r="K656" s="1">
        <v>16.916</v>
      </c>
      <c r="L656" s="1">
        <v>32.340000000000003</v>
      </c>
      <c r="M656" s="1">
        <v>86.8</v>
      </c>
      <c r="N656" s="1">
        <v>3.6600000000000001E-2</v>
      </c>
      <c r="O656" s="1">
        <v>2.2910000000000001E-4</v>
      </c>
      <c r="P65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4.9751273200399302</v>
      </c>
      <c r="Q656" s="1">
        <f>LN(Table1[[#This Row],[qe_mg_g]]-Table1[[#This Row],[qt]])</f>
        <v>2.4152772078723705</v>
      </c>
      <c r="R656" s="1">
        <v>1</v>
      </c>
    </row>
    <row r="657" spans="1:18" x14ac:dyDescent="0.3">
      <c r="A657" s="1">
        <v>656</v>
      </c>
      <c r="B657" s="1" t="s">
        <v>17</v>
      </c>
      <c r="C657" s="1">
        <v>0.5</v>
      </c>
      <c r="D657" s="1">
        <v>120</v>
      </c>
      <c r="E657" s="1">
        <v>25</v>
      </c>
      <c r="F657" s="1">
        <v>11</v>
      </c>
      <c r="G657" s="1">
        <v>25</v>
      </c>
      <c r="H657" s="1">
        <v>150</v>
      </c>
      <c r="I657" s="1">
        <v>100</v>
      </c>
      <c r="J657" s="1">
        <v>18.678999999999998</v>
      </c>
      <c r="K657" s="1">
        <v>15.661</v>
      </c>
      <c r="L657" s="1">
        <v>37.36</v>
      </c>
      <c r="M657" s="1">
        <v>95.9</v>
      </c>
      <c r="N657" s="1">
        <v>3.5290000000000002E-2</v>
      </c>
      <c r="O657" s="1">
        <v>2.2819999999999999E-4</v>
      </c>
      <c r="P657" s="1">
        <f>(Table1[[#This Row],[Rate_Constant_k2_g_mg_min]]*Table1[[#This Row],[Contact_Time_min]]*Table1[[#This Row],[qe_mg_g]]^2)/(1+Table1[[#This Row],[Contact_Time_min]]*Table1[[#This Row],[qe_mg_g]]*Table1[[#This Row],[Rate_Constant_k2_g_mg_min]])</f>
        <v>6.3211243035229856</v>
      </c>
      <c r="Q657" s="1">
        <f>LN(Table1[[#This Row],[qe_mg_g]]-Table1[[#This Row],[qt]])</f>
        <v>2.5142935680412681</v>
      </c>
      <c r="R657" s="1">
        <v>2</v>
      </c>
    </row>
    <row r="658" spans="1:18" x14ac:dyDescent="0.3">
      <c r="A658" s="1">
        <v>657</v>
      </c>
      <c r="B658" s="1" t="s">
        <v>17</v>
      </c>
      <c r="C658" s="1">
        <v>0.5</v>
      </c>
      <c r="D658" s="1">
        <v>120</v>
      </c>
      <c r="E658" s="1">
        <v>25</v>
      </c>
      <c r="F658" s="1">
        <v>11</v>
      </c>
      <c r="G658" s="1">
        <v>25</v>
      </c>
      <c r="H658" s="1">
        <v>150</v>
      </c>
      <c r="I658" s="1">
        <v>100</v>
      </c>
      <c r="J658" s="1">
        <v>18.164000000000001</v>
      </c>
      <c r="K658" s="1">
        <v>15.917999999999999</v>
      </c>
      <c r="L658" s="1">
        <v>36.33</v>
      </c>
      <c r="M658" s="1">
        <v>74.599999999999994</v>
      </c>
      <c r="N658" s="1">
        <v>3.9910000000000001E-2</v>
      </c>
      <c r="O658" s="1">
        <v>2.14E-4</v>
      </c>
      <c r="P658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5.7776375786906353</v>
      </c>
      <c r="Q658" s="1">
        <f>LN(Table1[[#This Row],[qe_mg_g]]-Table1[[#This Row],[qt]])</f>
        <v>2.5165960626488535</v>
      </c>
      <c r="R658" s="1">
        <v>3</v>
      </c>
    </row>
    <row r="659" spans="1:18" x14ac:dyDescent="0.3">
      <c r="A659" s="1">
        <v>658</v>
      </c>
      <c r="B659" s="1" t="s">
        <v>17</v>
      </c>
      <c r="C659" s="1">
        <v>0.5</v>
      </c>
      <c r="D659" s="1">
        <v>120</v>
      </c>
      <c r="E659" s="1">
        <v>50</v>
      </c>
      <c r="F659" s="1">
        <v>3</v>
      </c>
      <c r="G659" s="1">
        <v>25</v>
      </c>
      <c r="H659" s="1">
        <v>150</v>
      </c>
      <c r="I659" s="1">
        <v>100</v>
      </c>
      <c r="J659" s="1">
        <v>35.588999999999999</v>
      </c>
      <c r="K659" s="1">
        <v>32.206000000000003</v>
      </c>
      <c r="L659" s="1">
        <v>35.590000000000003</v>
      </c>
      <c r="M659" s="1">
        <v>79.5</v>
      </c>
      <c r="N659" s="1">
        <v>3.6040000000000003E-2</v>
      </c>
      <c r="O659" s="1">
        <v>2.0929999999999999E-4</v>
      </c>
      <c r="P659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16.797154005911807</v>
      </c>
      <c r="Q659" s="1">
        <f>LN(Table1[[#This Row],[qe_mg_g]]-Table1[[#This Row],[qt]])</f>
        <v>2.9334230520318525</v>
      </c>
      <c r="R659" s="1">
        <v>1</v>
      </c>
    </row>
    <row r="660" spans="1:18" x14ac:dyDescent="0.3">
      <c r="A660" s="1">
        <v>659</v>
      </c>
      <c r="B660" s="1" t="s">
        <v>17</v>
      </c>
      <c r="C660" s="1">
        <v>0.5</v>
      </c>
      <c r="D660" s="1">
        <v>120</v>
      </c>
      <c r="E660" s="1">
        <v>50</v>
      </c>
      <c r="F660" s="1">
        <v>3</v>
      </c>
      <c r="G660" s="1">
        <v>25</v>
      </c>
      <c r="H660" s="1">
        <v>150</v>
      </c>
      <c r="I660" s="1">
        <v>100</v>
      </c>
      <c r="J660" s="1">
        <v>37.972999999999999</v>
      </c>
      <c r="K660" s="1">
        <v>31.013000000000002</v>
      </c>
      <c r="L660" s="1">
        <v>37.97</v>
      </c>
      <c r="M660" s="1">
        <v>89.7</v>
      </c>
      <c r="N660" s="1">
        <v>4.095E-2</v>
      </c>
      <c r="O660" s="1">
        <v>2.2139999999999999E-4</v>
      </c>
      <c r="P660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19.070301936212523</v>
      </c>
      <c r="Q660" s="1">
        <f>LN(Table1[[#This Row],[qe_mg_g]]-Table1[[#This Row],[qt]])</f>
        <v>2.9393046665748646</v>
      </c>
      <c r="R660" s="1">
        <v>2</v>
      </c>
    </row>
    <row r="661" spans="1:18" x14ac:dyDescent="0.3">
      <c r="A661" s="1">
        <v>660</v>
      </c>
      <c r="B661" s="1" t="s">
        <v>17</v>
      </c>
      <c r="C661" s="1">
        <v>0.5</v>
      </c>
      <c r="D661" s="1">
        <v>120</v>
      </c>
      <c r="E661" s="1">
        <v>50</v>
      </c>
      <c r="F661" s="1">
        <v>3</v>
      </c>
      <c r="G661" s="1">
        <v>25</v>
      </c>
      <c r="H661" s="1">
        <v>150</v>
      </c>
      <c r="I661" s="1">
        <v>100</v>
      </c>
      <c r="J661" s="1">
        <v>37.948</v>
      </c>
      <c r="K661" s="1">
        <v>31.026</v>
      </c>
      <c r="L661" s="1">
        <v>37.950000000000003</v>
      </c>
      <c r="M661" s="1">
        <v>97.8</v>
      </c>
      <c r="N661" s="1">
        <v>3.1390000000000001E-2</v>
      </c>
      <c r="O661" s="1">
        <v>2.0799999999999999E-4</v>
      </c>
      <c r="P661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18.459324344151728</v>
      </c>
      <c r="Q661" s="1">
        <f>LN(Table1[[#This Row],[qe_mg_g]]-Table1[[#This Row],[qt]])</f>
        <v>2.969833561279946</v>
      </c>
      <c r="R661" s="1">
        <v>3</v>
      </c>
    </row>
    <row r="662" spans="1:18" x14ac:dyDescent="0.3">
      <c r="A662" s="1">
        <v>661</v>
      </c>
      <c r="B662" s="1" t="s">
        <v>17</v>
      </c>
      <c r="C662" s="1">
        <v>0.5</v>
      </c>
      <c r="D662" s="1">
        <v>120</v>
      </c>
      <c r="E662" s="1">
        <v>50</v>
      </c>
      <c r="F662" s="1">
        <v>7</v>
      </c>
      <c r="G662" s="1">
        <v>25</v>
      </c>
      <c r="H662" s="1">
        <v>150</v>
      </c>
      <c r="I662" s="1">
        <v>100</v>
      </c>
      <c r="J662" s="1">
        <v>65.171000000000006</v>
      </c>
      <c r="K662" s="1">
        <v>17.414000000000001</v>
      </c>
      <c r="L662" s="1">
        <v>65.17</v>
      </c>
      <c r="M662" s="1">
        <v>82.9</v>
      </c>
      <c r="N662" s="1">
        <v>3.2030000000000003E-2</v>
      </c>
      <c r="O662" s="1">
        <v>1.8699999999999999E-4</v>
      </c>
      <c r="P662" s="1">
        <f>(Table1[[#This Row],[Rate_Constant_k2_g_mg_min]]*Table1[[#This Row],[Contact_Time_min]]*Table1[[#This Row],[qe_mg_g]]^2)/(1+Table1[[#This Row],[Contact_Time_min]]*Table1[[#This Row],[qe_mg_g]]*Table1[[#This Row],[Rate_Constant_k2_g_mg_min]])</f>
        <v>38.704944767664422</v>
      </c>
      <c r="Q662" s="1">
        <f>LN(Table1[[#This Row],[qe_mg_g]]-Table1[[#This Row],[qt]])</f>
        <v>3.2758629772653123</v>
      </c>
      <c r="R662" s="1">
        <v>1</v>
      </c>
    </row>
    <row r="663" spans="1:18" x14ac:dyDescent="0.3">
      <c r="A663" s="1">
        <v>662</v>
      </c>
      <c r="B663" s="1" t="s">
        <v>17</v>
      </c>
      <c r="C663" s="1">
        <v>0.5</v>
      </c>
      <c r="D663" s="1">
        <v>120</v>
      </c>
      <c r="E663" s="1">
        <v>50</v>
      </c>
      <c r="F663" s="1">
        <v>7</v>
      </c>
      <c r="G663" s="1">
        <v>25</v>
      </c>
      <c r="H663" s="1">
        <v>150</v>
      </c>
      <c r="I663" s="1">
        <v>100</v>
      </c>
      <c r="J663" s="1">
        <v>49.173000000000002</v>
      </c>
      <c r="K663" s="1">
        <v>25.413</v>
      </c>
      <c r="L663" s="1">
        <v>49.17</v>
      </c>
      <c r="M663" s="1">
        <v>75.599999999999994</v>
      </c>
      <c r="N663" s="1">
        <v>3.3700000000000001E-2</v>
      </c>
      <c r="O663" s="1">
        <v>1.719E-4</v>
      </c>
      <c r="P663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24.761538042724421</v>
      </c>
      <c r="Q663" s="1">
        <f>LN(Table1[[#This Row],[qe_mg_g]]-Table1[[#This Row],[qt]])</f>
        <v>3.1950527743474231</v>
      </c>
      <c r="R663" s="1">
        <v>2</v>
      </c>
    </row>
    <row r="664" spans="1:18" x14ac:dyDescent="0.3">
      <c r="A664" s="1">
        <v>663</v>
      </c>
      <c r="B664" s="1" t="s">
        <v>17</v>
      </c>
      <c r="C664" s="1">
        <v>0.5</v>
      </c>
      <c r="D664" s="1">
        <v>120</v>
      </c>
      <c r="E664" s="1">
        <v>50</v>
      </c>
      <c r="F664" s="1">
        <v>7</v>
      </c>
      <c r="G664" s="1">
        <v>25</v>
      </c>
      <c r="H664" s="1">
        <v>150</v>
      </c>
      <c r="I664" s="1">
        <v>100</v>
      </c>
      <c r="J664" s="1">
        <v>55.273000000000003</v>
      </c>
      <c r="K664" s="1">
        <v>22.364000000000001</v>
      </c>
      <c r="L664" s="1">
        <v>55.27</v>
      </c>
      <c r="M664" s="1">
        <v>97.3</v>
      </c>
      <c r="N664" s="1">
        <v>3.1820000000000001E-2</v>
      </c>
      <c r="O664" s="1">
        <v>2.3039999999999999E-4</v>
      </c>
      <c r="P664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33.410305414463366</v>
      </c>
      <c r="Q664" s="1">
        <f>LN(Table1[[#This Row],[qe_mg_g]]-Table1[[#This Row],[qt]])</f>
        <v>3.0847817407298868</v>
      </c>
      <c r="R664" s="1">
        <v>3</v>
      </c>
    </row>
    <row r="665" spans="1:18" x14ac:dyDescent="0.3">
      <c r="A665" s="1">
        <v>664</v>
      </c>
      <c r="B665" s="1" t="s">
        <v>17</v>
      </c>
      <c r="C665" s="1">
        <v>0.5</v>
      </c>
      <c r="D665" s="1">
        <v>120</v>
      </c>
      <c r="E665" s="1">
        <v>50</v>
      </c>
      <c r="F665" s="1">
        <v>11</v>
      </c>
      <c r="G665" s="1">
        <v>25</v>
      </c>
      <c r="H665" s="1">
        <v>150</v>
      </c>
      <c r="I665" s="1">
        <v>100</v>
      </c>
      <c r="J665" s="1">
        <v>46.557000000000002</v>
      </c>
      <c r="K665" s="1">
        <v>26.722000000000001</v>
      </c>
      <c r="L665" s="1">
        <v>46.56</v>
      </c>
      <c r="M665" s="1">
        <v>99</v>
      </c>
      <c r="N665" s="1">
        <v>3.27E-2</v>
      </c>
      <c r="O665" s="1">
        <v>2.1709999999999999E-4</v>
      </c>
      <c r="P665" s="1">
        <f>(Table1[[#This Row],[Rate_Constant_k2_g_mg_min]]*Table1[[#This Row],[Contact_Time_min]]*Table1[[#This Row],[qe_mg_g]]^2)/(1+Table1[[#This Row],[Contact_Time_min]]*Table1[[#This Row],[qe_mg_g]]*Table1[[#This Row],[Rate_Constant_k2_g_mg_min]])</f>
        <v>25.518119959889937</v>
      </c>
      <c r="Q665" s="1">
        <f>LN(Table1[[#This Row],[qe_mg_g]]-Table1[[#This Row],[qt]])</f>
        <v>3.0463721564199489</v>
      </c>
      <c r="R665" s="1">
        <v>1</v>
      </c>
    </row>
    <row r="666" spans="1:18" x14ac:dyDescent="0.3">
      <c r="A666" s="1">
        <v>665</v>
      </c>
      <c r="B666" s="1" t="s">
        <v>17</v>
      </c>
      <c r="C666" s="1">
        <v>0.5</v>
      </c>
      <c r="D666" s="1">
        <v>120</v>
      </c>
      <c r="E666" s="1">
        <v>50</v>
      </c>
      <c r="F666" s="1">
        <v>11</v>
      </c>
      <c r="G666" s="1">
        <v>25</v>
      </c>
      <c r="H666" s="1">
        <v>150</v>
      </c>
      <c r="I666" s="1">
        <v>100</v>
      </c>
      <c r="J666" s="1">
        <v>39.457999999999998</v>
      </c>
      <c r="K666" s="1">
        <v>30.271000000000001</v>
      </c>
      <c r="L666" s="1">
        <v>39.46</v>
      </c>
      <c r="M666" s="1">
        <v>97.2</v>
      </c>
      <c r="N666" s="1">
        <v>3.56E-2</v>
      </c>
      <c r="O666" s="1">
        <v>2.1110000000000001E-4</v>
      </c>
      <c r="P666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19.724560528655253</v>
      </c>
      <c r="Q666" s="1">
        <f>LN(Table1[[#This Row],[qe_mg_g]]-Table1[[#This Row],[qt]])</f>
        <v>2.9823146318228289</v>
      </c>
      <c r="R666" s="1">
        <v>2</v>
      </c>
    </row>
    <row r="667" spans="1:18" x14ac:dyDescent="0.3">
      <c r="A667" s="1">
        <v>666</v>
      </c>
      <c r="B667" s="1" t="s">
        <v>17</v>
      </c>
      <c r="C667" s="1">
        <v>0.5</v>
      </c>
      <c r="D667" s="1">
        <v>120</v>
      </c>
      <c r="E667" s="1">
        <v>50</v>
      </c>
      <c r="F667" s="1">
        <v>11</v>
      </c>
      <c r="G667" s="1">
        <v>25</v>
      </c>
      <c r="H667" s="1">
        <v>150</v>
      </c>
      <c r="I667" s="1">
        <v>100</v>
      </c>
      <c r="J667" s="1">
        <v>39.087000000000003</v>
      </c>
      <c r="K667" s="1">
        <v>30.456</v>
      </c>
      <c r="L667" s="1">
        <v>39.090000000000003</v>
      </c>
      <c r="M667" s="1">
        <v>74.2</v>
      </c>
      <c r="N667" s="1">
        <v>3.7089999999999998E-2</v>
      </c>
      <c r="O667" s="1">
        <v>1.8100000000000001E-4</v>
      </c>
      <c r="P667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17.947118006047951</v>
      </c>
      <c r="Q667" s="1">
        <f>LN(Table1[[#This Row],[qe_mg_g]]-Table1[[#This Row],[qt]])</f>
        <v>3.0511613983050379</v>
      </c>
      <c r="R667" s="1">
        <v>3</v>
      </c>
    </row>
    <row r="668" spans="1:18" x14ac:dyDescent="0.3">
      <c r="A668" s="1">
        <v>667</v>
      </c>
      <c r="B668" s="1" t="s">
        <v>17</v>
      </c>
      <c r="C668" s="1">
        <v>0.5</v>
      </c>
      <c r="D668" s="1">
        <v>120</v>
      </c>
      <c r="E668" s="1">
        <v>100</v>
      </c>
      <c r="F668" s="1">
        <v>3</v>
      </c>
      <c r="G668" s="1">
        <v>25</v>
      </c>
      <c r="H668" s="1">
        <v>150</v>
      </c>
      <c r="I668" s="1">
        <v>100</v>
      </c>
      <c r="J668" s="1">
        <v>76.314999999999998</v>
      </c>
      <c r="K668" s="1">
        <v>61.843000000000004</v>
      </c>
      <c r="L668" s="1">
        <v>38.159999999999997</v>
      </c>
      <c r="M668" s="1">
        <v>68.099999999999994</v>
      </c>
      <c r="N668" s="1">
        <v>3.7969999999999997E-2</v>
      </c>
      <c r="O668" s="1">
        <v>1.7530000000000001E-4</v>
      </c>
      <c r="P668" s="1">
        <f>(Table1[[#This Row],[Rate_Constant_k2_g_mg_min]]*Table1[[#This Row],[Contact_Time_min]]*Table1[[#This Row],[qe_mg_g]]^2)/(1+Table1[[#This Row],[Contact_Time_min]]*Table1[[#This Row],[qe_mg_g]]*Table1[[#This Row],[Rate_Constant_k2_g_mg_min]])</f>
        <v>47.023488862244008</v>
      </c>
      <c r="Q668" s="1">
        <f>LN(Table1[[#This Row],[qe_mg_g]]-Table1[[#This Row],[qt]])</f>
        <v>3.3772977517845315</v>
      </c>
      <c r="R668" s="1">
        <v>1</v>
      </c>
    </row>
    <row r="669" spans="1:18" x14ac:dyDescent="0.3">
      <c r="A669" s="1">
        <v>668</v>
      </c>
      <c r="B669" s="1" t="s">
        <v>17</v>
      </c>
      <c r="C669" s="1">
        <v>0.5</v>
      </c>
      <c r="D669" s="1">
        <v>120</v>
      </c>
      <c r="E669" s="1">
        <v>100</v>
      </c>
      <c r="F669" s="1">
        <v>3</v>
      </c>
      <c r="G669" s="1">
        <v>25</v>
      </c>
      <c r="H669" s="1">
        <v>150</v>
      </c>
      <c r="I669" s="1">
        <v>100</v>
      </c>
      <c r="J669" s="1">
        <v>76.963999999999999</v>
      </c>
      <c r="K669" s="1">
        <v>61.518000000000001</v>
      </c>
      <c r="L669" s="1">
        <v>38.479999999999997</v>
      </c>
      <c r="M669" s="1">
        <v>93.8</v>
      </c>
      <c r="N669" s="1">
        <v>3.2559999999999999E-2</v>
      </c>
      <c r="O669" s="1">
        <v>2.1159999999999999E-4</v>
      </c>
      <c r="P669" s="1">
        <f>(Table1[[#This Row],[Rate_Constant_k2_g_mg_min]]*Table1[[#This Row],[Contact_Time_min]]*Table1[[#This Row],[qe_mg_g]]^2)/(1+Table1[[#This Row],[Contact_Time_min]]*Table1[[#This Row],[qe_mg_g]]*Table1[[#This Row],[Rate_Constant_k2_g_mg_min]])</f>
        <v>50.912216338452552</v>
      </c>
      <c r="Q669" s="1">
        <f>LN(Table1[[#This Row],[qe_mg_g]]-Table1[[#This Row],[qt]])</f>
        <v>3.2600862365481653</v>
      </c>
      <c r="R669" s="1">
        <v>2</v>
      </c>
    </row>
    <row r="670" spans="1:18" x14ac:dyDescent="0.3">
      <c r="A670" s="1">
        <v>669</v>
      </c>
      <c r="B670" s="1" t="s">
        <v>17</v>
      </c>
      <c r="C670" s="1">
        <v>0.5</v>
      </c>
      <c r="D670" s="1">
        <v>120</v>
      </c>
      <c r="E670" s="1">
        <v>100</v>
      </c>
      <c r="F670" s="1">
        <v>3</v>
      </c>
      <c r="G670" s="1">
        <v>25</v>
      </c>
      <c r="H670" s="1">
        <v>150</v>
      </c>
      <c r="I670" s="1">
        <v>100</v>
      </c>
      <c r="J670" s="1">
        <v>74.835999999999999</v>
      </c>
      <c r="K670" s="1">
        <v>62.582000000000001</v>
      </c>
      <c r="L670" s="1">
        <v>37.42</v>
      </c>
      <c r="M670" s="1">
        <v>78.8</v>
      </c>
      <c r="N670" s="1">
        <v>3.1469999999999998E-2</v>
      </c>
      <c r="O670" s="1">
        <v>1.607E-4</v>
      </c>
      <c r="P670" s="1">
        <f>(Table1[[#This Row],[Rate_Constant_k2_g_mg_min]]*Table1[[#This Row],[Contact_Time_min]]*Table1[[#This Row],[qe_mg_g]]^2)/(1+Table1[[#This Row],[Contact_Time_min]]*Table1[[#This Row],[qe_mg_g]]*Table1[[#This Row],[Rate_Constant_k2_g_mg_min]])</f>
        <v>44.204894575944252</v>
      </c>
      <c r="Q670" s="1">
        <f>LN(Table1[[#This Row],[qe_mg_g]]-Table1[[#This Row],[qt]])</f>
        <v>3.422016009780664</v>
      </c>
      <c r="R670" s="1">
        <v>3</v>
      </c>
    </row>
    <row r="671" spans="1:18" x14ac:dyDescent="0.3">
      <c r="A671" s="1">
        <v>670</v>
      </c>
      <c r="B671" s="1" t="s">
        <v>17</v>
      </c>
      <c r="C671" s="1">
        <v>0.5</v>
      </c>
      <c r="D671" s="1">
        <v>120</v>
      </c>
      <c r="E671" s="1">
        <v>100</v>
      </c>
      <c r="F671" s="1">
        <v>7</v>
      </c>
      <c r="G671" s="1">
        <v>25</v>
      </c>
      <c r="H671" s="1">
        <v>150</v>
      </c>
      <c r="I671" s="1">
        <v>100</v>
      </c>
      <c r="J671" s="1">
        <v>108.483</v>
      </c>
      <c r="K671" s="1">
        <v>45.758000000000003</v>
      </c>
      <c r="L671" s="1">
        <v>54.24</v>
      </c>
      <c r="M671" s="1">
        <v>65.599999999999994</v>
      </c>
      <c r="N671" s="1">
        <v>3.533E-2</v>
      </c>
      <c r="O671" s="1">
        <v>1.9469999999999999E-4</v>
      </c>
      <c r="P671" s="1">
        <f>(Table1[[#This Row],[Rate_Constant_k2_g_mg_min]]*Table1[[#This Row],[Contact_Time_min]]*Table1[[#This Row],[qe_mg_g]]^2)/(1+Table1[[#This Row],[Contact_Time_min]]*Table1[[#This Row],[qe_mg_g]]*Table1[[#This Row],[Rate_Constant_k2_g_mg_min]])</f>
        <v>77.791239165582084</v>
      </c>
      <c r="Q671" s="1">
        <f>LN(Table1[[#This Row],[qe_mg_g]]-Table1[[#This Row],[qt]])</f>
        <v>3.4239942418446145</v>
      </c>
      <c r="R671" s="1">
        <v>1</v>
      </c>
    </row>
    <row r="672" spans="1:18" x14ac:dyDescent="0.3">
      <c r="A672" s="1">
        <v>671</v>
      </c>
      <c r="B672" s="1" t="s">
        <v>17</v>
      </c>
      <c r="C672" s="1">
        <v>0.5</v>
      </c>
      <c r="D672" s="1">
        <v>120</v>
      </c>
      <c r="E672" s="1">
        <v>100</v>
      </c>
      <c r="F672" s="1">
        <v>7</v>
      </c>
      <c r="G672" s="1">
        <v>25</v>
      </c>
      <c r="H672" s="1">
        <v>150</v>
      </c>
      <c r="I672" s="1">
        <v>100</v>
      </c>
      <c r="J672" s="1">
        <v>111.937</v>
      </c>
      <c r="K672" s="1">
        <v>44.031999999999996</v>
      </c>
      <c r="L672" s="1">
        <v>55.97</v>
      </c>
      <c r="M672" s="1">
        <v>81.8</v>
      </c>
      <c r="N672" s="1">
        <v>3.3849999999999998E-2</v>
      </c>
      <c r="O672" s="1">
        <v>2.1460000000000001E-4</v>
      </c>
      <c r="P672" s="1">
        <f>(Table1[[#This Row],[Rate_Constant_k2_g_mg_min]]*Table1[[#This Row],[Contact_Time_min]]*Table1[[#This Row],[qe_mg_g]]^2)/(1+Table1[[#This Row],[Contact_Time_min]]*Table1[[#This Row],[qe_mg_g]]*Table1[[#This Row],[Rate_Constant_k2_g_mg_min]])</f>
        <v>83.106589146599504</v>
      </c>
      <c r="Q672" s="1">
        <f>LN(Table1[[#This Row],[qe_mg_g]]-Table1[[#This Row],[qt]])</f>
        <v>3.3614307624471547</v>
      </c>
      <c r="R672" s="1">
        <v>2</v>
      </c>
    </row>
    <row r="673" spans="1:18" x14ac:dyDescent="0.3">
      <c r="A673" s="1">
        <v>672</v>
      </c>
      <c r="B673" s="1" t="s">
        <v>17</v>
      </c>
      <c r="C673" s="1">
        <v>0.5</v>
      </c>
      <c r="D673" s="1">
        <v>120</v>
      </c>
      <c r="E673" s="1">
        <v>100</v>
      </c>
      <c r="F673" s="1">
        <v>7</v>
      </c>
      <c r="G673" s="1">
        <v>25</v>
      </c>
      <c r="H673" s="1">
        <v>150</v>
      </c>
      <c r="I673" s="1">
        <v>100</v>
      </c>
      <c r="J673" s="1">
        <v>108.33</v>
      </c>
      <c r="K673" s="1">
        <v>45.835000000000001</v>
      </c>
      <c r="L673" s="1">
        <v>54.17</v>
      </c>
      <c r="M673" s="1">
        <v>89.8</v>
      </c>
      <c r="N673" s="1">
        <v>3.6639999999999999E-2</v>
      </c>
      <c r="O673" s="1">
        <v>1.693E-4</v>
      </c>
      <c r="P673" s="1">
        <f>(Table1[[#This Row],[Rate_Constant_k2_g_mg_min]]*Table1[[#This Row],[Contact_Time_min]]*Table1[[#This Row],[qe_mg_g]]^2)/(1+Table1[[#This Row],[Contact_Time_min]]*Table1[[#This Row],[qe_mg_g]]*Table1[[#This Row],[Rate_Constant_k2_g_mg_min]])</f>
        <v>74.48567748523206</v>
      </c>
      <c r="Q673" s="1">
        <f>LN(Table1[[#This Row],[qe_mg_g]]-Table1[[#This Row],[qt]])</f>
        <v>3.5217712604686855</v>
      </c>
      <c r="R673" s="1">
        <v>3</v>
      </c>
    </row>
    <row r="674" spans="1:18" x14ac:dyDescent="0.3">
      <c r="A674" s="1">
        <v>673</v>
      </c>
      <c r="B674" s="1" t="s">
        <v>17</v>
      </c>
      <c r="C674" s="1">
        <v>0.5</v>
      </c>
      <c r="D674" s="1">
        <v>120</v>
      </c>
      <c r="E674" s="1">
        <v>100</v>
      </c>
      <c r="F674" s="1">
        <v>11</v>
      </c>
      <c r="G674" s="1">
        <v>25</v>
      </c>
      <c r="H674" s="1">
        <v>150</v>
      </c>
      <c r="I674" s="1">
        <v>100</v>
      </c>
      <c r="J674" s="1">
        <v>92.045000000000002</v>
      </c>
      <c r="K674" s="1">
        <v>53.978000000000002</v>
      </c>
      <c r="L674" s="1">
        <v>46.02</v>
      </c>
      <c r="M674" s="1">
        <v>93.6</v>
      </c>
      <c r="N674" s="1">
        <v>3.1440000000000003E-2</v>
      </c>
      <c r="O674" s="1">
        <v>1.951E-4</v>
      </c>
      <c r="P674" s="1">
        <f>(Table1[[#This Row],[Rate_Constant_k2_g_mg_min]]*Table1[[#This Row],[Contact_Time_min]]*Table1[[#This Row],[qe_mg_g]]^2)/(1+Table1[[#This Row],[Contact_Time_min]]*Table1[[#This Row],[qe_mg_g]]*Table1[[#This Row],[Rate_Constant_k2_g_mg_min]])</f>
        <v>62.870280900610794</v>
      </c>
      <c r="Q674" s="1">
        <f>LN(Table1[[#This Row],[qe_mg_g]]-Table1[[#This Row],[qt]])</f>
        <v>3.3733025499990781</v>
      </c>
      <c r="R674" s="1">
        <v>1</v>
      </c>
    </row>
    <row r="675" spans="1:18" x14ac:dyDescent="0.3">
      <c r="A675" s="1">
        <v>674</v>
      </c>
      <c r="B675" s="1" t="s">
        <v>17</v>
      </c>
      <c r="C675" s="1">
        <v>0.5</v>
      </c>
      <c r="D675" s="1">
        <v>120</v>
      </c>
      <c r="E675" s="1">
        <v>100</v>
      </c>
      <c r="F675" s="1">
        <v>11</v>
      </c>
      <c r="G675" s="1">
        <v>25</v>
      </c>
      <c r="H675" s="1">
        <v>150</v>
      </c>
      <c r="I675" s="1">
        <v>100</v>
      </c>
      <c r="J675" s="1">
        <v>85.233000000000004</v>
      </c>
      <c r="K675" s="1">
        <v>57.384</v>
      </c>
      <c r="L675" s="1">
        <v>42.62</v>
      </c>
      <c r="M675" s="1">
        <v>84</v>
      </c>
      <c r="N675" s="1">
        <v>3.6170000000000001E-2</v>
      </c>
      <c r="O675" s="1">
        <v>2.286E-4</v>
      </c>
      <c r="P675" s="1">
        <f>(Table1[[#This Row],[Rate_Constant_k2_g_mg_min]]*Table1[[#This Row],[Contact_Time_min]]*Table1[[#This Row],[qe_mg_g]]^2)/(1+Table1[[#This Row],[Contact_Time_min]]*Table1[[#This Row],[qe_mg_g]]*Table1[[#This Row],[Rate_Constant_k2_g_mg_min]])</f>
        <v>59.699701901118196</v>
      </c>
      <c r="Q675" s="1">
        <f>LN(Table1[[#This Row],[qe_mg_g]]-Table1[[#This Row],[qt]])</f>
        <v>3.2399834081381291</v>
      </c>
      <c r="R675" s="1">
        <v>2</v>
      </c>
    </row>
    <row r="676" spans="1:18" x14ac:dyDescent="0.3">
      <c r="A676" s="1">
        <v>675</v>
      </c>
      <c r="B676" s="1" t="s">
        <v>17</v>
      </c>
      <c r="C676" s="1">
        <v>0.5</v>
      </c>
      <c r="D676" s="1">
        <v>120</v>
      </c>
      <c r="E676" s="1">
        <v>100</v>
      </c>
      <c r="F676" s="1">
        <v>11</v>
      </c>
      <c r="G676" s="1">
        <v>25</v>
      </c>
      <c r="H676" s="1">
        <v>150</v>
      </c>
      <c r="I676" s="1">
        <v>100</v>
      </c>
      <c r="J676" s="1">
        <v>94.825999999999993</v>
      </c>
      <c r="K676" s="1">
        <v>52.587000000000003</v>
      </c>
      <c r="L676" s="1">
        <v>47.41</v>
      </c>
      <c r="M676" s="1">
        <v>68.8</v>
      </c>
      <c r="N676" s="1">
        <v>3.7179999999999998E-2</v>
      </c>
      <c r="O676" s="1">
        <v>2.2660000000000001E-4</v>
      </c>
      <c r="P676" s="1">
        <f>(Table1[[#This Row],[Rate_Constant_k2_g_mg_min]]*Table1[[#This Row],[Contact_Time_min]]*Table1[[#This Row],[qe_mg_g]]^2)/(1+Table1[[#This Row],[Contact_Time_min]]*Table1[[#This Row],[qe_mg_g]]*Table1[[#This Row],[Rate_Constant_k2_g_mg_min]])</f>
        <v>68.327251272110956</v>
      </c>
      <c r="Q676" s="1">
        <f>LN(Table1[[#This Row],[qe_mg_g]]-Table1[[#This Row],[qt]])</f>
        <v>3.2770975140618726</v>
      </c>
      <c r="R676" s="1">
        <v>3</v>
      </c>
    </row>
    <row r="677" spans="1:18" x14ac:dyDescent="0.3">
      <c r="A677" s="1">
        <v>676</v>
      </c>
      <c r="B677" s="1" t="s">
        <v>17</v>
      </c>
      <c r="C677" s="1">
        <v>0.5</v>
      </c>
      <c r="D677" s="1">
        <v>120</v>
      </c>
      <c r="E677" s="1">
        <v>200</v>
      </c>
      <c r="F677" s="1">
        <v>3</v>
      </c>
      <c r="G677" s="1">
        <v>25</v>
      </c>
      <c r="H677" s="1">
        <v>150</v>
      </c>
      <c r="I677" s="1">
        <v>100</v>
      </c>
      <c r="J677" s="1">
        <v>96.77</v>
      </c>
      <c r="K677" s="1">
        <v>151.61500000000001</v>
      </c>
      <c r="L677" s="1">
        <v>24.19</v>
      </c>
      <c r="M677" s="1">
        <v>99.7</v>
      </c>
      <c r="N677" s="1">
        <v>4.2040000000000001E-2</v>
      </c>
      <c r="O677" s="1">
        <v>2.2049999999999999E-4</v>
      </c>
      <c r="P677" s="1">
        <f>(Table1[[#This Row],[Rate_Constant_k2_g_mg_min]]*Table1[[#This Row],[Contact_Time_min]]*Table1[[#This Row],[qe_mg_g]]^2)/(1+Table1[[#This Row],[Contact_Time_min]]*Table1[[#This Row],[qe_mg_g]]*Table1[[#This Row],[Rate_Constant_k2_g_mg_min]])</f>
        <v>69.591494033114472</v>
      </c>
      <c r="Q677" s="1">
        <f>LN(Table1[[#This Row],[qe_mg_g]]-Table1[[#This Row],[qt]])</f>
        <v>3.3024264391064388</v>
      </c>
      <c r="R677" s="1">
        <v>1</v>
      </c>
    </row>
    <row r="678" spans="1:18" x14ac:dyDescent="0.3">
      <c r="A678" s="1">
        <v>677</v>
      </c>
      <c r="B678" s="1" t="s">
        <v>17</v>
      </c>
      <c r="C678" s="1">
        <v>0.5</v>
      </c>
      <c r="D678" s="1">
        <v>120</v>
      </c>
      <c r="E678" s="1">
        <v>200</v>
      </c>
      <c r="F678" s="1">
        <v>3</v>
      </c>
      <c r="G678" s="1">
        <v>25</v>
      </c>
      <c r="H678" s="1">
        <v>150</v>
      </c>
      <c r="I678" s="1">
        <v>100</v>
      </c>
      <c r="J678" s="1">
        <v>95.489000000000004</v>
      </c>
      <c r="K678" s="1">
        <v>152.256</v>
      </c>
      <c r="L678" s="1">
        <v>23.87</v>
      </c>
      <c r="M678" s="1">
        <v>99.2</v>
      </c>
      <c r="N678" s="1">
        <v>3.551E-2</v>
      </c>
      <c r="O678" s="1">
        <v>2.0049999999999999E-4</v>
      </c>
      <c r="P678" s="1">
        <f>(Table1[[#This Row],[Rate_Constant_k2_g_mg_min]]*Table1[[#This Row],[Contact_Time_min]]*Table1[[#This Row],[qe_mg_g]]^2)/(1+Table1[[#This Row],[Contact_Time_min]]*Table1[[#This Row],[qe_mg_g]]*Table1[[#This Row],[Rate_Constant_k2_g_mg_min]])</f>
        <v>66.530697135776407</v>
      </c>
      <c r="Q678" s="1">
        <f>LN(Table1[[#This Row],[qe_mg_g]]-Table1[[#This Row],[qt]])</f>
        <v>3.365856963045597</v>
      </c>
      <c r="R678" s="1">
        <v>2</v>
      </c>
    </row>
    <row r="679" spans="1:18" x14ac:dyDescent="0.3">
      <c r="A679" s="1">
        <v>678</v>
      </c>
      <c r="B679" s="1" t="s">
        <v>17</v>
      </c>
      <c r="C679" s="1">
        <v>0.5</v>
      </c>
      <c r="D679" s="1">
        <v>120</v>
      </c>
      <c r="E679" s="1">
        <v>200</v>
      </c>
      <c r="F679" s="1">
        <v>3</v>
      </c>
      <c r="G679" s="1">
        <v>25</v>
      </c>
      <c r="H679" s="1">
        <v>150</v>
      </c>
      <c r="I679" s="1">
        <v>100</v>
      </c>
      <c r="J679" s="1">
        <v>89.891999999999996</v>
      </c>
      <c r="K679" s="1">
        <v>155.054</v>
      </c>
      <c r="L679" s="1">
        <v>22.47</v>
      </c>
      <c r="M679" s="1">
        <v>105.8</v>
      </c>
      <c r="N679" s="1">
        <v>3.2140000000000002E-2</v>
      </c>
      <c r="O679" s="1">
        <v>2.3059999999999999E-4</v>
      </c>
      <c r="P679" s="1">
        <f>(Table1[[#This Row],[Rate_Constant_k2_g_mg_min]]*Table1[[#This Row],[Contact_Time_min]]*Table1[[#This Row],[qe_mg_g]]^2)/(1+Table1[[#This Row],[Contact_Time_min]]*Table1[[#This Row],[qe_mg_g]]*Table1[[#This Row],[Rate_Constant_k2_g_mg_min]])</f>
        <v>64.116452745206232</v>
      </c>
      <c r="Q679" s="1">
        <f>LN(Table1[[#This Row],[qe_mg_g]]-Table1[[#This Row],[qt]])</f>
        <v>3.2494262616773861</v>
      </c>
      <c r="R679" s="1">
        <v>3</v>
      </c>
    </row>
    <row r="680" spans="1:18" x14ac:dyDescent="0.3">
      <c r="A680" s="1">
        <v>679</v>
      </c>
      <c r="B680" s="1" t="s">
        <v>17</v>
      </c>
      <c r="C680" s="1">
        <v>0.5</v>
      </c>
      <c r="D680" s="1">
        <v>120</v>
      </c>
      <c r="E680" s="1">
        <v>200</v>
      </c>
      <c r="F680" s="1">
        <v>7</v>
      </c>
      <c r="G680" s="1">
        <v>25</v>
      </c>
      <c r="H680" s="1">
        <v>150</v>
      </c>
      <c r="I680" s="1">
        <v>100</v>
      </c>
      <c r="J680" s="1">
        <v>139.161</v>
      </c>
      <c r="K680" s="1">
        <v>130.41999999999999</v>
      </c>
      <c r="L680" s="1">
        <v>34.79</v>
      </c>
      <c r="M680" s="1">
        <v>67.7</v>
      </c>
      <c r="N680" s="1">
        <v>3.6290000000000003E-2</v>
      </c>
      <c r="O680" s="1">
        <v>1.5799999999999999E-4</v>
      </c>
      <c r="P680" s="1">
        <f>(Table1[[#This Row],[Rate_Constant_k2_g_mg_min]]*Table1[[#This Row],[Contact_Time_min]]*Table1[[#This Row],[qe_mg_g]]^2)/(1+Table1[[#This Row],[Contact_Time_min]]*Table1[[#This Row],[qe_mg_g]]*Table1[[#This Row],[Rate_Constant_k2_g_mg_min]])</f>
        <v>100.91411679076239</v>
      </c>
      <c r="Q680" s="1">
        <f>LN(Table1[[#This Row],[qe_mg_g]]-Table1[[#This Row],[qt]])</f>
        <v>3.6440620722266699</v>
      </c>
      <c r="R680" s="1">
        <v>1</v>
      </c>
    </row>
    <row r="681" spans="1:18" x14ac:dyDescent="0.3">
      <c r="A681" s="1">
        <v>680</v>
      </c>
      <c r="B681" s="1" t="s">
        <v>17</v>
      </c>
      <c r="C681" s="1">
        <v>0.5</v>
      </c>
      <c r="D681" s="1">
        <v>120</v>
      </c>
      <c r="E681" s="1">
        <v>200</v>
      </c>
      <c r="F681" s="1">
        <v>7</v>
      </c>
      <c r="G681" s="1">
        <v>25</v>
      </c>
      <c r="H681" s="1">
        <v>150</v>
      </c>
      <c r="I681" s="1">
        <v>100</v>
      </c>
      <c r="J681" s="1">
        <v>140.82599999999999</v>
      </c>
      <c r="K681" s="1">
        <v>129.58699999999999</v>
      </c>
      <c r="L681" s="1">
        <v>35.21</v>
      </c>
      <c r="M681" s="1">
        <v>97.1</v>
      </c>
      <c r="N681" s="1">
        <v>3.2930000000000001E-2</v>
      </c>
      <c r="O681" s="1">
        <v>2.0249999999999999E-4</v>
      </c>
      <c r="P681" s="1">
        <f>(Table1[[#This Row],[Rate_Constant_k2_g_mg_min]]*Table1[[#This Row],[Contact_Time_min]]*Table1[[#This Row],[qe_mg_g]]^2)/(1+Table1[[#This Row],[Contact_Time_min]]*Table1[[#This Row],[qe_mg_g]]*Table1[[#This Row],[Rate_Constant_k2_g_mg_min]])</f>
        <v>108.97984137362944</v>
      </c>
      <c r="Q681" s="1">
        <f>LN(Table1[[#This Row],[qe_mg_g]]-Table1[[#This Row],[qt]])</f>
        <v>3.4609167664671894</v>
      </c>
      <c r="R681" s="1">
        <v>2</v>
      </c>
    </row>
    <row r="682" spans="1:18" x14ac:dyDescent="0.3">
      <c r="A682" s="1">
        <v>681</v>
      </c>
      <c r="B682" s="1" t="s">
        <v>17</v>
      </c>
      <c r="C682" s="1">
        <v>0.5</v>
      </c>
      <c r="D682" s="1">
        <v>120</v>
      </c>
      <c r="E682" s="1">
        <v>200</v>
      </c>
      <c r="F682" s="1">
        <v>7</v>
      </c>
      <c r="G682" s="1">
        <v>25</v>
      </c>
      <c r="H682" s="1">
        <v>150</v>
      </c>
      <c r="I682" s="1">
        <v>100</v>
      </c>
      <c r="J682" s="1">
        <v>158.43600000000001</v>
      </c>
      <c r="K682" s="1">
        <v>120.782</v>
      </c>
      <c r="L682" s="1">
        <v>39.61</v>
      </c>
      <c r="M682" s="1">
        <v>79.2</v>
      </c>
      <c r="N682" s="1">
        <v>3.1289999999999998E-2</v>
      </c>
      <c r="O682" s="1">
        <v>2.296E-4</v>
      </c>
      <c r="P682" s="1">
        <f>(Table1[[#This Row],[Rate_Constant_k2_g_mg_min]]*Table1[[#This Row],[Contact_Time_min]]*Table1[[#This Row],[qe_mg_g]]^2)/(1+Table1[[#This Row],[Contact_Time_min]]*Table1[[#This Row],[qe_mg_g]]*Table1[[#This Row],[Rate_Constant_k2_g_mg_min]])</f>
        <v>128.90585139201167</v>
      </c>
      <c r="Q682" s="1">
        <f>LN(Table1[[#This Row],[qe_mg_g]]-Table1[[#This Row],[qt]])</f>
        <v>3.3854117281843585</v>
      </c>
      <c r="R682" s="1">
        <v>3</v>
      </c>
    </row>
    <row r="683" spans="1:18" x14ac:dyDescent="0.3">
      <c r="A683" s="1">
        <v>682</v>
      </c>
      <c r="B683" s="1" t="s">
        <v>17</v>
      </c>
      <c r="C683" s="1">
        <v>0.5</v>
      </c>
      <c r="D683" s="1">
        <v>120</v>
      </c>
      <c r="E683" s="1">
        <v>200</v>
      </c>
      <c r="F683" s="1">
        <v>11</v>
      </c>
      <c r="G683" s="1">
        <v>25</v>
      </c>
      <c r="H683" s="1">
        <v>150</v>
      </c>
      <c r="I683" s="1">
        <v>100</v>
      </c>
      <c r="J683" s="1">
        <v>130.15299999999999</v>
      </c>
      <c r="K683" s="1">
        <v>134.923</v>
      </c>
      <c r="L683" s="1">
        <v>32.54</v>
      </c>
      <c r="M683" s="1">
        <v>85.8</v>
      </c>
      <c r="N683" s="1">
        <v>3.8539999999999998E-2</v>
      </c>
      <c r="O683" s="1">
        <v>2.2680000000000001E-4</v>
      </c>
      <c r="P683" s="1">
        <f>(Table1[[#This Row],[Rate_Constant_k2_g_mg_min]]*Table1[[#This Row],[Contact_Time_min]]*Table1[[#This Row],[qe_mg_g]]^2)/(1+Table1[[#This Row],[Contact_Time_min]]*Table1[[#This Row],[qe_mg_g]]*Table1[[#This Row],[Rate_Constant_k2_g_mg_min]])</f>
        <v>101.4991014809832</v>
      </c>
      <c r="Q683" s="1">
        <f>LN(Table1[[#This Row],[qe_mg_g]]-Table1[[#This Row],[qt]])</f>
        <v>3.3552895078657183</v>
      </c>
      <c r="R683" s="1">
        <v>1</v>
      </c>
    </row>
    <row r="684" spans="1:18" x14ac:dyDescent="0.3">
      <c r="A684" s="1">
        <v>683</v>
      </c>
      <c r="B684" s="1" t="s">
        <v>17</v>
      </c>
      <c r="C684" s="1">
        <v>0.5</v>
      </c>
      <c r="D684" s="1">
        <v>120</v>
      </c>
      <c r="E684" s="1">
        <v>200</v>
      </c>
      <c r="F684" s="1">
        <v>11</v>
      </c>
      <c r="G684" s="1">
        <v>25</v>
      </c>
      <c r="H684" s="1">
        <v>150</v>
      </c>
      <c r="I684" s="1">
        <v>100</v>
      </c>
      <c r="J684" s="1">
        <v>100.72199999999999</v>
      </c>
      <c r="K684" s="1">
        <v>149.63900000000001</v>
      </c>
      <c r="L684" s="1">
        <v>25.18</v>
      </c>
      <c r="M684" s="1">
        <v>79.5</v>
      </c>
      <c r="N684" s="1">
        <v>3.9309999999999998E-2</v>
      </c>
      <c r="O684" s="1">
        <v>2.3369999999999999E-4</v>
      </c>
      <c r="P684" s="1">
        <f>(Table1[[#This Row],[Rate_Constant_k2_g_mg_min]]*Table1[[#This Row],[Contact_Time_min]]*Table1[[#This Row],[qe_mg_g]]^2)/(1+Table1[[#This Row],[Contact_Time_min]]*Table1[[#This Row],[qe_mg_g]]*Table1[[#This Row],[Rate_Constant_k2_g_mg_min]])</f>
        <v>74.387025876965922</v>
      </c>
      <c r="Q684" s="1">
        <f>LN(Table1[[#This Row],[qe_mg_g]]-Table1[[#This Row],[qt]])</f>
        <v>3.270897870327468</v>
      </c>
      <c r="R684" s="1">
        <v>2</v>
      </c>
    </row>
    <row r="685" spans="1:18" x14ac:dyDescent="0.3">
      <c r="A685" s="1">
        <v>684</v>
      </c>
      <c r="B685" s="1" t="s">
        <v>17</v>
      </c>
      <c r="C685" s="1">
        <v>0.5</v>
      </c>
      <c r="D685" s="1">
        <v>120</v>
      </c>
      <c r="E685" s="1">
        <v>200</v>
      </c>
      <c r="F685" s="1">
        <v>11</v>
      </c>
      <c r="G685" s="1">
        <v>25</v>
      </c>
      <c r="H685" s="1">
        <v>150</v>
      </c>
      <c r="I685" s="1">
        <v>100</v>
      </c>
      <c r="J685" s="1">
        <v>114.92400000000001</v>
      </c>
      <c r="K685" s="1">
        <v>142.53800000000001</v>
      </c>
      <c r="L685" s="1">
        <v>28.73</v>
      </c>
      <c r="M685" s="1">
        <v>74.400000000000006</v>
      </c>
      <c r="N685" s="1">
        <v>4.1950000000000001E-2</v>
      </c>
      <c r="O685" s="1">
        <v>1.894E-4</v>
      </c>
      <c r="P685" s="1">
        <f>(Table1[[#This Row],[Rate_Constant_k2_g_mg_min]]*Table1[[#This Row],[Contact_Time_min]]*Table1[[#This Row],[qe_mg_g]]^2)/(1+Table1[[#This Row],[Contact_Time_min]]*Table1[[#This Row],[qe_mg_g]]*Table1[[#This Row],[Rate_Constant_k2_g_mg_min]])</f>
        <v>83.106659701697211</v>
      </c>
      <c r="Q685" s="1">
        <f>LN(Table1[[#This Row],[qe_mg_g]]-Table1[[#This Row],[qt]])</f>
        <v>3.4600114335677139</v>
      </c>
      <c r="R685" s="1">
        <v>3</v>
      </c>
    </row>
    <row r="686" spans="1:18" x14ac:dyDescent="0.3">
      <c r="A686" s="1">
        <v>685</v>
      </c>
      <c r="B686" s="1" t="s">
        <v>17</v>
      </c>
      <c r="C686" s="1">
        <v>0.5</v>
      </c>
      <c r="D686" s="1">
        <v>240</v>
      </c>
      <c r="E686" s="1">
        <v>25</v>
      </c>
      <c r="F686" s="1">
        <v>3</v>
      </c>
      <c r="G686" s="1">
        <v>25</v>
      </c>
      <c r="H686" s="1">
        <v>150</v>
      </c>
      <c r="I686" s="1">
        <v>100</v>
      </c>
      <c r="J686" s="1">
        <v>19.308</v>
      </c>
      <c r="K686" s="1">
        <v>15.346</v>
      </c>
      <c r="L686" s="1">
        <v>38.619999999999997</v>
      </c>
      <c r="M686" s="1">
        <v>90.1</v>
      </c>
      <c r="N686" s="1">
        <v>4.0439999999999997E-2</v>
      </c>
      <c r="O686" s="1">
        <v>2.1709999999999999E-4</v>
      </c>
      <c r="P68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9.6829906820657659</v>
      </c>
      <c r="Q686" s="1">
        <f>LN(Table1[[#This Row],[qe_mg_g]]-Table1[[#This Row],[qt]])</f>
        <v>2.2643648482704424</v>
      </c>
      <c r="R686" s="1">
        <v>1</v>
      </c>
    </row>
    <row r="687" spans="1:18" x14ac:dyDescent="0.3">
      <c r="A687" s="1">
        <v>686</v>
      </c>
      <c r="B687" s="1" t="s">
        <v>17</v>
      </c>
      <c r="C687" s="1">
        <v>0.5</v>
      </c>
      <c r="D687" s="1">
        <v>240</v>
      </c>
      <c r="E687" s="1">
        <v>25</v>
      </c>
      <c r="F687" s="1">
        <v>3</v>
      </c>
      <c r="G687" s="1">
        <v>25</v>
      </c>
      <c r="H687" s="1">
        <v>150</v>
      </c>
      <c r="I687" s="1">
        <v>100</v>
      </c>
      <c r="J687" s="1">
        <v>20.806999999999999</v>
      </c>
      <c r="K687" s="1">
        <v>14.597</v>
      </c>
      <c r="L687" s="1">
        <v>41.61</v>
      </c>
      <c r="M687" s="1">
        <v>91.7</v>
      </c>
      <c r="N687" s="1">
        <v>3.5150000000000001E-2</v>
      </c>
      <c r="O687" s="1">
        <v>2.1120000000000001E-4</v>
      </c>
      <c r="P687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10.680289410862347</v>
      </c>
      <c r="Q687" s="1">
        <f>LN(Table1[[#This Row],[qe_mg_g]]-Table1[[#This Row],[qt]])</f>
        <v>2.3151765457979767</v>
      </c>
      <c r="R687" s="1">
        <v>2</v>
      </c>
    </row>
    <row r="688" spans="1:18" x14ac:dyDescent="0.3">
      <c r="A688" s="1">
        <v>687</v>
      </c>
      <c r="B688" s="1" t="s">
        <v>17</v>
      </c>
      <c r="C688" s="1">
        <v>0.5</v>
      </c>
      <c r="D688" s="1">
        <v>240</v>
      </c>
      <c r="E688" s="1">
        <v>25</v>
      </c>
      <c r="F688" s="1">
        <v>3</v>
      </c>
      <c r="G688" s="1">
        <v>25</v>
      </c>
      <c r="H688" s="1">
        <v>150</v>
      </c>
      <c r="I688" s="1">
        <v>100</v>
      </c>
      <c r="J688" s="1">
        <v>14.923999999999999</v>
      </c>
      <c r="K688" s="1">
        <v>17.538</v>
      </c>
      <c r="L688" s="1">
        <v>29.85</v>
      </c>
      <c r="M688" s="1">
        <v>81.900000000000006</v>
      </c>
      <c r="N688" s="1">
        <v>3.5839999999999997E-2</v>
      </c>
      <c r="O688" s="1">
        <v>1.7699999999999999E-4</v>
      </c>
      <c r="P688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5.7904258725880364</v>
      </c>
      <c r="Q688" s="1">
        <f>LN(Table1[[#This Row],[qe_mg_g]]-Table1[[#This Row],[qt]])</f>
        <v>2.2119570886935609</v>
      </c>
      <c r="R688" s="1">
        <v>3</v>
      </c>
    </row>
    <row r="689" spans="1:18" x14ac:dyDescent="0.3">
      <c r="A689" s="1">
        <v>688</v>
      </c>
      <c r="B689" s="1" t="s">
        <v>17</v>
      </c>
      <c r="C689" s="1">
        <v>0.5</v>
      </c>
      <c r="D689" s="1">
        <v>240</v>
      </c>
      <c r="E689" s="1">
        <v>25</v>
      </c>
      <c r="F689" s="1">
        <v>7</v>
      </c>
      <c r="G689" s="1">
        <v>25</v>
      </c>
      <c r="H689" s="1">
        <v>150</v>
      </c>
      <c r="I689" s="1">
        <v>100</v>
      </c>
      <c r="J689" s="1">
        <v>30.648</v>
      </c>
      <c r="K689" s="1">
        <v>9.6760000000000002</v>
      </c>
      <c r="L689" s="1">
        <v>61.3</v>
      </c>
      <c r="M689" s="1">
        <v>83.1</v>
      </c>
      <c r="N689" s="1">
        <v>4.1140000000000003E-2</v>
      </c>
      <c r="O689" s="1">
        <v>2.3149999999999999E-4</v>
      </c>
      <c r="P689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19.308660299429601</v>
      </c>
      <c r="Q689" s="1">
        <f>LN(Table1[[#This Row],[qe_mg_g]]-Table1[[#This Row],[qt]])</f>
        <v>2.4282780691413937</v>
      </c>
      <c r="R689" s="1">
        <v>1</v>
      </c>
    </row>
    <row r="690" spans="1:18" x14ac:dyDescent="0.3">
      <c r="A690" s="1">
        <v>689</v>
      </c>
      <c r="B690" s="1" t="s">
        <v>17</v>
      </c>
      <c r="C690" s="1">
        <v>0.5</v>
      </c>
      <c r="D690" s="1">
        <v>240</v>
      </c>
      <c r="E690" s="1">
        <v>25</v>
      </c>
      <c r="F690" s="1">
        <v>7</v>
      </c>
      <c r="G690" s="1">
        <v>25</v>
      </c>
      <c r="H690" s="1">
        <v>150</v>
      </c>
      <c r="I690" s="1">
        <v>100</v>
      </c>
      <c r="J690" s="1">
        <v>28.134</v>
      </c>
      <c r="K690" s="1">
        <v>10.933</v>
      </c>
      <c r="L690" s="1">
        <v>56.27</v>
      </c>
      <c r="M690" s="1">
        <v>83.8</v>
      </c>
      <c r="N690" s="1">
        <v>3.474E-2</v>
      </c>
      <c r="O690" s="1">
        <v>1.9100000000000001E-4</v>
      </c>
      <c r="P690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15.846599886334344</v>
      </c>
      <c r="Q690" s="1">
        <f>LN(Table1[[#This Row],[qe_mg_g]]-Table1[[#This Row],[qt]])</f>
        <v>2.5085743563387712</v>
      </c>
      <c r="R690" s="1">
        <v>2</v>
      </c>
    </row>
    <row r="691" spans="1:18" x14ac:dyDescent="0.3">
      <c r="A691" s="1">
        <v>690</v>
      </c>
      <c r="B691" s="1" t="s">
        <v>17</v>
      </c>
      <c r="C691" s="1">
        <v>0.5</v>
      </c>
      <c r="D691" s="1">
        <v>240</v>
      </c>
      <c r="E691" s="1">
        <v>25</v>
      </c>
      <c r="F691" s="1">
        <v>7</v>
      </c>
      <c r="G691" s="1">
        <v>25</v>
      </c>
      <c r="H691" s="1">
        <v>150</v>
      </c>
      <c r="I691" s="1">
        <v>100</v>
      </c>
      <c r="J691" s="1">
        <v>30.084</v>
      </c>
      <c r="K691" s="1">
        <v>9.9580000000000002</v>
      </c>
      <c r="L691" s="1">
        <v>60.17</v>
      </c>
      <c r="M691" s="1">
        <v>76</v>
      </c>
      <c r="N691" s="1">
        <v>3.1040000000000002E-2</v>
      </c>
      <c r="O691" s="1">
        <v>2.1249999999999999E-4</v>
      </c>
      <c r="P691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18.213191519182537</v>
      </c>
      <c r="Q691" s="1">
        <f>LN(Table1[[#This Row],[qe_mg_g]]-Table1[[#This Row],[qt]])</f>
        <v>2.4740823175756947</v>
      </c>
      <c r="R691" s="1">
        <v>3</v>
      </c>
    </row>
    <row r="692" spans="1:18" x14ac:dyDescent="0.3">
      <c r="A692" s="1">
        <v>691</v>
      </c>
      <c r="B692" s="1" t="s">
        <v>17</v>
      </c>
      <c r="C692" s="1">
        <v>0.5</v>
      </c>
      <c r="D692" s="1">
        <v>240</v>
      </c>
      <c r="E692" s="1">
        <v>25</v>
      </c>
      <c r="F692" s="1">
        <v>11</v>
      </c>
      <c r="G692" s="1">
        <v>25</v>
      </c>
      <c r="H692" s="1">
        <v>150</v>
      </c>
      <c r="I692" s="1">
        <v>100</v>
      </c>
      <c r="J692" s="1">
        <v>25.222000000000001</v>
      </c>
      <c r="K692" s="1">
        <v>12.388999999999999</v>
      </c>
      <c r="L692" s="1">
        <v>50.44</v>
      </c>
      <c r="M692" s="1">
        <v>75.400000000000006</v>
      </c>
      <c r="N692" s="1">
        <v>3.8129999999999997E-2</v>
      </c>
      <c r="O692" s="1">
        <v>1.874E-4</v>
      </c>
      <c r="P692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13.405011089389983</v>
      </c>
      <c r="Q692" s="1">
        <f>LN(Table1[[#This Row],[qe_mg_g]]-Table1[[#This Row],[qt]])</f>
        <v>2.4695382342295971</v>
      </c>
      <c r="R692" s="1">
        <v>1</v>
      </c>
    </row>
    <row r="693" spans="1:18" x14ac:dyDescent="0.3">
      <c r="A693" s="1">
        <v>692</v>
      </c>
      <c r="B693" s="1" t="s">
        <v>17</v>
      </c>
      <c r="C693" s="1">
        <v>0.5</v>
      </c>
      <c r="D693" s="1">
        <v>240</v>
      </c>
      <c r="E693" s="1">
        <v>25</v>
      </c>
      <c r="F693" s="1">
        <v>11</v>
      </c>
      <c r="G693" s="1">
        <v>25</v>
      </c>
      <c r="H693" s="1">
        <v>150</v>
      </c>
      <c r="I693" s="1">
        <v>100</v>
      </c>
      <c r="J693" s="1">
        <v>24.329000000000001</v>
      </c>
      <c r="K693" s="1">
        <v>12.836</v>
      </c>
      <c r="L693" s="1">
        <v>48.66</v>
      </c>
      <c r="M693" s="1">
        <v>96.3</v>
      </c>
      <c r="N693" s="1">
        <v>3.4880000000000001E-2</v>
      </c>
      <c r="O693" s="1">
        <v>2.0909999999999999E-4</v>
      </c>
      <c r="P693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13.374562919060914</v>
      </c>
      <c r="Q693" s="1">
        <f>LN(Table1[[#This Row],[qe_mg_g]]-Table1[[#This Row],[qt]])</f>
        <v>2.3937445870570953</v>
      </c>
      <c r="R693" s="1">
        <v>2</v>
      </c>
    </row>
    <row r="694" spans="1:18" x14ac:dyDescent="0.3">
      <c r="A694" s="1">
        <v>693</v>
      </c>
      <c r="B694" s="1" t="s">
        <v>17</v>
      </c>
      <c r="C694" s="1">
        <v>0.5</v>
      </c>
      <c r="D694" s="1">
        <v>240</v>
      </c>
      <c r="E694" s="1">
        <v>25</v>
      </c>
      <c r="F694" s="1">
        <v>11</v>
      </c>
      <c r="G694" s="1">
        <v>25</v>
      </c>
      <c r="H694" s="1">
        <v>150</v>
      </c>
      <c r="I694" s="1">
        <v>100</v>
      </c>
      <c r="J694" s="1">
        <v>22.503</v>
      </c>
      <c r="K694" s="1">
        <v>13.749000000000001</v>
      </c>
      <c r="L694" s="1">
        <v>45.01</v>
      </c>
      <c r="M694" s="1">
        <v>83.2</v>
      </c>
      <c r="N694" s="1">
        <v>3.4279999999999998E-2</v>
      </c>
      <c r="O694" s="1">
        <v>1.851E-4</v>
      </c>
      <c r="P694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11.249661609627195</v>
      </c>
      <c r="Q694" s="1">
        <f>LN(Table1[[#This Row],[qe_mg_g]]-Table1[[#This Row],[qt]])</f>
        <v>2.4206648304410154</v>
      </c>
      <c r="R694" s="1">
        <v>3</v>
      </c>
    </row>
    <row r="695" spans="1:18" x14ac:dyDescent="0.3">
      <c r="A695" s="1">
        <v>694</v>
      </c>
      <c r="B695" s="1" t="s">
        <v>17</v>
      </c>
      <c r="C695" s="1">
        <v>0.5</v>
      </c>
      <c r="D695" s="1">
        <v>240</v>
      </c>
      <c r="E695" s="1">
        <v>50</v>
      </c>
      <c r="F695" s="1">
        <v>3</v>
      </c>
      <c r="G695" s="1">
        <v>25</v>
      </c>
      <c r="H695" s="1">
        <v>150</v>
      </c>
      <c r="I695" s="1">
        <v>100</v>
      </c>
      <c r="J695" s="1">
        <v>45.76</v>
      </c>
      <c r="K695" s="1">
        <v>27.12</v>
      </c>
      <c r="L695" s="1">
        <v>45.76</v>
      </c>
      <c r="M695" s="1">
        <v>65.8</v>
      </c>
      <c r="N695" s="1">
        <v>3.3279999999999997E-2</v>
      </c>
      <c r="O695" s="1">
        <v>1.9430000000000001E-4</v>
      </c>
      <c r="P695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31.15829370382593</v>
      </c>
      <c r="Q695" s="1">
        <f>LN(Table1[[#This Row],[qe_mg_g]]-Table1[[#This Row],[qt]])</f>
        <v>2.6811383914865345</v>
      </c>
      <c r="R695" s="1">
        <v>1</v>
      </c>
    </row>
    <row r="696" spans="1:18" x14ac:dyDescent="0.3">
      <c r="A696" s="1">
        <v>695</v>
      </c>
      <c r="B696" s="1" t="s">
        <v>17</v>
      </c>
      <c r="C696" s="1">
        <v>0.5</v>
      </c>
      <c r="D696" s="1">
        <v>240</v>
      </c>
      <c r="E696" s="1">
        <v>50</v>
      </c>
      <c r="F696" s="1">
        <v>3</v>
      </c>
      <c r="G696" s="1">
        <v>25</v>
      </c>
      <c r="H696" s="1">
        <v>150</v>
      </c>
      <c r="I696" s="1">
        <v>100</v>
      </c>
      <c r="J696" s="1">
        <v>45.39</v>
      </c>
      <c r="K696" s="1">
        <v>27.305</v>
      </c>
      <c r="L696" s="1">
        <v>45.39</v>
      </c>
      <c r="M696" s="1">
        <v>82.6</v>
      </c>
      <c r="N696" s="1">
        <v>3.4779999999999998E-2</v>
      </c>
      <c r="O696" s="1">
        <v>2.096E-4</v>
      </c>
      <c r="P696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31.565488104255742</v>
      </c>
      <c r="Q696" s="1">
        <f>LN(Table1[[#This Row],[qe_mg_g]]-Table1[[#This Row],[qt]])</f>
        <v>2.6264432408715139</v>
      </c>
      <c r="R696" s="1">
        <v>2</v>
      </c>
    </row>
    <row r="697" spans="1:18" x14ac:dyDescent="0.3">
      <c r="A697" s="1">
        <v>696</v>
      </c>
      <c r="B697" s="1" t="s">
        <v>17</v>
      </c>
      <c r="C697" s="1">
        <v>0.5</v>
      </c>
      <c r="D697" s="1">
        <v>240</v>
      </c>
      <c r="E697" s="1">
        <v>50</v>
      </c>
      <c r="F697" s="1">
        <v>3</v>
      </c>
      <c r="G697" s="1">
        <v>25</v>
      </c>
      <c r="H697" s="1">
        <v>150</v>
      </c>
      <c r="I697" s="1">
        <v>100</v>
      </c>
      <c r="J697" s="1">
        <v>50.656999999999996</v>
      </c>
      <c r="K697" s="1">
        <v>24.672000000000001</v>
      </c>
      <c r="L697" s="1">
        <v>50.66</v>
      </c>
      <c r="M697" s="1">
        <v>77.400000000000006</v>
      </c>
      <c r="N697" s="1">
        <v>3.0790000000000001E-2</v>
      </c>
      <c r="O697" s="1">
        <v>1.7919999999999999E-4</v>
      </c>
      <c r="P697" s="1">
        <f>(Table1[[#This Row],[Rate_Constant_k2_g_mg_min]]*Table1[[#This Row],[Contact_Time_min]]*Table1[[#This Row],[qe_mg_g]]^2)/(1+Table1[[#This Row],[Contact_Time_min]]*Table1[[#This Row],[qe_mg_g]]*Table1[[#This Row],[Rate_Constant_k2_g_mg_min]])</f>
        <v>34.720391596879857</v>
      </c>
      <c r="Q697" s="1">
        <f>LN(Table1[[#This Row],[qe_mg_g]]-Table1[[#This Row],[qt]])</f>
        <v>2.7686188780201197</v>
      </c>
      <c r="R697" s="1">
        <v>3</v>
      </c>
    </row>
    <row r="698" spans="1:18" x14ac:dyDescent="0.3">
      <c r="A698" s="1">
        <v>697</v>
      </c>
      <c r="B698" s="1" t="s">
        <v>17</v>
      </c>
      <c r="C698" s="1">
        <v>0.5</v>
      </c>
      <c r="D698" s="1">
        <v>240</v>
      </c>
      <c r="E698" s="1">
        <v>50</v>
      </c>
      <c r="F698" s="1">
        <v>7</v>
      </c>
      <c r="G698" s="1">
        <v>25</v>
      </c>
      <c r="H698" s="1">
        <v>150</v>
      </c>
      <c r="I698" s="1">
        <v>100</v>
      </c>
      <c r="J698" s="1">
        <v>63.039000000000001</v>
      </c>
      <c r="K698" s="1">
        <v>18.48</v>
      </c>
      <c r="L698" s="1">
        <v>63.04</v>
      </c>
      <c r="M698" s="1">
        <v>81.2</v>
      </c>
      <c r="N698" s="1">
        <v>3.2309999999999998E-2</v>
      </c>
      <c r="O698" s="1">
        <v>1.741E-4</v>
      </c>
      <c r="P698" s="1">
        <f>(Table1[[#This Row],[Rate_Constant_k2_g_mg_min]]*Table1[[#This Row],[Contact_Time_min]]*Table1[[#This Row],[qe_mg_g]]^2)/(1+Table1[[#This Row],[Contact_Time_min]]*Table1[[#This Row],[qe_mg_g]]*Table1[[#This Row],[Rate_Constant_k2_g_mg_min]])</f>
        <v>45.6921024426697</v>
      </c>
      <c r="Q698" s="1">
        <f>LN(Table1[[#This Row],[qe_mg_g]]-Table1[[#This Row],[qt]])</f>
        <v>2.8534136752640711</v>
      </c>
      <c r="R698" s="1">
        <v>1</v>
      </c>
    </row>
    <row r="699" spans="1:18" x14ac:dyDescent="0.3">
      <c r="A699" s="1">
        <v>698</v>
      </c>
      <c r="B699" s="1" t="s">
        <v>17</v>
      </c>
      <c r="C699" s="1">
        <v>0.5</v>
      </c>
      <c r="D699" s="1">
        <v>240</v>
      </c>
      <c r="E699" s="1">
        <v>50</v>
      </c>
      <c r="F699" s="1">
        <v>7</v>
      </c>
      <c r="G699" s="1">
        <v>25</v>
      </c>
      <c r="H699" s="1">
        <v>150</v>
      </c>
      <c r="I699" s="1">
        <v>100</v>
      </c>
      <c r="J699" s="1">
        <v>63.244999999999997</v>
      </c>
      <c r="K699" s="1">
        <v>18.376999999999999</v>
      </c>
      <c r="L699" s="1">
        <v>63.25</v>
      </c>
      <c r="M699" s="1">
        <v>88</v>
      </c>
      <c r="N699" s="1">
        <v>3.7080000000000002E-2</v>
      </c>
      <c r="O699" s="1">
        <v>1.8890000000000001E-4</v>
      </c>
      <c r="P699" s="1">
        <f>(Table1[[#This Row],[Rate_Constant_k2_g_mg_min]]*Table1[[#This Row],[Contact_Time_min]]*Table1[[#This Row],[qe_mg_g]]^2)/(1+Table1[[#This Row],[Contact_Time_min]]*Table1[[#This Row],[qe_mg_g]]*Table1[[#This Row],[Rate_Constant_k2_g_mg_min]])</f>
        <v>46.891108754418859</v>
      </c>
      <c r="Q699" s="1">
        <f>LN(Table1[[#This Row],[qe_mg_g]]-Table1[[#This Row],[qt]])</f>
        <v>2.7944658656981765</v>
      </c>
      <c r="R699" s="1">
        <v>2</v>
      </c>
    </row>
    <row r="700" spans="1:18" x14ac:dyDescent="0.3">
      <c r="A700" s="1">
        <v>699</v>
      </c>
      <c r="B700" s="1" t="s">
        <v>17</v>
      </c>
      <c r="C700" s="1">
        <v>0.5</v>
      </c>
      <c r="D700" s="1">
        <v>240</v>
      </c>
      <c r="E700" s="1">
        <v>50</v>
      </c>
      <c r="F700" s="1">
        <v>7</v>
      </c>
      <c r="G700" s="1">
        <v>25</v>
      </c>
      <c r="H700" s="1">
        <v>150</v>
      </c>
      <c r="I700" s="1">
        <v>100</v>
      </c>
      <c r="J700" s="1">
        <v>63.530999999999999</v>
      </c>
      <c r="K700" s="1">
        <v>18.234000000000002</v>
      </c>
      <c r="L700" s="1">
        <v>63.53</v>
      </c>
      <c r="M700" s="1">
        <v>73.8</v>
      </c>
      <c r="N700" s="1">
        <v>3.4889999999999997E-2</v>
      </c>
      <c r="O700" s="1">
        <v>1.83E-4</v>
      </c>
      <c r="P700" s="1">
        <f>(Table1[[#This Row],[Rate_Constant_k2_g_mg_min]]*Table1[[#This Row],[Contact_Time_min]]*Table1[[#This Row],[qe_mg_g]]^2)/(1+Table1[[#This Row],[Contact_Time_min]]*Table1[[#This Row],[qe_mg_g]]*Table1[[#This Row],[Rate_Constant_k2_g_mg_min]])</f>
        <v>46.769448208986859</v>
      </c>
      <c r="Q700" s="1">
        <f>LN(Table1[[#This Row],[qe_mg_g]]-Table1[[#This Row],[qt]])</f>
        <v>2.8190876797304414</v>
      </c>
      <c r="R700" s="1">
        <v>3</v>
      </c>
    </row>
    <row r="701" spans="1:18" x14ac:dyDescent="0.3">
      <c r="A701" s="1">
        <v>700</v>
      </c>
      <c r="B701" s="1" t="s">
        <v>17</v>
      </c>
      <c r="C701" s="1">
        <v>0.5</v>
      </c>
      <c r="D701" s="1">
        <v>240</v>
      </c>
      <c r="E701" s="1">
        <v>50</v>
      </c>
      <c r="F701" s="1">
        <v>11</v>
      </c>
      <c r="G701" s="1">
        <v>25</v>
      </c>
      <c r="H701" s="1">
        <v>150</v>
      </c>
      <c r="I701" s="1">
        <v>100</v>
      </c>
      <c r="J701" s="1">
        <v>57.518000000000001</v>
      </c>
      <c r="K701" s="1">
        <v>21.241</v>
      </c>
      <c r="L701" s="1">
        <v>57.52</v>
      </c>
      <c r="M701" s="1">
        <v>62.8</v>
      </c>
      <c r="N701" s="1">
        <v>3.3739999999999999E-2</v>
      </c>
      <c r="O701" s="1">
        <v>2.0599999999999999E-4</v>
      </c>
      <c r="P701" s="1">
        <f>(Table1[[#This Row],[Rate_Constant_k2_g_mg_min]]*Table1[[#This Row],[Contact_Time_min]]*Table1[[#This Row],[qe_mg_g]]^2)/(1+Table1[[#This Row],[Contact_Time_min]]*Table1[[#This Row],[qe_mg_g]]*Table1[[#This Row],[Rate_Constant_k2_g_mg_min]])</f>
        <v>42.553733579674407</v>
      </c>
      <c r="Q701" s="1">
        <f>LN(Table1[[#This Row],[qe_mg_g]]-Table1[[#This Row],[qt]])</f>
        <v>2.7056651204122519</v>
      </c>
      <c r="R701" s="1">
        <v>1</v>
      </c>
    </row>
    <row r="702" spans="1:18" x14ac:dyDescent="0.3">
      <c r="A702" s="1">
        <v>701</v>
      </c>
      <c r="B702" s="1" t="s">
        <v>17</v>
      </c>
      <c r="C702" s="1">
        <v>0.5</v>
      </c>
      <c r="D702" s="1">
        <v>240</v>
      </c>
      <c r="E702" s="1">
        <v>50</v>
      </c>
      <c r="F702" s="1">
        <v>11</v>
      </c>
      <c r="G702" s="1">
        <v>25</v>
      </c>
      <c r="H702" s="1">
        <v>150</v>
      </c>
      <c r="I702" s="1">
        <v>100</v>
      </c>
      <c r="J702" s="1">
        <v>55.4</v>
      </c>
      <c r="K702" s="1">
        <v>22.3</v>
      </c>
      <c r="L702" s="1">
        <v>55.4</v>
      </c>
      <c r="M702" s="1">
        <v>120.3</v>
      </c>
      <c r="N702" s="1">
        <v>3.6220000000000002E-2</v>
      </c>
      <c r="O702" s="1">
        <v>1.7990000000000001E-4</v>
      </c>
      <c r="P702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39.067214001714163</v>
      </c>
      <c r="Q702" s="1">
        <f>LN(Table1[[#This Row],[qe_mg_g]]-Table1[[#This Row],[qt]])</f>
        <v>2.7931744985720033</v>
      </c>
      <c r="R702" s="1">
        <v>2</v>
      </c>
    </row>
    <row r="703" spans="1:18" x14ac:dyDescent="0.3">
      <c r="A703" s="1">
        <v>702</v>
      </c>
      <c r="B703" s="1" t="s">
        <v>17</v>
      </c>
      <c r="C703" s="1">
        <v>0.5</v>
      </c>
      <c r="D703" s="1">
        <v>240</v>
      </c>
      <c r="E703" s="1">
        <v>50</v>
      </c>
      <c r="F703" s="1">
        <v>11</v>
      </c>
      <c r="G703" s="1">
        <v>25</v>
      </c>
      <c r="H703" s="1">
        <v>150</v>
      </c>
      <c r="I703" s="1">
        <v>100</v>
      </c>
      <c r="J703" s="1">
        <v>53.881</v>
      </c>
      <c r="K703" s="1">
        <v>23.06</v>
      </c>
      <c r="L703" s="1">
        <v>53.88</v>
      </c>
      <c r="M703" s="1">
        <v>62.9</v>
      </c>
      <c r="N703" s="1">
        <v>3.4720000000000001E-2</v>
      </c>
      <c r="O703" s="1">
        <v>1.8330000000000001E-4</v>
      </c>
      <c r="P703" s="1">
        <f>(Table1[[#This Row],[Rate_Constant_k2_g_mg_min]]*Table1[[#This Row],[Contact_Time_min]]*Table1[[#This Row],[qe_mg_g]]^2)/(1+Table1[[#This Row],[Contact_Time_min]]*Table1[[#This Row],[qe_mg_g]]*Table1[[#This Row],[Rate_Constant_k2_g_mg_min]])</f>
        <v>37.89415218188568</v>
      </c>
      <c r="Q703" s="1">
        <f>LN(Table1[[#This Row],[qe_mg_g]]-Table1[[#This Row],[qt]])</f>
        <v>2.7717663728353226</v>
      </c>
      <c r="R703" s="1">
        <v>3</v>
      </c>
    </row>
    <row r="704" spans="1:18" x14ac:dyDescent="0.3">
      <c r="A704" s="1">
        <v>703</v>
      </c>
      <c r="B704" s="1" t="s">
        <v>17</v>
      </c>
      <c r="C704" s="1">
        <v>0.5</v>
      </c>
      <c r="D704" s="1">
        <v>240</v>
      </c>
      <c r="E704" s="1">
        <v>100</v>
      </c>
      <c r="F704" s="1">
        <v>3</v>
      </c>
      <c r="G704" s="1">
        <v>25</v>
      </c>
      <c r="H704" s="1">
        <v>150</v>
      </c>
      <c r="I704" s="1">
        <v>100</v>
      </c>
      <c r="J704" s="1">
        <v>93.052999999999997</v>
      </c>
      <c r="K704" s="1">
        <v>53.472999999999999</v>
      </c>
      <c r="L704" s="1">
        <v>46.53</v>
      </c>
      <c r="M704" s="1">
        <v>78.599999999999994</v>
      </c>
      <c r="N704" s="1">
        <v>3.4590000000000003E-2</v>
      </c>
      <c r="O704" s="1">
        <v>1.873E-4</v>
      </c>
      <c r="P704" s="1">
        <f>(Table1[[#This Row],[Rate_Constant_k2_g_mg_min]]*Table1[[#This Row],[Contact_Time_min]]*Table1[[#This Row],[qe_mg_g]]^2)/(1+Table1[[#This Row],[Contact_Time_min]]*Table1[[#This Row],[qe_mg_g]]*Table1[[#This Row],[Rate_Constant_k2_g_mg_min]])</f>
        <v>75.099215700677803</v>
      </c>
      <c r="Q704" s="1">
        <f>LN(Table1[[#This Row],[qe_mg_g]]-Table1[[#This Row],[qt]])</f>
        <v>2.8878009171887054</v>
      </c>
      <c r="R704" s="1">
        <v>1</v>
      </c>
    </row>
    <row r="705" spans="1:18" x14ac:dyDescent="0.3">
      <c r="A705" s="1">
        <v>704</v>
      </c>
      <c r="B705" s="1" t="s">
        <v>17</v>
      </c>
      <c r="C705" s="1">
        <v>0.5</v>
      </c>
      <c r="D705" s="1">
        <v>240</v>
      </c>
      <c r="E705" s="1">
        <v>100</v>
      </c>
      <c r="F705" s="1">
        <v>3</v>
      </c>
      <c r="G705" s="1">
        <v>25</v>
      </c>
      <c r="H705" s="1">
        <v>150</v>
      </c>
      <c r="I705" s="1">
        <v>100</v>
      </c>
      <c r="J705" s="1">
        <v>100.07299999999999</v>
      </c>
      <c r="K705" s="1">
        <v>49.963000000000001</v>
      </c>
      <c r="L705" s="1">
        <v>50.04</v>
      </c>
      <c r="M705" s="1">
        <v>81.599999999999994</v>
      </c>
      <c r="N705" s="1">
        <v>4.1410000000000002E-2</v>
      </c>
      <c r="O705" s="1">
        <v>2.163E-4</v>
      </c>
      <c r="P705" s="1">
        <f>(Table1[[#This Row],[Rate_Constant_k2_g_mg_min]]*Table1[[#This Row],[Contact_Time_min]]*Table1[[#This Row],[qe_mg_g]]^2)/(1+Table1[[#This Row],[Contact_Time_min]]*Table1[[#This Row],[qe_mg_g]]*Table1[[#This Row],[Rate_Constant_k2_g_mg_min]])</f>
        <v>83.919139081865012</v>
      </c>
      <c r="Q705" s="1">
        <f>LN(Table1[[#This Row],[qe_mg_g]]-Table1[[#This Row],[qt]])</f>
        <v>2.782159087235299</v>
      </c>
      <c r="R705" s="1">
        <v>2</v>
      </c>
    </row>
    <row r="706" spans="1:18" x14ac:dyDescent="0.3">
      <c r="A706" s="1">
        <v>705</v>
      </c>
      <c r="B706" s="1" t="s">
        <v>17</v>
      </c>
      <c r="C706" s="1">
        <v>0.5</v>
      </c>
      <c r="D706" s="1">
        <v>240</v>
      </c>
      <c r="E706" s="1">
        <v>100</v>
      </c>
      <c r="F706" s="1">
        <v>3</v>
      </c>
      <c r="G706" s="1">
        <v>25</v>
      </c>
      <c r="H706" s="1">
        <v>150</v>
      </c>
      <c r="I706" s="1">
        <v>100</v>
      </c>
      <c r="J706" s="1">
        <v>89.358999999999995</v>
      </c>
      <c r="K706" s="1">
        <v>55.32</v>
      </c>
      <c r="L706" s="1">
        <v>44.68</v>
      </c>
      <c r="M706" s="1">
        <v>90.5</v>
      </c>
      <c r="N706" s="1">
        <v>3.6380000000000003E-2</v>
      </c>
      <c r="O706" s="1">
        <v>1.6139999999999999E-4</v>
      </c>
      <c r="P706" s="1">
        <f>(Table1[[#This Row],[Rate_Constant_k2_g_mg_min]]*Table1[[#This Row],[Contact_Time_min]]*Table1[[#This Row],[qe_mg_g]]^2)/(1+Table1[[#This Row],[Contact_Time_min]]*Table1[[#This Row],[qe_mg_g]]*Table1[[#This Row],[Rate_Constant_k2_g_mg_min]])</f>
        <v>69.329682920100822</v>
      </c>
      <c r="Q706" s="1">
        <f>LN(Table1[[#This Row],[qe_mg_g]]-Table1[[#This Row],[qt]])</f>
        <v>2.9971970542337365</v>
      </c>
      <c r="R706" s="1">
        <v>3</v>
      </c>
    </row>
    <row r="707" spans="1:18" x14ac:dyDescent="0.3">
      <c r="A707" s="1">
        <v>706</v>
      </c>
      <c r="B707" s="1" t="s">
        <v>17</v>
      </c>
      <c r="C707" s="1">
        <v>0.5</v>
      </c>
      <c r="D707" s="1">
        <v>240</v>
      </c>
      <c r="E707" s="1">
        <v>100</v>
      </c>
      <c r="F707" s="1">
        <v>7</v>
      </c>
      <c r="G707" s="1">
        <v>25</v>
      </c>
      <c r="H707" s="1">
        <v>150</v>
      </c>
      <c r="I707" s="1">
        <v>100</v>
      </c>
      <c r="J707" s="1">
        <v>115.366</v>
      </c>
      <c r="K707" s="1">
        <v>42.317</v>
      </c>
      <c r="L707" s="1">
        <v>57.68</v>
      </c>
      <c r="M707" s="1">
        <v>96.6</v>
      </c>
      <c r="N707" s="1">
        <v>3.483E-2</v>
      </c>
      <c r="O707" s="1">
        <v>1.719E-4</v>
      </c>
      <c r="P707" s="1">
        <f>(Table1[[#This Row],[Rate_Constant_k2_g_mg_min]]*Table1[[#This Row],[Contact_Time_min]]*Table1[[#This Row],[qe_mg_g]]^2)/(1+Table1[[#This Row],[Contact_Time_min]]*Table1[[#This Row],[qe_mg_g]]*Table1[[#This Row],[Rate_Constant_k2_g_mg_min]])</f>
        <v>95.335579846785038</v>
      </c>
      <c r="Q707" s="1">
        <f>LN(Table1[[#This Row],[qe_mg_g]]-Table1[[#This Row],[qt]])</f>
        <v>2.9972521256541831</v>
      </c>
      <c r="R707" s="1">
        <v>1</v>
      </c>
    </row>
    <row r="708" spans="1:18" x14ac:dyDescent="0.3">
      <c r="A708" s="1">
        <v>707</v>
      </c>
      <c r="B708" s="1" t="s">
        <v>17</v>
      </c>
      <c r="C708" s="1">
        <v>0.5</v>
      </c>
      <c r="D708" s="1">
        <v>240</v>
      </c>
      <c r="E708" s="1">
        <v>100</v>
      </c>
      <c r="F708" s="1">
        <v>7</v>
      </c>
      <c r="G708" s="1">
        <v>25</v>
      </c>
      <c r="H708" s="1">
        <v>150</v>
      </c>
      <c r="I708" s="1">
        <v>100</v>
      </c>
      <c r="J708" s="1">
        <v>118.053</v>
      </c>
      <c r="K708" s="1">
        <v>40.972999999999999</v>
      </c>
      <c r="L708" s="1">
        <v>59.03</v>
      </c>
      <c r="M708" s="1">
        <v>107.6</v>
      </c>
      <c r="N708" s="1">
        <v>3.9359999999999999E-2</v>
      </c>
      <c r="O708" s="1">
        <v>1.9880000000000001E-4</v>
      </c>
      <c r="P708" s="1">
        <f>(Table1[[#This Row],[Rate_Constant_k2_g_mg_min]]*Table1[[#This Row],[Contact_Time_min]]*Table1[[#This Row],[qe_mg_g]]^2)/(1+Table1[[#This Row],[Contact_Time_min]]*Table1[[#This Row],[qe_mg_g]]*Table1[[#This Row],[Rate_Constant_k2_g_mg_min]])</f>
        <v>100.25394930393243</v>
      </c>
      <c r="Q708" s="1">
        <f>LN(Table1[[#This Row],[qe_mg_g]]-Table1[[#This Row],[qt]])</f>
        <v>2.8791451241942574</v>
      </c>
      <c r="R708" s="1">
        <v>2</v>
      </c>
    </row>
    <row r="709" spans="1:18" x14ac:dyDescent="0.3">
      <c r="A709" s="1">
        <v>708</v>
      </c>
      <c r="B709" s="1" t="s">
        <v>17</v>
      </c>
      <c r="C709" s="1">
        <v>0.5</v>
      </c>
      <c r="D709" s="1">
        <v>240</v>
      </c>
      <c r="E709" s="1">
        <v>100</v>
      </c>
      <c r="F709" s="1">
        <v>7</v>
      </c>
      <c r="G709" s="1">
        <v>25</v>
      </c>
      <c r="H709" s="1">
        <v>150</v>
      </c>
      <c r="I709" s="1">
        <v>100</v>
      </c>
      <c r="J709" s="1">
        <v>129.96700000000001</v>
      </c>
      <c r="K709" s="1">
        <v>35.017000000000003</v>
      </c>
      <c r="L709" s="1">
        <v>64.98</v>
      </c>
      <c r="M709" s="1">
        <v>81</v>
      </c>
      <c r="N709" s="1">
        <v>2.904E-2</v>
      </c>
      <c r="O709" s="1">
        <v>1.8149999999999999E-4</v>
      </c>
      <c r="P709" s="1">
        <f>(Table1[[#This Row],[Rate_Constant_k2_g_mg_min]]*Table1[[#This Row],[Contact_Time_min]]*Table1[[#This Row],[qe_mg_g]]^2)/(1+Table1[[#This Row],[Contact_Time_min]]*Table1[[#This Row],[qe_mg_g]]*Table1[[#This Row],[Rate_Constant_k2_g_mg_min]])</f>
        <v>110.45642695885587</v>
      </c>
      <c r="Q709" s="1">
        <f>LN(Table1[[#This Row],[qe_mg_g]]-Table1[[#This Row],[qt]])</f>
        <v>2.9709565258666304</v>
      </c>
      <c r="R709" s="1">
        <v>3</v>
      </c>
    </row>
    <row r="710" spans="1:18" x14ac:dyDescent="0.3">
      <c r="A710" s="1">
        <v>709</v>
      </c>
      <c r="B710" s="1" t="s">
        <v>17</v>
      </c>
      <c r="C710" s="1">
        <v>0.5</v>
      </c>
      <c r="D710" s="1">
        <v>240</v>
      </c>
      <c r="E710" s="1">
        <v>100</v>
      </c>
      <c r="F710" s="1">
        <v>11</v>
      </c>
      <c r="G710" s="1">
        <v>25</v>
      </c>
      <c r="H710" s="1">
        <v>150</v>
      </c>
      <c r="I710" s="1">
        <v>100</v>
      </c>
      <c r="J710" s="1">
        <v>113.98</v>
      </c>
      <c r="K710" s="1">
        <v>43.01</v>
      </c>
      <c r="L710" s="1">
        <v>56.99</v>
      </c>
      <c r="M710" s="1">
        <v>82.2</v>
      </c>
      <c r="N710" s="1">
        <v>3.415E-2</v>
      </c>
      <c r="O710" s="1">
        <v>1.94E-4</v>
      </c>
      <c r="P710" s="1">
        <f>(Table1[[#This Row],[Rate_Constant_k2_g_mg_min]]*Table1[[#This Row],[Contact_Time_min]]*Table1[[#This Row],[qe_mg_g]]^2)/(1+Table1[[#This Row],[Contact_Time_min]]*Table1[[#This Row],[qe_mg_g]]*Table1[[#This Row],[Rate_Constant_k2_g_mg_min]])</f>
        <v>95.907755162719326</v>
      </c>
      <c r="Q710" s="1">
        <f>LN(Table1[[#This Row],[qe_mg_g]]-Table1[[#This Row],[qt]])</f>
        <v>2.8943773269535606</v>
      </c>
      <c r="R710" s="1">
        <v>1</v>
      </c>
    </row>
    <row r="711" spans="1:18" x14ac:dyDescent="0.3">
      <c r="A711" s="1">
        <v>710</v>
      </c>
      <c r="B711" s="1" t="s">
        <v>17</v>
      </c>
      <c r="C711" s="1">
        <v>0.5</v>
      </c>
      <c r="D711" s="1">
        <v>240</v>
      </c>
      <c r="E711" s="1">
        <v>100</v>
      </c>
      <c r="F711" s="1">
        <v>11</v>
      </c>
      <c r="G711" s="1">
        <v>25</v>
      </c>
      <c r="H711" s="1">
        <v>150</v>
      </c>
      <c r="I711" s="1">
        <v>100</v>
      </c>
      <c r="J711" s="1">
        <v>117.34399999999999</v>
      </c>
      <c r="K711" s="1">
        <v>41.328000000000003</v>
      </c>
      <c r="L711" s="1">
        <v>58.67</v>
      </c>
      <c r="M711" s="1">
        <v>106.6</v>
      </c>
      <c r="N711" s="1">
        <v>4.2770000000000002E-2</v>
      </c>
      <c r="O711" s="1">
        <v>1.9680000000000001E-4</v>
      </c>
      <c r="P711" s="1">
        <f>(Table1[[#This Row],[Rate_Constant_k2_g_mg_min]]*Table1[[#This Row],[Contact_Time_min]]*Table1[[#This Row],[qe_mg_g]]^2)/(1+Table1[[#This Row],[Contact_Time_min]]*Table1[[#This Row],[qe_mg_g]]*Table1[[#This Row],[Rate_Constant_k2_g_mg_min]])</f>
        <v>99.408051887489776</v>
      </c>
      <c r="Q711" s="1">
        <f>LN(Table1[[#This Row],[qe_mg_g]]-Table1[[#This Row],[qt]])</f>
        <v>2.8868069734013453</v>
      </c>
      <c r="R711" s="1">
        <v>2</v>
      </c>
    </row>
    <row r="712" spans="1:18" x14ac:dyDescent="0.3">
      <c r="A712" s="1">
        <v>711</v>
      </c>
      <c r="B712" s="1" t="s">
        <v>17</v>
      </c>
      <c r="C712" s="1">
        <v>0.5</v>
      </c>
      <c r="D712" s="1">
        <v>240</v>
      </c>
      <c r="E712" s="1">
        <v>100</v>
      </c>
      <c r="F712" s="1">
        <v>11</v>
      </c>
      <c r="G712" s="1">
        <v>25</v>
      </c>
      <c r="H712" s="1">
        <v>150</v>
      </c>
      <c r="I712" s="1">
        <v>100</v>
      </c>
      <c r="J712" s="1">
        <v>101.488</v>
      </c>
      <c r="K712" s="1">
        <v>49.256</v>
      </c>
      <c r="L712" s="1">
        <v>50.74</v>
      </c>
      <c r="M712" s="1">
        <v>66.2</v>
      </c>
      <c r="N712" s="1">
        <v>4.0169999999999997E-2</v>
      </c>
      <c r="O712" s="1">
        <v>1.7660000000000001E-4</v>
      </c>
      <c r="P712" s="1">
        <f>(Table1[[#This Row],[Rate_Constant_k2_g_mg_min]]*Table1[[#This Row],[Contact_Time_min]]*Table1[[#This Row],[qe_mg_g]]^2)/(1+Table1[[#This Row],[Contact_Time_min]]*Table1[[#This Row],[qe_mg_g]]*Table1[[#This Row],[Rate_Constant_k2_g_mg_min]])</f>
        <v>82.344620913457462</v>
      </c>
      <c r="Q712" s="1">
        <f>LN(Table1[[#This Row],[qe_mg_g]]-Table1[[#This Row],[qt]])</f>
        <v>2.951956916238804</v>
      </c>
      <c r="R712" s="1">
        <v>3</v>
      </c>
    </row>
    <row r="713" spans="1:18" x14ac:dyDescent="0.3">
      <c r="A713" s="1">
        <v>712</v>
      </c>
      <c r="B713" s="1" t="s">
        <v>17</v>
      </c>
      <c r="C713" s="1">
        <v>0.5</v>
      </c>
      <c r="D713" s="1">
        <v>240</v>
      </c>
      <c r="E713" s="1">
        <v>200</v>
      </c>
      <c r="F713" s="1">
        <v>3</v>
      </c>
      <c r="G713" s="1">
        <v>25</v>
      </c>
      <c r="H713" s="1">
        <v>150</v>
      </c>
      <c r="I713" s="1">
        <v>100</v>
      </c>
      <c r="J713" s="1">
        <v>108.842</v>
      </c>
      <c r="K713" s="1">
        <v>145.57900000000001</v>
      </c>
      <c r="L713" s="1">
        <v>27.21</v>
      </c>
      <c r="M713" s="1">
        <v>71.599999999999994</v>
      </c>
      <c r="N713" s="1">
        <v>3.2939999999999997E-2</v>
      </c>
      <c r="O713" s="1">
        <v>1.8330000000000001E-4</v>
      </c>
      <c r="P713" s="1">
        <f>(Table1[[#This Row],[Rate_Constant_k2_g_mg_min]]*Table1[[#This Row],[Contact_Time_min]]*Table1[[#This Row],[qe_mg_g]]^2)/(1+Table1[[#This Row],[Contact_Time_min]]*Table1[[#This Row],[qe_mg_g]]*Table1[[#This Row],[Rate_Constant_k2_g_mg_min]])</f>
        <v>90.037807412991484</v>
      </c>
      <c r="Q713" s="1">
        <f>LN(Table1[[#This Row],[qe_mg_g]]-Table1[[#This Row],[qt]])</f>
        <v>2.9340798549201432</v>
      </c>
      <c r="R713" s="1">
        <v>1</v>
      </c>
    </row>
    <row r="714" spans="1:18" x14ac:dyDescent="0.3">
      <c r="A714" s="1">
        <v>713</v>
      </c>
      <c r="B714" s="1" t="s">
        <v>17</v>
      </c>
      <c r="C714" s="1">
        <v>0.5</v>
      </c>
      <c r="D714" s="1">
        <v>240</v>
      </c>
      <c r="E714" s="1">
        <v>200</v>
      </c>
      <c r="F714" s="1">
        <v>3</v>
      </c>
      <c r="G714" s="1">
        <v>25</v>
      </c>
      <c r="H714" s="1">
        <v>150</v>
      </c>
      <c r="I714" s="1">
        <v>100</v>
      </c>
      <c r="J714" s="1">
        <v>100.057</v>
      </c>
      <c r="K714" s="1">
        <v>149.97200000000001</v>
      </c>
      <c r="L714" s="1">
        <v>25.01</v>
      </c>
      <c r="M714" s="1">
        <v>78.8</v>
      </c>
      <c r="N714" s="1">
        <v>3.3079999999999998E-2</v>
      </c>
      <c r="O714" s="1">
        <v>2.1670000000000001E-4</v>
      </c>
      <c r="P714" s="1">
        <f>(Table1[[#This Row],[Rate_Constant_k2_g_mg_min]]*Table1[[#This Row],[Contact_Time_min]]*Table1[[#This Row],[qe_mg_g]]^2)/(1+Table1[[#This Row],[Contact_Time_min]]*Table1[[#This Row],[qe_mg_g]]*Table1[[#This Row],[Rate_Constant_k2_g_mg_min]])</f>
        <v>83.928566899476749</v>
      </c>
      <c r="Q714" s="1">
        <f>LN(Table1[[#This Row],[qe_mg_g]]-Table1[[#This Row],[qt]])</f>
        <v>2.7805837454794919</v>
      </c>
      <c r="R714" s="1">
        <v>2</v>
      </c>
    </row>
    <row r="715" spans="1:18" x14ac:dyDescent="0.3">
      <c r="A715" s="1">
        <v>714</v>
      </c>
      <c r="B715" s="1" t="s">
        <v>17</v>
      </c>
      <c r="C715" s="1">
        <v>0.5</v>
      </c>
      <c r="D715" s="1">
        <v>240</v>
      </c>
      <c r="E715" s="1">
        <v>200</v>
      </c>
      <c r="F715" s="1">
        <v>3</v>
      </c>
      <c r="G715" s="1">
        <v>25</v>
      </c>
      <c r="H715" s="1">
        <v>150</v>
      </c>
      <c r="I715" s="1">
        <v>100</v>
      </c>
      <c r="J715" s="1">
        <v>94.762</v>
      </c>
      <c r="K715" s="1">
        <v>152.619</v>
      </c>
      <c r="L715" s="1">
        <v>23.69</v>
      </c>
      <c r="M715" s="1">
        <v>88.5</v>
      </c>
      <c r="N715" s="1">
        <v>3.9260000000000003E-2</v>
      </c>
      <c r="O715" s="1">
        <v>1.897E-4</v>
      </c>
      <c r="P715" s="1">
        <f>(Table1[[#This Row],[Rate_Constant_k2_g_mg_min]]*Table1[[#This Row],[Contact_Time_min]]*Table1[[#This Row],[qe_mg_g]]^2)/(1+Table1[[#This Row],[Contact_Time_min]]*Table1[[#This Row],[qe_mg_g]]*Table1[[#This Row],[Rate_Constant_k2_g_mg_min]])</f>
        <v>76.930570450608641</v>
      </c>
      <c r="Q715" s="1">
        <f>LN(Table1[[#This Row],[qe_mg_g]]-Table1[[#This Row],[qt]])</f>
        <v>2.8809626052954749</v>
      </c>
      <c r="R715" s="1">
        <v>3</v>
      </c>
    </row>
    <row r="716" spans="1:18" x14ac:dyDescent="0.3">
      <c r="A716" s="1">
        <v>715</v>
      </c>
      <c r="B716" s="1" t="s">
        <v>17</v>
      </c>
      <c r="C716" s="1">
        <v>0.5</v>
      </c>
      <c r="D716" s="1">
        <v>240</v>
      </c>
      <c r="E716" s="1">
        <v>200</v>
      </c>
      <c r="F716" s="1">
        <v>7</v>
      </c>
      <c r="G716" s="1">
        <v>25</v>
      </c>
      <c r="H716" s="1">
        <v>150</v>
      </c>
      <c r="I716" s="1">
        <v>100</v>
      </c>
      <c r="J716" s="1">
        <v>136.751</v>
      </c>
      <c r="K716" s="1">
        <v>131.625</v>
      </c>
      <c r="L716" s="1">
        <v>34.19</v>
      </c>
      <c r="M716" s="1">
        <v>82.8</v>
      </c>
      <c r="N716" s="1">
        <v>3.9129999999999998E-2</v>
      </c>
      <c r="O716" s="1">
        <v>2.039E-4</v>
      </c>
      <c r="P716" s="1">
        <f>(Table1[[#This Row],[Rate_Constant_k2_g_mg_min]]*Table1[[#This Row],[Contact_Time_min]]*Table1[[#This Row],[qe_mg_g]]^2)/(1+Table1[[#This Row],[Contact_Time_min]]*Table1[[#This Row],[qe_mg_g]]*Table1[[#This Row],[Rate_Constant_k2_g_mg_min]])</f>
        <v>118.97276734778052</v>
      </c>
      <c r="Q716" s="1">
        <f>LN(Table1[[#This Row],[qe_mg_g]]-Table1[[#This Row],[qt]])</f>
        <v>2.87797482425762</v>
      </c>
      <c r="R716" s="1">
        <v>1</v>
      </c>
    </row>
    <row r="717" spans="1:18" x14ac:dyDescent="0.3">
      <c r="A717" s="1">
        <v>716</v>
      </c>
      <c r="B717" s="1" t="s">
        <v>17</v>
      </c>
      <c r="C717" s="1">
        <v>0.5</v>
      </c>
      <c r="D717" s="1">
        <v>240</v>
      </c>
      <c r="E717" s="1">
        <v>200</v>
      </c>
      <c r="F717" s="1">
        <v>7</v>
      </c>
      <c r="G717" s="1">
        <v>25</v>
      </c>
      <c r="H717" s="1">
        <v>150</v>
      </c>
      <c r="I717" s="1">
        <v>100</v>
      </c>
      <c r="J717" s="1">
        <v>139.501</v>
      </c>
      <c r="K717" s="1">
        <v>130.249</v>
      </c>
      <c r="L717" s="1">
        <v>34.880000000000003</v>
      </c>
      <c r="M717" s="1">
        <v>91.9</v>
      </c>
      <c r="N717" s="1">
        <v>3.1140000000000001E-2</v>
      </c>
      <c r="O717" s="1">
        <v>2.1359999999999999E-4</v>
      </c>
      <c r="P717" s="1">
        <f>(Table1[[#This Row],[Rate_Constant_k2_g_mg_min]]*Table1[[#This Row],[Contact_Time_min]]*Table1[[#This Row],[qe_mg_g]]^2)/(1+Table1[[#This Row],[Contact_Time_min]]*Table1[[#This Row],[qe_mg_g]]*Table1[[#This Row],[Rate_Constant_k2_g_mg_min]])</f>
        <v>122.38720913320813</v>
      </c>
      <c r="Q717" s="1">
        <f>LN(Table1[[#This Row],[qe_mg_g]]-Table1[[#This Row],[qt]])</f>
        <v>2.8398846219137117</v>
      </c>
      <c r="R717" s="1">
        <v>2</v>
      </c>
    </row>
    <row r="718" spans="1:18" x14ac:dyDescent="0.3">
      <c r="A718" s="1">
        <v>717</v>
      </c>
      <c r="B718" s="1" t="s">
        <v>17</v>
      </c>
      <c r="C718" s="1">
        <v>0.5</v>
      </c>
      <c r="D718" s="1">
        <v>240</v>
      </c>
      <c r="E718" s="1">
        <v>200</v>
      </c>
      <c r="F718" s="1">
        <v>7</v>
      </c>
      <c r="G718" s="1">
        <v>25</v>
      </c>
      <c r="H718" s="1">
        <v>150</v>
      </c>
      <c r="I718" s="1">
        <v>100</v>
      </c>
      <c r="J718" s="1">
        <v>153.34800000000001</v>
      </c>
      <c r="K718" s="1">
        <v>123.32599999999999</v>
      </c>
      <c r="L718" s="1">
        <v>38.340000000000003</v>
      </c>
      <c r="M718" s="1">
        <v>81.8</v>
      </c>
      <c r="N718" s="1">
        <v>3.2059999999999998E-2</v>
      </c>
      <c r="O718" s="1">
        <v>1.8230000000000001E-4</v>
      </c>
      <c r="P718" s="1">
        <f>(Table1[[#This Row],[Rate_Constant_k2_g_mg_min]]*Table1[[#This Row],[Contact_Time_min]]*Table1[[#This Row],[qe_mg_g]]^2)/(1+Table1[[#This Row],[Contact_Time_min]]*Table1[[#This Row],[qe_mg_g]]*Table1[[#This Row],[Rate_Constant_k2_g_mg_min]])</f>
        <v>133.45665265442756</v>
      </c>
      <c r="Q718" s="1">
        <f>LN(Table1[[#This Row],[qe_mg_g]]-Table1[[#This Row],[qt]])</f>
        <v>2.9902848304194265</v>
      </c>
      <c r="R718" s="1">
        <v>3</v>
      </c>
    </row>
    <row r="719" spans="1:18" x14ac:dyDescent="0.3">
      <c r="A719" s="1">
        <v>718</v>
      </c>
      <c r="B719" s="1" t="s">
        <v>17</v>
      </c>
      <c r="C719" s="1">
        <v>0.5</v>
      </c>
      <c r="D719" s="1">
        <v>240</v>
      </c>
      <c r="E719" s="1">
        <v>200</v>
      </c>
      <c r="F719" s="1">
        <v>11</v>
      </c>
      <c r="G719" s="1">
        <v>25</v>
      </c>
      <c r="H719" s="1">
        <v>150</v>
      </c>
      <c r="I719" s="1">
        <v>100</v>
      </c>
      <c r="J719" s="1">
        <v>129.37799999999999</v>
      </c>
      <c r="K719" s="1">
        <v>135.31100000000001</v>
      </c>
      <c r="L719" s="1">
        <v>32.340000000000003</v>
      </c>
      <c r="M719" s="1">
        <v>101.5</v>
      </c>
      <c r="N719" s="1">
        <v>3.2770000000000001E-2</v>
      </c>
      <c r="O719" s="1">
        <v>2.0919999999999999E-4</v>
      </c>
      <c r="P719" s="1">
        <f>(Table1[[#This Row],[Rate_Constant_k2_g_mg_min]]*Table1[[#This Row],[Contact_Time_min]]*Table1[[#This Row],[qe_mg_g]]^2)/(1+Table1[[#This Row],[Contact_Time_min]]*Table1[[#This Row],[qe_mg_g]]*Table1[[#This Row],[Rate_Constant_k2_g_mg_min]])</f>
        <v>112.11795882636639</v>
      </c>
      <c r="Q719" s="1">
        <f>LN(Table1[[#This Row],[qe_mg_g]]-Table1[[#This Row],[qt]])</f>
        <v>2.8483940711468514</v>
      </c>
      <c r="R719" s="1">
        <v>1</v>
      </c>
    </row>
    <row r="720" spans="1:18" x14ac:dyDescent="0.3">
      <c r="A720" s="1">
        <v>719</v>
      </c>
      <c r="B720" s="1" t="s">
        <v>17</v>
      </c>
      <c r="C720" s="1">
        <v>0.5</v>
      </c>
      <c r="D720" s="1">
        <v>240</v>
      </c>
      <c r="E720" s="1">
        <v>200</v>
      </c>
      <c r="F720" s="1">
        <v>11</v>
      </c>
      <c r="G720" s="1">
        <v>25</v>
      </c>
      <c r="H720" s="1">
        <v>150</v>
      </c>
      <c r="I720" s="1">
        <v>100</v>
      </c>
      <c r="J720" s="1">
        <v>97.179000000000002</v>
      </c>
      <c r="K720" s="1">
        <v>151.41</v>
      </c>
      <c r="L720" s="1">
        <v>24.29</v>
      </c>
      <c r="M720" s="1">
        <v>78.2</v>
      </c>
      <c r="N720" s="1">
        <v>3.4889999999999997E-2</v>
      </c>
      <c r="O720" s="1">
        <v>1.818E-4</v>
      </c>
      <c r="P720" s="1">
        <f>(Table1[[#This Row],[Rate_Constant_k2_g_mg_min]]*Table1[[#This Row],[Contact_Time_min]]*Table1[[#This Row],[qe_mg_g]]^2)/(1+Table1[[#This Row],[Contact_Time_min]]*Table1[[#This Row],[qe_mg_g]]*Table1[[#This Row],[Rate_Constant_k2_g_mg_min]])</f>
        <v>78.633793230411868</v>
      </c>
      <c r="Q720" s="1">
        <f>LN(Table1[[#This Row],[qe_mg_g]]-Table1[[#This Row],[qt]])</f>
        <v>2.9202113604932092</v>
      </c>
      <c r="R720" s="1">
        <v>2</v>
      </c>
    </row>
    <row r="721" spans="1:18" x14ac:dyDescent="0.3">
      <c r="A721" s="1">
        <v>720</v>
      </c>
      <c r="B721" s="1" t="s">
        <v>17</v>
      </c>
      <c r="C721" s="1">
        <v>0.5</v>
      </c>
      <c r="D721" s="1">
        <v>240</v>
      </c>
      <c r="E721" s="1">
        <v>200</v>
      </c>
      <c r="F721" s="1">
        <v>11</v>
      </c>
      <c r="G721" s="1">
        <v>25</v>
      </c>
      <c r="H721" s="1">
        <v>150</v>
      </c>
      <c r="I721" s="1">
        <v>100</v>
      </c>
      <c r="J721" s="1">
        <v>111.309</v>
      </c>
      <c r="K721" s="1">
        <v>144.346</v>
      </c>
      <c r="L721" s="1">
        <v>27.83</v>
      </c>
      <c r="M721" s="1">
        <v>77.099999999999994</v>
      </c>
      <c r="N721" s="1">
        <v>3.6020000000000003E-2</v>
      </c>
      <c r="O721" s="1">
        <v>1.963E-4</v>
      </c>
      <c r="P721" s="1">
        <f>(Table1[[#This Row],[Rate_Constant_k2_g_mg_min]]*Table1[[#This Row],[Contact_Time_min]]*Table1[[#This Row],[qe_mg_g]]^2)/(1+Table1[[#This Row],[Contact_Time_min]]*Table1[[#This Row],[qe_mg_g]]*Table1[[#This Row],[Rate_Constant_k2_g_mg_min]])</f>
        <v>93.482416839549629</v>
      </c>
      <c r="Q721" s="1">
        <f>LN(Table1[[#This Row],[qe_mg_g]]-Table1[[#This Row],[qt]])</f>
        <v>2.8806907792119367</v>
      </c>
      <c r="R721" s="1">
        <v>3</v>
      </c>
    </row>
    <row r="722" spans="1:18" x14ac:dyDescent="0.3">
      <c r="A722" s="1">
        <v>721</v>
      </c>
      <c r="B722" s="1" t="s">
        <v>17</v>
      </c>
      <c r="C722" s="1">
        <v>1</v>
      </c>
      <c r="D722" s="1">
        <v>30</v>
      </c>
      <c r="E722" s="1">
        <v>25</v>
      </c>
      <c r="F722" s="1">
        <v>3</v>
      </c>
      <c r="G722" s="1">
        <v>25</v>
      </c>
      <c r="H722" s="1">
        <v>150</v>
      </c>
      <c r="I722" s="1">
        <v>100</v>
      </c>
      <c r="J722" s="1">
        <v>1.2889999999999999</v>
      </c>
      <c r="K722" s="1">
        <v>23.710999999999999</v>
      </c>
      <c r="L722" s="1">
        <v>5.15</v>
      </c>
      <c r="M722" s="1">
        <v>58.4</v>
      </c>
      <c r="N722" s="1">
        <v>3.288E-2</v>
      </c>
      <c r="O722" s="1">
        <v>2.0919999999999999E-4</v>
      </c>
      <c r="P72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1.0344025074338518E-2</v>
      </c>
      <c r="Q722" s="1">
        <f>LN(Table1[[#This Row],[qe_mg_g]]-Table1[[#This Row],[qt]])</f>
        <v>0.24580950668542903</v>
      </c>
      <c r="R722" s="1">
        <v>1</v>
      </c>
    </row>
    <row r="723" spans="1:18" x14ac:dyDescent="0.3">
      <c r="A723" s="1">
        <v>722</v>
      </c>
      <c r="B723" s="1" t="s">
        <v>17</v>
      </c>
      <c r="C723" s="1">
        <v>1</v>
      </c>
      <c r="D723" s="1">
        <v>30</v>
      </c>
      <c r="E723" s="1">
        <v>25</v>
      </c>
      <c r="F723" s="1">
        <v>3</v>
      </c>
      <c r="G723" s="1">
        <v>25</v>
      </c>
      <c r="H723" s="1">
        <v>150</v>
      </c>
      <c r="I723" s="1">
        <v>100</v>
      </c>
      <c r="J723" s="1">
        <v>1.204</v>
      </c>
      <c r="K723" s="1">
        <v>23.795999999999999</v>
      </c>
      <c r="L723" s="1">
        <v>4.82</v>
      </c>
      <c r="M723" s="1">
        <v>79.3</v>
      </c>
      <c r="N723" s="1">
        <v>3.3160000000000002E-2</v>
      </c>
      <c r="O723" s="1">
        <v>2.2780000000000001E-4</v>
      </c>
      <c r="P723" s="1">
        <f>(Table1[[#This Row],[Rate_Constant_k2_g_mg_min]]*Table1[[#This Row],[Contact_Time_min]]*Table1[[#This Row],[qe_mg_g]]^2)/(1+Table1[[#This Row],[Contact_Time_min]]*Table1[[#This Row],[qe_mg_g]]*Table1[[#This Row],[Rate_Constant_k2_g_mg_min]])</f>
        <v>9.8258274990254777E-3</v>
      </c>
      <c r="Q723" s="1">
        <f>LN(Table1[[#This Row],[qe_mg_g]]-Table1[[#This Row],[qt]])</f>
        <v>0.17745487744835589</v>
      </c>
      <c r="R723" s="1">
        <v>2</v>
      </c>
    </row>
    <row r="724" spans="1:18" x14ac:dyDescent="0.3">
      <c r="A724" s="1">
        <v>723</v>
      </c>
      <c r="B724" s="1" t="s">
        <v>17</v>
      </c>
      <c r="C724" s="1">
        <v>1</v>
      </c>
      <c r="D724" s="1">
        <v>30</v>
      </c>
      <c r="E724" s="1">
        <v>25</v>
      </c>
      <c r="F724" s="1">
        <v>3</v>
      </c>
      <c r="G724" s="1">
        <v>25</v>
      </c>
      <c r="H724" s="1">
        <v>150</v>
      </c>
      <c r="I724" s="1">
        <v>100</v>
      </c>
      <c r="J724" s="1">
        <v>1.5960000000000001</v>
      </c>
      <c r="K724" s="1">
        <v>23.404</v>
      </c>
      <c r="L724" s="1">
        <v>6.38</v>
      </c>
      <c r="M724" s="1">
        <v>90.6</v>
      </c>
      <c r="N724" s="1">
        <v>3.5490000000000001E-2</v>
      </c>
      <c r="O724" s="1">
        <v>1.574E-4</v>
      </c>
      <c r="P72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1.1937985568107249E-2</v>
      </c>
      <c r="Q724" s="1">
        <f>LN(Table1[[#This Row],[qe_mg_g]]-Table1[[#This Row],[qt]])</f>
        <v>0.4599924431510572</v>
      </c>
      <c r="R724" s="1">
        <v>3</v>
      </c>
    </row>
    <row r="725" spans="1:18" x14ac:dyDescent="0.3">
      <c r="A725" s="1">
        <v>724</v>
      </c>
      <c r="B725" s="1" t="s">
        <v>17</v>
      </c>
      <c r="C725" s="1">
        <v>1</v>
      </c>
      <c r="D725" s="1">
        <v>30</v>
      </c>
      <c r="E725" s="1">
        <v>25</v>
      </c>
      <c r="F725" s="1">
        <v>7</v>
      </c>
      <c r="G725" s="1">
        <v>25</v>
      </c>
      <c r="H725" s="1">
        <v>150</v>
      </c>
      <c r="I725" s="1">
        <v>100</v>
      </c>
      <c r="J725" s="1">
        <v>3.08</v>
      </c>
      <c r="K725" s="1">
        <v>21.92</v>
      </c>
      <c r="L725" s="1">
        <v>12.32</v>
      </c>
      <c r="M725" s="1">
        <v>88.5</v>
      </c>
      <c r="N725" s="1">
        <v>3.678E-2</v>
      </c>
      <c r="O725" s="1">
        <v>2.7849999999999999E-4</v>
      </c>
      <c r="P725" s="1">
        <f>(Table1[[#This Row],[Rate_Constant_k2_g_mg_min]]*Table1[[#This Row],[Contact_Time_min]]*Table1[[#This Row],[qe_mg_g]]^2)/(1+Table1[[#This Row],[Contact_Time_min]]*Table1[[#This Row],[qe_mg_g]]*Table1[[#This Row],[Rate_Constant_k2_g_mg_min]])</f>
        <v>7.7270440837745938E-2</v>
      </c>
      <c r="Q725" s="1">
        <f>LN(Table1[[#This Row],[qe_mg_g]]-Table1[[#This Row],[qt]])</f>
        <v>1.0995217280568019</v>
      </c>
      <c r="R725" s="1">
        <v>1</v>
      </c>
    </row>
    <row r="726" spans="1:18" x14ac:dyDescent="0.3">
      <c r="A726" s="1">
        <v>725</v>
      </c>
      <c r="B726" s="1" t="s">
        <v>17</v>
      </c>
      <c r="C726" s="1">
        <v>1</v>
      </c>
      <c r="D726" s="1">
        <v>30</v>
      </c>
      <c r="E726" s="1">
        <v>25</v>
      </c>
      <c r="F726" s="1">
        <v>7</v>
      </c>
      <c r="G726" s="1">
        <v>25</v>
      </c>
      <c r="H726" s="1">
        <v>150</v>
      </c>
      <c r="I726" s="1">
        <v>100</v>
      </c>
      <c r="J726" s="1">
        <v>2.2639999999999998</v>
      </c>
      <c r="K726" s="1">
        <v>22.736000000000001</v>
      </c>
      <c r="L726" s="1">
        <v>9.06</v>
      </c>
      <c r="M726" s="1">
        <v>107.9</v>
      </c>
      <c r="N726" s="1">
        <v>3.3989999999999999E-2</v>
      </c>
      <c r="O726" s="1">
        <v>2.0570000000000001E-4</v>
      </c>
      <c r="P72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3.1194842381037216E-2</v>
      </c>
      <c r="Q726" s="1">
        <f>LN(Table1[[#This Row],[qe_mg_g]]-Table1[[#This Row],[qt]])</f>
        <v>0.80325871317055841</v>
      </c>
      <c r="R726" s="1">
        <v>2</v>
      </c>
    </row>
    <row r="727" spans="1:18" x14ac:dyDescent="0.3">
      <c r="A727" s="1">
        <v>726</v>
      </c>
      <c r="B727" s="1" t="s">
        <v>17</v>
      </c>
      <c r="C727" s="1">
        <v>1</v>
      </c>
      <c r="D727" s="1">
        <v>30</v>
      </c>
      <c r="E727" s="1">
        <v>25</v>
      </c>
      <c r="F727" s="1">
        <v>7</v>
      </c>
      <c r="G727" s="1">
        <v>25</v>
      </c>
      <c r="H727" s="1">
        <v>150</v>
      </c>
      <c r="I727" s="1">
        <v>100</v>
      </c>
      <c r="J727" s="1">
        <v>2.847</v>
      </c>
      <c r="K727" s="1">
        <v>22.152999999999999</v>
      </c>
      <c r="L727" s="1">
        <v>11.39</v>
      </c>
      <c r="M727" s="1">
        <v>80.3</v>
      </c>
      <c r="N727" s="1">
        <v>3.3009999999999998E-2</v>
      </c>
      <c r="O727" s="1">
        <v>2.0660000000000001E-4</v>
      </c>
      <c r="P72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4.9366223122450835E-2</v>
      </c>
      <c r="Q727" s="1">
        <f>LN(Table1[[#This Row],[qe_mg_g]]-Table1[[#This Row],[qt]])</f>
        <v>1.0287739802134288</v>
      </c>
      <c r="R727" s="1">
        <v>3</v>
      </c>
    </row>
    <row r="728" spans="1:18" x14ac:dyDescent="0.3">
      <c r="A728" s="1">
        <v>727</v>
      </c>
      <c r="B728" s="1" t="s">
        <v>17</v>
      </c>
      <c r="C728" s="1">
        <v>1</v>
      </c>
      <c r="D728" s="1">
        <v>30</v>
      </c>
      <c r="E728" s="1">
        <v>25</v>
      </c>
      <c r="F728" s="1">
        <v>11</v>
      </c>
      <c r="G728" s="1">
        <v>25</v>
      </c>
      <c r="H728" s="1">
        <v>150</v>
      </c>
      <c r="I728" s="1">
        <v>100</v>
      </c>
      <c r="J728" s="1">
        <v>1.786</v>
      </c>
      <c r="K728" s="1">
        <v>23.213999999999999</v>
      </c>
      <c r="L728" s="1">
        <v>7.14</v>
      </c>
      <c r="M728" s="1">
        <v>95.4</v>
      </c>
      <c r="N728" s="1">
        <v>3.354E-2</v>
      </c>
      <c r="O728" s="1">
        <v>1.774E-4</v>
      </c>
      <c r="P72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1.6816254268086448E-2</v>
      </c>
      <c r="Q728" s="1">
        <f>LN(Table1[[#This Row],[qe_mg_g]]-Table1[[#This Row],[qt]])</f>
        <v>0.5705182796150452</v>
      </c>
      <c r="R728" s="1">
        <v>1</v>
      </c>
    </row>
    <row r="729" spans="1:18" x14ac:dyDescent="0.3">
      <c r="A729" s="1">
        <v>728</v>
      </c>
      <c r="B729" s="1" t="s">
        <v>17</v>
      </c>
      <c r="C729" s="1">
        <v>1</v>
      </c>
      <c r="D729" s="1">
        <v>30</v>
      </c>
      <c r="E729" s="1">
        <v>25</v>
      </c>
      <c r="F729" s="1">
        <v>11</v>
      </c>
      <c r="G729" s="1">
        <v>25</v>
      </c>
      <c r="H729" s="1">
        <v>150</v>
      </c>
      <c r="I729" s="1">
        <v>100</v>
      </c>
      <c r="J729" s="1">
        <v>2.0110000000000001</v>
      </c>
      <c r="K729" s="1">
        <v>22.989000000000001</v>
      </c>
      <c r="L729" s="1">
        <v>8.0399999999999991</v>
      </c>
      <c r="M729" s="1">
        <v>101.9</v>
      </c>
      <c r="N729" s="1">
        <v>3.313E-2</v>
      </c>
      <c r="O729" s="1">
        <v>2.0719999999999999E-4</v>
      </c>
      <c r="P72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2.4827898074775635E-2</v>
      </c>
      <c r="Q729" s="1">
        <f>LN(Table1[[#This Row],[qe_mg_g]]-Table1[[#This Row],[qt]])</f>
        <v>0.68620921943400215</v>
      </c>
      <c r="R729" s="1">
        <v>2</v>
      </c>
    </row>
    <row r="730" spans="1:18" x14ac:dyDescent="0.3">
      <c r="A730" s="1">
        <v>729</v>
      </c>
      <c r="B730" s="1" t="s">
        <v>17</v>
      </c>
      <c r="C730" s="1">
        <v>1</v>
      </c>
      <c r="D730" s="1">
        <v>30</v>
      </c>
      <c r="E730" s="1">
        <v>25</v>
      </c>
      <c r="F730" s="1">
        <v>11</v>
      </c>
      <c r="G730" s="1">
        <v>25</v>
      </c>
      <c r="H730" s="1">
        <v>150</v>
      </c>
      <c r="I730" s="1">
        <v>100</v>
      </c>
      <c r="J730" s="1">
        <v>1.952</v>
      </c>
      <c r="K730" s="1">
        <v>23.047999999999998</v>
      </c>
      <c r="L730" s="1">
        <v>7.81</v>
      </c>
      <c r="M730" s="1">
        <v>95.5</v>
      </c>
      <c r="N730" s="1">
        <v>3.7400000000000003E-2</v>
      </c>
      <c r="O730" s="1">
        <v>2.3699999999999999E-4</v>
      </c>
      <c r="P73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2.6720416264383182E-2</v>
      </c>
      <c r="Q730" s="1">
        <f>LN(Table1[[#This Row],[qe_mg_g]]-Table1[[#This Row],[qt]])</f>
        <v>0.6550711954979026</v>
      </c>
      <c r="R730" s="1">
        <v>3</v>
      </c>
    </row>
    <row r="731" spans="1:18" x14ac:dyDescent="0.3">
      <c r="A731" s="1">
        <v>730</v>
      </c>
      <c r="B731" s="1" t="s">
        <v>17</v>
      </c>
      <c r="C731" s="1">
        <v>1</v>
      </c>
      <c r="D731" s="1">
        <v>30</v>
      </c>
      <c r="E731" s="1">
        <v>50</v>
      </c>
      <c r="F731" s="1">
        <v>3</v>
      </c>
      <c r="G731" s="1">
        <v>25</v>
      </c>
      <c r="H731" s="1">
        <v>150</v>
      </c>
      <c r="I731" s="1">
        <v>100</v>
      </c>
      <c r="J731" s="1">
        <v>5.843</v>
      </c>
      <c r="K731" s="1">
        <v>44.156999999999996</v>
      </c>
      <c r="L731" s="1">
        <v>11.69</v>
      </c>
      <c r="M731" s="1">
        <v>94.3</v>
      </c>
      <c r="N731" s="1">
        <v>3.5340000000000003E-2</v>
      </c>
      <c r="O731" s="1">
        <v>2.2589999999999999E-4</v>
      </c>
      <c r="P73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0.22255831179442295</v>
      </c>
      <c r="Q731" s="1">
        <f>LN(Table1[[#This Row],[qe_mg_g]]-Table1[[#This Row],[qt]])</f>
        <v>1.726410253024792</v>
      </c>
      <c r="R731" s="1">
        <v>1</v>
      </c>
    </row>
    <row r="732" spans="1:18" x14ac:dyDescent="0.3">
      <c r="A732" s="1">
        <v>731</v>
      </c>
      <c r="B732" s="1" t="s">
        <v>17</v>
      </c>
      <c r="C732" s="1">
        <v>1</v>
      </c>
      <c r="D732" s="1">
        <v>30</v>
      </c>
      <c r="E732" s="1">
        <v>50</v>
      </c>
      <c r="F732" s="1">
        <v>3</v>
      </c>
      <c r="G732" s="1">
        <v>25</v>
      </c>
      <c r="H732" s="1">
        <v>150</v>
      </c>
      <c r="I732" s="1">
        <v>100</v>
      </c>
      <c r="J732" s="1">
        <v>5.52</v>
      </c>
      <c r="K732" s="1">
        <v>44.48</v>
      </c>
      <c r="L732" s="1">
        <v>11.04</v>
      </c>
      <c r="M732" s="1">
        <v>95.3</v>
      </c>
      <c r="N732" s="1">
        <v>3.4320000000000003E-2</v>
      </c>
      <c r="O732" s="1">
        <v>1.9870000000000001E-4</v>
      </c>
      <c r="P73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0.17584783076603619</v>
      </c>
      <c r="Q732" s="1">
        <f>LN(Table1[[#This Row],[qe_mg_g]]-Table1[[#This Row],[qt]])</f>
        <v>1.6760029106107501</v>
      </c>
      <c r="R732" s="1">
        <v>2</v>
      </c>
    </row>
    <row r="733" spans="1:18" x14ac:dyDescent="0.3">
      <c r="A733" s="1">
        <v>732</v>
      </c>
      <c r="B733" s="1" t="s">
        <v>17</v>
      </c>
      <c r="C733" s="1">
        <v>1</v>
      </c>
      <c r="D733" s="1">
        <v>30</v>
      </c>
      <c r="E733" s="1">
        <v>50</v>
      </c>
      <c r="F733" s="1">
        <v>3</v>
      </c>
      <c r="G733" s="1">
        <v>25</v>
      </c>
      <c r="H733" s="1">
        <v>150</v>
      </c>
      <c r="I733" s="1">
        <v>100</v>
      </c>
      <c r="J733" s="1">
        <v>6.0019999999999998</v>
      </c>
      <c r="K733" s="1">
        <v>43.997999999999998</v>
      </c>
      <c r="L733" s="1">
        <v>12</v>
      </c>
      <c r="M733" s="1">
        <v>89</v>
      </c>
      <c r="N733" s="1">
        <v>3.4590000000000003E-2</v>
      </c>
      <c r="O733" s="1">
        <v>2.0430000000000001E-4</v>
      </c>
      <c r="P73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0.21295722123276828</v>
      </c>
      <c r="Q733" s="1">
        <f>LN(Table1[[#This Row],[qe_mg_g]]-Table1[[#This Row],[qt]])</f>
        <v>1.7559669547339676</v>
      </c>
      <c r="R733" s="1">
        <v>3</v>
      </c>
    </row>
    <row r="734" spans="1:18" x14ac:dyDescent="0.3">
      <c r="A734" s="1">
        <v>733</v>
      </c>
      <c r="B734" s="1" t="s">
        <v>17</v>
      </c>
      <c r="C734" s="1">
        <v>1</v>
      </c>
      <c r="D734" s="1">
        <v>30</v>
      </c>
      <c r="E734" s="1">
        <v>50</v>
      </c>
      <c r="F734" s="1">
        <v>7</v>
      </c>
      <c r="G734" s="1">
        <v>25</v>
      </c>
      <c r="H734" s="1">
        <v>150</v>
      </c>
      <c r="I734" s="1">
        <v>100</v>
      </c>
      <c r="J734" s="1">
        <v>11.574999999999999</v>
      </c>
      <c r="K734" s="1">
        <v>38.424999999999997</v>
      </c>
      <c r="L734" s="1">
        <v>23.15</v>
      </c>
      <c r="M734" s="1">
        <v>98.4</v>
      </c>
      <c r="N734" s="1">
        <v>3.8039999999999997E-2</v>
      </c>
      <c r="O734" s="1">
        <v>1.9090000000000001E-4</v>
      </c>
      <c r="P73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0.71960444286722069</v>
      </c>
      <c r="Q734" s="1">
        <f>LN(Table1[[#This Row],[qe_mg_g]]-Table1[[#This Row],[qt]])</f>
        <v>2.3846622427522624</v>
      </c>
      <c r="R734" s="1">
        <v>1</v>
      </c>
    </row>
    <row r="735" spans="1:18" x14ac:dyDescent="0.3">
      <c r="A735" s="1">
        <v>734</v>
      </c>
      <c r="B735" s="1" t="s">
        <v>17</v>
      </c>
      <c r="C735" s="1">
        <v>1</v>
      </c>
      <c r="D735" s="1">
        <v>30</v>
      </c>
      <c r="E735" s="1">
        <v>50</v>
      </c>
      <c r="F735" s="1">
        <v>7</v>
      </c>
      <c r="G735" s="1">
        <v>25</v>
      </c>
      <c r="H735" s="1">
        <v>150</v>
      </c>
      <c r="I735" s="1">
        <v>100</v>
      </c>
      <c r="J735" s="1">
        <v>9.1080000000000005</v>
      </c>
      <c r="K735" s="1">
        <v>40.892000000000003</v>
      </c>
      <c r="L735" s="1">
        <v>18.22</v>
      </c>
      <c r="M735" s="1">
        <v>98</v>
      </c>
      <c r="N735" s="1">
        <v>3.807E-2</v>
      </c>
      <c r="O735" s="1">
        <v>2.2949999999999999E-4</v>
      </c>
      <c r="P73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0.53744719614477943</v>
      </c>
      <c r="Q735" s="1">
        <f>LN(Table1[[#This Row],[qe_mg_g]]-Table1[[#This Row],[qt]])</f>
        <v>2.1483322350632252</v>
      </c>
      <c r="R735" s="1">
        <v>2</v>
      </c>
    </row>
    <row r="736" spans="1:18" x14ac:dyDescent="0.3">
      <c r="A736" s="1">
        <v>735</v>
      </c>
      <c r="B736" s="1" t="s">
        <v>17</v>
      </c>
      <c r="C736" s="1">
        <v>1</v>
      </c>
      <c r="D736" s="1">
        <v>30</v>
      </c>
      <c r="E736" s="1">
        <v>50</v>
      </c>
      <c r="F736" s="1">
        <v>7</v>
      </c>
      <c r="G736" s="1">
        <v>25</v>
      </c>
      <c r="H736" s="1">
        <v>150</v>
      </c>
      <c r="I736" s="1">
        <v>100</v>
      </c>
      <c r="J736" s="1">
        <v>9.3930000000000007</v>
      </c>
      <c r="K736" s="1">
        <v>40.606999999999999</v>
      </c>
      <c r="L736" s="1">
        <v>18.79</v>
      </c>
      <c r="M736" s="1">
        <v>82.8</v>
      </c>
      <c r="N736" s="1">
        <v>2.9260000000000001E-2</v>
      </c>
      <c r="O736" s="1">
        <v>1.9220000000000001E-4</v>
      </c>
      <c r="P73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0.48258823954204955</v>
      </c>
      <c r="Q736" s="1">
        <f>LN(Table1[[#This Row],[qe_mg_g]]-Table1[[#This Row],[qt]])</f>
        <v>2.1872204537098603</v>
      </c>
      <c r="R736" s="1">
        <v>3</v>
      </c>
    </row>
    <row r="737" spans="1:18" x14ac:dyDescent="0.3">
      <c r="A737" s="1">
        <v>736</v>
      </c>
      <c r="B737" s="1" t="s">
        <v>17</v>
      </c>
      <c r="C737" s="1">
        <v>1</v>
      </c>
      <c r="D737" s="1">
        <v>30</v>
      </c>
      <c r="E737" s="1">
        <v>50</v>
      </c>
      <c r="F737" s="1">
        <v>11</v>
      </c>
      <c r="G737" s="1">
        <v>25</v>
      </c>
      <c r="H737" s="1">
        <v>150</v>
      </c>
      <c r="I737" s="1">
        <v>100</v>
      </c>
      <c r="J737" s="1">
        <v>8.2119999999999997</v>
      </c>
      <c r="K737" s="1">
        <v>41.787999999999997</v>
      </c>
      <c r="L737" s="1">
        <v>16.420000000000002</v>
      </c>
      <c r="M737" s="1">
        <v>79.7</v>
      </c>
      <c r="N737" s="1">
        <v>3.7240000000000002E-2</v>
      </c>
      <c r="O737" s="1">
        <v>1.962E-4</v>
      </c>
      <c r="P73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0.37863234306008148</v>
      </c>
      <c r="Q737" s="1">
        <f>LN(Table1[[#This Row],[qe_mg_g]]-Table1[[#This Row],[qt]])</f>
        <v>2.0583925142094146</v>
      </c>
      <c r="R737" s="1">
        <v>1</v>
      </c>
    </row>
    <row r="738" spans="1:18" x14ac:dyDescent="0.3">
      <c r="A738" s="1">
        <v>737</v>
      </c>
      <c r="B738" s="1" t="s">
        <v>17</v>
      </c>
      <c r="C738" s="1">
        <v>1</v>
      </c>
      <c r="D738" s="1">
        <v>30</v>
      </c>
      <c r="E738" s="1">
        <v>50</v>
      </c>
      <c r="F738" s="1">
        <v>11</v>
      </c>
      <c r="G738" s="1">
        <v>25</v>
      </c>
      <c r="H738" s="1">
        <v>150</v>
      </c>
      <c r="I738" s="1">
        <v>100</v>
      </c>
      <c r="J738" s="1">
        <v>7.7089999999999996</v>
      </c>
      <c r="K738" s="1">
        <v>42.290999999999997</v>
      </c>
      <c r="L738" s="1">
        <v>15.42</v>
      </c>
      <c r="M738" s="1">
        <v>71</v>
      </c>
      <c r="N738" s="1">
        <v>3.5299999999999998E-2</v>
      </c>
      <c r="O738" s="1">
        <v>1.4019999999999999E-4</v>
      </c>
      <c r="P73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0.24210694367064792</v>
      </c>
      <c r="Q738" s="1">
        <f>LN(Table1[[#This Row],[qe_mg_g]]-Table1[[#This Row],[qt]])</f>
        <v>2.0104789897773507</v>
      </c>
      <c r="R738" s="1">
        <v>2</v>
      </c>
    </row>
    <row r="739" spans="1:18" x14ac:dyDescent="0.3">
      <c r="A739" s="1">
        <v>738</v>
      </c>
      <c r="B739" s="1" t="s">
        <v>17</v>
      </c>
      <c r="C739" s="1">
        <v>1</v>
      </c>
      <c r="D739" s="1">
        <v>30</v>
      </c>
      <c r="E739" s="1">
        <v>50</v>
      </c>
      <c r="F739" s="1">
        <v>11</v>
      </c>
      <c r="G739" s="1">
        <v>25</v>
      </c>
      <c r="H739" s="1">
        <v>150</v>
      </c>
      <c r="I739" s="1">
        <v>100</v>
      </c>
      <c r="J739" s="1">
        <v>7.3280000000000003</v>
      </c>
      <c r="K739" s="1">
        <v>42.671999999999997</v>
      </c>
      <c r="L739" s="1">
        <v>14.66</v>
      </c>
      <c r="M739" s="1">
        <v>64.8</v>
      </c>
      <c r="N739" s="1">
        <v>3.9219999999999998E-2</v>
      </c>
      <c r="O739" s="1">
        <v>2.1550000000000001E-4</v>
      </c>
      <c r="P73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0.33146450717121972</v>
      </c>
      <c r="Q739" s="1">
        <f>LN(Table1[[#This Row],[qe_mg_g]]-Table1[[#This Row],[qt]])</f>
        <v>1.9454150969413455</v>
      </c>
      <c r="R739" s="1">
        <v>3</v>
      </c>
    </row>
    <row r="740" spans="1:18" x14ac:dyDescent="0.3">
      <c r="A740" s="1">
        <v>739</v>
      </c>
      <c r="B740" s="1" t="s">
        <v>17</v>
      </c>
      <c r="C740" s="1">
        <v>1</v>
      </c>
      <c r="D740" s="1">
        <v>30</v>
      </c>
      <c r="E740" s="1">
        <v>100</v>
      </c>
      <c r="F740" s="1">
        <v>3</v>
      </c>
      <c r="G740" s="1">
        <v>25</v>
      </c>
      <c r="H740" s="1">
        <v>150</v>
      </c>
      <c r="I740" s="1">
        <v>100</v>
      </c>
      <c r="J740" s="1">
        <v>20.059999999999999</v>
      </c>
      <c r="K740" s="1">
        <v>79.94</v>
      </c>
      <c r="L740" s="1">
        <v>20.059999999999999</v>
      </c>
      <c r="M740" s="1">
        <v>105.3</v>
      </c>
      <c r="N740" s="1">
        <v>3.168E-2</v>
      </c>
      <c r="O740" s="1">
        <v>2.3489999999999999E-4</v>
      </c>
      <c r="P74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2.484519488027479</v>
      </c>
      <c r="Q740" s="1">
        <f>LN(Table1[[#This Row],[qe_mg_g]]-Table1[[#This Row],[qt]])</f>
        <v>2.8665047779757544</v>
      </c>
      <c r="R740" s="1">
        <v>1</v>
      </c>
    </row>
    <row r="741" spans="1:18" x14ac:dyDescent="0.3">
      <c r="A741" s="1">
        <v>740</v>
      </c>
      <c r="B741" s="1" t="s">
        <v>17</v>
      </c>
      <c r="C741" s="1">
        <v>1</v>
      </c>
      <c r="D741" s="1">
        <v>30</v>
      </c>
      <c r="E741" s="1">
        <v>100</v>
      </c>
      <c r="F741" s="1">
        <v>3</v>
      </c>
      <c r="G741" s="1">
        <v>25</v>
      </c>
      <c r="H741" s="1">
        <v>150</v>
      </c>
      <c r="I741" s="1">
        <v>100</v>
      </c>
      <c r="J741" s="1">
        <v>20.952000000000002</v>
      </c>
      <c r="K741" s="1">
        <v>79.048000000000002</v>
      </c>
      <c r="L741" s="1">
        <v>20.95</v>
      </c>
      <c r="M741" s="1">
        <v>82.7</v>
      </c>
      <c r="N741" s="1">
        <v>3.8969999999999998E-2</v>
      </c>
      <c r="O741" s="1">
        <v>1.7789999999999999E-4</v>
      </c>
      <c r="P74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2.107236934112326</v>
      </c>
      <c r="Q741" s="1">
        <f>LN(Table1[[#This Row],[qe_mg_g]]-Table1[[#This Row],[qt]])</f>
        <v>2.936235053856175</v>
      </c>
      <c r="R741" s="1">
        <v>2</v>
      </c>
    </row>
    <row r="742" spans="1:18" x14ac:dyDescent="0.3">
      <c r="A742" s="1">
        <v>741</v>
      </c>
      <c r="B742" s="1" t="s">
        <v>17</v>
      </c>
      <c r="C742" s="1">
        <v>1</v>
      </c>
      <c r="D742" s="1">
        <v>30</v>
      </c>
      <c r="E742" s="1">
        <v>100</v>
      </c>
      <c r="F742" s="1">
        <v>3</v>
      </c>
      <c r="G742" s="1">
        <v>25</v>
      </c>
      <c r="H742" s="1">
        <v>150</v>
      </c>
      <c r="I742" s="1">
        <v>100</v>
      </c>
      <c r="J742" s="1">
        <v>17.585000000000001</v>
      </c>
      <c r="K742" s="1">
        <v>82.415000000000006</v>
      </c>
      <c r="L742" s="1">
        <v>17.59</v>
      </c>
      <c r="M742" s="1">
        <v>77.900000000000006</v>
      </c>
      <c r="N742" s="1">
        <v>3.3149999999999999E-2</v>
      </c>
      <c r="O742" s="1">
        <v>1.7890000000000001E-4</v>
      </c>
      <c r="P74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1.5165219856322221</v>
      </c>
      <c r="Q742" s="1">
        <f>LN(Table1[[#This Row],[qe_mg_g]]-Table1[[#This Row],[qt]])</f>
        <v>2.7768594655172985</v>
      </c>
      <c r="R742" s="1">
        <v>3</v>
      </c>
    </row>
    <row r="743" spans="1:18" x14ac:dyDescent="0.3">
      <c r="A743" s="1">
        <v>742</v>
      </c>
      <c r="B743" s="1" t="s">
        <v>17</v>
      </c>
      <c r="C743" s="1">
        <v>1</v>
      </c>
      <c r="D743" s="1">
        <v>30</v>
      </c>
      <c r="E743" s="1">
        <v>100</v>
      </c>
      <c r="F743" s="1">
        <v>7</v>
      </c>
      <c r="G743" s="1">
        <v>25</v>
      </c>
      <c r="H743" s="1">
        <v>150</v>
      </c>
      <c r="I743" s="1">
        <v>100</v>
      </c>
      <c r="J743" s="1">
        <v>34.887</v>
      </c>
      <c r="K743" s="1">
        <v>65.113</v>
      </c>
      <c r="L743" s="1">
        <v>34.89</v>
      </c>
      <c r="M743" s="1">
        <v>82.4</v>
      </c>
      <c r="N743" s="1">
        <v>3.6229999999999998E-2</v>
      </c>
      <c r="O743" s="1">
        <v>1.886E-4</v>
      </c>
      <c r="P74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5.7511452006131671</v>
      </c>
      <c r="Q743" s="1">
        <f>LN(Table1[[#This Row],[qe_mg_g]]-Table1[[#This Row],[qt]])</f>
        <v>3.3719695394262539</v>
      </c>
      <c r="R743" s="1">
        <v>1</v>
      </c>
    </row>
    <row r="744" spans="1:18" x14ac:dyDescent="0.3">
      <c r="A744" s="1">
        <v>743</v>
      </c>
      <c r="B744" s="1" t="s">
        <v>17</v>
      </c>
      <c r="C744" s="1">
        <v>1</v>
      </c>
      <c r="D744" s="1">
        <v>30</v>
      </c>
      <c r="E744" s="1">
        <v>100</v>
      </c>
      <c r="F744" s="1">
        <v>7</v>
      </c>
      <c r="G744" s="1">
        <v>25</v>
      </c>
      <c r="H744" s="1">
        <v>150</v>
      </c>
      <c r="I744" s="1">
        <v>100</v>
      </c>
      <c r="J744" s="1">
        <v>25.425999999999998</v>
      </c>
      <c r="K744" s="1">
        <v>74.573999999999998</v>
      </c>
      <c r="L744" s="1">
        <v>25.43</v>
      </c>
      <c r="M744" s="1">
        <v>89.2</v>
      </c>
      <c r="N744" s="1">
        <v>2.8309999999999998E-2</v>
      </c>
      <c r="O744" s="1">
        <v>1.986E-4</v>
      </c>
      <c r="P74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3.3450077401997786</v>
      </c>
      <c r="Q744" s="1">
        <f>LN(Table1[[#This Row],[qe_mg_g]]-Table1[[#This Row],[qt]])</f>
        <v>3.0947171597017005</v>
      </c>
      <c r="R744" s="1">
        <v>2</v>
      </c>
    </row>
    <row r="745" spans="1:18" x14ac:dyDescent="0.3">
      <c r="A745" s="1">
        <v>744</v>
      </c>
      <c r="B745" s="1" t="s">
        <v>17</v>
      </c>
      <c r="C745" s="1">
        <v>1</v>
      </c>
      <c r="D745" s="1">
        <v>30</v>
      </c>
      <c r="E745" s="1">
        <v>100</v>
      </c>
      <c r="F745" s="1">
        <v>7</v>
      </c>
      <c r="G745" s="1">
        <v>25</v>
      </c>
      <c r="H745" s="1">
        <v>150</v>
      </c>
      <c r="I745" s="1">
        <v>100</v>
      </c>
      <c r="J745" s="1">
        <v>26.832000000000001</v>
      </c>
      <c r="K745" s="1">
        <v>73.168000000000006</v>
      </c>
      <c r="L745" s="1">
        <v>26.83</v>
      </c>
      <c r="M745" s="1">
        <v>111.3</v>
      </c>
      <c r="N745" s="1">
        <v>3.8190000000000002E-2</v>
      </c>
      <c r="O745" s="1">
        <v>2.0210000000000001E-4</v>
      </c>
      <c r="P74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3.7543309557646221</v>
      </c>
      <c r="Q745" s="1">
        <f>LN(Table1[[#This Row],[qe_mg_g]]-Table1[[#This Row],[qt]])</f>
        <v>3.1388654419224142</v>
      </c>
      <c r="R745" s="1">
        <v>3</v>
      </c>
    </row>
    <row r="746" spans="1:18" x14ac:dyDescent="0.3">
      <c r="A746" s="1">
        <v>745</v>
      </c>
      <c r="B746" s="1" t="s">
        <v>17</v>
      </c>
      <c r="C746" s="1">
        <v>1</v>
      </c>
      <c r="D746" s="1">
        <v>30</v>
      </c>
      <c r="E746" s="1">
        <v>100</v>
      </c>
      <c r="F746" s="1">
        <v>11</v>
      </c>
      <c r="G746" s="1">
        <v>25</v>
      </c>
      <c r="H746" s="1">
        <v>150</v>
      </c>
      <c r="I746" s="1">
        <v>100</v>
      </c>
      <c r="J746" s="1">
        <v>26.702000000000002</v>
      </c>
      <c r="K746" s="1">
        <v>73.298000000000002</v>
      </c>
      <c r="L746" s="1">
        <v>26.7</v>
      </c>
      <c r="M746" s="1">
        <v>74.8</v>
      </c>
      <c r="N746" s="1">
        <v>3.6900000000000002E-2</v>
      </c>
      <c r="O746" s="1">
        <v>2.04E-4</v>
      </c>
      <c r="P74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3.7506270674715698</v>
      </c>
      <c r="Q746" s="1">
        <f>LN(Table1[[#This Row],[qe_mg_g]]-Table1[[#This Row],[qt]])</f>
        <v>3.1333777574853672</v>
      </c>
      <c r="R746" s="1">
        <v>1</v>
      </c>
    </row>
    <row r="747" spans="1:18" x14ac:dyDescent="0.3">
      <c r="A747" s="1">
        <v>746</v>
      </c>
      <c r="B747" s="1" t="s">
        <v>17</v>
      </c>
      <c r="C747" s="1">
        <v>1</v>
      </c>
      <c r="D747" s="1">
        <v>30</v>
      </c>
      <c r="E747" s="1">
        <v>100</v>
      </c>
      <c r="F747" s="1">
        <v>11</v>
      </c>
      <c r="G747" s="1">
        <v>25</v>
      </c>
      <c r="H747" s="1">
        <v>150</v>
      </c>
      <c r="I747" s="1">
        <v>100</v>
      </c>
      <c r="J747" s="1">
        <v>24.332000000000001</v>
      </c>
      <c r="K747" s="1">
        <v>75.668000000000006</v>
      </c>
      <c r="L747" s="1">
        <v>24.33</v>
      </c>
      <c r="M747" s="1">
        <v>102.1</v>
      </c>
      <c r="N747" s="1">
        <v>3.7560000000000003E-2</v>
      </c>
      <c r="O747" s="1">
        <v>2.0579999999999999E-4</v>
      </c>
      <c r="P74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3.177892104896749</v>
      </c>
      <c r="Q747" s="1">
        <f>LN(Table1[[#This Row],[qe_mg_g]]-Table1[[#This Row],[qt]])</f>
        <v>3.0518341133515499</v>
      </c>
      <c r="R747" s="1">
        <v>2</v>
      </c>
    </row>
    <row r="748" spans="1:18" x14ac:dyDescent="0.3">
      <c r="A748" s="1">
        <v>747</v>
      </c>
      <c r="B748" s="1" t="s">
        <v>17</v>
      </c>
      <c r="C748" s="1">
        <v>1</v>
      </c>
      <c r="D748" s="1">
        <v>30</v>
      </c>
      <c r="E748" s="1">
        <v>100</v>
      </c>
      <c r="F748" s="1">
        <v>11</v>
      </c>
      <c r="G748" s="1">
        <v>25</v>
      </c>
      <c r="H748" s="1">
        <v>150</v>
      </c>
      <c r="I748" s="1">
        <v>100</v>
      </c>
      <c r="J748" s="1">
        <v>19.783000000000001</v>
      </c>
      <c r="K748" s="1">
        <v>80.216999999999999</v>
      </c>
      <c r="L748" s="1">
        <v>19.78</v>
      </c>
      <c r="M748" s="1">
        <v>73.400000000000006</v>
      </c>
      <c r="N748" s="1">
        <v>3.4569999999999997E-2</v>
      </c>
      <c r="O748" s="1">
        <v>2.019E-4</v>
      </c>
      <c r="P74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2.1168567609549558</v>
      </c>
      <c r="Q748" s="1">
        <f>LN(Table1[[#This Row],[qe_mg_g]]-Table1[[#This Row],[qt]])</f>
        <v>2.8716499964665125</v>
      </c>
      <c r="R748" s="1">
        <v>3</v>
      </c>
    </row>
    <row r="749" spans="1:18" x14ac:dyDescent="0.3">
      <c r="A749" s="1">
        <v>748</v>
      </c>
      <c r="B749" s="1" t="s">
        <v>17</v>
      </c>
      <c r="C749" s="1">
        <v>1</v>
      </c>
      <c r="D749" s="1">
        <v>30</v>
      </c>
      <c r="E749" s="1">
        <v>200</v>
      </c>
      <c r="F749" s="1">
        <v>3</v>
      </c>
      <c r="G749" s="1">
        <v>25</v>
      </c>
      <c r="H749" s="1">
        <v>150</v>
      </c>
      <c r="I749" s="1">
        <v>100</v>
      </c>
      <c r="J749" s="1">
        <v>39.609000000000002</v>
      </c>
      <c r="K749" s="1">
        <v>160.39099999999999</v>
      </c>
      <c r="L749" s="1">
        <v>19.8</v>
      </c>
      <c r="M749" s="1">
        <v>116.7</v>
      </c>
      <c r="N749" s="1">
        <v>4.0309999999999999E-2</v>
      </c>
      <c r="O749" s="1">
        <v>2.12E-4</v>
      </c>
      <c r="P74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7.9702260542911123</v>
      </c>
      <c r="Q749" s="1">
        <f>LN(Table1[[#This Row],[qe_mg_g]]-Table1[[#This Row],[qt]])</f>
        <v>3.4543833920130242</v>
      </c>
      <c r="R749" s="1">
        <v>1</v>
      </c>
    </row>
    <row r="750" spans="1:18" x14ac:dyDescent="0.3">
      <c r="A750" s="1">
        <v>749</v>
      </c>
      <c r="B750" s="1" t="s">
        <v>17</v>
      </c>
      <c r="C750" s="1">
        <v>1</v>
      </c>
      <c r="D750" s="1">
        <v>30</v>
      </c>
      <c r="E750" s="1">
        <v>200</v>
      </c>
      <c r="F750" s="1">
        <v>3</v>
      </c>
      <c r="G750" s="1">
        <v>25</v>
      </c>
      <c r="H750" s="1">
        <v>150</v>
      </c>
      <c r="I750" s="1">
        <v>100</v>
      </c>
      <c r="J750" s="1">
        <v>44.976999999999997</v>
      </c>
      <c r="K750" s="1">
        <v>155.023</v>
      </c>
      <c r="L750" s="1">
        <v>22.49</v>
      </c>
      <c r="M750" s="1">
        <v>83</v>
      </c>
      <c r="N750" s="1">
        <v>3.1669999999999997E-2</v>
      </c>
      <c r="O750" s="1">
        <v>2.0149999999999999E-4</v>
      </c>
      <c r="P750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9.6145530215084953</v>
      </c>
      <c r="Q750" s="1">
        <f>LN(Table1[[#This Row],[qe_mg_g]]-Table1[[#This Row],[qt]])</f>
        <v>3.5656504372555187</v>
      </c>
      <c r="R750" s="1">
        <v>2</v>
      </c>
    </row>
    <row r="751" spans="1:18" x14ac:dyDescent="0.3">
      <c r="A751" s="1">
        <v>750</v>
      </c>
      <c r="B751" s="1" t="s">
        <v>17</v>
      </c>
      <c r="C751" s="1">
        <v>1</v>
      </c>
      <c r="D751" s="1">
        <v>30</v>
      </c>
      <c r="E751" s="1">
        <v>200</v>
      </c>
      <c r="F751" s="1">
        <v>3</v>
      </c>
      <c r="G751" s="1">
        <v>25</v>
      </c>
      <c r="H751" s="1">
        <v>150</v>
      </c>
      <c r="I751" s="1">
        <v>100</v>
      </c>
      <c r="J751" s="1">
        <v>45.807000000000002</v>
      </c>
      <c r="K751" s="1">
        <v>154.19300000000001</v>
      </c>
      <c r="L751" s="1">
        <v>22.9</v>
      </c>
      <c r="M751" s="1">
        <v>69.7</v>
      </c>
      <c r="N751" s="1">
        <v>3.6170000000000001E-2</v>
      </c>
      <c r="O751" s="1">
        <v>1.9689999999999999E-4</v>
      </c>
      <c r="P751" s="1">
        <f>(Table1[[#This Row],[Rate_Constant_k2_g_mg_min]]*Table1[[#This Row],[Contact_Time_min]]*Table1[[#This Row],[qe_mg_g]]^2)/(1+Table1[[#This Row],[Contact_Time_min]]*Table1[[#This Row],[qe_mg_g]]*Table1[[#This Row],[Rate_Constant_k2_g_mg_min]])</f>
        <v>9.7550160755849067</v>
      </c>
      <c r="Q751" s="1">
        <f>LN(Table1[[#This Row],[qe_mg_g]]-Table1[[#This Row],[qt]])</f>
        <v>3.5849618947941164</v>
      </c>
      <c r="R751" s="1">
        <v>3</v>
      </c>
    </row>
    <row r="752" spans="1:18" x14ac:dyDescent="0.3">
      <c r="A752" s="1">
        <v>751</v>
      </c>
      <c r="B752" s="1" t="s">
        <v>17</v>
      </c>
      <c r="C752" s="1">
        <v>1</v>
      </c>
      <c r="D752" s="1">
        <v>30</v>
      </c>
      <c r="E752" s="1">
        <v>200</v>
      </c>
      <c r="F752" s="1">
        <v>7</v>
      </c>
      <c r="G752" s="1">
        <v>25</v>
      </c>
      <c r="H752" s="1">
        <v>150</v>
      </c>
      <c r="I752" s="1">
        <v>100</v>
      </c>
      <c r="J752" s="1">
        <v>56.634999999999998</v>
      </c>
      <c r="K752" s="1">
        <v>143.36500000000001</v>
      </c>
      <c r="L752" s="1">
        <v>28.32</v>
      </c>
      <c r="M752" s="1">
        <v>74.7</v>
      </c>
      <c r="N752" s="1">
        <v>3.3550000000000003E-2</v>
      </c>
      <c r="O752" s="1">
        <v>2.3780000000000001E-4</v>
      </c>
      <c r="P752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16.297660327570821</v>
      </c>
      <c r="Q752" s="1">
        <f>LN(Table1[[#This Row],[qe_mg_g]]-Table1[[#This Row],[qt]])</f>
        <v>3.6972775827170468</v>
      </c>
      <c r="R752" s="1">
        <v>1</v>
      </c>
    </row>
    <row r="753" spans="1:18" x14ac:dyDescent="0.3">
      <c r="A753" s="1">
        <v>752</v>
      </c>
      <c r="B753" s="1" t="s">
        <v>17</v>
      </c>
      <c r="C753" s="1">
        <v>1</v>
      </c>
      <c r="D753" s="1">
        <v>30</v>
      </c>
      <c r="E753" s="1">
        <v>200</v>
      </c>
      <c r="F753" s="1">
        <v>7</v>
      </c>
      <c r="G753" s="1">
        <v>25</v>
      </c>
      <c r="H753" s="1">
        <v>150</v>
      </c>
      <c r="I753" s="1">
        <v>100</v>
      </c>
      <c r="J753" s="1">
        <v>73.882000000000005</v>
      </c>
      <c r="K753" s="1">
        <v>126.11799999999999</v>
      </c>
      <c r="L753" s="1">
        <v>36.94</v>
      </c>
      <c r="M753" s="1">
        <v>68.5</v>
      </c>
      <c r="N753" s="1">
        <v>3.6700000000000003E-2</v>
      </c>
      <c r="O753" s="1">
        <v>1.6909999999999999E-4</v>
      </c>
      <c r="P753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20.141951966687987</v>
      </c>
      <c r="Q753" s="1">
        <f>LN(Table1[[#This Row],[qe_mg_g]]-Table1[[#This Row],[qt]])</f>
        <v>3.9841584969962502</v>
      </c>
      <c r="R753" s="1">
        <v>2</v>
      </c>
    </row>
    <row r="754" spans="1:18" x14ac:dyDescent="0.3">
      <c r="A754" s="1">
        <v>753</v>
      </c>
      <c r="B754" s="1" t="s">
        <v>17</v>
      </c>
      <c r="C754" s="1">
        <v>1</v>
      </c>
      <c r="D754" s="1">
        <v>30</v>
      </c>
      <c r="E754" s="1">
        <v>200</v>
      </c>
      <c r="F754" s="1">
        <v>7</v>
      </c>
      <c r="G754" s="1">
        <v>25</v>
      </c>
      <c r="H754" s="1">
        <v>150</v>
      </c>
      <c r="I754" s="1">
        <v>100</v>
      </c>
      <c r="J754" s="1">
        <v>77.563999999999993</v>
      </c>
      <c r="K754" s="1">
        <v>122.43600000000001</v>
      </c>
      <c r="L754" s="1">
        <v>38.78</v>
      </c>
      <c r="M754" s="1">
        <v>79.7</v>
      </c>
      <c r="N754" s="1">
        <v>3.4669999999999999E-2</v>
      </c>
      <c r="O754" s="1">
        <v>2.265E-4</v>
      </c>
      <c r="P754" s="1">
        <f>(Table1[[#This Row],[Rate_Constant_k2_g_mg_min]]*Table1[[#This Row],[Contact_Time_min]]*Table1[[#This Row],[qe_mg_g]]^2)/(1+Table1[[#This Row],[Contact_Time_min]]*Table1[[#This Row],[qe_mg_g]]*Table1[[#This Row],[Rate_Constant_k2_g_mg_min]])</f>
        <v>26.770553106426856</v>
      </c>
      <c r="Q754" s="1">
        <f>LN(Table1[[#This Row],[qe_mg_g]]-Table1[[#This Row],[qt]])</f>
        <v>3.9277673481054491</v>
      </c>
      <c r="R754" s="1">
        <v>3</v>
      </c>
    </row>
    <row r="755" spans="1:18" x14ac:dyDescent="0.3">
      <c r="A755" s="1">
        <v>754</v>
      </c>
      <c r="B755" s="1" t="s">
        <v>17</v>
      </c>
      <c r="C755" s="1">
        <v>1</v>
      </c>
      <c r="D755" s="1">
        <v>30</v>
      </c>
      <c r="E755" s="1">
        <v>200</v>
      </c>
      <c r="F755" s="1">
        <v>11</v>
      </c>
      <c r="G755" s="1">
        <v>25</v>
      </c>
      <c r="H755" s="1">
        <v>150</v>
      </c>
      <c r="I755" s="1">
        <v>100</v>
      </c>
      <c r="J755" s="1">
        <v>47.427</v>
      </c>
      <c r="K755" s="1">
        <v>152.57300000000001</v>
      </c>
      <c r="L755" s="1">
        <v>23.71</v>
      </c>
      <c r="M755" s="1">
        <v>67.8</v>
      </c>
      <c r="N755" s="1">
        <v>3.2960000000000003E-2</v>
      </c>
      <c r="O755" s="1">
        <v>2.208E-4</v>
      </c>
      <c r="P755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11.337689574153352</v>
      </c>
      <c r="Q755" s="1">
        <f>LN(Table1[[#This Row],[qe_mg_g]]-Table1[[#This Row],[qt]])</f>
        <v>3.5859967114022364</v>
      </c>
      <c r="R755" s="1">
        <v>1</v>
      </c>
    </row>
    <row r="756" spans="1:18" x14ac:dyDescent="0.3">
      <c r="A756" s="1">
        <v>755</v>
      </c>
      <c r="B756" s="1" t="s">
        <v>17</v>
      </c>
      <c r="C756" s="1">
        <v>1</v>
      </c>
      <c r="D756" s="1">
        <v>30</v>
      </c>
      <c r="E756" s="1">
        <v>200</v>
      </c>
      <c r="F756" s="1">
        <v>11</v>
      </c>
      <c r="G756" s="1">
        <v>25</v>
      </c>
      <c r="H756" s="1">
        <v>150</v>
      </c>
      <c r="I756" s="1">
        <v>100</v>
      </c>
      <c r="J756" s="1">
        <v>46.162999999999997</v>
      </c>
      <c r="K756" s="1">
        <v>153.83699999999999</v>
      </c>
      <c r="L756" s="1">
        <v>23.08</v>
      </c>
      <c r="M756" s="1">
        <v>49.3</v>
      </c>
      <c r="N756" s="1">
        <v>3.3419999999999998E-2</v>
      </c>
      <c r="O756" s="1">
        <v>2.1100000000000001E-4</v>
      </c>
      <c r="P756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10.43897986859414</v>
      </c>
      <c r="Q756" s="1">
        <f>LN(Table1[[#This Row],[qe_mg_g]]-Table1[[#This Row],[qt]])</f>
        <v>3.5758232953475657</v>
      </c>
      <c r="R756" s="1">
        <v>2</v>
      </c>
    </row>
    <row r="757" spans="1:18" x14ac:dyDescent="0.3">
      <c r="A757" s="1">
        <v>756</v>
      </c>
      <c r="B757" s="1" t="s">
        <v>17</v>
      </c>
      <c r="C757" s="1">
        <v>1</v>
      </c>
      <c r="D757" s="1">
        <v>30</v>
      </c>
      <c r="E757" s="1">
        <v>200</v>
      </c>
      <c r="F757" s="1">
        <v>11</v>
      </c>
      <c r="G757" s="1">
        <v>25</v>
      </c>
      <c r="H757" s="1">
        <v>150</v>
      </c>
      <c r="I757" s="1">
        <v>100</v>
      </c>
      <c r="J757" s="1">
        <v>60.966999999999999</v>
      </c>
      <c r="K757" s="1">
        <v>139.03299999999999</v>
      </c>
      <c r="L757" s="1">
        <v>30.48</v>
      </c>
      <c r="M757" s="1">
        <v>79.8</v>
      </c>
      <c r="N757" s="1">
        <v>3.356E-2</v>
      </c>
      <c r="O757" s="1">
        <v>2.231E-4</v>
      </c>
      <c r="P757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17.66817699640767</v>
      </c>
      <c r="Q757" s="1">
        <f>LN(Table1[[#This Row],[qe_mg_g]]-Table1[[#This Row],[qt]])</f>
        <v>3.768125452273924</v>
      </c>
      <c r="R757" s="1">
        <v>3</v>
      </c>
    </row>
    <row r="758" spans="1:18" x14ac:dyDescent="0.3">
      <c r="A758" s="1">
        <v>757</v>
      </c>
      <c r="B758" s="1" t="s">
        <v>17</v>
      </c>
      <c r="C758" s="1">
        <v>1</v>
      </c>
      <c r="D758" s="1">
        <v>60</v>
      </c>
      <c r="E758" s="1">
        <v>25</v>
      </c>
      <c r="F758" s="1">
        <v>3</v>
      </c>
      <c r="G758" s="1">
        <v>25</v>
      </c>
      <c r="H758" s="1">
        <v>150</v>
      </c>
      <c r="I758" s="1">
        <v>100</v>
      </c>
      <c r="J758" s="1">
        <v>2.464</v>
      </c>
      <c r="K758" s="1">
        <v>22.536000000000001</v>
      </c>
      <c r="L758" s="1">
        <v>9.86</v>
      </c>
      <c r="M758" s="1">
        <v>80.7</v>
      </c>
      <c r="N758" s="1">
        <v>3.567E-2</v>
      </c>
      <c r="O758" s="1">
        <v>2.0900000000000001E-4</v>
      </c>
      <c r="P758" s="1">
        <f>(Table1[[#This Row],[Rate_Constant_k2_g_mg_min]]*Table1[[#This Row],[Contact_Time_min]]*Table1[[#This Row],[qe_mg_g]]^2)/(1+Table1[[#This Row],[Contact_Time_min]]*Table1[[#This Row],[qe_mg_g]]*Table1[[#This Row],[Rate_Constant_k2_g_mg_min]])</f>
        <v>7.3852127448892746E-2</v>
      </c>
      <c r="Q758" s="1">
        <f>LN(Table1[[#This Row],[qe_mg_g]]-Table1[[#This Row],[qt]])</f>
        <v>0.87135523538976156</v>
      </c>
      <c r="R758" s="1">
        <v>1</v>
      </c>
    </row>
    <row r="759" spans="1:18" x14ac:dyDescent="0.3">
      <c r="A759" s="1">
        <v>758</v>
      </c>
      <c r="B759" s="1" t="s">
        <v>17</v>
      </c>
      <c r="C759" s="1">
        <v>1</v>
      </c>
      <c r="D759" s="1">
        <v>60</v>
      </c>
      <c r="E759" s="1">
        <v>25</v>
      </c>
      <c r="F759" s="1">
        <v>3</v>
      </c>
      <c r="G759" s="1">
        <v>25</v>
      </c>
      <c r="H759" s="1">
        <v>150</v>
      </c>
      <c r="I759" s="1">
        <v>100</v>
      </c>
      <c r="J759" s="1">
        <v>2.8759999999999999</v>
      </c>
      <c r="K759" s="1">
        <v>22.123999999999999</v>
      </c>
      <c r="L759" s="1">
        <v>11.5</v>
      </c>
      <c r="M759" s="1">
        <v>86.2</v>
      </c>
      <c r="N759" s="1">
        <v>2.6290000000000001E-2</v>
      </c>
      <c r="O759" s="1">
        <v>1.8679999999999999E-4</v>
      </c>
      <c r="P75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8.9810608376970205E-2</v>
      </c>
      <c r="Q759" s="1">
        <f>LN(Table1[[#This Row],[qe_mg_g]]-Table1[[#This Row],[qt]])</f>
        <v>1.0246748528112832</v>
      </c>
      <c r="R759" s="1">
        <v>2</v>
      </c>
    </row>
    <row r="760" spans="1:18" x14ac:dyDescent="0.3">
      <c r="A760" s="1">
        <v>759</v>
      </c>
      <c r="B760" s="1" t="s">
        <v>17</v>
      </c>
      <c r="C760" s="1">
        <v>1</v>
      </c>
      <c r="D760" s="1">
        <v>60</v>
      </c>
      <c r="E760" s="1">
        <v>25</v>
      </c>
      <c r="F760" s="1">
        <v>3</v>
      </c>
      <c r="G760" s="1">
        <v>25</v>
      </c>
      <c r="H760" s="1">
        <v>150</v>
      </c>
      <c r="I760" s="1">
        <v>100</v>
      </c>
      <c r="J760" s="1">
        <v>3.1680000000000001</v>
      </c>
      <c r="K760" s="1">
        <v>21.832000000000001</v>
      </c>
      <c r="L760" s="1">
        <v>12.67</v>
      </c>
      <c r="M760" s="1">
        <v>73.099999999999994</v>
      </c>
      <c r="N760" s="1">
        <v>3.5209999999999998E-2</v>
      </c>
      <c r="O760" s="1">
        <v>2.0890000000000001E-4</v>
      </c>
      <c r="P76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0.12098980334965526</v>
      </c>
      <c r="Q760" s="1">
        <f>LN(Table1[[#This Row],[qe_mg_g]]-Table1[[#This Row],[qt]])</f>
        <v>1.1141608464536159</v>
      </c>
      <c r="R760" s="1">
        <v>3</v>
      </c>
    </row>
    <row r="761" spans="1:18" x14ac:dyDescent="0.3">
      <c r="A761" s="1">
        <v>760</v>
      </c>
      <c r="B761" s="1" t="s">
        <v>17</v>
      </c>
      <c r="C761" s="1">
        <v>1</v>
      </c>
      <c r="D761" s="1">
        <v>60</v>
      </c>
      <c r="E761" s="1">
        <v>25</v>
      </c>
      <c r="F761" s="1">
        <v>7</v>
      </c>
      <c r="G761" s="1">
        <v>25</v>
      </c>
      <c r="H761" s="1">
        <v>150</v>
      </c>
      <c r="I761" s="1">
        <v>100</v>
      </c>
      <c r="J761" s="1">
        <v>4.9169999999999998</v>
      </c>
      <c r="K761" s="1">
        <v>20.082999999999998</v>
      </c>
      <c r="L761" s="1">
        <v>19.670000000000002</v>
      </c>
      <c r="M761" s="1">
        <v>87.9</v>
      </c>
      <c r="N761" s="1">
        <v>3.1629999999999998E-2</v>
      </c>
      <c r="O761" s="1">
        <v>1.9589999999999999E-4</v>
      </c>
      <c r="P76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0.26864875487176182</v>
      </c>
      <c r="Q761" s="1">
        <f>LN(Table1[[#This Row],[qe_mg_g]]-Table1[[#This Row],[qt]])</f>
        <v>1.5365125857839623</v>
      </c>
      <c r="R761" s="1">
        <v>1</v>
      </c>
    </row>
    <row r="762" spans="1:18" x14ac:dyDescent="0.3">
      <c r="A762" s="1">
        <v>761</v>
      </c>
      <c r="B762" s="1" t="s">
        <v>17</v>
      </c>
      <c r="C762" s="1">
        <v>1</v>
      </c>
      <c r="D762" s="1">
        <v>60</v>
      </c>
      <c r="E762" s="1">
        <v>25</v>
      </c>
      <c r="F762" s="1">
        <v>7</v>
      </c>
      <c r="G762" s="1">
        <v>25</v>
      </c>
      <c r="H762" s="1">
        <v>150</v>
      </c>
      <c r="I762" s="1">
        <v>100</v>
      </c>
      <c r="J762" s="1">
        <v>5.4020000000000001</v>
      </c>
      <c r="K762" s="1">
        <v>19.597999999999999</v>
      </c>
      <c r="L762" s="1">
        <v>21.61</v>
      </c>
      <c r="M762" s="1">
        <v>87.7</v>
      </c>
      <c r="N762" s="1">
        <v>3.295E-2</v>
      </c>
      <c r="O762" s="1">
        <v>2.0450000000000001E-4</v>
      </c>
      <c r="P76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0.33580056659279073</v>
      </c>
      <c r="Q762" s="1">
        <f>LN(Table1[[#This Row],[qe_mg_g]]-Table1[[#This Row],[qt]])</f>
        <v>1.6225909178411815</v>
      </c>
      <c r="R762" s="1">
        <v>2</v>
      </c>
    </row>
    <row r="763" spans="1:18" x14ac:dyDescent="0.3">
      <c r="A763" s="1">
        <v>762</v>
      </c>
      <c r="B763" s="1" t="s">
        <v>17</v>
      </c>
      <c r="C763" s="1">
        <v>1</v>
      </c>
      <c r="D763" s="1">
        <v>60</v>
      </c>
      <c r="E763" s="1">
        <v>25</v>
      </c>
      <c r="F763" s="1">
        <v>7</v>
      </c>
      <c r="G763" s="1">
        <v>25</v>
      </c>
      <c r="H763" s="1">
        <v>150</v>
      </c>
      <c r="I763" s="1">
        <v>100</v>
      </c>
      <c r="J763" s="1">
        <v>5.4550000000000001</v>
      </c>
      <c r="K763" s="1">
        <v>19.545000000000002</v>
      </c>
      <c r="L763" s="1">
        <v>21.82</v>
      </c>
      <c r="M763" s="1">
        <v>59.4</v>
      </c>
      <c r="N763" s="1">
        <v>3.9059999999999997E-2</v>
      </c>
      <c r="O763" s="1">
        <v>1.9330000000000001E-4</v>
      </c>
      <c r="P76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0.32458634259995767</v>
      </c>
      <c r="Q763" s="1">
        <f>LN(Table1[[#This Row],[qe_mg_g]]-Table1[[#This Row],[qt]])</f>
        <v>1.6351862909026222</v>
      </c>
      <c r="R763" s="1">
        <v>3</v>
      </c>
    </row>
    <row r="764" spans="1:18" x14ac:dyDescent="0.3">
      <c r="A764" s="1">
        <v>763</v>
      </c>
      <c r="B764" s="1" t="s">
        <v>17</v>
      </c>
      <c r="C764" s="1">
        <v>1</v>
      </c>
      <c r="D764" s="1">
        <v>60</v>
      </c>
      <c r="E764" s="1">
        <v>25</v>
      </c>
      <c r="F764" s="1">
        <v>11</v>
      </c>
      <c r="G764" s="1">
        <v>25</v>
      </c>
      <c r="H764" s="1">
        <v>150</v>
      </c>
      <c r="I764" s="1">
        <v>100</v>
      </c>
      <c r="J764" s="1">
        <v>3.9660000000000002</v>
      </c>
      <c r="K764" s="1">
        <v>21.033999999999999</v>
      </c>
      <c r="L764" s="1">
        <v>15.86</v>
      </c>
      <c r="M764" s="1">
        <v>101.1</v>
      </c>
      <c r="N764" s="1">
        <v>3.0200000000000001E-2</v>
      </c>
      <c r="O764" s="1">
        <v>1.8579999999999999E-4</v>
      </c>
      <c r="P76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0.1679242036457835</v>
      </c>
      <c r="Q764" s="1">
        <f>LN(Table1[[#This Row],[qe_mg_g]]-Table1[[#This Row],[qt]])</f>
        <v>1.3344945691036003</v>
      </c>
      <c r="R764" s="1">
        <v>1</v>
      </c>
    </row>
    <row r="765" spans="1:18" x14ac:dyDescent="0.3">
      <c r="A765" s="1">
        <v>764</v>
      </c>
      <c r="B765" s="1" t="s">
        <v>17</v>
      </c>
      <c r="C765" s="1">
        <v>1</v>
      </c>
      <c r="D765" s="1">
        <v>60</v>
      </c>
      <c r="E765" s="1">
        <v>25</v>
      </c>
      <c r="F765" s="1">
        <v>11</v>
      </c>
      <c r="G765" s="1">
        <v>25</v>
      </c>
      <c r="H765" s="1">
        <v>150</v>
      </c>
      <c r="I765" s="1">
        <v>100</v>
      </c>
      <c r="J765" s="1">
        <v>3.694</v>
      </c>
      <c r="K765" s="1">
        <v>21.306000000000001</v>
      </c>
      <c r="L765" s="1">
        <v>14.78</v>
      </c>
      <c r="M765" s="1">
        <v>75.599999999999994</v>
      </c>
      <c r="N765" s="1">
        <v>4.1070000000000002E-2</v>
      </c>
      <c r="O765" s="1">
        <v>1.829E-4</v>
      </c>
      <c r="P76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0.14391326005987617</v>
      </c>
      <c r="Q765" s="1">
        <f>LN(Table1[[#This Row],[qe_mg_g]]-Table1[[#This Row],[qt]])</f>
        <v>1.2669720369747748</v>
      </c>
      <c r="R765" s="1">
        <v>2</v>
      </c>
    </row>
    <row r="766" spans="1:18" x14ac:dyDescent="0.3">
      <c r="A766" s="1">
        <v>765</v>
      </c>
      <c r="B766" s="1" t="s">
        <v>17</v>
      </c>
      <c r="C766" s="1">
        <v>1</v>
      </c>
      <c r="D766" s="1">
        <v>60</v>
      </c>
      <c r="E766" s="1">
        <v>25</v>
      </c>
      <c r="F766" s="1">
        <v>11</v>
      </c>
      <c r="G766" s="1">
        <v>25</v>
      </c>
      <c r="H766" s="1">
        <v>150</v>
      </c>
      <c r="I766" s="1">
        <v>100</v>
      </c>
      <c r="J766" s="1">
        <v>3.593</v>
      </c>
      <c r="K766" s="1">
        <v>21.407</v>
      </c>
      <c r="L766" s="1">
        <v>14.37</v>
      </c>
      <c r="M766" s="1">
        <v>88.3</v>
      </c>
      <c r="N766" s="1">
        <v>3.0790000000000001E-2</v>
      </c>
      <c r="O766" s="1">
        <v>1.9210000000000001E-4</v>
      </c>
      <c r="P76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0.1428795550757706</v>
      </c>
      <c r="Q766" s="1">
        <f>LN(Table1[[#This Row],[qe_mg_g]]-Table1[[#This Row],[qt]])</f>
        <v>1.2384091420061141</v>
      </c>
      <c r="R766" s="1">
        <v>3</v>
      </c>
    </row>
    <row r="767" spans="1:18" x14ac:dyDescent="0.3">
      <c r="A767" s="1">
        <v>766</v>
      </c>
      <c r="B767" s="1" t="s">
        <v>17</v>
      </c>
      <c r="C767" s="1">
        <v>1</v>
      </c>
      <c r="D767" s="1">
        <v>60</v>
      </c>
      <c r="E767" s="1">
        <v>50</v>
      </c>
      <c r="F767" s="1">
        <v>3</v>
      </c>
      <c r="G767" s="1">
        <v>25</v>
      </c>
      <c r="H767" s="1">
        <v>150</v>
      </c>
      <c r="I767" s="1">
        <v>100</v>
      </c>
      <c r="J767" s="1">
        <v>10.462</v>
      </c>
      <c r="K767" s="1">
        <v>39.537999999999997</v>
      </c>
      <c r="L767" s="1">
        <v>20.92</v>
      </c>
      <c r="M767" s="1">
        <v>81.400000000000006</v>
      </c>
      <c r="N767" s="1">
        <v>3.4669999999999999E-2</v>
      </c>
      <c r="O767" s="1">
        <v>1.894E-4</v>
      </c>
      <c r="P76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1.1116631222520492</v>
      </c>
      <c r="Q767" s="1">
        <f>LN(Table1[[#This Row],[qe_mg_g]]-Table1[[#This Row],[qt]])</f>
        <v>2.2354123723572048</v>
      </c>
      <c r="R767" s="1">
        <v>1</v>
      </c>
    </row>
    <row r="768" spans="1:18" x14ac:dyDescent="0.3">
      <c r="A768" s="1">
        <v>767</v>
      </c>
      <c r="B768" s="1" t="s">
        <v>17</v>
      </c>
      <c r="C768" s="1">
        <v>1</v>
      </c>
      <c r="D768" s="1">
        <v>60</v>
      </c>
      <c r="E768" s="1">
        <v>50</v>
      </c>
      <c r="F768" s="1">
        <v>3</v>
      </c>
      <c r="G768" s="1">
        <v>25</v>
      </c>
      <c r="H768" s="1">
        <v>150</v>
      </c>
      <c r="I768" s="1">
        <v>100</v>
      </c>
      <c r="J768" s="1">
        <v>8.6050000000000004</v>
      </c>
      <c r="K768" s="1">
        <v>41.395000000000003</v>
      </c>
      <c r="L768" s="1">
        <v>17.21</v>
      </c>
      <c r="M768" s="1">
        <v>89.8</v>
      </c>
      <c r="N768" s="1">
        <v>4.1140000000000003E-2</v>
      </c>
      <c r="O768" s="1">
        <v>2.0039999999999999E-4</v>
      </c>
      <c r="P76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0.80684768270087637</v>
      </c>
      <c r="Q768" s="1">
        <f>LN(Table1[[#This Row],[qe_mg_g]]-Table1[[#This Row],[qt]])</f>
        <v>2.0538868232369309</v>
      </c>
      <c r="R768" s="1">
        <v>2</v>
      </c>
    </row>
    <row r="769" spans="1:18" x14ac:dyDescent="0.3">
      <c r="A769" s="1">
        <v>768</v>
      </c>
      <c r="B769" s="1" t="s">
        <v>17</v>
      </c>
      <c r="C769" s="1">
        <v>1</v>
      </c>
      <c r="D769" s="1">
        <v>60</v>
      </c>
      <c r="E769" s="1">
        <v>50</v>
      </c>
      <c r="F769" s="1">
        <v>3</v>
      </c>
      <c r="G769" s="1">
        <v>25</v>
      </c>
      <c r="H769" s="1">
        <v>150</v>
      </c>
      <c r="I769" s="1">
        <v>100</v>
      </c>
      <c r="J769" s="1">
        <v>10.369</v>
      </c>
      <c r="K769" s="1">
        <v>39.631</v>
      </c>
      <c r="L769" s="1">
        <v>20.74</v>
      </c>
      <c r="M769" s="1">
        <v>94.6</v>
      </c>
      <c r="N769" s="1">
        <v>3.056E-2</v>
      </c>
      <c r="O769" s="1">
        <v>2.341E-4</v>
      </c>
      <c r="P76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1.3181872814470732</v>
      </c>
      <c r="Q769" s="1">
        <f>LN(Table1[[#This Row],[qe_mg_g]]-Table1[[#This Row],[qt]])</f>
        <v>2.2028545568347924</v>
      </c>
      <c r="R769" s="1">
        <v>3</v>
      </c>
    </row>
    <row r="770" spans="1:18" x14ac:dyDescent="0.3">
      <c r="A770" s="1">
        <v>769</v>
      </c>
      <c r="B770" s="1" t="s">
        <v>17</v>
      </c>
      <c r="C770" s="1">
        <v>1</v>
      </c>
      <c r="D770" s="1">
        <v>60</v>
      </c>
      <c r="E770" s="1">
        <v>50</v>
      </c>
      <c r="F770" s="1">
        <v>7</v>
      </c>
      <c r="G770" s="1">
        <v>25</v>
      </c>
      <c r="H770" s="1">
        <v>150</v>
      </c>
      <c r="I770" s="1">
        <v>100</v>
      </c>
      <c r="J770" s="1">
        <v>16.745000000000001</v>
      </c>
      <c r="K770" s="1">
        <v>33.255000000000003</v>
      </c>
      <c r="L770" s="1">
        <v>33.49</v>
      </c>
      <c r="M770" s="1">
        <v>106.7</v>
      </c>
      <c r="N770" s="1">
        <v>3.243E-2</v>
      </c>
      <c r="O770" s="1">
        <v>2.364E-4</v>
      </c>
      <c r="P77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3.2138080206926314</v>
      </c>
      <c r="Q770" s="1">
        <f>LN(Table1[[#This Row],[qe_mg_g]]-Table1[[#This Row],[qt]])</f>
        <v>2.6049975372901888</v>
      </c>
      <c r="R770" s="1">
        <v>1</v>
      </c>
    </row>
    <row r="771" spans="1:18" x14ac:dyDescent="0.3">
      <c r="A771" s="1">
        <v>770</v>
      </c>
      <c r="B771" s="1" t="s">
        <v>17</v>
      </c>
      <c r="C771" s="1">
        <v>1</v>
      </c>
      <c r="D771" s="1">
        <v>60</v>
      </c>
      <c r="E771" s="1">
        <v>50</v>
      </c>
      <c r="F771" s="1">
        <v>7</v>
      </c>
      <c r="G771" s="1">
        <v>25</v>
      </c>
      <c r="H771" s="1">
        <v>150</v>
      </c>
      <c r="I771" s="1">
        <v>100</v>
      </c>
      <c r="J771" s="1">
        <v>17.684999999999999</v>
      </c>
      <c r="K771" s="1">
        <v>32.314999999999998</v>
      </c>
      <c r="L771" s="1">
        <v>35.369999999999997</v>
      </c>
      <c r="M771" s="1">
        <v>92.8</v>
      </c>
      <c r="N771" s="1">
        <v>3.5819999999999998E-2</v>
      </c>
      <c r="O771" s="1">
        <v>1.95E-4</v>
      </c>
      <c r="P77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3.031932197765459</v>
      </c>
      <c r="Q771" s="1">
        <f>LN(Table1[[#This Row],[qe_mg_g]]-Table1[[#This Row],[qt]])</f>
        <v>2.6846497198365116</v>
      </c>
      <c r="R771" s="1">
        <v>2</v>
      </c>
    </row>
    <row r="772" spans="1:18" x14ac:dyDescent="0.3">
      <c r="A772" s="1">
        <v>771</v>
      </c>
      <c r="B772" s="1" t="s">
        <v>17</v>
      </c>
      <c r="C772" s="1">
        <v>1</v>
      </c>
      <c r="D772" s="1">
        <v>60</v>
      </c>
      <c r="E772" s="1">
        <v>50</v>
      </c>
      <c r="F772" s="1">
        <v>7</v>
      </c>
      <c r="G772" s="1">
        <v>25</v>
      </c>
      <c r="H772" s="1">
        <v>150</v>
      </c>
      <c r="I772" s="1">
        <v>100</v>
      </c>
      <c r="J772" s="1">
        <v>18.384</v>
      </c>
      <c r="K772" s="1">
        <v>31.616</v>
      </c>
      <c r="L772" s="1">
        <v>36.770000000000003</v>
      </c>
      <c r="M772" s="1">
        <v>87.5</v>
      </c>
      <c r="N772" s="1">
        <v>2.8119999999999999E-2</v>
      </c>
      <c r="O772" s="1">
        <v>1.7770000000000001E-4</v>
      </c>
      <c r="P77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3.0128937359972769</v>
      </c>
      <c r="Q772" s="1">
        <f>LN(Table1[[#This Row],[qe_mg_g]]-Table1[[#This Row],[qt]])</f>
        <v>2.7324895304973267</v>
      </c>
      <c r="R772" s="1">
        <v>3</v>
      </c>
    </row>
    <row r="773" spans="1:18" x14ac:dyDescent="0.3">
      <c r="A773" s="1">
        <v>772</v>
      </c>
      <c r="B773" s="1" t="s">
        <v>17</v>
      </c>
      <c r="C773" s="1">
        <v>1</v>
      </c>
      <c r="D773" s="1">
        <v>60</v>
      </c>
      <c r="E773" s="1">
        <v>50</v>
      </c>
      <c r="F773" s="1">
        <v>11</v>
      </c>
      <c r="G773" s="1">
        <v>25</v>
      </c>
      <c r="H773" s="1">
        <v>150</v>
      </c>
      <c r="I773" s="1">
        <v>100</v>
      </c>
      <c r="J773" s="1">
        <v>12.298999999999999</v>
      </c>
      <c r="K773" s="1">
        <v>37.701000000000001</v>
      </c>
      <c r="L773" s="1">
        <v>24.6</v>
      </c>
      <c r="M773" s="1">
        <v>89.7</v>
      </c>
      <c r="N773" s="1">
        <v>3.4799999999999998E-2</v>
      </c>
      <c r="O773" s="1">
        <v>2.2440000000000001E-4</v>
      </c>
      <c r="P77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1.7472960742335357</v>
      </c>
      <c r="Q773" s="1">
        <f>LN(Table1[[#This Row],[qe_mg_g]]-Table1[[#This Row],[qt]])</f>
        <v>2.3562873564321358</v>
      </c>
      <c r="R773" s="1">
        <v>1</v>
      </c>
    </row>
    <row r="774" spans="1:18" x14ac:dyDescent="0.3">
      <c r="A774" s="1">
        <v>773</v>
      </c>
      <c r="B774" s="1" t="s">
        <v>17</v>
      </c>
      <c r="C774" s="1">
        <v>1</v>
      </c>
      <c r="D774" s="1">
        <v>60</v>
      </c>
      <c r="E774" s="1">
        <v>50</v>
      </c>
      <c r="F774" s="1">
        <v>11</v>
      </c>
      <c r="G774" s="1">
        <v>25</v>
      </c>
      <c r="H774" s="1">
        <v>150</v>
      </c>
      <c r="I774" s="1">
        <v>100</v>
      </c>
      <c r="J774" s="1">
        <v>10.087</v>
      </c>
      <c r="K774" s="1">
        <v>39.912999999999997</v>
      </c>
      <c r="L774" s="1">
        <v>20.170000000000002</v>
      </c>
      <c r="M774" s="1">
        <v>87.6</v>
      </c>
      <c r="N774" s="1">
        <v>2.8639999999999999E-2</v>
      </c>
      <c r="O774" s="1">
        <v>2.152E-4</v>
      </c>
      <c r="P77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1.1623732339608452</v>
      </c>
      <c r="Q774" s="1">
        <f>LN(Table1[[#This Row],[qe_mg_g]]-Table1[[#This Row],[qt]])</f>
        <v>2.1888145078600796</v>
      </c>
      <c r="R774" s="1">
        <v>2</v>
      </c>
    </row>
    <row r="775" spans="1:18" x14ac:dyDescent="0.3">
      <c r="A775" s="1">
        <v>774</v>
      </c>
      <c r="B775" s="1" t="s">
        <v>17</v>
      </c>
      <c r="C775" s="1">
        <v>1</v>
      </c>
      <c r="D775" s="1">
        <v>60</v>
      </c>
      <c r="E775" s="1">
        <v>50</v>
      </c>
      <c r="F775" s="1">
        <v>11</v>
      </c>
      <c r="G775" s="1">
        <v>25</v>
      </c>
      <c r="H775" s="1">
        <v>150</v>
      </c>
      <c r="I775" s="1">
        <v>100</v>
      </c>
      <c r="J775" s="1">
        <v>12.413</v>
      </c>
      <c r="K775" s="1">
        <v>37.587000000000003</v>
      </c>
      <c r="L775" s="1">
        <v>24.83</v>
      </c>
      <c r="M775" s="1">
        <v>91.1</v>
      </c>
      <c r="N775" s="1">
        <v>3.1980000000000001E-2</v>
      </c>
      <c r="O775" s="1">
        <v>2.2560000000000001E-4</v>
      </c>
      <c r="P77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1.785635028167543</v>
      </c>
      <c r="Q775" s="1">
        <f>LN(Table1[[#This Row],[qe_mg_g]]-Table1[[#This Row],[qt]])</f>
        <v>2.3634322756262161</v>
      </c>
      <c r="R775" s="1">
        <v>3</v>
      </c>
    </row>
    <row r="776" spans="1:18" x14ac:dyDescent="0.3">
      <c r="A776" s="1">
        <v>775</v>
      </c>
      <c r="B776" s="1" t="s">
        <v>17</v>
      </c>
      <c r="C776" s="1">
        <v>1</v>
      </c>
      <c r="D776" s="1">
        <v>60</v>
      </c>
      <c r="E776" s="1">
        <v>100</v>
      </c>
      <c r="F776" s="1">
        <v>3</v>
      </c>
      <c r="G776" s="1">
        <v>25</v>
      </c>
      <c r="H776" s="1">
        <v>150</v>
      </c>
      <c r="I776" s="1">
        <v>100</v>
      </c>
      <c r="J776" s="1">
        <v>32.853999999999999</v>
      </c>
      <c r="K776" s="1">
        <v>67.146000000000001</v>
      </c>
      <c r="L776" s="1">
        <v>32.85</v>
      </c>
      <c r="M776" s="1">
        <v>93.2</v>
      </c>
      <c r="N776" s="1">
        <v>3.4549999999999997E-2</v>
      </c>
      <c r="O776" s="1">
        <v>2.1159999999999999E-4</v>
      </c>
      <c r="P77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9.6702680649214248</v>
      </c>
      <c r="Q776" s="1">
        <f>LN(Table1[[#This Row],[qe_mg_g]]-Table1[[#This Row],[qt]])</f>
        <v>3.1434508230148697</v>
      </c>
      <c r="R776" s="1">
        <v>1</v>
      </c>
    </row>
    <row r="777" spans="1:18" x14ac:dyDescent="0.3">
      <c r="A777" s="1">
        <v>776</v>
      </c>
      <c r="B777" s="1" t="s">
        <v>17</v>
      </c>
      <c r="C777" s="1">
        <v>1</v>
      </c>
      <c r="D777" s="1">
        <v>60</v>
      </c>
      <c r="E777" s="1">
        <v>100</v>
      </c>
      <c r="F777" s="1">
        <v>3</v>
      </c>
      <c r="G777" s="1">
        <v>25</v>
      </c>
      <c r="H777" s="1">
        <v>150</v>
      </c>
      <c r="I777" s="1">
        <v>100</v>
      </c>
      <c r="J777" s="1">
        <v>27.651</v>
      </c>
      <c r="K777" s="1">
        <v>72.349000000000004</v>
      </c>
      <c r="L777" s="1">
        <v>27.65</v>
      </c>
      <c r="M777" s="1">
        <v>96.7</v>
      </c>
      <c r="N777" s="1">
        <v>4.0770000000000001E-2</v>
      </c>
      <c r="O777" s="1">
        <v>2.2139999999999999E-4</v>
      </c>
      <c r="P777" s="1">
        <f>(Table1[[#This Row],[Rate_Constant_k2_g_mg_min]]*Table1[[#This Row],[Contact_Time_min]]*Table1[[#This Row],[qe_mg_g]]^2)/(1+Table1[[#This Row],[Contact_Time_min]]*Table1[[#This Row],[qe_mg_g]]*Table1[[#This Row],[Rate_Constant_k2_g_mg_min]])</f>
        <v>7.4281675707381751</v>
      </c>
      <c r="Q777" s="1">
        <f>LN(Table1[[#This Row],[qe_mg_g]]-Table1[[#This Row],[qt]])</f>
        <v>3.0068122843587046</v>
      </c>
      <c r="R777" s="1">
        <v>2</v>
      </c>
    </row>
    <row r="778" spans="1:18" x14ac:dyDescent="0.3">
      <c r="A778" s="1">
        <v>777</v>
      </c>
      <c r="B778" s="1" t="s">
        <v>17</v>
      </c>
      <c r="C778" s="1">
        <v>1</v>
      </c>
      <c r="D778" s="1">
        <v>60</v>
      </c>
      <c r="E778" s="1">
        <v>100</v>
      </c>
      <c r="F778" s="1">
        <v>3</v>
      </c>
      <c r="G778" s="1">
        <v>25</v>
      </c>
      <c r="H778" s="1">
        <v>150</v>
      </c>
      <c r="I778" s="1">
        <v>100</v>
      </c>
      <c r="J778" s="1">
        <v>27.582999999999998</v>
      </c>
      <c r="K778" s="1">
        <v>72.417000000000002</v>
      </c>
      <c r="L778" s="1">
        <v>27.58</v>
      </c>
      <c r="M778" s="1">
        <v>90.4</v>
      </c>
      <c r="N778" s="1">
        <v>3.0470000000000001E-2</v>
      </c>
      <c r="O778" s="1">
        <v>2.1139999999999999E-4</v>
      </c>
      <c r="P778" s="1">
        <f>(Table1[[#This Row],[Rate_Constant_k2_g_mg_min]]*Table1[[#This Row],[Contact_Time_min]]*Table1[[#This Row],[qe_mg_g]]^2)/(1+Table1[[#This Row],[Contact_Time_min]]*Table1[[#This Row],[qe_mg_g]]*Table1[[#This Row],[Rate_Constant_k2_g_mg_min]])</f>
        <v>7.1490710317003971</v>
      </c>
      <c r="Q778" s="1">
        <f>LN(Table1[[#This Row],[qe_mg_g]]-Table1[[#This Row],[qt]])</f>
        <v>3.0171967040106797</v>
      </c>
      <c r="R778" s="1">
        <v>3</v>
      </c>
    </row>
    <row r="779" spans="1:18" x14ac:dyDescent="0.3">
      <c r="A779" s="1">
        <v>778</v>
      </c>
      <c r="B779" s="1" t="s">
        <v>17</v>
      </c>
      <c r="C779" s="1">
        <v>1</v>
      </c>
      <c r="D779" s="1">
        <v>60</v>
      </c>
      <c r="E779" s="1">
        <v>100</v>
      </c>
      <c r="F779" s="1">
        <v>7</v>
      </c>
      <c r="G779" s="1">
        <v>25</v>
      </c>
      <c r="H779" s="1">
        <v>150</v>
      </c>
      <c r="I779" s="1">
        <v>100</v>
      </c>
      <c r="J779" s="1">
        <v>48.103999999999999</v>
      </c>
      <c r="K779" s="1">
        <v>51.896000000000001</v>
      </c>
      <c r="L779" s="1">
        <v>48.1</v>
      </c>
      <c r="M779" s="1">
        <v>61.7</v>
      </c>
      <c r="N779" s="1">
        <v>3.0929999999999999E-2</v>
      </c>
      <c r="O779" s="1">
        <v>1.9430000000000001E-4</v>
      </c>
      <c r="P779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17.283837284507577</v>
      </c>
      <c r="Q779" s="1">
        <f>LN(Table1[[#This Row],[qe_mg_g]]-Table1[[#This Row],[qt]])</f>
        <v>3.428169109420292</v>
      </c>
      <c r="R779" s="1">
        <v>1</v>
      </c>
    </row>
    <row r="780" spans="1:18" x14ac:dyDescent="0.3">
      <c r="A780" s="1">
        <v>779</v>
      </c>
      <c r="B780" s="1" t="s">
        <v>17</v>
      </c>
      <c r="C780" s="1">
        <v>1</v>
      </c>
      <c r="D780" s="1">
        <v>60</v>
      </c>
      <c r="E780" s="1">
        <v>100</v>
      </c>
      <c r="F780" s="1">
        <v>7</v>
      </c>
      <c r="G780" s="1">
        <v>25</v>
      </c>
      <c r="H780" s="1">
        <v>150</v>
      </c>
      <c r="I780" s="1">
        <v>100</v>
      </c>
      <c r="J780" s="1">
        <v>44.645000000000003</v>
      </c>
      <c r="K780" s="1">
        <v>55.354999999999997</v>
      </c>
      <c r="L780" s="1">
        <v>44.64</v>
      </c>
      <c r="M780" s="1">
        <v>70.2</v>
      </c>
      <c r="N780" s="1">
        <v>3.6360000000000003E-2</v>
      </c>
      <c r="O780" s="1">
        <v>2.05E-4</v>
      </c>
      <c r="P780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15.825663254651717</v>
      </c>
      <c r="Q780" s="1">
        <f>LN(Table1[[#This Row],[qe_mg_g]]-Table1[[#This Row],[qt]])</f>
        <v>3.3610465766128819</v>
      </c>
      <c r="R780" s="1">
        <v>2</v>
      </c>
    </row>
    <row r="781" spans="1:18" x14ac:dyDescent="0.3">
      <c r="A781" s="1">
        <v>780</v>
      </c>
      <c r="B781" s="1" t="s">
        <v>17</v>
      </c>
      <c r="C781" s="1">
        <v>1</v>
      </c>
      <c r="D781" s="1">
        <v>60</v>
      </c>
      <c r="E781" s="1">
        <v>100</v>
      </c>
      <c r="F781" s="1">
        <v>7</v>
      </c>
      <c r="G781" s="1">
        <v>25</v>
      </c>
      <c r="H781" s="1">
        <v>150</v>
      </c>
      <c r="I781" s="1">
        <v>100</v>
      </c>
      <c r="J781" s="1">
        <v>45.136000000000003</v>
      </c>
      <c r="K781" s="1">
        <v>54.863999999999997</v>
      </c>
      <c r="L781" s="1">
        <v>45.14</v>
      </c>
      <c r="M781" s="1">
        <v>76</v>
      </c>
      <c r="N781" s="1">
        <v>3.8670000000000003E-2</v>
      </c>
      <c r="O781" s="1">
        <v>2.331E-4</v>
      </c>
      <c r="P781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17.466796247494937</v>
      </c>
      <c r="Q781" s="1">
        <f>LN(Table1[[#This Row],[qe_mg_g]]-Table1[[#This Row],[qt]])</f>
        <v>3.3203200168218996</v>
      </c>
      <c r="R781" s="1">
        <v>3</v>
      </c>
    </row>
    <row r="782" spans="1:18" x14ac:dyDescent="0.3">
      <c r="A782" s="1">
        <v>781</v>
      </c>
      <c r="B782" s="1" t="s">
        <v>17</v>
      </c>
      <c r="C782" s="1">
        <v>1</v>
      </c>
      <c r="D782" s="1">
        <v>60</v>
      </c>
      <c r="E782" s="1">
        <v>100</v>
      </c>
      <c r="F782" s="1">
        <v>11</v>
      </c>
      <c r="G782" s="1">
        <v>25</v>
      </c>
      <c r="H782" s="1">
        <v>150</v>
      </c>
      <c r="I782" s="1">
        <v>100</v>
      </c>
      <c r="J782" s="1">
        <v>34.320999999999998</v>
      </c>
      <c r="K782" s="1">
        <v>65.679000000000002</v>
      </c>
      <c r="L782" s="1">
        <v>34.32</v>
      </c>
      <c r="M782" s="1">
        <v>77.8</v>
      </c>
      <c r="N782" s="1">
        <v>3.6720000000000003E-2</v>
      </c>
      <c r="O782" s="1">
        <v>1.928E-4</v>
      </c>
      <c r="P782" s="1">
        <f>(Table1[[#This Row],[Rate_Constant_k2_g_mg_min]]*Table1[[#This Row],[Contact_Time_min]]*Table1[[#This Row],[qe_mg_g]]^2)/(1+Table1[[#This Row],[Contact_Time_min]]*Table1[[#This Row],[qe_mg_g]]*Table1[[#This Row],[Rate_Constant_k2_g_mg_min]])</f>
        <v>9.7538004567144103</v>
      </c>
      <c r="Q782" s="1">
        <f>LN(Table1[[#This Row],[qe_mg_g]]-Table1[[#This Row],[qt]])</f>
        <v>3.2014122013347666</v>
      </c>
      <c r="R782" s="1">
        <v>1</v>
      </c>
    </row>
    <row r="783" spans="1:18" x14ac:dyDescent="0.3">
      <c r="A783" s="1">
        <v>782</v>
      </c>
      <c r="B783" s="1" t="s">
        <v>17</v>
      </c>
      <c r="C783" s="1">
        <v>1</v>
      </c>
      <c r="D783" s="1">
        <v>60</v>
      </c>
      <c r="E783" s="1">
        <v>100</v>
      </c>
      <c r="F783" s="1">
        <v>11</v>
      </c>
      <c r="G783" s="1">
        <v>25</v>
      </c>
      <c r="H783" s="1">
        <v>150</v>
      </c>
      <c r="I783" s="1">
        <v>100</v>
      </c>
      <c r="J783" s="1">
        <v>35.563000000000002</v>
      </c>
      <c r="K783" s="1">
        <v>64.436999999999998</v>
      </c>
      <c r="L783" s="1">
        <v>35.56</v>
      </c>
      <c r="M783" s="1">
        <v>95.2</v>
      </c>
      <c r="N783" s="1">
        <v>2.8320000000000001E-2</v>
      </c>
      <c r="O783" s="1">
        <v>2.264E-4</v>
      </c>
      <c r="P783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11.583974488609373</v>
      </c>
      <c r="Q783" s="1">
        <f>LN(Table1[[#This Row],[qe_mg_g]]-Table1[[#This Row],[qt]])</f>
        <v>3.1771795112169525</v>
      </c>
      <c r="R783" s="1">
        <v>2</v>
      </c>
    </row>
    <row r="784" spans="1:18" x14ac:dyDescent="0.3">
      <c r="A784" s="1">
        <v>783</v>
      </c>
      <c r="B784" s="1" t="s">
        <v>17</v>
      </c>
      <c r="C784" s="1">
        <v>1</v>
      </c>
      <c r="D784" s="1">
        <v>60</v>
      </c>
      <c r="E784" s="1">
        <v>100</v>
      </c>
      <c r="F784" s="1">
        <v>11</v>
      </c>
      <c r="G784" s="1">
        <v>25</v>
      </c>
      <c r="H784" s="1">
        <v>150</v>
      </c>
      <c r="I784" s="1">
        <v>100</v>
      </c>
      <c r="J784" s="1">
        <v>36.328000000000003</v>
      </c>
      <c r="K784" s="1">
        <v>63.671999999999997</v>
      </c>
      <c r="L784" s="1">
        <v>36.33</v>
      </c>
      <c r="M784" s="1">
        <v>80.400000000000006</v>
      </c>
      <c r="N784" s="1">
        <v>3.4689999999999999E-2</v>
      </c>
      <c r="O784" s="1">
        <v>1.9919999999999999E-4</v>
      </c>
      <c r="P784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10.998062644655644</v>
      </c>
      <c r="Q784" s="1">
        <f>LN(Table1[[#This Row],[qe_mg_g]]-Table1[[#This Row],[qt]])</f>
        <v>3.2319869908697583</v>
      </c>
      <c r="R784" s="1">
        <v>3</v>
      </c>
    </row>
    <row r="785" spans="1:18" x14ac:dyDescent="0.3">
      <c r="A785" s="1">
        <v>784</v>
      </c>
      <c r="B785" s="1" t="s">
        <v>17</v>
      </c>
      <c r="C785" s="1">
        <v>1</v>
      </c>
      <c r="D785" s="1">
        <v>60</v>
      </c>
      <c r="E785" s="1">
        <v>200</v>
      </c>
      <c r="F785" s="1">
        <v>3</v>
      </c>
      <c r="G785" s="1">
        <v>25</v>
      </c>
      <c r="H785" s="1">
        <v>150</v>
      </c>
      <c r="I785" s="1">
        <v>100</v>
      </c>
      <c r="J785" s="1">
        <v>52.637999999999998</v>
      </c>
      <c r="K785" s="1">
        <v>147.36199999999999</v>
      </c>
      <c r="L785" s="1">
        <v>26.32</v>
      </c>
      <c r="M785" s="1">
        <v>104.9</v>
      </c>
      <c r="N785" s="1">
        <v>3.5139999999999998E-2</v>
      </c>
      <c r="O785" s="1">
        <v>2.0890000000000001E-4</v>
      </c>
      <c r="P785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20.923865909961169</v>
      </c>
      <c r="Q785" s="1">
        <f>LN(Table1[[#This Row],[qe_mg_g]]-Table1[[#This Row],[qt]])</f>
        <v>3.4567624518608158</v>
      </c>
      <c r="R785" s="1">
        <v>1</v>
      </c>
    </row>
    <row r="786" spans="1:18" x14ac:dyDescent="0.3">
      <c r="A786" s="1">
        <v>785</v>
      </c>
      <c r="B786" s="1" t="s">
        <v>17</v>
      </c>
      <c r="C786" s="1">
        <v>1</v>
      </c>
      <c r="D786" s="1">
        <v>60</v>
      </c>
      <c r="E786" s="1">
        <v>200</v>
      </c>
      <c r="F786" s="1">
        <v>3</v>
      </c>
      <c r="G786" s="1">
        <v>25</v>
      </c>
      <c r="H786" s="1">
        <v>150</v>
      </c>
      <c r="I786" s="1">
        <v>100</v>
      </c>
      <c r="J786" s="1">
        <v>69.715999999999994</v>
      </c>
      <c r="K786" s="1">
        <v>130.28399999999999</v>
      </c>
      <c r="L786" s="1">
        <v>34.86</v>
      </c>
      <c r="M786" s="1">
        <v>72.599999999999994</v>
      </c>
      <c r="N786" s="1">
        <v>3.6659999999999998E-2</v>
      </c>
      <c r="O786" s="1">
        <v>1.9459999999999999E-4</v>
      </c>
      <c r="P786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31.283891038230195</v>
      </c>
      <c r="Q786" s="1">
        <f>LN(Table1[[#This Row],[qe_mg_g]]-Table1[[#This Row],[qt]])</f>
        <v>3.6488932810769894</v>
      </c>
      <c r="R786" s="1">
        <v>2</v>
      </c>
    </row>
    <row r="787" spans="1:18" x14ac:dyDescent="0.3">
      <c r="A787" s="1">
        <v>786</v>
      </c>
      <c r="B787" s="1" t="s">
        <v>17</v>
      </c>
      <c r="C787" s="1">
        <v>1</v>
      </c>
      <c r="D787" s="1">
        <v>60</v>
      </c>
      <c r="E787" s="1">
        <v>200</v>
      </c>
      <c r="F787" s="1">
        <v>3</v>
      </c>
      <c r="G787" s="1">
        <v>25</v>
      </c>
      <c r="H787" s="1">
        <v>150</v>
      </c>
      <c r="I787" s="1">
        <v>100</v>
      </c>
      <c r="J787" s="1">
        <v>69.049000000000007</v>
      </c>
      <c r="K787" s="1">
        <v>130.95099999999999</v>
      </c>
      <c r="L787" s="1">
        <v>34.520000000000003</v>
      </c>
      <c r="M787" s="1">
        <v>58.4</v>
      </c>
      <c r="N787" s="1">
        <v>3.465E-2</v>
      </c>
      <c r="O787" s="1">
        <v>1.8789999999999999E-4</v>
      </c>
      <c r="P787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30.223802294759974</v>
      </c>
      <c r="Q787" s="1">
        <f>LN(Table1[[#This Row],[qe_mg_g]]-Table1[[#This Row],[qt]])</f>
        <v>3.6590694612365962</v>
      </c>
      <c r="R787" s="1">
        <v>3</v>
      </c>
    </row>
    <row r="788" spans="1:18" x14ac:dyDescent="0.3">
      <c r="A788" s="1">
        <v>787</v>
      </c>
      <c r="B788" s="1" t="s">
        <v>17</v>
      </c>
      <c r="C788" s="1">
        <v>1</v>
      </c>
      <c r="D788" s="1">
        <v>60</v>
      </c>
      <c r="E788" s="1">
        <v>200</v>
      </c>
      <c r="F788" s="1">
        <v>7</v>
      </c>
      <c r="G788" s="1">
        <v>25</v>
      </c>
      <c r="H788" s="1">
        <v>150</v>
      </c>
      <c r="I788" s="1">
        <v>100</v>
      </c>
      <c r="J788" s="1">
        <v>99.087999999999994</v>
      </c>
      <c r="K788" s="1">
        <v>100.91200000000001</v>
      </c>
      <c r="L788" s="1">
        <v>49.54</v>
      </c>
      <c r="M788" s="1">
        <v>91.8</v>
      </c>
      <c r="N788" s="1">
        <v>3.252E-2</v>
      </c>
      <c r="O788" s="1">
        <v>1.8579999999999999E-4</v>
      </c>
      <c r="P788" s="1">
        <f>(Table1[[#This Row],[Rate_Constant_k2_g_mg_min]]*Table1[[#This Row],[Contact_Time_min]]*Table1[[#This Row],[qe_mg_g]]^2)/(1+Table1[[#This Row],[Contact_Time_min]]*Table1[[#This Row],[qe_mg_g]]*Table1[[#This Row],[Rate_Constant_k2_g_mg_min]])</f>
        <v>52.007108048738857</v>
      </c>
      <c r="Q788" s="1">
        <f>LN(Table1[[#This Row],[qe_mg_g]]-Table1[[#This Row],[qt]])</f>
        <v>3.8518672276514652</v>
      </c>
      <c r="R788" s="1">
        <v>1</v>
      </c>
    </row>
    <row r="789" spans="1:18" x14ac:dyDescent="0.3">
      <c r="A789" s="1">
        <v>788</v>
      </c>
      <c r="B789" s="1" t="s">
        <v>17</v>
      </c>
      <c r="C789" s="1">
        <v>1</v>
      </c>
      <c r="D789" s="1">
        <v>60</v>
      </c>
      <c r="E789" s="1">
        <v>200</v>
      </c>
      <c r="F789" s="1">
        <v>7</v>
      </c>
      <c r="G789" s="1">
        <v>25</v>
      </c>
      <c r="H789" s="1">
        <v>150</v>
      </c>
      <c r="I789" s="1">
        <v>100</v>
      </c>
      <c r="J789" s="1">
        <v>93.930999999999997</v>
      </c>
      <c r="K789" s="1">
        <v>106.069</v>
      </c>
      <c r="L789" s="1">
        <v>46.97</v>
      </c>
      <c r="M789" s="1">
        <v>74.2</v>
      </c>
      <c r="N789" s="1">
        <v>3.7949999999999998E-2</v>
      </c>
      <c r="O789" s="1">
        <v>1.9259999999999999E-4</v>
      </c>
      <c r="P789" s="1">
        <f>(Table1[[#This Row],[Rate_Constant_k2_g_mg_min]]*Table1[[#This Row],[Contact_Time_min]]*Table1[[#This Row],[qe_mg_g]]^2)/(1+Table1[[#This Row],[Contact_Time_min]]*Table1[[#This Row],[qe_mg_g]]*Table1[[#This Row],[Rate_Constant_k2_g_mg_min]])</f>
        <v>48.890241074140121</v>
      </c>
      <c r="Q789" s="1">
        <f>LN(Table1[[#This Row],[qe_mg_g]]-Table1[[#This Row],[qt]])</f>
        <v>3.8075678337307686</v>
      </c>
      <c r="R789" s="1">
        <v>2</v>
      </c>
    </row>
    <row r="790" spans="1:18" x14ac:dyDescent="0.3">
      <c r="A790" s="1">
        <v>789</v>
      </c>
      <c r="B790" s="1" t="s">
        <v>17</v>
      </c>
      <c r="C790" s="1">
        <v>1</v>
      </c>
      <c r="D790" s="1">
        <v>60</v>
      </c>
      <c r="E790" s="1">
        <v>200</v>
      </c>
      <c r="F790" s="1">
        <v>7</v>
      </c>
      <c r="G790" s="1">
        <v>25</v>
      </c>
      <c r="H790" s="1">
        <v>150</v>
      </c>
      <c r="I790" s="1">
        <v>100</v>
      </c>
      <c r="J790" s="1">
        <v>67.370999999999995</v>
      </c>
      <c r="K790" s="1">
        <v>132.62899999999999</v>
      </c>
      <c r="L790" s="1">
        <v>33.69</v>
      </c>
      <c r="M790" s="1">
        <v>80.900000000000006</v>
      </c>
      <c r="N790" s="1">
        <v>3.1370000000000002E-2</v>
      </c>
      <c r="O790" s="1">
        <v>1.674E-4</v>
      </c>
      <c r="P790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27.189672573648835</v>
      </c>
      <c r="Q790" s="1">
        <f>LN(Table1[[#This Row],[qe_mg_g]]-Table1[[#This Row],[qt]])</f>
        <v>3.6934023958333926</v>
      </c>
      <c r="R790" s="1">
        <v>3</v>
      </c>
    </row>
    <row r="791" spans="1:18" x14ac:dyDescent="0.3">
      <c r="A791" s="1">
        <v>790</v>
      </c>
      <c r="B791" s="1" t="s">
        <v>17</v>
      </c>
      <c r="C791" s="1">
        <v>1</v>
      </c>
      <c r="D791" s="1">
        <v>60</v>
      </c>
      <c r="E791" s="1">
        <v>200</v>
      </c>
      <c r="F791" s="1">
        <v>11</v>
      </c>
      <c r="G791" s="1">
        <v>25</v>
      </c>
      <c r="H791" s="1">
        <v>150</v>
      </c>
      <c r="I791" s="1">
        <v>100</v>
      </c>
      <c r="J791" s="1">
        <v>66.55</v>
      </c>
      <c r="K791" s="1">
        <v>133.44999999999999</v>
      </c>
      <c r="L791" s="1">
        <v>33.28</v>
      </c>
      <c r="M791" s="1">
        <v>87.1</v>
      </c>
      <c r="N791" s="1">
        <v>3.9649999999999998E-2</v>
      </c>
      <c r="O791" s="1">
        <v>2.063E-4</v>
      </c>
      <c r="P791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30.059370963515452</v>
      </c>
      <c r="Q791" s="1">
        <f>LN(Table1[[#This Row],[qe_mg_g]]-Table1[[#This Row],[qt]])</f>
        <v>3.5970554888989663</v>
      </c>
      <c r="R791" s="1">
        <v>1</v>
      </c>
    </row>
    <row r="792" spans="1:18" x14ac:dyDescent="0.3">
      <c r="A792" s="1">
        <v>791</v>
      </c>
      <c r="B792" s="1" t="s">
        <v>17</v>
      </c>
      <c r="C792" s="1">
        <v>1</v>
      </c>
      <c r="D792" s="1">
        <v>60</v>
      </c>
      <c r="E792" s="1">
        <v>200</v>
      </c>
      <c r="F792" s="1">
        <v>11</v>
      </c>
      <c r="G792" s="1">
        <v>25</v>
      </c>
      <c r="H792" s="1">
        <v>150</v>
      </c>
      <c r="I792" s="1">
        <v>100</v>
      </c>
      <c r="J792" s="1">
        <v>71.341999999999999</v>
      </c>
      <c r="K792" s="1">
        <v>128.65799999999999</v>
      </c>
      <c r="L792" s="1">
        <v>35.67</v>
      </c>
      <c r="M792" s="1">
        <v>91.6</v>
      </c>
      <c r="N792" s="1">
        <v>3.3390000000000003E-2</v>
      </c>
      <c r="O792" s="1">
        <v>1.861E-4</v>
      </c>
      <c r="P792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31.632654287541882</v>
      </c>
      <c r="Q792" s="1">
        <f>LN(Table1[[#This Row],[qe_mg_g]]-Table1[[#This Row],[qt]])</f>
        <v>3.6815865683632012</v>
      </c>
      <c r="R792" s="1">
        <v>2</v>
      </c>
    </row>
    <row r="793" spans="1:18" x14ac:dyDescent="0.3">
      <c r="A793" s="1">
        <v>792</v>
      </c>
      <c r="B793" s="1" t="s">
        <v>17</v>
      </c>
      <c r="C793" s="1">
        <v>1</v>
      </c>
      <c r="D793" s="1">
        <v>60</v>
      </c>
      <c r="E793" s="1">
        <v>200</v>
      </c>
      <c r="F793" s="1">
        <v>11</v>
      </c>
      <c r="G793" s="1">
        <v>25</v>
      </c>
      <c r="H793" s="1">
        <v>150</v>
      </c>
      <c r="I793" s="1">
        <v>100</v>
      </c>
      <c r="J793" s="1">
        <v>67.180999999999997</v>
      </c>
      <c r="K793" s="1">
        <v>132.81899999999999</v>
      </c>
      <c r="L793" s="1">
        <v>33.590000000000003</v>
      </c>
      <c r="M793" s="1">
        <v>63.2</v>
      </c>
      <c r="N793" s="1">
        <v>3.3640000000000003E-2</v>
      </c>
      <c r="O793" s="1">
        <v>2.0320000000000001E-4</v>
      </c>
      <c r="P793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30.249506309533579</v>
      </c>
      <c r="Q793" s="1">
        <f>LN(Table1[[#This Row],[qe_mg_g]]-Table1[[#This Row],[qt]])</f>
        <v>3.6090646745796069</v>
      </c>
      <c r="R793" s="1">
        <v>3</v>
      </c>
    </row>
    <row r="794" spans="1:18" x14ac:dyDescent="0.3">
      <c r="A794" s="1">
        <v>793</v>
      </c>
      <c r="B794" s="1" t="s">
        <v>17</v>
      </c>
      <c r="C794" s="1">
        <v>1</v>
      </c>
      <c r="D794" s="1">
        <v>120</v>
      </c>
      <c r="E794" s="1">
        <v>25</v>
      </c>
      <c r="F794" s="1">
        <v>3</v>
      </c>
      <c r="G794" s="1">
        <v>25</v>
      </c>
      <c r="H794" s="1">
        <v>150</v>
      </c>
      <c r="I794" s="1">
        <v>100</v>
      </c>
      <c r="J794" s="1">
        <v>5.1100000000000003</v>
      </c>
      <c r="K794" s="1">
        <v>19.89</v>
      </c>
      <c r="L794" s="1">
        <v>20.440000000000001</v>
      </c>
      <c r="M794" s="1">
        <v>80.400000000000006</v>
      </c>
      <c r="N794" s="1">
        <v>3.1690000000000003E-2</v>
      </c>
      <c r="O794" s="1">
        <v>2.1220000000000001E-4</v>
      </c>
      <c r="P79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0.58836044181603764</v>
      </c>
      <c r="Q794" s="1">
        <f>LN(Table1[[#This Row],[qe_mg_g]]-Table1[[#This Row],[qt]])</f>
        <v>1.508874662183523</v>
      </c>
      <c r="R794" s="1">
        <v>1</v>
      </c>
    </row>
    <row r="795" spans="1:18" x14ac:dyDescent="0.3">
      <c r="A795" s="1">
        <v>794</v>
      </c>
      <c r="B795" s="1" t="s">
        <v>17</v>
      </c>
      <c r="C795" s="1">
        <v>1</v>
      </c>
      <c r="D795" s="1">
        <v>120</v>
      </c>
      <c r="E795" s="1">
        <v>25</v>
      </c>
      <c r="F795" s="1">
        <v>3</v>
      </c>
      <c r="G795" s="1">
        <v>25</v>
      </c>
      <c r="H795" s="1">
        <v>150</v>
      </c>
      <c r="I795" s="1">
        <v>100</v>
      </c>
      <c r="J795" s="1">
        <v>4.4800000000000004</v>
      </c>
      <c r="K795" s="1">
        <v>20.52</v>
      </c>
      <c r="L795" s="1">
        <v>17.920000000000002</v>
      </c>
      <c r="M795" s="1">
        <v>95.7</v>
      </c>
      <c r="N795" s="1">
        <v>3.1489999999999997E-2</v>
      </c>
      <c r="O795" s="1">
        <v>1.85E-4</v>
      </c>
      <c r="P79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0.40525758193142802</v>
      </c>
      <c r="Q795" s="1">
        <f>LN(Table1[[#This Row],[qe_mg_g]]-Table1[[#This Row],[qt]])</f>
        <v>1.4048075344050506</v>
      </c>
      <c r="R795" s="1">
        <v>2</v>
      </c>
    </row>
    <row r="796" spans="1:18" x14ac:dyDescent="0.3">
      <c r="A796" s="1">
        <v>795</v>
      </c>
      <c r="B796" s="1" t="s">
        <v>17</v>
      </c>
      <c r="C796" s="1">
        <v>1</v>
      </c>
      <c r="D796" s="1">
        <v>120</v>
      </c>
      <c r="E796" s="1">
        <v>25</v>
      </c>
      <c r="F796" s="1">
        <v>3</v>
      </c>
      <c r="G796" s="1">
        <v>25</v>
      </c>
      <c r="H796" s="1">
        <v>150</v>
      </c>
      <c r="I796" s="1">
        <v>100</v>
      </c>
      <c r="J796" s="1">
        <v>4.4029999999999996</v>
      </c>
      <c r="K796" s="1">
        <v>20.597000000000001</v>
      </c>
      <c r="L796" s="1">
        <v>17.61</v>
      </c>
      <c r="M796" s="1">
        <v>79.3</v>
      </c>
      <c r="N796" s="1">
        <v>3.841E-2</v>
      </c>
      <c r="O796" s="1">
        <v>2.1029999999999999E-4</v>
      </c>
      <c r="P79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0.44031068816561181</v>
      </c>
      <c r="Q796" s="1">
        <f>LN(Table1[[#This Row],[qe_mg_g]]-Table1[[#This Row],[qt]])</f>
        <v>1.3769229139194279</v>
      </c>
      <c r="R796" s="1">
        <v>3</v>
      </c>
    </row>
    <row r="797" spans="1:18" x14ac:dyDescent="0.3">
      <c r="A797" s="1">
        <v>796</v>
      </c>
      <c r="B797" s="1" t="s">
        <v>17</v>
      </c>
      <c r="C797" s="1">
        <v>1</v>
      </c>
      <c r="D797" s="1">
        <v>120</v>
      </c>
      <c r="E797" s="1">
        <v>25</v>
      </c>
      <c r="F797" s="1">
        <v>7</v>
      </c>
      <c r="G797" s="1">
        <v>25</v>
      </c>
      <c r="H797" s="1">
        <v>150</v>
      </c>
      <c r="I797" s="1">
        <v>100</v>
      </c>
      <c r="J797" s="1">
        <v>9.1630000000000003</v>
      </c>
      <c r="K797" s="1">
        <v>15.837</v>
      </c>
      <c r="L797" s="1">
        <v>36.65</v>
      </c>
      <c r="M797" s="1">
        <v>92.4</v>
      </c>
      <c r="N797" s="1">
        <v>3.1140000000000001E-2</v>
      </c>
      <c r="O797" s="1">
        <v>1.9340000000000001E-4</v>
      </c>
      <c r="P79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1.606851940254884</v>
      </c>
      <c r="Q797" s="1">
        <f>LN(Table1[[#This Row],[qe_mg_g]]-Table1[[#This Row],[qt]])</f>
        <v>2.022361544437373</v>
      </c>
      <c r="R797" s="1">
        <v>1</v>
      </c>
    </row>
    <row r="798" spans="1:18" x14ac:dyDescent="0.3">
      <c r="A798" s="1">
        <v>797</v>
      </c>
      <c r="B798" s="1" t="s">
        <v>17</v>
      </c>
      <c r="C798" s="1">
        <v>1</v>
      </c>
      <c r="D798" s="1">
        <v>120</v>
      </c>
      <c r="E798" s="1">
        <v>25</v>
      </c>
      <c r="F798" s="1">
        <v>7</v>
      </c>
      <c r="G798" s="1">
        <v>25</v>
      </c>
      <c r="H798" s="1">
        <v>150</v>
      </c>
      <c r="I798" s="1">
        <v>100</v>
      </c>
      <c r="J798" s="1">
        <v>7.6950000000000003</v>
      </c>
      <c r="K798" s="1">
        <v>17.305</v>
      </c>
      <c r="L798" s="1">
        <v>30.78</v>
      </c>
      <c r="M798" s="1">
        <v>102.8</v>
      </c>
      <c r="N798" s="1">
        <v>3.0810000000000001E-2</v>
      </c>
      <c r="O798" s="1">
        <v>2.1790000000000001E-4</v>
      </c>
      <c r="P79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1.2889533446331725</v>
      </c>
      <c r="Q798" s="1">
        <f>LN(Table1[[#This Row],[qe_mg_g]]-Table1[[#This Row],[qt]])</f>
        <v>1.8572423342336306</v>
      </c>
      <c r="R798" s="1">
        <v>2</v>
      </c>
    </row>
    <row r="799" spans="1:18" x14ac:dyDescent="0.3">
      <c r="A799" s="1">
        <v>798</v>
      </c>
      <c r="B799" s="1" t="s">
        <v>17</v>
      </c>
      <c r="C799" s="1">
        <v>1</v>
      </c>
      <c r="D799" s="1">
        <v>120</v>
      </c>
      <c r="E799" s="1">
        <v>25</v>
      </c>
      <c r="F799" s="1">
        <v>7</v>
      </c>
      <c r="G799" s="1">
        <v>25</v>
      </c>
      <c r="H799" s="1">
        <v>150</v>
      </c>
      <c r="I799" s="1">
        <v>100</v>
      </c>
      <c r="J799" s="1">
        <v>9.0920000000000005</v>
      </c>
      <c r="K799" s="1">
        <v>15.907999999999999</v>
      </c>
      <c r="L799" s="1">
        <v>36.369999999999997</v>
      </c>
      <c r="M799" s="1">
        <v>109.2</v>
      </c>
      <c r="N799" s="1">
        <v>3.3570000000000003E-2</v>
      </c>
      <c r="O799" s="1">
        <v>2.142E-4</v>
      </c>
      <c r="P79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1.7223036880333693</v>
      </c>
      <c r="Q799" s="1">
        <f>LN(Table1[[#This Row],[qe_mg_g]]-Table1[[#This Row],[qt]])</f>
        <v>1.9973764993775789</v>
      </c>
      <c r="R799" s="1">
        <v>3</v>
      </c>
    </row>
    <row r="800" spans="1:18" x14ac:dyDescent="0.3">
      <c r="A800" s="1">
        <v>799</v>
      </c>
      <c r="B800" s="1" t="s">
        <v>17</v>
      </c>
      <c r="C800" s="1">
        <v>1</v>
      </c>
      <c r="D800" s="1">
        <v>120</v>
      </c>
      <c r="E800" s="1">
        <v>25</v>
      </c>
      <c r="F800" s="1">
        <v>11</v>
      </c>
      <c r="G800" s="1">
        <v>25</v>
      </c>
      <c r="H800" s="1">
        <v>150</v>
      </c>
      <c r="I800" s="1">
        <v>100</v>
      </c>
      <c r="J800" s="1">
        <v>7.83</v>
      </c>
      <c r="K800" s="1">
        <v>17.170000000000002</v>
      </c>
      <c r="L800" s="1">
        <v>31.32</v>
      </c>
      <c r="M800" s="1">
        <v>77.8</v>
      </c>
      <c r="N800" s="1">
        <v>2.963E-2</v>
      </c>
      <c r="O800" s="1">
        <v>1.6239999999999999E-4</v>
      </c>
      <c r="P80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1.0366103862823712</v>
      </c>
      <c r="Q800" s="1">
        <f>LN(Table1[[#This Row],[qe_mg_g]]-Table1[[#This Row],[qt]])</f>
        <v>1.9159500237414591</v>
      </c>
      <c r="R800" s="1">
        <v>1</v>
      </c>
    </row>
    <row r="801" spans="1:18" x14ac:dyDescent="0.3">
      <c r="A801" s="1">
        <v>800</v>
      </c>
      <c r="B801" s="1" t="s">
        <v>17</v>
      </c>
      <c r="C801" s="1">
        <v>1</v>
      </c>
      <c r="D801" s="1">
        <v>120</v>
      </c>
      <c r="E801" s="1">
        <v>25</v>
      </c>
      <c r="F801" s="1">
        <v>11</v>
      </c>
      <c r="G801" s="1">
        <v>25</v>
      </c>
      <c r="H801" s="1">
        <v>150</v>
      </c>
      <c r="I801" s="1">
        <v>100</v>
      </c>
      <c r="J801" s="1">
        <v>6.8289999999999997</v>
      </c>
      <c r="K801" s="1">
        <v>18.170999999999999</v>
      </c>
      <c r="L801" s="1">
        <v>27.32</v>
      </c>
      <c r="M801" s="1">
        <v>61.5</v>
      </c>
      <c r="N801" s="1">
        <v>3.3700000000000001E-2</v>
      </c>
      <c r="O801" s="1">
        <v>2.087E-4</v>
      </c>
      <c r="P80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0.99735915190627311</v>
      </c>
      <c r="Q801" s="1">
        <f>LN(Table1[[#This Row],[qe_mg_g]]-Table1[[#This Row],[qt]])</f>
        <v>1.7632984098357212</v>
      </c>
      <c r="R801" s="1">
        <v>2</v>
      </c>
    </row>
    <row r="802" spans="1:18" x14ac:dyDescent="0.3">
      <c r="A802" s="1">
        <v>801</v>
      </c>
      <c r="B802" s="1" t="s">
        <v>17</v>
      </c>
      <c r="C802" s="1">
        <v>1</v>
      </c>
      <c r="D802" s="1">
        <v>120</v>
      </c>
      <c r="E802" s="1">
        <v>25</v>
      </c>
      <c r="F802" s="1">
        <v>11</v>
      </c>
      <c r="G802" s="1">
        <v>25</v>
      </c>
      <c r="H802" s="1">
        <v>150</v>
      </c>
      <c r="I802" s="1">
        <v>100</v>
      </c>
      <c r="J802" s="1">
        <v>6.4930000000000003</v>
      </c>
      <c r="K802" s="1">
        <v>18.507000000000001</v>
      </c>
      <c r="L802" s="1">
        <v>25.97</v>
      </c>
      <c r="M802" s="1">
        <v>91.2</v>
      </c>
      <c r="N802" s="1">
        <v>3.5779999999999999E-2</v>
      </c>
      <c r="O802" s="1">
        <v>2.2560000000000001E-4</v>
      </c>
      <c r="P80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0.9707013509864364</v>
      </c>
      <c r="Q802" s="1">
        <f>LN(Table1[[#This Row],[qe_mg_g]]-Table1[[#This Row],[qt]])</f>
        <v>1.7087941955322048</v>
      </c>
      <c r="R802" s="1">
        <v>3</v>
      </c>
    </row>
    <row r="803" spans="1:18" x14ac:dyDescent="0.3">
      <c r="A803" s="1">
        <v>802</v>
      </c>
      <c r="B803" s="1" t="s">
        <v>17</v>
      </c>
      <c r="C803" s="1">
        <v>1</v>
      </c>
      <c r="D803" s="1">
        <v>120</v>
      </c>
      <c r="E803" s="1">
        <v>50</v>
      </c>
      <c r="F803" s="1">
        <v>3</v>
      </c>
      <c r="G803" s="1">
        <v>25</v>
      </c>
      <c r="H803" s="1">
        <v>150</v>
      </c>
      <c r="I803" s="1">
        <v>100</v>
      </c>
      <c r="J803" s="1">
        <v>14.169</v>
      </c>
      <c r="K803" s="1">
        <v>35.831000000000003</v>
      </c>
      <c r="L803" s="1">
        <v>28.34</v>
      </c>
      <c r="M803" s="1">
        <v>77</v>
      </c>
      <c r="N803" s="1">
        <v>3.2300000000000002E-2</v>
      </c>
      <c r="O803" s="1">
        <v>2.1660000000000001E-4</v>
      </c>
      <c r="P80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3.8136682771471904</v>
      </c>
      <c r="Q803" s="1">
        <f>LN(Table1[[#This Row],[qe_mg_g]]-Table1[[#This Row],[qt]])</f>
        <v>2.3375015293757508</v>
      </c>
      <c r="R803" s="1">
        <v>1</v>
      </c>
    </row>
    <row r="804" spans="1:18" x14ac:dyDescent="0.3">
      <c r="A804" s="1">
        <v>803</v>
      </c>
      <c r="B804" s="1" t="s">
        <v>17</v>
      </c>
      <c r="C804" s="1">
        <v>1</v>
      </c>
      <c r="D804" s="1">
        <v>120</v>
      </c>
      <c r="E804" s="1">
        <v>50</v>
      </c>
      <c r="F804" s="1">
        <v>3</v>
      </c>
      <c r="G804" s="1">
        <v>25</v>
      </c>
      <c r="H804" s="1">
        <v>150</v>
      </c>
      <c r="I804" s="1">
        <v>100</v>
      </c>
      <c r="J804" s="1">
        <v>17.07</v>
      </c>
      <c r="K804" s="1">
        <v>32.93</v>
      </c>
      <c r="L804" s="1">
        <v>34.14</v>
      </c>
      <c r="M804" s="1">
        <v>91.5</v>
      </c>
      <c r="N804" s="1">
        <v>3.9140000000000001E-2</v>
      </c>
      <c r="O804" s="1">
        <v>1.7640000000000001E-4</v>
      </c>
      <c r="P80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4.5308634965065542</v>
      </c>
      <c r="Q804" s="1">
        <f>LN(Table1[[#This Row],[qe_mg_g]]-Table1[[#This Row],[qt]])</f>
        <v>2.5288546734633206</v>
      </c>
      <c r="R804" s="1">
        <v>2</v>
      </c>
    </row>
    <row r="805" spans="1:18" x14ac:dyDescent="0.3">
      <c r="A805" s="1">
        <v>804</v>
      </c>
      <c r="B805" s="1" t="s">
        <v>17</v>
      </c>
      <c r="C805" s="1">
        <v>1</v>
      </c>
      <c r="D805" s="1">
        <v>120</v>
      </c>
      <c r="E805" s="1">
        <v>50</v>
      </c>
      <c r="F805" s="1">
        <v>3</v>
      </c>
      <c r="G805" s="1">
        <v>25</v>
      </c>
      <c r="H805" s="1">
        <v>150</v>
      </c>
      <c r="I805" s="1">
        <v>100</v>
      </c>
      <c r="J805" s="1">
        <v>18.271000000000001</v>
      </c>
      <c r="K805" s="1">
        <v>31.728999999999999</v>
      </c>
      <c r="L805" s="1">
        <v>36.54</v>
      </c>
      <c r="M805" s="1">
        <v>105.3</v>
      </c>
      <c r="N805" s="1">
        <v>3.7569999999999999E-2</v>
      </c>
      <c r="O805" s="1">
        <v>2.3560000000000001E-4</v>
      </c>
      <c r="P805" s="1">
        <f>(Table1[[#This Row],[Rate_Constant_k2_g_mg_min]]*Table1[[#This Row],[Contact_Time_min]]*Table1[[#This Row],[qe_mg_g]]^2)/(1+Table1[[#This Row],[Contact_Time_min]]*Table1[[#This Row],[qe_mg_g]]*Table1[[#This Row],[Rate_Constant_k2_g_mg_min]])</f>
        <v>6.2233213291338307</v>
      </c>
      <c r="Q805" s="1">
        <f>LN(Table1[[#This Row],[qe_mg_g]]-Table1[[#This Row],[qt]])</f>
        <v>2.4888719999570275</v>
      </c>
      <c r="R805" s="1">
        <v>3</v>
      </c>
    </row>
    <row r="806" spans="1:18" x14ac:dyDescent="0.3">
      <c r="A806" s="1">
        <v>805</v>
      </c>
      <c r="B806" s="1" t="s">
        <v>17</v>
      </c>
      <c r="C806" s="1">
        <v>1</v>
      </c>
      <c r="D806" s="1">
        <v>120</v>
      </c>
      <c r="E806" s="1">
        <v>50</v>
      </c>
      <c r="F806" s="1">
        <v>7</v>
      </c>
      <c r="G806" s="1">
        <v>25</v>
      </c>
      <c r="H806" s="1">
        <v>150</v>
      </c>
      <c r="I806" s="1">
        <v>100</v>
      </c>
      <c r="J806" s="1">
        <v>20.164999999999999</v>
      </c>
      <c r="K806" s="1">
        <v>29.835000000000001</v>
      </c>
      <c r="L806" s="1">
        <v>40.33</v>
      </c>
      <c r="M806" s="1">
        <v>79</v>
      </c>
      <c r="N806" s="1">
        <v>3.243E-2</v>
      </c>
      <c r="O806" s="1">
        <v>2.1440000000000001E-4</v>
      </c>
      <c r="P806" s="1">
        <f>(Table1[[#This Row],[Rate_Constant_k2_g_mg_min]]*Table1[[#This Row],[Contact_Time_min]]*Table1[[#This Row],[qe_mg_g]]^2)/(1+Table1[[#This Row],[Contact_Time_min]]*Table1[[#This Row],[qe_mg_g]]*Table1[[#This Row],[Rate_Constant_k2_g_mg_min]])</f>
        <v>6.8881156028760282</v>
      </c>
      <c r="Q806" s="1">
        <f>LN(Table1[[#This Row],[qe_mg_g]]-Table1[[#This Row],[qt]])</f>
        <v>2.5860245078730699</v>
      </c>
      <c r="R806" s="1">
        <v>1</v>
      </c>
    </row>
    <row r="807" spans="1:18" x14ac:dyDescent="0.3">
      <c r="A807" s="1">
        <v>806</v>
      </c>
      <c r="B807" s="1" t="s">
        <v>17</v>
      </c>
      <c r="C807" s="1">
        <v>1</v>
      </c>
      <c r="D807" s="1">
        <v>120</v>
      </c>
      <c r="E807" s="1">
        <v>50</v>
      </c>
      <c r="F807" s="1">
        <v>7</v>
      </c>
      <c r="G807" s="1">
        <v>25</v>
      </c>
      <c r="H807" s="1">
        <v>150</v>
      </c>
      <c r="I807" s="1">
        <v>100</v>
      </c>
      <c r="J807" s="1">
        <v>21.63</v>
      </c>
      <c r="K807" s="1">
        <v>28.37</v>
      </c>
      <c r="L807" s="1">
        <v>43.26</v>
      </c>
      <c r="M807" s="1">
        <v>95.5</v>
      </c>
      <c r="N807" s="1">
        <v>3.9800000000000002E-2</v>
      </c>
      <c r="O807" s="1">
        <v>2.139E-4</v>
      </c>
      <c r="P807" s="1">
        <f>(Table1[[#This Row],[Rate_Constant_k2_g_mg_min]]*Table1[[#This Row],[Contact_Time_min]]*Table1[[#This Row],[qe_mg_g]]^2)/(1+Table1[[#This Row],[Contact_Time_min]]*Table1[[#This Row],[qe_mg_g]]*Table1[[#This Row],[Rate_Constant_k2_g_mg_min]])</f>
        <v>7.7218106137476266</v>
      </c>
      <c r="Q807" s="1">
        <f>LN(Table1[[#This Row],[qe_mg_g]]-Table1[[#This Row],[qt]])</f>
        <v>2.6324778311259815</v>
      </c>
      <c r="R807" s="1">
        <v>2</v>
      </c>
    </row>
    <row r="808" spans="1:18" x14ac:dyDescent="0.3">
      <c r="A808" s="1">
        <v>807</v>
      </c>
      <c r="B808" s="1" t="s">
        <v>17</v>
      </c>
      <c r="C808" s="1">
        <v>1</v>
      </c>
      <c r="D808" s="1">
        <v>120</v>
      </c>
      <c r="E808" s="1">
        <v>50</v>
      </c>
      <c r="F808" s="1">
        <v>7</v>
      </c>
      <c r="G808" s="1">
        <v>25</v>
      </c>
      <c r="H808" s="1">
        <v>150</v>
      </c>
      <c r="I808" s="1">
        <v>100</v>
      </c>
      <c r="J808" s="1">
        <v>24.853999999999999</v>
      </c>
      <c r="K808" s="1">
        <v>25.146000000000001</v>
      </c>
      <c r="L808" s="1">
        <v>49.71</v>
      </c>
      <c r="M808" s="1">
        <v>73</v>
      </c>
      <c r="N808" s="1">
        <v>3.2039999999999999E-2</v>
      </c>
      <c r="O808" s="1">
        <v>2.2499999999999999E-4</v>
      </c>
      <c r="P808" s="1">
        <f>(Table1[[#This Row],[Rate_Constant_k2_g_mg_min]]*Table1[[#This Row],[Contact_Time_min]]*Table1[[#This Row],[qe_mg_g]]^2)/(1+Table1[[#This Row],[Contact_Time_min]]*Table1[[#This Row],[qe_mg_g]]*Table1[[#This Row],[Rate_Constant_k2_g_mg_min]])</f>
        <v>9.9807879391379597</v>
      </c>
      <c r="Q808" s="1">
        <f>LN(Table1[[#This Row],[qe_mg_g]]-Table1[[#This Row],[qt]])</f>
        <v>2.699561746618278</v>
      </c>
      <c r="R808" s="1">
        <v>3</v>
      </c>
    </row>
    <row r="809" spans="1:18" x14ac:dyDescent="0.3">
      <c r="A809" s="1">
        <v>808</v>
      </c>
      <c r="B809" s="1" t="s">
        <v>17</v>
      </c>
      <c r="C809" s="1">
        <v>1</v>
      </c>
      <c r="D809" s="1">
        <v>120</v>
      </c>
      <c r="E809" s="1">
        <v>50</v>
      </c>
      <c r="F809" s="1">
        <v>11</v>
      </c>
      <c r="G809" s="1">
        <v>25</v>
      </c>
      <c r="H809" s="1">
        <v>150</v>
      </c>
      <c r="I809" s="1">
        <v>100</v>
      </c>
      <c r="J809" s="1">
        <v>20.440000000000001</v>
      </c>
      <c r="K809" s="1">
        <v>29.56</v>
      </c>
      <c r="L809" s="1">
        <v>40.880000000000003</v>
      </c>
      <c r="M809" s="1">
        <v>85.2</v>
      </c>
      <c r="N809" s="1">
        <v>3.354E-2</v>
      </c>
      <c r="O809" s="1">
        <v>1.595E-4</v>
      </c>
      <c r="P809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5.7478761859361587</v>
      </c>
      <c r="Q809" s="1">
        <f>LN(Table1[[#This Row],[qe_mg_g]]-Table1[[#This Row],[qt]])</f>
        <v>2.6873115552336349</v>
      </c>
      <c r="R809" s="1">
        <v>1</v>
      </c>
    </row>
    <row r="810" spans="1:18" x14ac:dyDescent="0.3">
      <c r="A810" s="1">
        <v>809</v>
      </c>
      <c r="B810" s="1" t="s">
        <v>17</v>
      </c>
      <c r="C810" s="1">
        <v>1</v>
      </c>
      <c r="D810" s="1">
        <v>120</v>
      </c>
      <c r="E810" s="1">
        <v>50</v>
      </c>
      <c r="F810" s="1">
        <v>11</v>
      </c>
      <c r="G810" s="1">
        <v>25</v>
      </c>
      <c r="H810" s="1">
        <v>150</v>
      </c>
      <c r="I810" s="1">
        <v>100</v>
      </c>
      <c r="J810" s="1">
        <v>16.931000000000001</v>
      </c>
      <c r="K810" s="1">
        <v>33.069000000000003</v>
      </c>
      <c r="L810" s="1">
        <v>33.86</v>
      </c>
      <c r="M810" s="1">
        <v>110.3</v>
      </c>
      <c r="N810" s="1">
        <v>3.0519999999999999E-2</v>
      </c>
      <c r="O810" s="1">
        <v>2.0379999999999999E-4</v>
      </c>
      <c r="P81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4.9577133720126056</v>
      </c>
      <c r="Q810" s="1">
        <f>LN(Table1[[#This Row],[qe_mg_g]]-Table1[[#This Row],[qt]])</f>
        <v>2.4826780539777182</v>
      </c>
      <c r="R810" s="1">
        <v>2</v>
      </c>
    </row>
    <row r="811" spans="1:18" x14ac:dyDescent="0.3">
      <c r="A811" s="1">
        <v>810</v>
      </c>
      <c r="B811" s="1" t="s">
        <v>17</v>
      </c>
      <c r="C811" s="1">
        <v>1</v>
      </c>
      <c r="D811" s="1">
        <v>120</v>
      </c>
      <c r="E811" s="1">
        <v>50</v>
      </c>
      <c r="F811" s="1">
        <v>11</v>
      </c>
      <c r="G811" s="1">
        <v>25</v>
      </c>
      <c r="H811" s="1">
        <v>150</v>
      </c>
      <c r="I811" s="1">
        <v>100</v>
      </c>
      <c r="J811" s="1">
        <v>20.872</v>
      </c>
      <c r="K811" s="1">
        <v>29.128</v>
      </c>
      <c r="L811" s="1">
        <v>41.74</v>
      </c>
      <c r="M811" s="1">
        <v>69.599999999999994</v>
      </c>
      <c r="N811" s="1">
        <v>3.5650000000000001E-2</v>
      </c>
      <c r="O811" s="1">
        <v>2.1880000000000001E-4</v>
      </c>
      <c r="P811" s="1">
        <f>(Table1[[#This Row],[Rate_Constant_k2_g_mg_min]]*Table1[[#This Row],[Contact_Time_min]]*Table1[[#This Row],[qe_mg_g]]^2)/(1+Table1[[#This Row],[Contact_Time_min]]*Table1[[#This Row],[qe_mg_g]]*Table1[[#This Row],[Rate_Constant_k2_g_mg_min]])</f>
        <v>7.3889285362690806</v>
      </c>
      <c r="Q811" s="1">
        <f>LN(Table1[[#This Row],[qe_mg_g]]-Table1[[#This Row],[qt]])</f>
        <v>2.6014349329220208</v>
      </c>
      <c r="R811" s="1">
        <v>3</v>
      </c>
    </row>
    <row r="812" spans="1:18" x14ac:dyDescent="0.3">
      <c r="A812" s="1">
        <v>811</v>
      </c>
      <c r="B812" s="1" t="s">
        <v>17</v>
      </c>
      <c r="C812" s="1">
        <v>1</v>
      </c>
      <c r="D812" s="1">
        <v>120</v>
      </c>
      <c r="E812" s="1">
        <v>100</v>
      </c>
      <c r="F812" s="1">
        <v>3</v>
      </c>
      <c r="G812" s="1">
        <v>25</v>
      </c>
      <c r="H812" s="1">
        <v>150</v>
      </c>
      <c r="I812" s="1">
        <v>100</v>
      </c>
      <c r="J812" s="1">
        <v>41.161999999999999</v>
      </c>
      <c r="K812" s="1">
        <v>58.838000000000001</v>
      </c>
      <c r="L812" s="1">
        <v>41.16</v>
      </c>
      <c r="M812" s="1">
        <v>122.6</v>
      </c>
      <c r="N812" s="1">
        <v>2.9159999999999998E-2</v>
      </c>
      <c r="O812" s="1">
        <v>2.2120000000000001E-4</v>
      </c>
      <c r="P812" s="1">
        <f>(Table1[[#This Row],[Rate_Constant_k2_g_mg_min]]*Table1[[#This Row],[Contact_Time_min]]*Table1[[#This Row],[qe_mg_g]]^2)/(1+Table1[[#This Row],[Contact_Time_min]]*Table1[[#This Row],[qe_mg_g]]*Table1[[#This Row],[Rate_Constant_k2_g_mg_min]])</f>
        <v>21.491772148858153</v>
      </c>
      <c r="Q812" s="1">
        <f>LN(Table1[[#This Row],[qe_mg_g]]-Table1[[#This Row],[qt]])</f>
        <v>2.9791062160218207</v>
      </c>
      <c r="R812" s="1">
        <v>1</v>
      </c>
    </row>
    <row r="813" spans="1:18" x14ac:dyDescent="0.3">
      <c r="A813" s="1">
        <v>812</v>
      </c>
      <c r="B813" s="1" t="s">
        <v>17</v>
      </c>
      <c r="C813" s="1">
        <v>1</v>
      </c>
      <c r="D813" s="1">
        <v>120</v>
      </c>
      <c r="E813" s="1">
        <v>100</v>
      </c>
      <c r="F813" s="1">
        <v>3</v>
      </c>
      <c r="G813" s="1">
        <v>25</v>
      </c>
      <c r="H813" s="1">
        <v>150</v>
      </c>
      <c r="I813" s="1">
        <v>100</v>
      </c>
      <c r="J813" s="1">
        <v>40.4</v>
      </c>
      <c r="K813" s="1">
        <v>59.6</v>
      </c>
      <c r="L813" s="1">
        <v>40.4</v>
      </c>
      <c r="M813" s="1">
        <v>95.6</v>
      </c>
      <c r="N813" s="1">
        <v>3.6540000000000003E-2</v>
      </c>
      <c r="O813" s="1">
        <v>1.853E-4</v>
      </c>
      <c r="P813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19.11818579487365</v>
      </c>
      <c r="Q813" s="1">
        <f>LN(Table1[[#This Row],[qe_mg_g]]-Table1[[#This Row],[qt]])</f>
        <v>3.0578529148398261</v>
      </c>
      <c r="R813" s="1">
        <v>2</v>
      </c>
    </row>
    <row r="814" spans="1:18" x14ac:dyDescent="0.3">
      <c r="A814" s="1">
        <v>813</v>
      </c>
      <c r="B814" s="1" t="s">
        <v>17</v>
      </c>
      <c r="C814" s="1">
        <v>1</v>
      </c>
      <c r="D814" s="1">
        <v>120</v>
      </c>
      <c r="E814" s="1">
        <v>100</v>
      </c>
      <c r="F814" s="1">
        <v>3</v>
      </c>
      <c r="G814" s="1">
        <v>25</v>
      </c>
      <c r="H814" s="1">
        <v>150</v>
      </c>
      <c r="I814" s="1">
        <v>100</v>
      </c>
      <c r="J814" s="1">
        <v>42.052</v>
      </c>
      <c r="K814" s="1">
        <v>57.948</v>
      </c>
      <c r="L814" s="1">
        <v>42.05</v>
      </c>
      <c r="M814" s="1">
        <v>61.8</v>
      </c>
      <c r="N814" s="1">
        <v>3.7109999999999997E-2</v>
      </c>
      <c r="O814" s="1">
        <v>2.0599999999999999E-4</v>
      </c>
      <c r="P814" s="1">
        <f>(Table1[[#This Row],[Rate_Constant_k2_g_mg_min]]*Table1[[#This Row],[Contact_Time_min]]*Table1[[#This Row],[qe_mg_g]]^2)/(1+Table1[[#This Row],[Contact_Time_min]]*Table1[[#This Row],[qe_mg_g]]*Table1[[#This Row],[Rate_Constant_k2_g_mg_min]])</f>
        <v>21.433478075605663</v>
      </c>
      <c r="Q814" s="1">
        <f>LN(Table1[[#This Row],[qe_mg_g]]-Table1[[#This Row],[qt]])</f>
        <v>3.0261897943704024</v>
      </c>
      <c r="R814" s="1">
        <v>3</v>
      </c>
    </row>
    <row r="815" spans="1:18" x14ac:dyDescent="0.3">
      <c r="A815" s="1">
        <v>814</v>
      </c>
      <c r="B815" s="1" t="s">
        <v>17</v>
      </c>
      <c r="C815" s="1">
        <v>1</v>
      </c>
      <c r="D815" s="1">
        <v>120</v>
      </c>
      <c r="E815" s="1">
        <v>100</v>
      </c>
      <c r="F815" s="1">
        <v>7</v>
      </c>
      <c r="G815" s="1">
        <v>25</v>
      </c>
      <c r="H815" s="1">
        <v>150</v>
      </c>
      <c r="I815" s="1">
        <v>100</v>
      </c>
      <c r="J815" s="1">
        <v>64.465999999999994</v>
      </c>
      <c r="K815" s="1">
        <v>35.533999999999999</v>
      </c>
      <c r="L815" s="1">
        <v>64.47</v>
      </c>
      <c r="M815" s="1">
        <v>99.3</v>
      </c>
      <c r="N815" s="1">
        <v>3.6290000000000003E-2</v>
      </c>
      <c r="O815" s="1">
        <v>2.03E-4</v>
      </c>
      <c r="P815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39.385776431278316</v>
      </c>
      <c r="Q815" s="1">
        <f>LN(Table1[[#This Row],[qe_mg_g]]-Table1[[#This Row],[qt]])</f>
        <v>3.222079629948341</v>
      </c>
      <c r="R815" s="1">
        <v>1</v>
      </c>
    </row>
    <row r="816" spans="1:18" x14ac:dyDescent="0.3">
      <c r="A816" s="1">
        <v>815</v>
      </c>
      <c r="B816" s="1" t="s">
        <v>17</v>
      </c>
      <c r="C816" s="1">
        <v>1</v>
      </c>
      <c r="D816" s="1">
        <v>120</v>
      </c>
      <c r="E816" s="1">
        <v>100</v>
      </c>
      <c r="F816" s="1">
        <v>7</v>
      </c>
      <c r="G816" s="1">
        <v>25</v>
      </c>
      <c r="H816" s="1">
        <v>150</v>
      </c>
      <c r="I816" s="1">
        <v>100</v>
      </c>
      <c r="J816" s="1">
        <v>55.256999999999998</v>
      </c>
      <c r="K816" s="1">
        <v>44.743000000000002</v>
      </c>
      <c r="L816" s="1">
        <v>55.26</v>
      </c>
      <c r="M816" s="1">
        <v>76.599999999999994</v>
      </c>
      <c r="N816" s="1">
        <v>3.9149999999999997E-2</v>
      </c>
      <c r="O816" s="1">
        <v>2.287E-4</v>
      </c>
      <c r="P816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33.298887344500081</v>
      </c>
      <c r="Q816" s="1">
        <f>LN(Table1[[#This Row],[qe_mg_g]]-Table1[[#This Row],[qt]])</f>
        <v>3.0891366682985106</v>
      </c>
      <c r="R816" s="1">
        <v>2</v>
      </c>
    </row>
    <row r="817" spans="1:18" x14ac:dyDescent="0.3">
      <c r="A817" s="1">
        <v>816</v>
      </c>
      <c r="B817" s="1" t="s">
        <v>17</v>
      </c>
      <c r="C817" s="1">
        <v>1</v>
      </c>
      <c r="D817" s="1">
        <v>120</v>
      </c>
      <c r="E817" s="1">
        <v>100</v>
      </c>
      <c r="F817" s="1">
        <v>7</v>
      </c>
      <c r="G817" s="1">
        <v>25</v>
      </c>
      <c r="H817" s="1">
        <v>150</v>
      </c>
      <c r="I817" s="1">
        <v>100</v>
      </c>
      <c r="J817" s="1">
        <v>59.152999999999999</v>
      </c>
      <c r="K817" s="1">
        <v>40.847000000000001</v>
      </c>
      <c r="L817" s="1">
        <v>59.15</v>
      </c>
      <c r="M817" s="1">
        <v>86.3</v>
      </c>
      <c r="N817" s="1">
        <v>3.1829999999999997E-2</v>
      </c>
      <c r="O817" s="1">
        <v>2.2350000000000001E-4</v>
      </c>
      <c r="P817" s="1">
        <f>(Table1[[#This Row],[Rate_Constant_k2_g_mg_min]]*Table1[[#This Row],[Contact_Time_min]]*Table1[[#This Row],[qe_mg_g]]^2)/(1+Table1[[#This Row],[Contact_Time_min]]*Table1[[#This Row],[qe_mg_g]]*Table1[[#This Row],[Rate_Constant_k2_g_mg_min]])</f>
        <v>36.28295234077391</v>
      </c>
      <c r="Q817" s="1">
        <f>LN(Table1[[#This Row],[qe_mg_g]]-Table1[[#This Row],[qt]])</f>
        <v>3.1298280919514552</v>
      </c>
      <c r="R817" s="1">
        <v>3</v>
      </c>
    </row>
    <row r="818" spans="1:18" x14ac:dyDescent="0.3">
      <c r="A818" s="1">
        <v>817</v>
      </c>
      <c r="B818" s="1" t="s">
        <v>17</v>
      </c>
      <c r="C818" s="1">
        <v>1</v>
      </c>
      <c r="D818" s="1">
        <v>120</v>
      </c>
      <c r="E818" s="1">
        <v>100</v>
      </c>
      <c r="F818" s="1">
        <v>11</v>
      </c>
      <c r="G818" s="1">
        <v>25</v>
      </c>
      <c r="H818" s="1">
        <v>150</v>
      </c>
      <c r="I818" s="1">
        <v>100</v>
      </c>
      <c r="J818" s="1">
        <v>52.029000000000003</v>
      </c>
      <c r="K818" s="1">
        <v>47.970999999999997</v>
      </c>
      <c r="L818" s="1">
        <v>52.03</v>
      </c>
      <c r="M818" s="1">
        <v>110.7</v>
      </c>
      <c r="N818" s="1">
        <v>3.193E-2</v>
      </c>
      <c r="O818" s="1">
        <v>1.9239999999999999E-4</v>
      </c>
      <c r="P818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28.392836395840678</v>
      </c>
      <c r="Q818" s="1">
        <f>LN(Table1[[#This Row],[qe_mg_g]]-Table1[[#This Row],[qt]])</f>
        <v>3.1627778952803949</v>
      </c>
      <c r="R818" s="1">
        <v>1</v>
      </c>
    </row>
    <row r="819" spans="1:18" x14ac:dyDescent="0.3">
      <c r="A819" s="1">
        <v>818</v>
      </c>
      <c r="B819" s="1" t="s">
        <v>17</v>
      </c>
      <c r="C819" s="1">
        <v>1</v>
      </c>
      <c r="D819" s="1">
        <v>120</v>
      </c>
      <c r="E819" s="1">
        <v>100</v>
      </c>
      <c r="F819" s="1">
        <v>11</v>
      </c>
      <c r="G819" s="1">
        <v>25</v>
      </c>
      <c r="H819" s="1">
        <v>150</v>
      </c>
      <c r="I819" s="1">
        <v>100</v>
      </c>
      <c r="J819" s="1">
        <v>49.911999999999999</v>
      </c>
      <c r="K819" s="1">
        <v>50.088000000000001</v>
      </c>
      <c r="L819" s="1">
        <v>49.91</v>
      </c>
      <c r="M819" s="1">
        <v>94</v>
      </c>
      <c r="N819" s="1">
        <v>3.4250000000000003E-2</v>
      </c>
      <c r="O819" s="1">
        <v>1.8249999999999999E-4</v>
      </c>
      <c r="P819" s="1">
        <f>(Table1[[#This Row],[Rate_Constant_k2_g_mg_min]]*Table1[[#This Row],[Contact_Time_min]]*Table1[[#This Row],[qe_mg_g]]^2)/(1+Table1[[#This Row],[Contact_Time_min]]*Table1[[#This Row],[qe_mg_g]]*Table1[[#This Row],[Rate_Constant_k2_g_mg_min]])</f>
        <v>26.065720023498468</v>
      </c>
      <c r="Q819" s="1">
        <f>LN(Table1[[#This Row],[qe_mg_g]]-Table1[[#This Row],[qt]])</f>
        <v>3.1716282293408278</v>
      </c>
      <c r="R819" s="1">
        <v>2</v>
      </c>
    </row>
    <row r="820" spans="1:18" x14ac:dyDescent="0.3">
      <c r="A820" s="1">
        <v>819</v>
      </c>
      <c r="B820" s="1" t="s">
        <v>17</v>
      </c>
      <c r="C820" s="1">
        <v>1</v>
      </c>
      <c r="D820" s="1">
        <v>120</v>
      </c>
      <c r="E820" s="1">
        <v>100</v>
      </c>
      <c r="F820" s="1">
        <v>11</v>
      </c>
      <c r="G820" s="1">
        <v>25</v>
      </c>
      <c r="H820" s="1">
        <v>150</v>
      </c>
      <c r="I820" s="1">
        <v>100</v>
      </c>
      <c r="J820" s="1">
        <v>53.082000000000001</v>
      </c>
      <c r="K820" s="1">
        <v>46.917999999999999</v>
      </c>
      <c r="L820" s="1">
        <v>53.08</v>
      </c>
      <c r="M820" s="1">
        <v>95</v>
      </c>
      <c r="N820" s="1">
        <v>3.1789999999999999E-2</v>
      </c>
      <c r="O820" s="1">
        <v>2.2709999999999999E-4</v>
      </c>
      <c r="P820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31.385685703919613</v>
      </c>
      <c r="Q820" s="1">
        <f>LN(Table1[[#This Row],[qe_mg_g]]-Table1[[#This Row],[qt]])</f>
        <v>3.077142398013696</v>
      </c>
      <c r="R820" s="1">
        <v>3</v>
      </c>
    </row>
    <row r="821" spans="1:18" x14ac:dyDescent="0.3">
      <c r="A821" s="1">
        <v>820</v>
      </c>
      <c r="B821" s="1" t="s">
        <v>17</v>
      </c>
      <c r="C821" s="1">
        <v>1</v>
      </c>
      <c r="D821" s="1">
        <v>120</v>
      </c>
      <c r="E821" s="1">
        <v>200</v>
      </c>
      <c r="F821" s="1">
        <v>3</v>
      </c>
      <c r="G821" s="1">
        <v>25</v>
      </c>
      <c r="H821" s="1">
        <v>150</v>
      </c>
      <c r="I821" s="1">
        <v>100</v>
      </c>
      <c r="J821" s="1">
        <v>90.325999999999993</v>
      </c>
      <c r="K821" s="1">
        <v>109.67400000000001</v>
      </c>
      <c r="L821" s="1">
        <v>45.16</v>
      </c>
      <c r="M821" s="1">
        <v>87.4</v>
      </c>
      <c r="N821" s="1">
        <v>3.5279999999999999E-2</v>
      </c>
      <c r="O821" s="1">
        <v>2.1110000000000001E-4</v>
      </c>
      <c r="P821" s="1">
        <f>(Table1[[#This Row],[Rate_Constant_k2_g_mg_min]]*Table1[[#This Row],[Contact_Time_min]]*Table1[[#This Row],[qe_mg_g]]^2)/(1+Table1[[#This Row],[Contact_Time_min]]*Table1[[#This Row],[qe_mg_g]]*Table1[[#This Row],[Rate_Constant_k2_g_mg_min]])</f>
        <v>62.855743694790021</v>
      </c>
      <c r="Q821" s="1">
        <f>LN(Table1[[#This Row],[qe_mg_g]]-Table1[[#This Row],[qt]])</f>
        <v>3.3131038304316918</v>
      </c>
      <c r="R821" s="1">
        <v>1</v>
      </c>
    </row>
    <row r="822" spans="1:18" x14ac:dyDescent="0.3">
      <c r="A822" s="1">
        <v>821</v>
      </c>
      <c r="B822" s="1" t="s">
        <v>17</v>
      </c>
      <c r="C822" s="1">
        <v>1</v>
      </c>
      <c r="D822" s="1">
        <v>120</v>
      </c>
      <c r="E822" s="1">
        <v>200</v>
      </c>
      <c r="F822" s="1">
        <v>3</v>
      </c>
      <c r="G822" s="1">
        <v>25</v>
      </c>
      <c r="H822" s="1">
        <v>150</v>
      </c>
      <c r="I822" s="1">
        <v>100</v>
      </c>
      <c r="J822" s="1">
        <v>73.894999999999996</v>
      </c>
      <c r="K822" s="1">
        <v>126.105</v>
      </c>
      <c r="L822" s="1">
        <v>36.950000000000003</v>
      </c>
      <c r="M822" s="1">
        <v>86.1</v>
      </c>
      <c r="N822" s="1">
        <v>2.7470000000000001E-2</v>
      </c>
      <c r="O822" s="1">
        <v>2.175E-4</v>
      </c>
      <c r="P822" s="1">
        <f>(Table1[[#This Row],[Rate_Constant_k2_g_mg_min]]*Table1[[#This Row],[Contact_Time_min]]*Table1[[#This Row],[qe_mg_g]]^2)/(1+Table1[[#This Row],[Contact_Time_min]]*Table1[[#This Row],[qe_mg_g]]*Table1[[#This Row],[Rate_Constant_k2_g_mg_min]])</f>
        <v>48.663319772237088</v>
      </c>
      <c r="Q822" s="1">
        <f>LN(Table1[[#This Row],[qe_mg_g]]-Table1[[#This Row],[qt]])</f>
        <v>3.2281003568589437</v>
      </c>
      <c r="R822" s="1">
        <v>2</v>
      </c>
    </row>
    <row r="823" spans="1:18" x14ac:dyDescent="0.3">
      <c r="A823" s="1">
        <v>822</v>
      </c>
      <c r="B823" s="1" t="s">
        <v>17</v>
      </c>
      <c r="C823" s="1">
        <v>1</v>
      </c>
      <c r="D823" s="1">
        <v>120</v>
      </c>
      <c r="E823" s="1">
        <v>200</v>
      </c>
      <c r="F823" s="1">
        <v>3</v>
      </c>
      <c r="G823" s="1">
        <v>25</v>
      </c>
      <c r="H823" s="1">
        <v>150</v>
      </c>
      <c r="I823" s="1">
        <v>100</v>
      </c>
      <c r="J823" s="1">
        <v>68.236000000000004</v>
      </c>
      <c r="K823" s="1">
        <v>131.76400000000001</v>
      </c>
      <c r="L823" s="1">
        <v>34.119999999999997</v>
      </c>
      <c r="M823" s="1">
        <v>105</v>
      </c>
      <c r="N823" s="1">
        <v>3.3840000000000002E-2</v>
      </c>
      <c r="O823" s="1">
        <v>1.9579999999999999E-4</v>
      </c>
      <c r="P823" s="1">
        <f>(Table1[[#This Row],[Rate_Constant_k2_g_mg_min]]*Table1[[#This Row],[Contact_Time_min]]*Table1[[#This Row],[qe_mg_g]]^2)/(1+Table1[[#This Row],[Contact_Time_min]]*Table1[[#This Row],[qe_mg_g]]*Table1[[#This Row],[Rate_Constant_k2_g_mg_min]])</f>
        <v>42.024381574982975</v>
      </c>
      <c r="Q823" s="1">
        <f>LN(Table1[[#This Row],[qe_mg_g]]-Table1[[#This Row],[qt]])</f>
        <v>3.2662027638080935</v>
      </c>
      <c r="R823" s="1">
        <v>3</v>
      </c>
    </row>
    <row r="824" spans="1:18" x14ac:dyDescent="0.3">
      <c r="A824" s="1">
        <v>823</v>
      </c>
      <c r="B824" s="1" t="s">
        <v>17</v>
      </c>
      <c r="C824" s="1">
        <v>1</v>
      </c>
      <c r="D824" s="1">
        <v>120</v>
      </c>
      <c r="E824" s="1">
        <v>200</v>
      </c>
      <c r="F824" s="1">
        <v>7</v>
      </c>
      <c r="G824" s="1">
        <v>25</v>
      </c>
      <c r="H824" s="1">
        <v>150</v>
      </c>
      <c r="I824" s="1">
        <v>100</v>
      </c>
      <c r="J824" s="1">
        <v>108.372</v>
      </c>
      <c r="K824" s="1">
        <v>91.628</v>
      </c>
      <c r="L824" s="1">
        <v>54.19</v>
      </c>
      <c r="M824" s="1">
        <v>82</v>
      </c>
      <c r="N824" s="1">
        <v>3.9960000000000002E-2</v>
      </c>
      <c r="O824" s="1">
        <v>1.5019999999999999E-4</v>
      </c>
      <c r="P824" s="1">
        <f>(Table1[[#This Row],[Rate_Constant_k2_g_mg_min]]*Table1[[#This Row],[Contact_Time_min]]*Table1[[#This Row],[qe_mg_g]]^2)/(1+Table1[[#This Row],[Contact_Time_min]]*Table1[[#This Row],[qe_mg_g]]*Table1[[#This Row],[Rate_Constant_k2_g_mg_min]])</f>
        <v>71.676739536166266</v>
      </c>
      <c r="Q824" s="1">
        <f>LN(Table1[[#This Row],[qe_mg_g]]-Table1[[#This Row],[qt]])</f>
        <v>3.6026476040460613</v>
      </c>
      <c r="R824" s="1">
        <v>1</v>
      </c>
    </row>
    <row r="825" spans="1:18" x14ac:dyDescent="0.3">
      <c r="A825" s="1">
        <v>824</v>
      </c>
      <c r="B825" s="1" t="s">
        <v>17</v>
      </c>
      <c r="C825" s="1">
        <v>1</v>
      </c>
      <c r="D825" s="1">
        <v>120</v>
      </c>
      <c r="E825" s="1">
        <v>200</v>
      </c>
      <c r="F825" s="1">
        <v>7</v>
      </c>
      <c r="G825" s="1">
        <v>25</v>
      </c>
      <c r="H825" s="1">
        <v>150</v>
      </c>
      <c r="I825" s="1">
        <v>100</v>
      </c>
      <c r="J825" s="1">
        <v>130.39599999999999</v>
      </c>
      <c r="K825" s="1">
        <v>69.603999999999999</v>
      </c>
      <c r="L825" s="1">
        <v>65.2</v>
      </c>
      <c r="M825" s="1">
        <v>90.1</v>
      </c>
      <c r="N825" s="1">
        <v>3.0779999999999998E-2</v>
      </c>
      <c r="O825" s="1">
        <v>1.785E-4</v>
      </c>
      <c r="P825" s="1">
        <f>(Table1[[#This Row],[Rate_Constant_k2_g_mg_min]]*Table1[[#This Row],[Contact_Time_min]]*Table1[[#This Row],[qe_mg_g]]^2)/(1+Table1[[#This Row],[Contact_Time_min]]*Table1[[#This Row],[qe_mg_g]]*Table1[[#This Row],[Rate_Constant_k2_g_mg_min]])</f>
        <v>96.018681239356795</v>
      </c>
      <c r="Q825" s="1">
        <f>LN(Table1[[#This Row],[qe_mg_g]]-Table1[[#This Row],[qt]])</f>
        <v>3.5373970085668338</v>
      </c>
      <c r="R825" s="1">
        <v>2</v>
      </c>
    </row>
    <row r="826" spans="1:18" x14ac:dyDescent="0.3">
      <c r="A826" s="1">
        <v>825</v>
      </c>
      <c r="B826" s="1" t="s">
        <v>17</v>
      </c>
      <c r="C826" s="1">
        <v>1</v>
      </c>
      <c r="D826" s="1">
        <v>120</v>
      </c>
      <c r="E826" s="1">
        <v>200</v>
      </c>
      <c r="F826" s="1">
        <v>7</v>
      </c>
      <c r="G826" s="1">
        <v>25</v>
      </c>
      <c r="H826" s="1">
        <v>150</v>
      </c>
      <c r="I826" s="1">
        <v>100</v>
      </c>
      <c r="J826" s="1">
        <v>135.01499999999999</v>
      </c>
      <c r="K826" s="1">
        <v>64.984999999999999</v>
      </c>
      <c r="L826" s="1">
        <v>67.510000000000005</v>
      </c>
      <c r="M826" s="1">
        <v>73.599999999999994</v>
      </c>
      <c r="N826" s="1">
        <v>3.0960000000000001E-2</v>
      </c>
      <c r="O826" s="1">
        <v>2.2269999999999999E-4</v>
      </c>
      <c r="P826" s="1">
        <f>(Table1[[#This Row],[Rate_Constant_k2_g_mg_min]]*Table1[[#This Row],[Contact_Time_min]]*Table1[[#This Row],[qe_mg_g]]^2)/(1+Table1[[#This Row],[Contact_Time_min]]*Table1[[#This Row],[qe_mg_g]]*Table1[[#This Row],[Rate_Constant_k2_g_mg_min]])</f>
        <v>105.71576542755679</v>
      </c>
      <c r="Q826" s="1">
        <f>LN(Table1[[#This Row],[qe_mg_g]]-Table1[[#This Row],[qt]])</f>
        <v>3.3775613918743894</v>
      </c>
      <c r="R826" s="1">
        <v>3</v>
      </c>
    </row>
    <row r="827" spans="1:18" x14ac:dyDescent="0.3">
      <c r="A827" s="1">
        <v>826</v>
      </c>
      <c r="B827" s="1" t="s">
        <v>17</v>
      </c>
      <c r="C827" s="1">
        <v>1</v>
      </c>
      <c r="D827" s="1">
        <v>120</v>
      </c>
      <c r="E827" s="1">
        <v>200</v>
      </c>
      <c r="F827" s="1">
        <v>11</v>
      </c>
      <c r="G827" s="1">
        <v>25</v>
      </c>
      <c r="H827" s="1">
        <v>150</v>
      </c>
      <c r="I827" s="1">
        <v>100</v>
      </c>
      <c r="J827" s="1">
        <v>97.858999999999995</v>
      </c>
      <c r="K827" s="1">
        <v>102.14100000000001</v>
      </c>
      <c r="L827" s="1">
        <v>48.93</v>
      </c>
      <c r="M827" s="1">
        <v>73.7</v>
      </c>
      <c r="N827" s="1">
        <v>3.576E-2</v>
      </c>
      <c r="O827" s="1">
        <v>1.795E-4</v>
      </c>
      <c r="P827" s="1">
        <f>(Table1[[#This Row],[Rate_Constant_k2_g_mg_min]]*Table1[[#This Row],[Contact_Time_min]]*Table1[[#This Row],[qe_mg_g]]^2)/(1+Table1[[#This Row],[Contact_Time_min]]*Table1[[#This Row],[qe_mg_g]]*Table1[[#This Row],[Rate_Constant_k2_g_mg_min]])</f>
        <v>66.371648510825793</v>
      </c>
      <c r="Q827" s="1">
        <f>LN(Table1[[#This Row],[qe_mg_g]]-Table1[[#This Row],[qt]])</f>
        <v>3.4495859251665881</v>
      </c>
      <c r="R827" s="1">
        <v>1</v>
      </c>
    </row>
    <row r="828" spans="1:18" x14ac:dyDescent="0.3">
      <c r="A828" s="1">
        <v>827</v>
      </c>
      <c r="B828" s="1" t="s">
        <v>17</v>
      </c>
      <c r="C828" s="1">
        <v>1</v>
      </c>
      <c r="D828" s="1">
        <v>120</v>
      </c>
      <c r="E828" s="1">
        <v>200</v>
      </c>
      <c r="F828" s="1">
        <v>11</v>
      </c>
      <c r="G828" s="1">
        <v>25</v>
      </c>
      <c r="H828" s="1">
        <v>150</v>
      </c>
      <c r="I828" s="1">
        <v>100</v>
      </c>
      <c r="J828" s="1">
        <v>105.074</v>
      </c>
      <c r="K828" s="1">
        <v>94.926000000000002</v>
      </c>
      <c r="L828" s="1">
        <v>52.54</v>
      </c>
      <c r="M828" s="1">
        <v>99.4</v>
      </c>
      <c r="N828" s="1">
        <v>3.6859999999999997E-2</v>
      </c>
      <c r="O828" s="1">
        <v>2.0719999999999999E-4</v>
      </c>
      <c r="P828" s="1">
        <f>(Table1[[#This Row],[Rate_Constant_k2_g_mg_min]]*Table1[[#This Row],[Contact_Time_min]]*Table1[[#This Row],[qe_mg_g]]^2)/(1+Table1[[#This Row],[Contact_Time_min]]*Table1[[#This Row],[qe_mg_g]]*Table1[[#This Row],[Rate_Constant_k2_g_mg_min]])</f>
        <v>75.988254196058278</v>
      </c>
      <c r="Q828" s="1">
        <f>LN(Table1[[#This Row],[qe_mg_g]]-Table1[[#This Row],[qt]])</f>
        <v>3.3702482192530412</v>
      </c>
      <c r="R828" s="1">
        <v>2</v>
      </c>
    </row>
    <row r="829" spans="1:18" x14ac:dyDescent="0.3">
      <c r="A829" s="1">
        <v>828</v>
      </c>
      <c r="B829" s="1" t="s">
        <v>17</v>
      </c>
      <c r="C829" s="1">
        <v>1</v>
      </c>
      <c r="D829" s="1">
        <v>120</v>
      </c>
      <c r="E829" s="1">
        <v>200</v>
      </c>
      <c r="F829" s="1">
        <v>11</v>
      </c>
      <c r="G829" s="1">
        <v>25</v>
      </c>
      <c r="H829" s="1">
        <v>150</v>
      </c>
      <c r="I829" s="1">
        <v>100</v>
      </c>
      <c r="J829" s="1">
        <v>111.325</v>
      </c>
      <c r="K829" s="1">
        <v>88.674999999999997</v>
      </c>
      <c r="L829" s="1">
        <v>55.66</v>
      </c>
      <c r="M829" s="1">
        <v>85.7</v>
      </c>
      <c r="N829" s="1">
        <v>3.0859999999999999E-2</v>
      </c>
      <c r="O829" s="1">
        <v>2.0900000000000001E-4</v>
      </c>
      <c r="P829" s="1">
        <f>(Table1[[#This Row],[Rate_Constant_k2_g_mg_min]]*Table1[[#This Row],[Contact_Time_min]]*Table1[[#This Row],[qe_mg_g]]^2)/(1+Table1[[#This Row],[Contact_Time_min]]*Table1[[#This Row],[qe_mg_g]]*Table1[[#This Row],[Rate_Constant_k2_g_mg_min]])</f>
        <v>81.967381351840217</v>
      </c>
      <c r="Q829" s="1">
        <f>LN(Table1[[#This Row],[qe_mg_g]]-Table1[[#This Row],[qt]])</f>
        <v>3.3795520917429216</v>
      </c>
      <c r="R829" s="1">
        <v>3</v>
      </c>
    </row>
    <row r="830" spans="1:18" x14ac:dyDescent="0.3">
      <c r="A830" s="1">
        <v>829</v>
      </c>
      <c r="B830" s="1" t="s">
        <v>17</v>
      </c>
      <c r="C830" s="1">
        <v>1</v>
      </c>
      <c r="D830" s="1">
        <v>240</v>
      </c>
      <c r="E830" s="1">
        <v>25</v>
      </c>
      <c r="F830" s="1">
        <v>3</v>
      </c>
      <c r="G830" s="1">
        <v>25</v>
      </c>
      <c r="H830" s="1">
        <v>150</v>
      </c>
      <c r="I830" s="1">
        <v>100</v>
      </c>
      <c r="J830" s="1">
        <v>9.6150000000000002</v>
      </c>
      <c r="K830" s="1">
        <v>15.385</v>
      </c>
      <c r="L830" s="1">
        <v>38.46</v>
      </c>
      <c r="M830" s="1">
        <v>72.7</v>
      </c>
      <c r="N830" s="1">
        <v>3.3730000000000003E-2</v>
      </c>
      <c r="O830" s="1">
        <v>2.0829999999999999E-4</v>
      </c>
      <c r="P83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3.1213315934669397</v>
      </c>
      <c r="Q830" s="1">
        <f>LN(Table1[[#This Row],[qe_mg_g]]-Table1[[#This Row],[qt]])</f>
        <v>1.8708276108637372</v>
      </c>
      <c r="R830" s="1">
        <v>1</v>
      </c>
    </row>
    <row r="831" spans="1:18" x14ac:dyDescent="0.3">
      <c r="A831" s="1">
        <v>830</v>
      </c>
      <c r="B831" s="1" t="s">
        <v>17</v>
      </c>
      <c r="C831" s="1">
        <v>1</v>
      </c>
      <c r="D831" s="1">
        <v>240</v>
      </c>
      <c r="E831" s="1">
        <v>25</v>
      </c>
      <c r="F831" s="1">
        <v>3</v>
      </c>
      <c r="G831" s="1">
        <v>25</v>
      </c>
      <c r="H831" s="1">
        <v>150</v>
      </c>
      <c r="I831" s="1">
        <v>100</v>
      </c>
      <c r="J831" s="1">
        <v>7.9130000000000003</v>
      </c>
      <c r="K831" s="1">
        <v>17.087</v>
      </c>
      <c r="L831" s="1">
        <v>31.65</v>
      </c>
      <c r="M831" s="1">
        <v>73.099999999999994</v>
      </c>
      <c r="N831" s="1">
        <v>3.8929999999999999E-2</v>
      </c>
      <c r="O831" s="1">
        <v>2.4640000000000003E-4</v>
      </c>
      <c r="P83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2.5224643358836083</v>
      </c>
      <c r="Q831" s="1">
        <f>LN(Table1[[#This Row],[qe_mg_g]]-Table1[[#This Row],[qt]])</f>
        <v>1.6846447610805926</v>
      </c>
      <c r="R831" s="1">
        <v>2</v>
      </c>
    </row>
    <row r="832" spans="1:18" x14ac:dyDescent="0.3">
      <c r="A832" s="1">
        <v>831</v>
      </c>
      <c r="B832" s="1" t="s">
        <v>17</v>
      </c>
      <c r="C832" s="1">
        <v>1</v>
      </c>
      <c r="D832" s="1">
        <v>240</v>
      </c>
      <c r="E832" s="1">
        <v>25</v>
      </c>
      <c r="F832" s="1">
        <v>3</v>
      </c>
      <c r="G832" s="1">
        <v>25</v>
      </c>
      <c r="H832" s="1">
        <v>150</v>
      </c>
      <c r="I832" s="1">
        <v>100</v>
      </c>
      <c r="J832" s="1">
        <v>8.1110000000000007</v>
      </c>
      <c r="K832" s="1">
        <v>16.888999999999999</v>
      </c>
      <c r="L832" s="1">
        <v>32.450000000000003</v>
      </c>
      <c r="M832" s="1">
        <v>74.099999999999994</v>
      </c>
      <c r="N832" s="1">
        <v>2.9579999999999999E-2</v>
      </c>
      <c r="O832" s="1">
        <v>2.052E-4</v>
      </c>
      <c r="P83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2.3151538177189503</v>
      </c>
      <c r="Q832" s="1">
        <f>LN(Table1[[#This Row],[qe_mg_g]]-Table1[[#This Row],[qt]])</f>
        <v>1.7571414855074283</v>
      </c>
      <c r="R832" s="1">
        <v>3</v>
      </c>
    </row>
    <row r="833" spans="1:18" x14ac:dyDescent="0.3">
      <c r="A833" s="1">
        <v>832</v>
      </c>
      <c r="B833" s="1" t="s">
        <v>17</v>
      </c>
      <c r="C833" s="1">
        <v>1</v>
      </c>
      <c r="D833" s="1">
        <v>240</v>
      </c>
      <c r="E833" s="1">
        <v>25</v>
      </c>
      <c r="F833" s="1">
        <v>7</v>
      </c>
      <c r="G833" s="1">
        <v>25</v>
      </c>
      <c r="H833" s="1">
        <v>150</v>
      </c>
      <c r="I833" s="1">
        <v>100</v>
      </c>
      <c r="J833" s="1">
        <v>13.622999999999999</v>
      </c>
      <c r="K833" s="1">
        <v>11.377000000000001</v>
      </c>
      <c r="L833" s="1">
        <v>54.49</v>
      </c>
      <c r="M833" s="1">
        <v>91.8</v>
      </c>
      <c r="N833" s="1">
        <v>3.499E-2</v>
      </c>
      <c r="O833" s="1">
        <v>1.8819999999999999E-4</v>
      </c>
      <c r="P83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5.18939607057722</v>
      </c>
      <c r="Q833" s="1">
        <f>LN(Table1[[#This Row],[qe_mg_g]]-Table1[[#This Row],[qt]])</f>
        <v>2.1322241930434243</v>
      </c>
      <c r="R833" s="1">
        <v>1</v>
      </c>
    </row>
    <row r="834" spans="1:18" x14ac:dyDescent="0.3">
      <c r="A834" s="1">
        <v>833</v>
      </c>
      <c r="B834" s="1" t="s">
        <v>17</v>
      </c>
      <c r="C834" s="1">
        <v>1</v>
      </c>
      <c r="D834" s="1">
        <v>240</v>
      </c>
      <c r="E834" s="1">
        <v>25</v>
      </c>
      <c r="F834" s="1">
        <v>7</v>
      </c>
      <c r="G834" s="1">
        <v>25</v>
      </c>
      <c r="H834" s="1">
        <v>150</v>
      </c>
      <c r="I834" s="1">
        <v>100</v>
      </c>
      <c r="J834" s="1">
        <v>10.929</v>
      </c>
      <c r="K834" s="1">
        <v>14.071</v>
      </c>
      <c r="L834" s="1">
        <v>43.72</v>
      </c>
      <c r="M834" s="1">
        <v>96.4</v>
      </c>
      <c r="N834" s="1">
        <v>3.8199999999999998E-2</v>
      </c>
      <c r="O834" s="1">
        <v>1.6909999999999999E-4</v>
      </c>
      <c r="P83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3.358041938532804</v>
      </c>
      <c r="Q834" s="1">
        <f>LN(Table1[[#This Row],[qe_mg_g]]-Table1[[#This Row],[qt]])</f>
        <v>2.0243196197407758</v>
      </c>
      <c r="R834" s="1">
        <v>2</v>
      </c>
    </row>
    <row r="835" spans="1:18" x14ac:dyDescent="0.3">
      <c r="A835" s="1">
        <v>834</v>
      </c>
      <c r="B835" s="1" t="s">
        <v>17</v>
      </c>
      <c r="C835" s="1">
        <v>1</v>
      </c>
      <c r="D835" s="1">
        <v>240</v>
      </c>
      <c r="E835" s="1">
        <v>25</v>
      </c>
      <c r="F835" s="1">
        <v>7</v>
      </c>
      <c r="G835" s="1">
        <v>25</v>
      </c>
      <c r="H835" s="1">
        <v>150</v>
      </c>
      <c r="I835" s="1">
        <v>100</v>
      </c>
      <c r="J835" s="1">
        <v>14.218999999999999</v>
      </c>
      <c r="K835" s="1">
        <v>10.781000000000001</v>
      </c>
      <c r="L835" s="1">
        <v>56.88</v>
      </c>
      <c r="M835" s="1">
        <v>93.1</v>
      </c>
      <c r="N835" s="1">
        <v>3.9899999999999998E-2</v>
      </c>
      <c r="O835" s="1">
        <v>1.7320000000000001E-4</v>
      </c>
      <c r="P835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5.2821646946456537</v>
      </c>
      <c r="Q835" s="1">
        <f>LN(Table1[[#This Row],[qe_mg_g]]-Table1[[#This Row],[qt]])</f>
        <v>2.1901815338255499</v>
      </c>
      <c r="R835" s="1">
        <v>3</v>
      </c>
    </row>
    <row r="836" spans="1:18" x14ac:dyDescent="0.3">
      <c r="A836" s="1">
        <v>835</v>
      </c>
      <c r="B836" s="1" t="s">
        <v>17</v>
      </c>
      <c r="C836" s="1">
        <v>1</v>
      </c>
      <c r="D836" s="1">
        <v>240</v>
      </c>
      <c r="E836" s="1">
        <v>25</v>
      </c>
      <c r="F836" s="1">
        <v>11</v>
      </c>
      <c r="G836" s="1">
        <v>25</v>
      </c>
      <c r="H836" s="1">
        <v>150</v>
      </c>
      <c r="I836" s="1">
        <v>100</v>
      </c>
      <c r="J836" s="1">
        <v>8.3149999999999995</v>
      </c>
      <c r="K836" s="1">
        <v>16.684999999999999</v>
      </c>
      <c r="L836" s="1">
        <v>33.26</v>
      </c>
      <c r="M836" s="1">
        <v>83.8</v>
      </c>
      <c r="N836" s="1">
        <v>3.6760000000000001E-2</v>
      </c>
      <c r="O836" s="1">
        <v>2.3589999999999999E-4</v>
      </c>
      <c r="P83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2.6614681750964961</v>
      </c>
      <c r="Q836" s="1">
        <f>LN(Table1[[#This Row],[qe_mg_g]]-Table1[[#This Row],[qt]])</f>
        <v>1.7322804516164632</v>
      </c>
      <c r="R836" s="1">
        <v>1</v>
      </c>
    </row>
    <row r="837" spans="1:18" x14ac:dyDescent="0.3">
      <c r="A837" s="1">
        <v>836</v>
      </c>
      <c r="B837" s="1" t="s">
        <v>17</v>
      </c>
      <c r="C837" s="1">
        <v>1</v>
      </c>
      <c r="D837" s="1">
        <v>240</v>
      </c>
      <c r="E837" s="1">
        <v>25</v>
      </c>
      <c r="F837" s="1">
        <v>11</v>
      </c>
      <c r="G837" s="1">
        <v>25</v>
      </c>
      <c r="H837" s="1">
        <v>150</v>
      </c>
      <c r="I837" s="1">
        <v>100</v>
      </c>
      <c r="J837" s="1">
        <v>10.31</v>
      </c>
      <c r="K837" s="1">
        <v>14.69</v>
      </c>
      <c r="L837" s="1">
        <v>41.24</v>
      </c>
      <c r="M837" s="1">
        <v>82.6</v>
      </c>
      <c r="N837" s="1">
        <v>3.141E-2</v>
      </c>
      <c r="O837" s="1">
        <v>2.2460000000000001E-4</v>
      </c>
      <c r="P83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3.6829722580663078</v>
      </c>
      <c r="Q837" s="1">
        <f>LN(Table1[[#This Row],[qe_mg_g]]-Table1[[#This Row],[qt]])</f>
        <v>1.8911563992952594</v>
      </c>
      <c r="R837" s="1">
        <v>2</v>
      </c>
    </row>
    <row r="838" spans="1:18" x14ac:dyDescent="0.3">
      <c r="A838" s="1">
        <v>837</v>
      </c>
      <c r="B838" s="1" t="s">
        <v>17</v>
      </c>
      <c r="C838" s="1">
        <v>1</v>
      </c>
      <c r="D838" s="1">
        <v>240</v>
      </c>
      <c r="E838" s="1">
        <v>25</v>
      </c>
      <c r="F838" s="1">
        <v>11</v>
      </c>
      <c r="G838" s="1">
        <v>25</v>
      </c>
      <c r="H838" s="1">
        <v>150</v>
      </c>
      <c r="I838" s="1">
        <v>100</v>
      </c>
      <c r="J838" s="1">
        <v>8.7010000000000005</v>
      </c>
      <c r="K838" s="1">
        <v>16.298999999999999</v>
      </c>
      <c r="L838" s="1">
        <v>34.799999999999997</v>
      </c>
      <c r="M838" s="1">
        <v>106.7</v>
      </c>
      <c r="N838" s="1">
        <v>3.4000000000000002E-2</v>
      </c>
      <c r="O838" s="1">
        <v>2.318E-4</v>
      </c>
      <c r="P83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2.8380059227061891</v>
      </c>
      <c r="Q838" s="1">
        <f>LN(Table1[[#This Row],[qe_mg_g]]-Table1[[#This Row],[qt]])</f>
        <v>1.7686604077980117</v>
      </c>
      <c r="R838" s="1">
        <v>3</v>
      </c>
    </row>
    <row r="839" spans="1:18" x14ac:dyDescent="0.3">
      <c r="A839" s="1">
        <v>838</v>
      </c>
      <c r="B839" s="1" t="s">
        <v>17</v>
      </c>
      <c r="C839" s="1">
        <v>1</v>
      </c>
      <c r="D839" s="1">
        <v>240</v>
      </c>
      <c r="E839" s="1">
        <v>50</v>
      </c>
      <c r="F839" s="1">
        <v>3</v>
      </c>
      <c r="G839" s="1">
        <v>25</v>
      </c>
      <c r="H839" s="1">
        <v>150</v>
      </c>
      <c r="I839" s="1">
        <v>100</v>
      </c>
      <c r="J839" s="1">
        <v>22.975999999999999</v>
      </c>
      <c r="K839" s="1">
        <v>27.024000000000001</v>
      </c>
      <c r="L839" s="1">
        <v>45.95</v>
      </c>
      <c r="M839" s="1">
        <v>84</v>
      </c>
      <c r="N839" s="1">
        <v>3.3180000000000001E-2</v>
      </c>
      <c r="O839" s="1">
        <v>1.9320000000000001E-4</v>
      </c>
      <c r="P839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11.851499548946435</v>
      </c>
      <c r="Q839" s="1">
        <f>LN(Table1[[#This Row],[qe_mg_g]]-Table1[[#This Row],[qt]])</f>
        <v>2.4091499237680374</v>
      </c>
      <c r="R839" s="1">
        <v>1</v>
      </c>
    </row>
    <row r="840" spans="1:18" x14ac:dyDescent="0.3">
      <c r="A840" s="1">
        <v>839</v>
      </c>
      <c r="B840" s="1" t="s">
        <v>17</v>
      </c>
      <c r="C840" s="1">
        <v>1</v>
      </c>
      <c r="D840" s="1">
        <v>240</v>
      </c>
      <c r="E840" s="1">
        <v>50</v>
      </c>
      <c r="F840" s="1">
        <v>3</v>
      </c>
      <c r="G840" s="1">
        <v>25</v>
      </c>
      <c r="H840" s="1">
        <v>150</v>
      </c>
      <c r="I840" s="1">
        <v>100</v>
      </c>
      <c r="J840" s="1">
        <v>22.436</v>
      </c>
      <c r="K840" s="1">
        <v>27.564</v>
      </c>
      <c r="L840" s="1">
        <v>44.87</v>
      </c>
      <c r="M840" s="1">
        <v>86.7</v>
      </c>
      <c r="N840" s="1">
        <v>3.2919999999999998E-2</v>
      </c>
      <c r="O840" s="1">
        <v>1.9670000000000001E-4</v>
      </c>
      <c r="P840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11.54028801298873</v>
      </c>
      <c r="Q840" s="1">
        <f>LN(Table1[[#This Row],[qe_mg_g]]-Table1[[#This Row],[qt]])</f>
        <v>2.3883693161476751</v>
      </c>
      <c r="R840" s="1">
        <v>2</v>
      </c>
    </row>
    <row r="841" spans="1:18" x14ac:dyDescent="0.3">
      <c r="A841" s="1">
        <v>840</v>
      </c>
      <c r="B841" s="1" t="s">
        <v>17</v>
      </c>
      <c r="C841" s="1">
        <v>1</v>
      </c>
      <c r="D841" s="1">
        <v>240</v>
      </c>
      <c r="E841" s="1">
        <v>50</v>
      </c>
      <c r="F841" s="1">
        <v>3</v>
      </c>
      <c r="G841" s="1">
        <v>25</v>
      </c>
      <c r="H841" s="1">
        <v>150</v>
      </c>
      <c r="I841" s="1">
        <v>100</v>
      </c>
      <c r="J841" s="1">
        <v>21.684000000000001</v>
      </c>
      <c r="K841" s="1">
        <v>28.315999999999999</v>
      </c>
      <c r="L841" s="1">
        <v>43.37</v>
      </c>
      <c r="M841" s="1">
        <v>58.3</v>
      </c>
      <c r="N841" s="1">
        <v>3.6600000000000001E-2</v>
      </c>
      <c r="O841" s="1">
        <v>1.8039999999999999E-4</v>
      </c>
      <c r="P841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10.499938060275911</v>
      </c>
      <c r="Q841" s="1">
        <f>LN(Table1[[#This Row],[qe_mg_g]]-Table1[[#This Row],[qt]])</f>
        <v>2.4144897237204042</v>
      </c>
      <c r="R841" s="1">
        <v>3</v>
      </c>
    </row>
    <row r="842" spans="1:18" x14ac:dyDescent="0.3">
      <c r="A842" s="1">
        <v>841</v>
      </c>
      <c r="B842" s="1" t="s">
        <v>17</v>
      </c>
      <c r="C842" s="1">
        <v>1</v>
      </c>
      <c r="D842" s="1">
        <v>240</v>
      </c>
      <c r="E842" s="1">
        <v>50</v>
      </c>
      <c r="F842" s="1">
        <v>7</v>
      </c>
      <c r="G842" s="1">
        <v>25</v>
      </c>
      <c r="H842" s="1">
        <v>150</v>
      </c>
      <c r="I842" s="1">
        <v>100</v>
      </c>
      <c r="J842" s="1">
        <v>27.995000000000001</v>
      </c>
      <c r="K842" s="1">
        <v>22.004999999999999</v>
      </c>
      <c r="L842" s="1">
        <v>55.99</v>
      </c>
      <c r="M842" s="1">
        <v>64</v>
      </c>
      <c r="N842" s="1">
        <v>2.8719999999999999E-2</v>
      </c>
      <c r="O842" s="1">
        <v>1.729E-4</v>
      </c>
      <c r="P842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15.0444276369757</v>
      </c>
      <c r="Q842" s="1">
        <f>LN(Table1[[#This Row],[qe_mg_g]]-Table1[[#This Row],[qt]])</f>
        <v>2.5611399850857821</v>
      </c>
      <c r="R842" s="1">
        <v>1</v>
      </c>
    </row>
    <row r="843" spans="1:18" x14ac:dyDescent="0.3">
      <c r="A843" s="1">
        <v>842</v>
      </c>
      <c r="B843" s="1" t="s">
        <v>17</v>
      </c>
      <c r="C843" s="1">
        <v>1</v>
      </c>
      <c r="D843" s="1">
        <v>240</v>
      </c>
      <c r="E843" s="1">
        <v>50</v>
      </c>
      <c r="F843" s="1">
        <v>7</v>
      </c>
      <c r="G843" s="1">
        <v>25</v>
      </c>
      <c r="H843" s="1">
        <v>150</v>
      </c>
      <c r="I843" s="1">
        <v>100</v>
      </c>
      <c r="J843" s="1">
        <v>29.401</v>
      </c>
      <c r="K843" s="1">
        <v>20.599</v>
      </c>
      <c r="L843" s="1">
        <v>58.8</v>
      </c>
      <c r="M843" s="1">
        <v>110.8</v>
      </c>
      <c r="N843" s="1">
        <v>3.3160000000000002E-2</v>
      </c>
      <c r="O843" s="1">
        <v>2.0359999999999999E-4</v>
      </c>
      <c r="P843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17.334845894443397</v>
      </c>
      <c r="Q843" s="1">
        <f>LN(Table1[[#This Row],[qe_mg_g]]-Table1[[#This Row],[qt]])</f>
        <v>2.490404351821363</v>
      </c>
      <c r="R843" s="1">
        <v>2</v>
      </c>
    </row>
    <row r="844" spans="1:18" x14ac:dyDescent="0.3">
      <c r="A844" s="1">
        <v>843</v>
      </c>
      <c r="B844" s="1" t="s">
        <v>17</v>
      </c>
      <c r="C844" s="1">
        <v>1</v>
      </c>
      <c r="D844" s="1">
        <v>240</v>
      </c>
      <c r="E844" s="1">
        <v>50</v>
      </c>
      <c r="F844" s="1">
        <v>7</v>
      </c>
      <c r="G844" s="1">
        <v>25</v>
      </c>
      <c r="H844" s="1">
        <v>150</v>
      </c>
      <c r="I844" s="1">
        <v>100</v>
      </c>
      <c r="J844" s="1">
        <v>32.911999999999999</v>
      </c>
      <c r="K844" s="1">
        <v>17.088000000000001</v>
      </c>
      <c r="L844" s="1">
        <v>65.819999999999993</v>
      </c>
      <c r="M844" s="1">
        <v>87.4</v>
      </c>
      <c r="N844" s="1">
        <v>3.4729999999999997E-2</v>
      </c>
      <c r="O844" s="1">
        <v>1.761E-4</v>
      </c>
      <c r="P844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19.147006462386752</v>
      </c>
      <c r="Q844" s="1">
        <f>LN(Table1[[#This Row],[qe_mg_g]]-Table1[[#This Row],[qt]])</f>
        <v>2.622128669114856</v>
      </c>
      <c r="R844" s="1">
        <v>3</v>
      </c>
    </row>
    <row r="845" spans="1:18" x14ac:dyDescent="0.3">
      <c r="A845" s="1">
        <v>844</v>
      </c>
      <c r="B845" s="1" t="s">
        <v>17</v>
      </c>
      <c r="C845" s="1">
        <v>1</v>
      </c>
      <c r="D845" s="1">
        <v>240</v>
      </c>
      <c r="E845" s="1">
        <v>50</v>
      </c>
      <c r="F845" s="1">
        <v>11</v>
      </c>
      <c r="G845" s="1">
        <v>25</v>
      </c>
      <c r="H845" s="1">
        <v>150</v>
      </c>
      <c r="I845" s="1">
        <v>100</v>
      </c>
      <c r="J845" s="1">
        <v>29.206</v>
      </c>
      <c r="K845" s="1">
        <v>20.794</v>
      </c>
      <c r="L845" s="1">
        <v>58.41</v>
      </c>
      <c r="M845" s="1">
        <v>108.9</v>
      </c>
      <c r="N845" s="1">
        <v>2.911E-2</v>
      </c>
      <c r="O845" s="1">
        <v>1.795E-4</v>
      </c>
      <c r="P845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16.272658669717408</v>
      </c>
      <c r="Q845" s="1">
        <f>LN(Table1[[#This Row],[qe_mg_g]]-Table1[[#This Row],[qt]])</f>
        <v>2.5598085762817457</v>
      </c>
      <c r="R845" s="1">
        <v>1</v>
      </c>
    </row>
    <row r="846" spans="1:18" x14ac:dyDescent="0.3">
      <c r="A846" s="1">
        <v>845</v>
      </c>
      <c r="B846" s="1" t="s">
        <v>17</v>
      </c>
      <c r="C846" s="1">
        <v>1</v>
      </c>
      <c r="D846" s="1">
        <v>240</v>
      </c>
      <c r="E846" s="1">
        <v>50</v>
      </c>
      <c r="F846" s="1">
        <v>11</v>
      </c>
      <c r="G846" s="1">
        <v>25</v>
      </c>
      <c r="H846" s="1">
        <v>150</v>
      </c>
      <c r="I846" s="1">
        <v>100</v>
      </c>
      <c r="J846" s="1">
        <v>24.792000000000002</v>
      </c>
      <c r="K846" s="1">
        <v>25.207999999999998</v>
      </c>
      <c r="L846" s="1">
        <v>49.58</v>
      </c>
      <c r="M846" s="1">
        <v>73.3</v>
      </c>
      <c r="N846" s="1">
        <v>3.6769999999999997E-2</v>
      </c>
      <c r="O846" s="1">
        <v>1.8540000000000001E-4</v>
      </c>
      <c r="P846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13.003938796234078</v>
      </c>
      <c r="Q846" s="1">
        <f>LN(Table1[[#This Row],[qe_mg_g]]-Table1[[#This Row],[qt]])</f>
        <v>2.4670872569018343</v>
      </c>
      <c r="R846" s="1">
        <v>2</v>
      </c>
    </row>
    <row r="847" spans="1:18" x14ac:dyDescent="0.3">
      <c r="A847" s="1">
        <v>846</v>
      </c>
      <c r="B847" s="1" t="s">
        <v>17</v>
      </c>
      <c r="C847" s="1">
        <v>1</v>
      </c>
      <c r="D847" s="1">
        <v>240</v>
      </c>
      <c r="E847" s="1">
        <v>50</v>
      </c>
      <c r="F847" s="1">
        <v>11</v>
      </c>
      <c r="G847" s="1">
        <v>25</v>
      </c>
      <c r="H847" s="1">
        <v>150</v>
      </c>
      <c r="I847" s="1">
        <v>100</v>
      </c>
      <c r="J847" s="1">
        <v>31.027999999999999</v>
      </c>
      <c r="K847" s="1">
        <v>18.972000000000001</v>
      </c>
      <c r="L847" s="1">
        <v>62.06</v>
      </c>
      <c r="M847" s="1">
        <v>101</v>
      </c>
      <c r="N847" s="1">
        <v>3.5740000000000001E-2</v>
      </c>
      <c r="O847" s="1">
        <v>2.2049999999999999E-4</v>
      </c>
      <c r="P847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19.283874591090353</v>
      </c>
      <c r="Q847" s="1">
        <f>LN(Table1[[#This Row],[qe_mg_g]]-Table1[[#This Row],[qt]])</f>
        <v>2.4633531503667152</v>
      </c>
      <c r="R847" s="1">
        <v>3</v>
      </c>
    </row>
    <row r="848" spans="1:18" x14ac:dyDescent="0.3">
      <c r="A848" s="1">
        <v>847</v>
      </c>
      <c r="B848" s="1" t="s">
        <v>17</v>
      </c>
      <c r="C848" s="1">
        <v>1</v>
      </c>
      <c r="D848" s="1">
        <v>240</v>
      </c>
      <c r="E848" s="1">
        <v>100</v>
      </c>
      <c r="F848" s="1">
        <v>3</v>
      </c>
      <c r="G848" s="1">
        <v>25</v>
      </c>
      <c r="H848" s="1">
        <v>150</v>
      </c>
      <c r="I848" s="1">
        <v>100</v>
      </c>
      <c r="J848" s="1">
        <v>56.424999999999997</v>
      </c>
      <c r="K848" s="1">
        <v>43.575000000000003</v>
      </c>
      <c r="L848" s="1">
        <v>56.43</v>
      </c>
      <c r="M848" s="1">
        <v>78.5</v>
      </c>
      <c r="N848" s="1">
        <v>3.2140000000000002E-2</v>
      </c>
      <c r="O848" s="1">
        <v>2.0159999999999999E-4</v>
      </c>
      <c r="P848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41.297926686146553</v>
      </c>
      <c r="Q848" s="1">
        <f>LN(Table1[[#This Row],[qe_mg_g]]-Table1[[#This Row],[qt]])</f>
        <v>2.7164860731243725</v>
      </c>
      <c r="R848" s="1">
        <v>1</v>
      </c>
    </row>
    <row r="849" spans="1:18" x14ac:dyDescent="0.3">
      <c r="A849" s="1">
        <v>848</v>
      </c>
      <c r="B849" s="1" t="s">
        <v>17</v>
      </c>
      <c r="C849" s="1">
        <v>1</v>
      </c>
      <c r="D849" s="1">
        <v>240</v>
      </c>
      <c r="E849" s="1">
        <v>100</v>
      </c>
      <c r="F849" s="1">
        <v>3</v>
      </c>
      <c r="G849" s="1">
        <v>25</v>
      </c>
      <c r="H849" s="1">
        <v>150</v>
      </c>
      <c r="I849" s="1">
        <v>100</v>
      </c>
      <c r="J849" s="1">
        <v>55.183999999999997</v>
      </c>
      <c r="K849" s="1">
        <v>44.816000000000003</v>
      </c>
      <c r="L849" s="1">
        <v>55.18</v>
      </c>
      <c r="M849" s="1">
        <v>87.5</v>
      </c>
      <c r="N849" s="1">
        <v>2.9479999999999999E-2</v>
      </c>
      <c r="O849" s="1">
        <v>1.839E-4</v>
      </c>
      <c r="P849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39.121599385230596</v>
      </c>
      <c r="Q849" s="1">
        <f>LN(Table1[[#This Row],[qe_mg_g]]-Table1[[#This Row],[qt]])</f>
        <v>2.7764811752289442</v>
      </c>
      <c r="R849" s="1">
        <v>2</v>
      </c>
    </row>
    <row r="850" spans="1:18" x14ac:dyDescent="0.3">
      <c r="A850" s="1">
        <v>849</v>
      </c>
      <c r="B850" s="1" t="s">
        <v>17</v>
      </c>
      <c r="C850" s="1">
        <v>1</v>
      </c>
      <c r="D850" s="1">
        <v>240</v>
      </c>
      <c r="E850" s="1">
        <v>100</v>
      </c>
      <c r="F850" s="1">
        <v>3</v>
      </c>
      <c r="G850" s="1">
        <v>25</v>
      </c>
      <c r="H850" s="1">
        <v>150</v>
      </c>
      <c r="I850" s="1">
        <v>100</v>
      </c>
      <c r="J850" s="1">
        <v>50.430999999999997</v>
      </c>
      <c r="K850" s="1">
        <v>49.569000000000003</v>
      </c>
      <c r="L850" s="1">
        <v>50.43</v>
      </c>
      <c r="M850" s="1">
        <v>84.7</v>
      </c>
      <c r="N850" s="1">
        <v>4.19E-2</v>
      </c>
      <c r="O850" s="1">
        <v>1.7229999999999999E-4</v>
      </c>
      <c r="P850" s="1">
        <f>(Table1[[#This Row],[Rate_Constant_k2_g_mg_min]]*Table1[[#This Row],[Contact_Time_min]]*Table1[[#This Row],[qe_mg_g]]^2)/(1+Table1[[#This Row],[Contact_Time_min]]*Table1[[#This Row],[qe_mg_g]]*Table1[[#This Row],[Rate_Constant_k2_g_mg_min]])</f>
        <v>34.086075914278808</v>
      </c>
      <c r="Q850" s="1">
        <f>LN(Table1[[#This Row],[qe_mg_g]]-Table1[[#This Row],[qt]])</f>
        <v>2.7939173956698964</v>
      </c>
      <c r="R850" s="1">
        <v>3</v>
      </c>
    </row>
    <row r="851" spans="1:18" x14ac:dyDescent="0.3">
      <c r="A851" s="1">
        <v>850</v>
      </c>
      <c r="B851" s="1" t="s">
        <v>17</v>
      </c>
      <c r="C851" s="1">
        <v>1</v>
      </c>
      <c r="D851" s="1">
        <v>240</v>
      </c>
      <c r="E851" s="1">
        <v>100</v>
      </c>
      <c r="F851" s="1">
        <v>7</v>
      </c>
      <c r="G851" s="1">
        <v>25</v>
      </c>
      <c r="H851" s="1">
        <v>150</v>
      </c>
      <c r="I851" s="1">
        <v>100</v>
      </c>
      <c r="J851" s="1">
        <v>75.626000000000005</v>
      </c>
      <c r="K851" s="1">
        <v>24.373999999999999</v>
      </c>
      <c r="L851" s="1">
        <v>75.63</v>
      </c>
      <c r="M851" s="1">
        <v>104.9</v>
      </c>
      <c r="N851" s="1">
        <v>4.2950000000000002E-2</v>
      </c>
      <c r="O851" s="1">
        <v>1.919E-4</v>
      </c>
      <c r="P851" s="1">
        <f>(Table1[[#This Row],[Rate_Constant_k2_g_mg_min]]*Table1[[#This Row],[Contact_Time_min]]*Table1[[#This Row],[qe_mg_g]]^2)/(1+Table1[[#This Row],[Contact_Time_min]]*Table1[[#This Row],[qe_mg_g]]*Table1[[#This Row],[Rate_Constant_k2_g_mg_min]])</f>
        <v>58.7566098362215</v>
      </c>
      <c r="Q851" s="1">
        <f>LN(Table1[[#This Row],[qe_mg_g]]-Table1[[#This Row],[qt]])</f>
        <v>2.825500746750865</v>
      </c>
      <c r="R851" s="1">
        <v>1</v>
      </c>
    </row>
    <row r="852" spans="1:18" x14ac:dyDescent="0.3">
      <c r="A852" s="1">
        <v>851</v>
      </c>
      <c r="B852" s="1" t="s">
        <v>17</v>
      </c>
      <c r="C852" s="1">
        <v>1</v>
      </c>
      <c r="D852" s="1">
        <v>240</v>
      </c>
      <c r="E852" s="1">
        <v>100</v>
      </c>
      <c r="F852" s="1">
        <v>7</v>
      </c>
      <c r="G852" s="1">
        <v>25</v>
      </c>
      <c r="H852" s="1">
        <v>150</v>
      </c>
      <c r="I852" s="1">
        <v>100</v>
      </c>
      <c r="J852" s="1">
        <v>75.524000000000001</v>
      </c>
      <c r="K852" s="1">
        <v>24.475999999999999</v>
      </c>
      <c r="L852" s="1">
        <v>75.52</v>
      </c>
      <c r="M852" s="1">
        <v>93</v>
      </c>
      <c r="N852" s="1">
        <v>3.5680000000000003E-2</v>
      </c>
      <c r="O852" s="1">
        <v>1.9799999999999999E-4</v>
      </c>
      <c r="P852" s="1">
        <f>(Table1[[#This Row],[Rate_Constant_k2_g_mg_min]]*Table1[[#This Row],[Contact_Time_min]]*Table1[[#This Row],[qe_mg_g]]^2)/(1+Table1[[#This Row],[Contact_Time_min]]*Table1[[#This Row],[qe_mg_g]]*Table1[[#This Row],[Rate_Constant_k2_g_mg_min]])</f>
        <v>59.066027043480361</v>
      </c>
      <c r="Q852" s="1">
        <f>LN(Table1[[#This Row],[qe_mg_g]]-Table1[[#This Row],[qt]])</f>
        <v>2.8008100380007179</v>
      </c>
      <c r="R852" s="1">
        <v>2</v>
      </c>
    </row>
    <row r="853" spans="1:18" x14ac:dyDescent="0.3">
      <c r="A853" s="1">
        <v>852</v>
      </c>
      <c r="B853" s="1" t="s">
        <v>17</v>
      </c>
      <c r="C853" s="1">
        <v>1</v>
      </c>
      <c r="D853" s="1">
        <v>240</v>
      </c>
      <c r="E853" s="1">
        <v>100</v>
      </c>
      <c r="F853" s="1">
        <v>7</v>
      </c>
      <c r="G853" s="1">
        <v>25</v>
      </c>
      <c r="H853" s="1">
        <v>150</v>
      </c>
      <c r="I853" s="1">
        <v>100</v>
      </c>
      <c r="J853" s="1">
        <v>75.125</v>
      </c>
      <c r="K853" s="1">
        <v>24.875</v>
      </c>
      <c r="L853" s="1">
        <v>75.12</v>
      </c>
      <c r="M853" s="1">
        <v>53.2</v>
      </c>
      <c r="N853" s="1">
        <v>3.739E-2</v>
      </c>
      <c r="O853" s="1">
        <v>2.0249999999999999E-4</v>
      </c>
      <c r="P853" s="1">
        <f>(Table1[[#This Row],[Rate_Constant_k2_g_mg_min]]*Table1[[#This Row],[Contact_Time_min]]*Table1[[#This Row],[qe_mg_g]]^2)/(1+Table1[[#This Row],[Contact_Time_min]]*Table1[[#This Row],[qe_mg_g]]*Table1[[#This Row],[Rate_Constant_k2_g_mg_min]])</f>
        <v>58.972820127604905</v>
      </c>
      <c r="Q853" s="1">
        <f>LN(Table1[[#This Row],[qe_mg_g]]-Table1[[#This Row],[qt]])</f>
        <v>2.7820550171790326</v>
      </c>
      <c r="R853" s="1">
        <v>3</v>
      </c>
    </row>
    <row r="854" spans="1:18" x14ac:dyDescent="0.3">
      <c r="A854" s="1">
        <v>853</v>
      </c>
      <c r="B854" s="1" t="s">
        <v>17</v>
      </c>
      <c r="C854" s="1">
        <v>1</v>
      </c>
      <c r="D854" s="1">
        <v>240</v>
      </c>
      <c r="E854" s="1">
        <v>100</v>
      </c>
      <c r="F854" s="1">
        <v>11</v>
      </c>
      <c r="G854" s="1">
        <v>25</v>
      </c>
      <c r="H854" s="1">
        <v>150</v>
      </c>
      <c r="I854" s="1">
        <v>100</v>
      </c>
      <c r="J854" s="1">
        <v>57.905999999999999</v>
      </c>
      <c r="K854" s="1">
        <v>42.094000000000001</v>
      </c>
      <c r="L854" s="1">
        <v>57.91</v>
      </c>
      <c r="M854" s="1">
        <v>112</v>
      </c>
      <c r="N854" s="1">
        <v>3.2640000000000002E-2</v>
      </c>
      <c r="O854" s="1">
        <v>1.919E-4</v>
      </c>
      <c r="P854" s="1">
        <f>(Table1[[#This Row],[Rate_Constant_k2_g_mg_min]]*Table1[[#This Row],[Contact_Time_min]]*Table1[[#This Row],[qe_mg_g]]^2)/(1+Table1[[#This Row],[Contact_Time_min]]*Table1[[#This Row],[qe_mg_g]]*Table1[[#This Row],[Rate_Constant_k2_g_mg_min]])</f>
        <v>42.114540148024702</v>
      </c>
      <c r="Q854" s="1">
        <f>LN(Table1[[#This Row],[qe_mg_g]]-Table1[[#This Row],[qt]])</f>
        <v>2.7594692782038854</v>
      </c>
      <c r="R854" s="1">
        <v>1</v>
      </c>
    </row>
    <row r="855" spans="1:18" x14ac:dyDescent="0.3">
      <c r="A855" s="1">
        <v>854</v>
      </c>
      <c r="B855" s="1" t="s">
        <v>17</v>
      </c>
      <c r="C855" s="1">
        <v>1</v>
      </c>
      <c r="D855" s="1">
        <v>240</v>
      </c>
      <c r="E855" s="1">
        <v>100</v>
      </c>
      <c r="F855" s="1">
        <v>11</v>
      </c>
      <c r="G855" s="1">
        <v>25</v>
      </c>
      <c r="H855" s="1">
        <v>150</v>
      </c>
      <c r="I855" s="1">
        <v>100</v>
      </c>
      <c r="J855" s="1">
        <v>71.019000000000005</v>
      </c>
      <c r="K855" s="1">
        <v>28.981000000000002</v>
      </c>
      <c r="L855" s="1">
        <v>71.02</v>
      </c>
      <c r="M855" s="1">
        <v>75</v>
      </c>
      <c r="N855" s="1">
        <v>3.3070000000000002E-2</v>
      </c>
      <c r="O855" s="1">
        <v>1.9709999999999999E-4</v>
      </c>
      <c r="P855" s="1">
        <f>(Table1[[#This Row],[Rate_Constant_k2_g_mg_min]]*Table1[[#This Row],[Contact_Time_min]]*Table1[[#This Row],[qe_mg_g]]^2)/(1+Table1[[#This Row],[Contact_Time_min]]*Table1[[#This Row],[qe_mg_g]]*Table1[[#This Row],[Rate_Constant_k2_g_mg_min]])</f>
        <v>54.728305977540124</v>
      </c>
      <c r="Q855" s="1">
        <f>LN(Table1[[#This Row],[qe_mg_g]]-Table1[[#This Row],[qt]])</f>
        <v>2.7905940259089914</v>
      </c>
      <c r="R855" s="1">
        <v>2</v>
      </c>
    </row>
    <row r="856" spans="1:18" x14ac:dyDescent="0.3">
      <c r="A856" s="1">
        <v>855</v>
      </c>
      <c r="B856" s="1" t="s">
        <v>17</v>
      </c>
      <c r="C856" s="1">
        <v>1</v>
      </c>
      <c r="D856" s="1">
        <v>240</v>
      </c>
      <c r="E856" s="1">
        <v>100</v>
      </c>
      <c r="F856" s="1">
        <v>11</v>
      </c>
      <c r="G856" s="1">
        <v>25</v>
      </c>
      <c r="H856" s="1">
        <v>150</v>
      </c>
      <c r="I856" s="1">
        <v>100</v>
      </c>
      <c r="J856" s="1">
        <v>64.203000000000003</v>
      </c>
      <c r="K856" s="1">
        <v>35.796999999999997</v>
      </c>
      <c r="L856" s="1">
        <v>64.2</v>
      </c>
      <c r="M856" s="1">
        <v>88.4</v>
      </c>
      <c r="N856" s="1">
        <v>3.048E-2</v>
      </c>
      <c r="O856" s="1">
        <v>1.894E-4</v>
      </c>
      <c r="P856" s="1">
        <f>(Table1[[#This Row],[Rate_Constant_k2_g_mg_min]]*Table1[[#This Row],[Contact_Time_min]]*Table1[[#This Row],[qe_mg_g]]^2)/(1+Table1[[#This Row],[Contact_Time_min]]*Table1[[#This Row],[qe_mg_g]]*Table1[[#This Row],[Rate_Constant_k2_g_mg_min]])</f>
        <v>47.818044288783092</v>
      </c>
      <c r="Q856" s="1">
        <f>LN(Table1[[#This Row],[qe_mg_g]]-Table1[[#This Row],[qt]])</f>
        <v>2.7963635791393071</v>
      </c>
      <c r="R856" s="1">
        <v>3</v>
      </c>
    </row>
    <row r="857" spans="1:18" x14ac:dyDescent="0.3">
      <c r="A857" s="1">
        <v>856</v>
      </c>
      <c r="B857" s="1" t="s">
        <v>17</v>
      </c>
      <c r="C857" s="1">
        <v>1</v>
      </c>
      <c r="D857" s="1">
        <v>240</v>
      </c>
      <c r="E857" s="1">
        <v>200</v>
      </c>
      <c r="F857" s="1">
        <v>3</v>
      </c>
      <c r="G857" s="1">
        <v>25</v>
      </c>
      <c r="H857" s="1">
        <v>150</v>
      </c>
      <c r="I857" s="1">
        <v>100</v>
      </c>
      <c r="J857" s="1">
        <v>87.819000000000003</v>
      </c>
      <c r="K857" s="1">
        <v>112.181</v>
      </c>
      <c r="L857" s="1">
        <v>43.91</v>
      </c>
      <c r="M857" s="1">
        <v>84.7</v>
      </c>
      <c r="N857" s="1">
        <v>3.6490000000000002E-2</v>
      </c>
      <c r="O857" s="1">
        <v>2.084E-4</v>
      </c>
      <c r="P857" s="1">
        <f>(Table1[[#This Row],[Rate_Constant_k2_g_mg_min]]*Table1[[#This Row],[Contact_Time_min]]*Table1[[#This Row],[qe_mg_g]]^2)/(1+Table1[[#This Row],[Contact_Time_min]]*Table1[[#This Row],[qe_mg_g]]*Table1[[#This Row],[Rate_Constant_k2_g_mg_min]])</f>
        <v>71.533166017208956</v>
      </c>
      <c r="Q857" s="1">
        <f>LN(Table1[[#This Row],[qe_mg_g]]-Table1[[#This Row],[qt]])</f>
        <v>2.7902956491326751</v>
      </c>
      <c r="R857" s="1">
        <v>1</v>
      </c>
    </row>
    <row r="858" spans="1:18" x14ac:dyDescent="0.3">
      <c r="A858" s="1">
        <v>857</v>
      </c>
      <c r="B858" s="1" t="s">
        <v>17</v>
      </c>
      <c r="C858" s="1">
        <v>1</v>
      </c>
      <c r="D858" s="1">
        <v>240</v>
      </c>
      <c r="E858" s="1">
        <v>200</v>
      </c>
      <c r="F858" s="1">
        <v>3</v>
      </c>
      <c r="G858" s="1">
        <v>25</v>
      </c>
      <c r="H858" s="1">
        <v>150</v>
      </c>
      <c r="I858" s="1">
        <v>100</v>
      </c>
      <c r="J858" s="1">
        <v>76.893000000000001</v>
      </c>
      <c r="K858" s="1">
        <v>123.107</v>
      </c>
      <c r="L858" s="1">
        <v>38.450000000000003</v>
      </c>
      <c r="M858" s="1">
        <v>99.4</v>
      </c>
      <c r="N858" s="1">
        <v>3.5880000000000002E-2</v>
      </c>
      <c r="O858" s="1">
        <v>2.2770000000000001E-4</v>
      </c>
      <c r="P858" s="1">
        <f>(Table1[[#This Row],[Rate_Constant_k2_g_mg_min]]*Table1[[#This Row],[Contact_Time_min]]*Table1[[#This Row],[qe_mg_g]]^2)/(1+Table1[[#This Row],[Contact_Time_min]]*Table1[[#This Row],[qe_mg_g]]*Table1[[#This Row],[Rate_Constant_k2_g_mg_min]])</f>
        <v>62.111708057822199</v>
      </c>
      <c r="Q858" s="1">
        <f>LN(Table1[[#This Row],[qe_mg_g]]-Table1[[#This Row],[qt]])</f>
        <v>2.6933623232139516</v>
      </c>
      <c r="R858" s="1">
        <v>2</v>
      </c>
    </row>
    <row r="859" spans="1:18" x14ac:dyDescent="0.3">
      <c r="A859" s="1">
        <v>858</v>
      </c>
      <c r="B859" s="1" t="s">
        <v>17</v>
      </c>
      <c r="C859" s="1">
        <v>1</v>
      </c>
      <c r="D859" s="1">
        <v>240</v>
      </c>
      <c r="E859" s="1">
        <v>200</v>
      </c>
      <c r="F859" s="1">
        <v>3</v>
      </c>
      <c r="G859" s="1">
        <v>25</v>
      </c>
      <c r="H859" s="1">
        <v>150</v>
      </c>
      <c r="I859" s="1">
        <v>100</v>
      </c>
      <c r="J859" s="1">
        <v>97.650999999999996</v>
      </c>
      <c r="K859" s="1">
        <v>102.349</v>
      </c>
      <c r="L859" s="1">
        <v>48.83</v>
      </c>
      <c r="M859" s="1">
        <v>99.9</v>
      </c>
      <c r="N859" s="1">
        <v>3.6630000000000003E-2</v>
      </c>
      <c r="O859" s="1">
        <v>2.2690000000000001E-4</v>
      </c>
      <c r="P859" s="1">
        <f>(Table1[[#This Row],[Rate_Constant_k2_g_mg_min]]*Table1[[#This Row],[Contact_Time_min]]*Table1[[#This Row],[qe_mg_g]]^2)/(1+Table1[[#This Row],[Contact_Time_min]]*Table1[[#This Row],[qe_mg_g]]*Table1[[#This Row],[Rate_Constant_k2_g_mg_min]])</f>
        <v>82.194225384088497</v>
      </c>
      <c r="Q859" s="1">
        <f>LN(Table1[[#This Row],[qe_mg_g]]-Table1[[#This Row],[qt]])</f>
        <v>2.7380473937034209</v>
      </c>
      <c r="R859" s="1">
        <v>3</v>
      </c>
    </row>
    <row r="860" spans="1:18" x14ac:dyDescent="0.3">
      <c r="A860" s="1">
        <v>859</v>
      </c>
      <c r="B860" s="1" t="s">
        <v>17</v>
      </c>
      <c r="C860" s="1">
        <v>1</v>
      </c>
      <c r="D860" s="1">
        <v>240</v>
      </c>
      <c r="E860" s="1">
        <v>200</v>
      </c>
      <c r="F860" s="1">
        <v>7</v>
      </c>
      <c r="G860" s="1">
        <v>25</v>
      </c>
      <c r="H860" s="1">
        <v>150</v>
      </c>
      <c r="I860" s="1">
        <v>100</v>
      </c>
      <c r="J860" s="1">
        <v>136.50700000000001</v>
      </c>
      <c r="K860" s="1">
        <v>63.493000000000002</v>
      </c>
      <c r="L860" s="1">
        <v>68.25</v>
      </c>
      <c r="M860" s="1">
        <v>84.5</v>
      </c>
      <c r="N860" s="1">
        <v>4.2950000000000002E-2</v>
      </c>
      <c r="O860" s="1">
        <v>2.1780000000000001E-4</v>
      </c>
      <c r="P860" s="1">
        <f>(Table1[[#This Row],[Rate_Constant_k2_g_mg_min]]*Table1[[#This Row],[Contact_Time_min]]*Table1[[#This Row],[qe_mg_g]]^2)/(1+Table1[[#This Row],[Contact_Time_min]]*Table1[[#This Row],[qe_mg_g]]*Table1[[#This Row],[Rate_Constant_k2_g_mg_min]])</f>
        <v>119.72780974913113</v>
      </c>
      <c r="Q860" s="1">
        <f>LN(Table1[[#This Row],[qe_mg_g]]-Table1[[#This Row],[qt]])</f>
        <v>2.8201394430730469</v>
      </c>
      <c r="R860" s="1">
        <v>1</v>
      </c>
    </row>
    <row r="861" spans="1:18" x14ac:dyDescent="0.3">
      <c r="A861" s="1">
        <v>860</v>
      </c>
      <c r="B861" s="1" t="s">
        <v>17</v>
      </c>
      <c r="C861" s="1">
        <v>1</v>
      </c>
      <c r="D861" s="1">
        <v>240</v>
      </c>
      <c r="E861" s="1">
        <v>200</v>
      </c>
      <c r="F861" s="1">
        <v>7</v>
      </c>
      <c r="G861" s="1">
        <v>25</v>
      </c>
      <c r="H861" s="1">
        <v>150</v>
      </c>
      <c r="I861" s="1">
        <v>100</v>
      </c>
      <c r="J861" s="1">
        <v>137.17500000000001</v>
      </c>
      <c r="K861" s="1">
        <v>62.825000000000003</v>
      </c>
      <c r="L861" s="1">
        <v>68.59</v>
      </c>
      <c r="M861" s="1">
        <v>69.3</v>
      </c>
      <c r="N861" s="1">
        <v>3.049E-2</v>
      </c>
      <c r="O861" s="1">
        <v>2.0589999999999999E-4</v>
      </c>
      <c r="P861" s="1">
        <f>(Table1[[#This Row],[Rate_Constant_k2_g_mg_min]]*Table1[[#This Row],[Contact_Time_min]]*Table1[[#This Row],[qe_mg_g]]^2)/(1+Table1[[#This Row],[Contact_Time_min]]*Table1[[#This Row],[qe_mg_g]]*Table1[[#This Row],[Rate_Constant_k2_g_mg_min]])</f>
        <v>119.5401687792511</v>
      </c>
      <c r="Q861" s="1">
        <f>LN(Table1[[#This Row],[qe_mg_g]]-Table1[[#This Row],[qt]])</f>
        <v>2.8698759929446775</v>
      </c>
      <c r="R861" s="1">
        <v>2</v>
      </c>
    </row>
    <row r="862" spans="1:18" x14ac:dyDescent="0.3">
      <c r="A862" s="1">
        <v>861</v>
      </c>
      <c r="B862" s="1" t="s">
        <v>17</v>
      </c>
      <c r="C862" s="1">
        <v>1</v>
      </c>
      <c r="D862" s="1">
        <v>240</v>
      </c>
      <c r="E862" s="1">
        <v>200</v>
      </c>
      <c r="F862" s="1">
        <v>7</v>
      </c>
      <c r="G862" s="1">
        <v>25</v>
      </c>
      <c r="H862" s="1">
        <v>150</v>
      </c>
      <c r="I862" s="1">
        <v>100</v>
      </c>
      <c r="J862" s="1">
        <v>131.62</v>
      </c>
      <c r="K862" s="1">
        <v>68.38</v>
      </c>
      <c r="L862" s="1">
        <v>65.81</v>
      </c>
      <c r="M862" s="1">
        <v>77.8</v>
      </c>
      <c r="N862" s="1">
        <v>3.5490000000000001E-2</v>
      </c>
      <c r="O862" s="1">
        <v>2.318E-4</v>
      </c>
      <c r="P862" s="1">
        <f>(Table1[[#This Row],[Rate_Constant_k2_g_mg_min]]*Table1[[#This Row],[Contact_Time_min]]*Table1[[#This Row],[qe_mg_g]]^2)/(1+Table1[[#This Row],[Contact_Time_min]]*Table1[[#This Row],[qe_mg_g]]*Table1[[#This Row],[Rate_Constant_k2_g_mg_min]])</f>
        <v>115.80462978066366</v>
      </c>
      <c r="Q862" s="1">
        <f>LN(Table1[[#This Row],[qe_mg_g]]-Table1[[#This Row],[qt]])</f>
        <v>2.7609822658630887</v>
      </c>
      <c r="R862" s="1">
        <v>3</v>
      </c>
    </row>
    <row r="863" spans="1:18" x14ac:dyDescent="0.3">
      <c r="A863" s="1">
        <v>862</v>
      </c>
      <c r="B863" s="1" t="s">
        <v>17</v>
      </c>
      <c r="C863" s="1">
        <v>1</v>
      </c>
      <c r="D863" s="1">
        <v>240</v>
      </c>
      <c r="E863" s="1">
        <v>200</v>
      </c>
      <c r="F863" s="1">
        <v>11</v>
      </c>
      <c r="G863" s="1">
        <v>25</v>
      </c>
      <c r="H863" s="1">
        <v>150</v>
      </c>
      <c r="I863" s="1">
        <v>100</v>
      </c>
      <c r="J863" s="1">
        <v>115.456</v>
      </c>
      <c r="K863" s="1">
        <v>84.543999999999997</v>
      </c>
      <c r="L863" s="1">
        <v>57.73</v>
      </c>
      <c r="M863" s="1">
        <v>71</v>
      </c>
      <c r="N863" s="1">
        <v>3.4610000000000002E-2</v>
      </c>
      <c r="O863" s="1">
        <v>1.839E-4</v>
      </c>
      <c r="P863" s="1">
        <f>(Table1[[#This Row],[Rate_Constant_k2_g_mg_min]]*Table1[[#This Row],[Contact_Time_min]]*Table1[[#This Row],[qe_mg_g]]^2)/(1+Table1[[#This Row],[Contact_Time_min]]*Table1[[#This Row],[qe_mg_g]]*Table1[[#This Row],[Rate_Constant_k2_g_mg_min]])</f>
        <v>96.515640462420265</v>
      </c>
      <c r="Q863" s="1">
        <f>LN(Table1[[#This Row],[qe_mg_g]]-Table1[[#This Row],[qt]])</f>
        <v>2.9412950705545127</v>
      </c>
      <c r="R863" s="1">
        <v>1</v>
      </c>
    </row>
    <row r="864" spans="1:18" x14ac:dyDescent="0.3">
      <c r="A864" s="1">
        <v>863</v>
      </c>
      <c r="B864" s="1" t="s">
        <v>17</v>
      </c>
      <c r="C864" s="1">
        <v>1</v>
      </c>
      <c r="D864" s="1">
        <v>240</v>
      </c>
      <c r="E864" s="1">
        <v>200</v>
      </c>
      <c r="F864" s="1">
        <v>11</v>
      </c>
      <c r="G864" s="1">
        <v>25</v>
      </c>
      <c r="H864" s="1">
        <v>150</v>
      </c>
      <c r="I864" s="1">
        <v>100</v>
      </c>
      <c r="J864" s="1">
        <v>103.764</v>
      </c>
      <c r="K864" s="1">
        <v>96.236000000000004</v>
      </c>
      <c r="L864" s="1">
        <v>51.88</v>
      </c>
      <c r="M864" s="1">
        <v>80.400000000000006</v>
      </c>
      <c r="N864" s="1">
        <v>3.3329999999999999E-2</v>
      </c>
      <c r="O864" s="1">
        <v>1.749E-4</v>
      </c>
      <c r="P864" s="1">
        <f>(Table1[[#This Row],[Rate_Constant_k2_g_mg_min]]*Table1[[#This Row],[Contact_Time_min]]*Table1[[#This Row],[qe_mg_g]]^2)/(1+Table1[[#This Row],[Contact_Time_min]]*Table1[[#This Row],[qe_mg_g]]*Table1[[#This Row],[Rate_Constant_k2_g_mg_min]])</f>
        <v>84.389131589421794</v>
      </c>
      <c r="Q864" s="1">
        <f>LN(Table1[[#This Row],[qe_mg_g]]-Table1[[#This Row],[qt]])</f>
        <v>2.9639767835042541</v>
      </c>
      <c r="R864" s="1">
        <v>2</v>
      </c>
    </row>
    <row r="865" spans="1:18" x14ac:dyDescent="0.3">
      <c r="A865" s="1">
        <v>864</v>
      </c>
      <c r="B865" s="1" t="s">
        <v>17</v>
      </c>
      <c r="C865" s="1">
        <v>1</v>
      </c>
      <c r="D865" s="1">
        <v>240</v>
      </c>
      <c r="E865" s="1">
        <v>200</v>
      </c>
      <c r="F865" s="1">
        <v>11</v>
      </c>
      <c r="G865" s="1">
        <v>25</v>
      </c>
      <c r="H865" s="1">
        <v>150</v>
      </c>
      <c r="I865" s="1">
        <v>100</v>
      </c>
      <c r="J865" s="1">
        <v>106.571</v>
      </c>
      <c r="K865" s="1">
        <v>93.429000000000002</v>
      </c>
      <c r="L865" s="1">
        <v>53.29</v>
      </c>
      <c r="M865" s="1">
        <v>78.5</v>
      </c>
      <c r="N865" s="1">
        <v>2.4750000000000001E-2</v>
      </c>
      <c r="O865" s="1">
        <v>2.4110000000000001E-4</v>
      </c>
      <c r="P865" s="1">
        <f>(Table1[[#This Row],[Rate_Constant_k2_g_mg_min]]*Table1[[#This Row],[Contact_Time_min]]*Table1[[#This Row],[qe_mg_g]]^2)/(1+Table1[[#This Row],[Contact_Time_min]]*Table1[[#This Row],[qe_mg_g]]*Table1[[#This Row],[Rate_Constant_k2_g_mg_min]])</f>
        <v>91.700540089648641</v>
      </c>
      <c r="Q865" s="1">
        <f>LN(Table1[[#This Row],[qe_mg_g]]-Table1[[#This Row],[qt]])</f>
        <v>2.6993766887329436</v>
      </c>
      <c r="R865" s="1">
        <v>3</v>
      </c>
    </row>
    <row r="866" spans="1:18" x14ac:dyDescent="0.3">
      <c r="A866" s="1">
        <v>865</v>
      </c>
      <c r="B866" s="1" t="s">
        <v>17</v>
      </c>
      <c r="C866" s="1">
        <v>2</v>
      </c>
      <c r="D866" s="1">
        <v>30</v>
      </c>
      <c r="E866" s="1">
        <v>25</v>
      </c>
      <c r="F866" s="1">
        <v>3</v>
      </c>
      <c r="G866" s="1">
        <v>25</v>
      </c>
      <c r="H866" s="1">
        <v>150</v>
      </c>
      <c r="I866" s="1">
        <v>100</v>
      </c>
      <c r="J866" s="1">
        <v>0.499</v>
      </c>
      <c r="K866" s="1">
        <v>24.001000000000001</v>
      </c>
      <c r="L866" s="1">
        <v>3.99</v>
      </c>
      <c r="M866" s="1">
        <v>80.900000000000006</v>
      </c>
      <c r="N866" s="1">
        <v>3.5069999999999997E-2</v>
      </c>
      <c r="O866" s="1">
        <v>1.7660000000000001E-4</v>
      </c>
      <c r="P86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1.3157289028680299E-3</v>
      </c>
      <c r="Q866" s="1">
        <f>LN(Table1[[#This Row],[qe_mg_g]]-Table1[[#This Row],[qt]])</f>
        <v>-0.69778939679738528</v>
      </c>
      <c r="R866" s="1">
        <v>1</v>
      </c>
    </row>
    <row r="867" spans="1:18" x14ac:dyDescent="0.3">
      <c r="A867" s="1">
        <v>866</v>
      </c>
      <c r="B867" s="1" t="s">
        <v>17</v>
      </c>
      <c r="C867" s="1">
        <v>2</v>
      </c>
      <c r="D867" s="1">
        <v>30</v>
      </c>
      <c r="E867" s="1">
        <v>25</v>
      </c>
      <c r="F867" s="1">
        <v>3</v>
      </c>
      <c r="G867" s="1">
        <v>25</v>
      </c>
      <c r="H867" s="1">
        <v>150</v>
      </c>
      <c r="I867" s="1">
        <v>100</v>
      </c>
      <c r="J867" s="1">
        <v>0.52700000000000002</v>
      </c>
      <c r="K867" s="1">
        <v>23.946999999999999</v>
      </c>
      <c r="L867" s="1">
        <v>4.21</v>
      </c>
      <c r="M867" s="1">
        <v>110.1</v>
      </c>
      <c r="N867" s="1">
        <v>3.5549999999999998E-2</v>
      </c>
      <c r="O867" s="1">
        <v>2.2049999999999999E-4</v>
      </c>
      <c r="P86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1.8307949914264136E-3</v>
      </c>
      <c r="Q867" s="1">
        <f>LN(Table1[[#This Row],[qe_mg_g]]-Table1[[#This Row],[qt]])</f>
        <v>-0.64403477306204626</v>
      </c>
      <c r="R867" s="1">
        <v>2</v>
      </c>
    </row>
    <row r="868" spans="1:18" x14ac:dyDescent="0.3">
      <c r="A868" s="1">
        <v>867</v>
      </c>
      <c r="B868" s="1" t="s">
        <v>17</v>
      </c>
      <c r="C868" s="1">
        <v>2</v>
      </c>
      <c r="D868" s="1">
        <v>30</v>
      </c>
      <c r="E868" s="1">
        <v>25</v>
      </c>
      <c r="F868" s="1">
        <v>3</v>
      </c>
      <c r="G868" s="1">
        <v>25</v>
      </c>
      <c r="H868" s="1">
        <v>150</v>
      </c>
      <c r="I868" s="1">
        <v>100</v>
      </c>
      <c r="J868" s="1">
        <v>0.45800000000000002</v>
      </c>
      <c r="K868" s="1">
        <v>24.084</v>
      </c>
      <c r="L868" s="1">
        <v>3.67</v>
      </c>
      <c r="M868" s="1">
        <v>68.5</v>
      </c>
      <c r="N868" s="1">
        <v>3.356E-2</v>
      </c>
      <c r="O868" s="1">
        <v>2.0259999999999999E-4</v>
      </c>
      <c r="P86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1.2714063476363326E-3</v>
      </c>
      <c r="Q868" s="1">
        <f>LN(Table1[[#This Row],[qe_mg_g]]-Table1[[#This Row],[qt]])</f>
        <v>-0.78366595148378893</v>
      </c>
      <c r="R868" s="1">
        <v>3</v>
      </c>
    </row>
    <row r="869" spans="1:18" x14ac:dyDescent="0.3">
      <c r="A869" s="1">
        <v>868</v>
      </c>
      <c r="B869" s="1" t="s">
        <v>17</v>
      </c>
      <c r="C869" s="1">
        <v>2</v>
      </c>
      <c r="D869" s="1">
        <v>30</v>
      </c>
      <c r="E869" s="1">
        <v>25</v>
      </c>
      <c r="F869" s="1">
        <v>7</v>
      </c>
      <c r="G869" s="1">
        <v>25</v>
      </c>
      <c r="H869" s="1">
        <v>150</v>
      </c>
      <c r="I869" s="1">
        <v>100</v>
      </c>
      <c r="J869" s="1">
        <v>0.751</v>
      </c>
      <c r="K869" s="1">
        <v>23.498000000000001</v>
      </c>
      <c r="L869" s="1">
        <v>6.01</v>
      </c>
      <c r="M869" s="1">
        <v>82.9</v>
      </c>
      <c r="N869" s="1">
        <v>3.4680000000000002E-2</v>
      </c>
      <c r="O869" s="1">
        <v>1.984E-4</v>
      </c>
      <c r="P86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3.341995393009028E-3</v>
      </c>
      <c r="Q869" s="1">
        <f>LN(Table1[[#This Row],[qe_mg_g]]-Table1[[#This Row],[qt]])</f>
        <v>-0.29080961865369387</v>
      </c>
      <c r="R869" s="1">
        <v>1</v>
      </c>
    </row>
    <row r="870" spans="1:18" x14ac:dyDescent="0.3">
      <c r="A870" s="1">
        <v>869</v>
      </c>
      <c r="B870" s="1" t="s">
        <v>17</v>
      </c>
      <c r="C870" s="1">
        <v>2</v>
      </c>
      <c r="D870" s="1">
        <v>30</v>
      </c>
      <c r="E870" s="1">
        <v>25</v>
      </c>
      <c r="F870" s="1">
        <v>7</v>
      </c>
      <c r="G870" s="1">
        <v>25</v>
      </c>
      <c r="H870" s="1">
        <v>150</v>
      </c>
      <c r="I870" s="1">
        <v>100</v>
      </c>
      <c r="J870" s="1">
        <v>0.79100000000000004</v>
      </c>
      <c r="K870" s="1">
        <v>23.417999999999999</v>
      </c>
      <c r="L870" s="1">
        <v>6.33</v>
      </c>
      <c r="M870" s="1">
        <v>72.099999999999994</v>
      </c>
      <c r="N870" s="1">
        <v>3.2489999999999998E-2</v>
      </c>
      <c r="O870" s="1">
        <v>1.7430000000000001E-4</v>
      </c>
      <c r="P87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3.2582095414454555E-3</v>
      </c>
      <c r="Q870" s="1">
        <f>LN(Table1[[#This Row],[qe_mg_g]]-Table1[[#This Row],[qt]])</f>
        <v>-0.2385849199051765</v>
      </c>
      <c r="R870" s="1">
        <v>2</v>
      </c>
    </row>
    <row r="871" spans="1:18" x14ac:dyDescent="0.3">
      <c r="A871" s="1">
        <v>870</v>
      </c>
      <c r="B871" s="1" t="s">
        <v>17</v>
      </c>
      <c r="C871" s="1">
        <v>2</v>
      </c>
      <c r="D871" s="1">
        <v>30</v>
      </c>
      <c r="E871" s="1">
        <v>25</v>
      </c>
      <c r="F871" s="1">
        <v>7</v>
      </c>
      <c r="G871" s="1">
        <v>25</v>
      </c>
      <c r="H871" s="1">
        <v>150</v>
      </c>
      <c r="I871" s="1">
        <v>100</v>
      </c>
      <c r="J871" s="1">
        <v>0.86399999999999999</v>
      </c>
      <c r="K871" s="1">
        <v>23.271999999999998</v>
      </c>
      <c r="L871" s="1">
        <v>6.91</v>
      </c>
      <c r="M871" s="1">
        <v>58.6</v>
      </c>
      <c r="N871" s="1">
        <v>3.9039999999999998E-2</v>
      </c>
      <c r="O871" s="1">
        <v>2.2770000000000001E-4</v>
      </c>
      <c r="P871" s="1">
        <f>(Table1[[#This Row],[Rate_Constant_k2_g_mg_min]]*Table1[[#This Row],[Contact_Time_min]]*Table1[[#This Row],[qe_mg_g]]^2)/(1+Table1[[#This Row],[Contact_Time_min]]*Table1[[#This Row],[qe_mg_g]]*Table1[[#This Row],[Rate_Constant_k2_g_mg_min]])</f>
        <v>5.0693946896519888E-3</v>
      </c>
      <c r="Q871" s="1">
        <f>LN(Table1[[#This Row],[qe_mg_g]]-Table1[[#This Row],[qt]])</f>
        <v>-0.15206714569734975</v>
      </c>
      <c r="R871" s="1">
        <v>3</v>
      </c>
    </row>
    <row r="872" spans="1:18" x14ac:dyDescent="0.3">
      <c r="A872" s="1">
        <v>871</v>
      </c>
      <c r="B872" s="1" t="s">
        <v>17</v>
      </c>
      <c r="C872" s="1">
        <v>2</v>
      </c>
      <c r="D872" s="1">
        <v>30</v>
      </c>
      <c r="E872" s="1">
        <v>25</v>
      </c>
      <c r="F872" s="1">
        <v>11</v>
      </c>
      <c r="G872" s="1">
        <v>25</v>
      </c>
      <c r="H872" s="1">
        <v>150</v>
      </c>
      <c r="I872" s="1">
        <v>100</v>
      </c>
      <c r="J872" s="1">
        <v>0.55700000000000005</v>
      </c>
      <c r="K872" s="1">
        <v>23.885999999999999</v>
      </c>
      <c r="L872" s="1">
        <v>4.46</v>
      </c>
      <c r="M872" s="1">
        <v>52.2</v>
      </c>
      <c r="N872" s="1">
        <v>3.3739999999999999E-2</v>
      </c>
      <c r="O872" s="1">
        <v>1.9870000000000001E-4</v>
      </c>
      <c r="P87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1.843274108373273E-3</v>
      </c>
      <c r="Q872" s="1">
        <f>LN(Table1[[#This Row],[qe_mg_g]]-Table1[[#This Row],[qt]])</f>
        <v>-0.58850481610604766</v>
      </c>
      <c r="R872" s="1">
        <v>1</v>
      </c>
    </row>
    <row r="873" spans="1:18" x14ac:dyDescent="0.3">
      <c r="A873" s="1">
        <v>872</v>
      </c>
      <c r="B873" s="1" t="s">
        <v>17</v>
      </c>
      <c r="C873" s="1">
        <v>2</v>
      </c>
      <c r="D873" s="1">
        <v>30</v>
      </c>
      <c r="E873" s="1">
        <v>25</v>
      </c>
      <c r="F873" s="1">
        <v>11</v>
      </c>
      <c r="G873" s="1">
        <v>25</v>
      </c>
      <c r="H873" s="1">
        <v>150</v>
      </c>
      <c r="I873" s="1">
        <v>100</v>
      </c>
      <c r="J873" s="1">
        <v>0.51600000000000001</v>
      </c>
      <c r="K873" s="1">
        <v>23.966999999999999</v>
      </c>
      <c r="L873" s="1">
        <v>4.13</v>
      </c>
      <c r="M873" s="1">
        <v>79.099999999999994</v>
      </c>
      <c r="N873" s="1">
        <v>4.036E-2</v>
      </c>
      <c r="O873" s="1">
        <v>2.1330000000000001E-4</v>
      </c>
      <c r="P87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1.6981650001566227E-3</v>
      </c>
      <c r="Q873" s="1">
        <f>LN(Table1[[#This Row],[qe_mg_g]]-Table1[[#This Row],[qt]])</f>
        <v>-0.66494495825149058</v>
      </c>
      <c r="R873" s="1">
        <v>2</v>
      </c>
    </row>
    <row r="874" spans="1:18" x14ac:dyDescent="0.3">
      <c r="A874" s="1">
        <v>873</v>
      </c>
      <c r="B874" s="1" t="s">
        <v>17</v>
      </c>
      <c r="C874" s="1">
        <v>2</v>
      </c>
      <c r="D874" s="1">
        <v>30</v>
      </c>
      <c r="E874" s="1">
        <v>25</v>
      </c>
      <c r="F874" s="1">
        <v>11</v>
      </c>
      <c r="G874" s="1">
        <v>25</v>
      </c>
      <c r="H874" s="1">
        <v>150</v>
      </c>
      <c r="I874" s="1">
        <v>100</v>
      </c>
      <c r="J874" s="1">
        <v>0.52100000000000002</v>
      </c>
      <c r="K874" s="1">
        <v>23.957000000000001</v>
      </c>
      <c r="L874" s="1">
        <v>4.17</v>
      </c>
      <c r="M874" s="1">
        <v>65.2</v>
      </c>
      <c r="N874" s="1">
        <v>3.3860000000000001E-2</v>
      </c>
      <c r="O874" s="1">
        <v>1.9570000000000001E-4</v>
      </c>
      <c r="P87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1.5887703944164929E-3</v>
      </c>
      <c r="Q874" s="1">
        <f>LN(Table1[[#This Row],[qe_mg_g]]-Table1[[#This Row],[qt]])</f>
        <v>-0.65505935964530393</v>
      </c>
      <c r="R874" s="1">
        <v>3</v>
      </c>
    </row>
    <row r="875" spans="1:18" x14ac:dyDescent="0.3">
      <c r="A875" s="1">
        <v>874</v>
      </c>
      <c r="B875" s="1" t="s">
        <v>17</v>
      </c>
      <c r="C875" s="1">
        <v>2</v>
      </c>
      <c r="D875" s="1">
        <v>30</v>
      </c>
      <c r="E875" s="1">
        <v>50</v>
      </c>
      <c r="F875" s="1">
        <v>3</v>
      </c>
      <c r="G875" s="1">
        <v>25</v>
      </c>
      <c r="H875" s="1">
        <v>150</v>
      </c>
      <c r="I875" s="1">
        <v>100</v>
      </c>
      <c r="J875" s="1">
        <v>1.79</v>
      </c>
      <c r="K875" s="1">
        <v>46.42</v>
      </c>
      <c r="L875" s="1">
        <v>7.16</v>
      </c>
      <c r="M875" s="1">
        <v>78.8</v>
      </c>
      <c r="N875" s="1">
        <v>3.6790000000000003E-2</v>
      </c>
      <c r="O875" s="1">
        <v>2.387E-4</v>
      </c>
      <c r="P87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2.265417458586521E-2</v>
      </c>
      <c r="Q875" s="1">
        <f>LN(Table1[[#This Row],[qe_mg_g]]-Table1[[#This Row],[qt]])</f>
        <v>0.56947888749558528</v>
      </c>
      <c r="R875" s="1">
        <v>1</v>
      </c>
    </row>
    <row r="876" spans="1:18" x14ac:dyDescent="0.3">
      <c r="A876" s="1">
        <v>875</v>
      </c>
      <c r="B876" s="1" t="s">
        <v>17</v>
      </c>
      <c r="C876" s="1">
        <v>2</v>
      </c>
      <c r="D876" s="1">
        <v>30</v>
      </c>
      <c r="E876" s="1">
        <v>50</v>
      </c>
      <c r="F876" s="1">
        <v>3</v>
      </c>
      <c r="G876" s="1">
        <v>25</v>
      </c>
      <c r="H876" s="1">
        <v>150</v>
      </c>
      <c r="I876" s="1">
        <v>100</v>
      </c>
      <c r="J876" s="1">
        <v>1.8440000000000001</v>
      </c>
      <c r="K876" s="1">
        <v>46.311</v>
      </c>
      <c r="L876" s="1">
        <v>7.38</v>
      </c>
      <c r="M876" s="1">
        <v>85.1</v>
      </c>
      <c r="N876" s="1">
        <v>3.4360000000000002E-2</v>
      </c>
      <c r="O876" s="1">
        <v>1.929E-4</v>
      </c>
      <c r="P87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1.9469975880227589E-2</v>
      </c>
      <c r="Q876" s="1">
        <f>LN(Table1[[#This Row],[qe_mg_g]]-Table1[[#This Row],[qt]])</f>
        <v>0.60132243283995879</v>
      </c>
      <c r="R876" s="1">
        <v>2</v>
      </c>
    </row>
    <row r="877" spans="1:18" x14ac:dyDescent="0.3">
      <c r="A877" s="1">
        <v>876</v>
      </c>
      <c r="B877" s="1" t="s">
        <v>17</v>
      </c>
      <c r="C877" s="1">
        <v>2</v>
      </c>
      <c r="D877" s="1">
        <v>30</v>
      </c>
      <c r="E877" s="1">
        <v>50</v>
      </c>
      <c r="F877" s="1">
        <v>3</v>
      </c>
      <c r="G877" s="1">
        <v>25</v>
      </c>
      <c r="H877" s="1">
        <v>150</v>
      </c>
      <c r="I877" s="1">
        <v>100</v>
      </c>
      <c r="J877" s="1">
        <v>1.907</v>
      </c>
      <c r="K877" s="1">
        <v>46.186999999999998</v>
      </c>
      <c r="L877" s="1">
        <v>7.63</v>
      </c>
      <c r="M877" s="1">
        <v>77.599999999999994</v>
      </c>
      <c r="N877" s="1">
        <v>3.5159999999999997E-2</v>
      </c>
      <c r="O877" s="1">
        <v>2.0100000000000001E-4</v>
      </c>
      <c r="P87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2.1679694114639995E-2</v>
      </c>
      <c r="Q877" s="1">
        <f>LN(Table1[[#This Row],[qe_mg_g]]-Table1[[#This Row],[qt]])</f>
        <v>0.63409773001121361</v>
      </c>
      <c r="R877" s="1">
        <v>3</v>
      </c>
    </row>
    <row r="878" spans="1:18" x14ac:dyDescent="0.3">
      <c r="A878" s="1">
        <v>877</v>
      </c>
      <c r="B878" s="1" t="s">
        <v>17</v>
      </c>
      <c r="C878" s="1">
        <v>2</v>
      </c>
      <c r="D878" s="1">
        <v>30</v>
      </c>
      <c r="E878" s="1">
        <v>50</v>
      </c>
      <c r="F878" s="1">
        <v>7</v>
      </c>
      <c r="G878" s="1">
        <v>25</v>
      </c>
      <c r="H878" s="1">
        <v>150</v>
      </c>
      <c r="I878" s="1">
        <v>100</v>
      </c>
      <c r="J878" s="1">
        <v>2.7879999999999998</v>
      </c>
      <c r="K878" s="1">
        <v>44.423999999999999</v>
      </c>
      <c r="L878" s="1">
        <v>11.15</v>
      </c>
      <c r="M878" s="1">
        <v>68.099999999999994</v>
      </c>
      <c r="N878" s="1">
        <v>3.6130000000000002E-2</v>
      </c>
      <c r="O878" s="1">
        <v>1.9880000000000001E-4</v>
      </c>
      <c r="P87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4.5599624244720506E-2</v>
      </c>
      <c r="Q878" s="1">
        <f>LN(Table1[[#This Row],[qe_mg_g]]-Table1[[#This Row],[qt]])</f>
        <v>1.0088335864382627</v>
      </c>
      <c r="R878" s="1">
        <v>1</v>
      </c>
    </row>
    <row r="879" spans="1:18" x14ac:dyDescent="0.3">
      <c r="A879" s="1">
        <v>878</v>
      </c>
      <c r="B879" s="1" t="s">
        <v>17</v>
      </c>
      <c r="C879" s="1">
        <v>2</v>
      </c>
      <c r="D879" s="1">
        <v>30</v>
      </c>
      <c r="E879" s="1">
        <v>50</v>
      </c>
      <c r="F879" s="1">
        <v>7</v>
      </c>
      <c r="G879" s="1">
        <v>25</v>
      </c>
      <c r="H879" s="1">
        <v>150</v>
      </c>
      <c r="I879" s="1">
        <v>100</v>
      </c>
      <c r="J879" s="1">
        <v>3.0819999999999999</v>
      </c>
      <c r="K879" s="1">
        <v>43.835999999999999</v>
      </c>
      <c r="L879" s="1">
        <v>12.33</v>
      </c>
      <c r="M879" s="1">
        <v>78.900000000000006</v>
      </c>
      <c r="N879" s="1">
        <v>3.9269999999999999E-2</v>
      </c>
      <c r="O879" s="1">
        <v>1.8249999999999999E-4</v>
      </c>
      <c r="P879" s="1">
        <f>(Table1[[#This Row],[Rate_Constant_k2_g_mg_min]]*Table1[[#This Row],[Contact_Time_min]]*Table1[[#This Row],[qe_mg_g]]^2)/(1+Table1[[#This Row],[Contact_Time_min]]*Table1[[#This Row],[qe_mg_g]]*Table1[[#This Row],[Rate_Constant_k2_g_mg_min]])</f>
        <v>5.1142537283013295E-2</v>
      </c>
      <c r="Q879" s="1">
        <f>LN(Table1[[#This Row],[qe_mg_g]]-Table1[[#This Row],[qt]])</f>
        <v>1.1088455704825839</v>
      </c>
      <c r="R879" s="1">
        <v>2</v>
      </c>
    </row>
    <row r="880" spans="1:18" x14ac:dyDescent="0.3">
      <c r="A880" s="1">
        <v>879</v>
      </c>
      <c r="B880" s="1" t="s">
        <v>17</v>
      </c>
      <c r="C880" s="1">
        <v>2</v>
      </c>
      <c r="D880" s="1">
        <v>30</v>
      </c>
      <c r="E880" s="1">
        <v>50</v>
      </c>
      <c r="F880" s="1">
        <v>7</v>
      </c>
      <c r="G880" s="1">
        <v>25</v>
      </c>
      <c r="H880" s="1">
        <v>150</v>
      </c>
      <c r="I880" s="1">
        <v>100</v>
      </c>
      <c r="J880" s="1">
        <v>3.4380000000000002</v>
      </c>
      <c r="K880" s="1">
        <v>43.124000000000002</v>
      </c>
      <c r="L880" s="1">
        <v>13.75</v>
      </c>
      <c r="M880" s="1">
        <v>63.2</v>
      </c>
      <c r="N880" s="1">
        <v>3.6519999999999997E-2</v>
      </c>
      <c r="O880" s="1">
        <v>2.095E-4</v>
      </c>
      <c r="P880" s="1">
        <f>(Table1[[#This Row],[Rate_Constant_k2_g_mg_min]]*Table1[[#This Row],[Contact_Time_min]]*Table1[[#This Row],[qe_mg_g]]^2)/(1+Table1[[#This Row],[Contact_Time_min]]*Table1[[#This Row],[qe_mg_g]]*Table1[[#This Row],[Rate_Constant_k2_g_mg_min]])</f>
        <v>7.2716474324594799E-2</v>
      </c>
      <c r="Q880" s="1">
        <f>LN(Table1[[#This Row],[qe_mg_g]]-Table1[[#This Row],[qt]])</f>
        <v>1.213512216805912</v>
      </c>
      <c r="R880" s="1">
        <v>3</v>
      </c>
    </row>
    <row r="881" spans="1:18" x14ac:dyDescent="0.3">
      <c r="A881" s="1">
        <v>880</v>
      </c>
      <c r="B881" s="1" t="s">
        <v>17</v>
      </c>
      <c r="C881" s="1">
        <v>2</v>
      </c>
      <c r="D881" s="1">
        <v>30</v>
      </c>
      <c r="E881" s="1">
        <v>50</v>
      </c>
      <c r="F881" s="1">
        <v>11</v>
      </c>
      <c r="G881" s="1">
        <v>25</v>
      </c>
      <c r="H881" s="1">
        <v>150</v>
      </c>
      <c r="I881" s="1">
        <v>100</v>
      </c>
      <c r="J881" s="1">
        <v>1.99</v>
      </c>
      <c r="K881" s="1">
        <v>46.02</v>
      </c>
      <c r="L881" s="1">
        <v>7.96</v>
      </c>
      <c r="M881" s="1">
        <v>91.2</v>
      </c>
      <c r="N881" s="1">
        <v>3.9480000000000001E-2</v>
      </c>
      <c r="O881" s="1">
        <v>1.5569999999999999E-4</v>
      </c>
      <c r="P88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1.832726981218747E-2</v>
      </c>
      <c r="Q881" s="1">
        <f>LN(Table1[[#This Row],[qe_mg_g]]-Table1[[#This Row],[qt]])</f>
        <v>0.67888228408522722</v>
      </c>
      <c r="R881" s="1">
        <v>1</v>
      </c>
    </row>
    <row r="882" spans="1:18" x14ac:dyDescent="0.3">
      <c r="A882" s="1">
        <v>881</v>
      </c>
      <c r="B882" s="1" t="s">
        <v>17</v>
      </c>
      <c r="C882" s="1">
        <v>2</v>
      </c>
      <c r="D882" s="1">
        <v>30</v>
      </c>
      <c r="E882" s="1">
        <v>50</v>
      </c>
      <c r="F882" s="1">
        <v>11</v>
      </c>
      <c r="G882" s="1">
        <v>25</v>
      </c>
      <c r="H882" s="1">
        <v>150</v>
      </c>
      <c r="I882" s="1">
        <v>100</v>
      </c>
      <c r="J882" s="1">
        <v>2.2709999999999999</v>
      </c>
      <c r="K882" s="1">
        <v>45.459000000000003</v>
      </c>
      <c r="L882" s="1">
        <v>9.08</v>
      </c>
      <c r="M882" s="1">
        <v>53.7</v>
      </c>
      <c r="N882" s="1">
        <v>3.1620000000000002E-2</v>
      </c>
      <c r="O882" s="1">
        <v>2.3259999999999999E-4</v>
      </c>
      <c r="P88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3.5427207002399111E-2</v>
      </c>
      <c r="Q882" s="1">
        <f>LN(Table1[[#This Row],[qe_mg_g]]-Table1[[#This Row],[qt]])</f>
        <v>0.80449747845100061</v>
      </c>
      <c r="R882" s="1">
        <v>2</v>
      </c>
    </row>
    <row r="883" spans="1:18" x14ac:dyDescent="0.3">
      <c r="A883" s="1">
        <v>882</v>
      </c>
      <c r="B883" s="1" t="s">
        <v>17</v>
      </c>
      <c r="C883" s="1">
        <v>2</v>
      </c>
      <c r="D883" s="1">
        <v>30</v>
      </c>
      <c r="E883" s="1">
        <v>50</v>
      </c>
      <c r="F883" s="1">
        <v>11</v>
      </c>
      <c r="G883" s="1">
        <v>25</v>
      </c>
      <c r="H883" s="1">
        <v>150</v>
      </c>
      <c r="I883" s="1">
        <v>100</v>
      </c>
      <c r="J883" s="1">
        <v>2.036</v>
      </c>
      <c r="K883" s="1">
        <v>45.927999999999997</v>
      </c>
      <c r="L883" s="1">
        <v>8.14</v>
      </c>
      <c r="M883" s="1">
        <v>70.599999999999994</v>
      </c>
      <c r="N883" s="1">
        <v>3.431E-2</v>
      </c>
      <c r="O883" s="1">
        <v>2.4140000000000001E-4</v>
      </c>
      <c r="P883" s="1">
        <f>(Table1[[#This Row],[Rate_Constant_k2_g_mg_min]]*Table1[[#This Row],[Contact_Time_min]]*Table1[[#This Row],[qe_mg_g]]^2)/(1+Table1[[#This Row],[Contact_Time_min]]*Table1[[#This Row],[qe_mg_g]]*Table1[[#This Row],[Rate_Constant_k2_g_mg_min]])</f>
        <v>2.9584025693350943E-2</v>
      </c>
      <c r="Q883" s="1">
        <f>LN(Table1[[#This Row],[qe_mg_g]]-Table1[[#This Row],[qt]])</f>
        <v>0.69635003310073207</v>
      </c>
      <c r="R883" s="1">
        <v>3</v>
      </c>
    </row>
    <row r="884" spans="1:18" x14ac:dyDescent="0.3">
      <c r="A884" s="1">
        <v>883</v>
      </c>
      <c r="B884" s="1" t="s">
        <v>17</v>
      </c>
      <c r="C884" s="1">
        <v>2</v>
      </c>
      <c r="D884" s="1">
        <v>30</v>
      </c>
      <c r="E884" s="1">
        <v>100</v>
      </c>
      <c r="F884" s="1">
        <v>3</v>
      </c>
      <c r="G884" s="1">
        <v>25</v>
      </c>
      <c r="H884" s="1">
        <v>150</v>
      </c>
      <c r="I884" s="1">
        <v>100</v>
      </c>
      <c r="J884" s="1">
        <v>5.0209999999999999</v>
      </c>
      <c r="K884" s="1">
        <v>89.957999999999998</v>
      </c>
      <c r="L884" s="1">
        <v>10.039999999999999</v>
      </c>
      <c r="M884" s="1">
        <v>72.2</v>
      </c>
      <c r="N884" s="1">
        <v>4.0239999999999998E-2</v>
      </c>
      <c r="O884" s="1">
        <v>2.3719999999999999E-4</v>
      </c>
      <c r="P88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0.17320884385485399</v>
      </c>
      <c r="Q884" s="1">
        <f>LN(Table1[[#This Row],[qe_mg_g]]-Table1[[#This Row],[qt]])</f>
        <v>1.5785231694862154</v>
      </c>
      <c r="R884" s="1">
        <v>1</v>
      </c>
    </row>
    <row r="885" spans="1:18" x14ac:dyDescent="0.3">
      <c r="A885" s="1">
        <v>884</v>
      </c>
      <c r="B885" s="1" t="s">
        <v>17</v>
      </c>
      <c r="C885" s="1">
        <v>2</v>
      </c>
      <c r="D885" s="1">
        <v>30</v>
      </c>
      <c r="E885" s="1">
        <v>100</v>
      </c>
      <c r="F885" s="1">
        <v>3</v>
      </c>
      <c r="G885" s="1">
        <v>25</v>
      </c>
      <c r="H885" s="1">
        <v>150</v>
      </c>
      <c r="I885" s="1">
        <v>100</v>
      </c>
      <c r="J885" s="1">
        <v>6.0839999999999996</v>
      </c>
      <c r="K885" s="1">
        <v>87.832999999999998</v>
      </c>
      <c r="L885" s="1">
        <v>12.17</v>
      </c>
      <c r="M885" s="1">
        <v>69.8</v>
      </c>
      <c r="N885" s="1">
        <v>4.2340000000000003E-2</v>
      </c>
      <c r="O885" s="1">
        <v>2.319E-4</v>
      </c>
      <c r="P88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0.247056725759494</v>
      </c>
      <c r="Q885" s="1">
        <f>LN(Table1[[#This Row],[qe_mg_g]]-Table1[[#This Row],[qt]])</f>
        <v>1.764207247867168</v>
      </c>
      <c r="R885" s="1">
        <v>2</v>
      </c>
    </row>
    <row r="886" spans="1:18" x14ac:dyDescent="0.3">
      <c r="A886" s="1">
        <v>885</v>
      </c>
      <c r="B886" s="1" t="s">
        <v>17</v>
      </c>
      <c r="C886" s="1">
        <v>2</v>
      </c>
      <c r="D886" s="1">
        <v>30</v>
      </c>
      <c r="E886" s="1">
        <v>100</v>
      </c>
      <c r="F886" s="1">
        <v>3</v>
      </c>
      <c r="G886" s="1">
        <v>25</v>
      </c>
      <c r="H886" s="1">
        <v>150</v>
      </c>
      <c r="I886" s="1">
        <v>100</v>
      </c>
      <c r="J886" s="1">
        <v>6.5640000000000001</v>
      </c>
      <c r="K886" s="1">
        <v>86.870999999999995</v>
      </c>
      <c r="L886" s="1">
        <v>13.13</v>
      </c>
      <c r="M886" s="1">
        <v>75.3</v>
      </c>
      <c r="N886" s="1">
        <v>3.483E-2</v>
      </c>
      <c r="O886" s="1">
        <v>1.9680000000000001E-4</v>
      </c>
      <c r="P88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0.24488988350287291</v>
      </c>
      <c r="Q886" s="1">
        <f>LN(Table1[[#This Row],[qe_mg_g]]-Table1[[#This Row],[qt]])</f>
        <v>1.8435783938931822</v>
      </c>
      <c r="R886" s="1">
        <v>3</v>
      </c>
    </row>
    <row r="887" spans="1:18" x14ac:dyDescent="0.3">
      <c r="A887" s="1">
        <v>886</v>
      </c>
      <c r="B887" s="1" t="s">
        <v>17</v>
      </c>
      <c r="C887" s="1">
        <v>2</v>
      </c>
      <c r="D887" s="1">
        <v>30</v>
      </c>
      <c r="E887" s="1">
        <v>100</v>
      </c>
      <c r="F887" s="1">
        <v>7</v>
      </c>
      <c r="G887" s="1">
        <v>25</v>
      </c>
      <c r="H887" s="1">
        <v>150</v>
      </c>
      <c r="I887" s="1">
        <v>100</v>
      </c>
      <c r="J887" s="1">
        <v>10.657</v>
      </c>
      <c r="K887" s="1">
        <v>78.686000000000007</v>
      </c>
      <c r="L887" s="1">
        <v>21.31</v>
      </c>
      <c r="M887" s="1">
        <v>104.4</v>
      </c>
      <c r="N887" s="1">
        <v>3.8080000000000003E-2</v>
      </c>
      <c r="O887" s="1">
        <v>1.785E-4</v>
      </c>
      <c r="P88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0.57534240483065879</v>
      </c>
      <c r="Q887" s="1">
        <f>LN(Table1[[#This Row],[qe_mg_g]]-Table1[[#This Row],[qt]])</f>
        <v>2.3107176930890083</v>
      </c>
      <c r="R887" s="1">
        <v>1</v>
      </c>
    </row>
    <row r="888" spans="1:18" x14ac:dyDescent="0.3">
      <c r="A888" s="1">
        <v>887</v>
      </c>
      <c r="B888" s="1" t="s">
        <v>17</v>
      </c>
      <c r="C888" s="1">
        <v>2</v>
      </c>
      <c r="D888" s="1">
        <v>30</v>
      </c>
      <c r="E888" s="1">
        <v>100</v>
      </c>
      <c r="F888" s="1">
        <v>7</v>
      </c>
      <c r="G888" s="1">
        <v>25</v>
      </c>
      <c r="H888" s="1">
        <v>150</v>
      </c>
      <c r="I888" s="1">
        <v>100</v>
      </c>
      <c r="J888" s="1">
        <v>11.736000000000001</v>
      </c>
      <c r="K888" s="1">
        <v>76.528999999999996</v>
      </c>
      <c r="L888" s="1">
        <v>23.47</v>
      </c>
      <c r="M888" s="1">
        <v>89.7</v>
      </c>
      <c r="N888" s="1">
        <v>3.7400000000000003E-2</v>
      </c>
      <c r="O888" s="1">
        <v>2.2929999999999999E-4</v>
      </c>
      <c r="P88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0.87669296724701973</v>
      </c>
      <c r="Q888" s="1">
        <f>LN(Table1[[#This Row],[qe_mg_g]]-Table1[[#This Row],[qt]])</f>
        <v>2.3850225033311316</v>
      </c>
      <c r="R888" s="1">
        <v>2</v>
      </c>
    </row>
    <row r="889" spans="1:18" x14ac:dyDescent="0.3">
      <c r="A889" s="1">
        <v>888</v>
      </c>
      <c r="B889" s="1" t="s">
        <v>17</v>
      </c>
      <c r="C889" s="1">
        <v>2</v>
      </c>
      <c r="D889" s="1">
        <v>30</v>
      </c>
      <c r="E889" s="1">
        <v>100</v>
      </c>
      <c r="F889" s="1">
        <v>7</v>
      </c>
      <c r="G889" s="1">
        <v>25</v>
      </c>
      <c r="H889" s="1">
        <v>150</v>
      </c>
      <c r="I889" s="1">
        <v>100</v>
      </c>
      <c r="J889" s="1">
        <v>9.1690000000000005</v>
      </c>
      <c r="K889" s="1">
        <v>81.662000000000006</v>
      </c>
      <c r="L889" s="1">
        <v>18.34</v>
      </c>
      <c r="M889" s="1">
        <v>85.3</v>
      </c>
      <c r="N889" s="1">
        <v>3.3140000000000003E-2</v>
      </c>
      <c r="O889" s="1">
        <v>1.6860000000000001E-4</v>
      </c>
      <c r="P88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0.40638219112391993</v>
      </c>
      <c r="Q889" s="1">
        <f>LN(Table1[[#This Row],[qe_mg_g]]-Table1[[#This Row],[qt]])</f>
        <v>2.1704946969352177</v>
      </c>
      <c r="R889" s="1">
        <v>3</v>
      </c>
    </row>
    <row r="890" spans="1:18" x14ac:dyDescent="0.3">
      <c r="A890" s="1">
        <v>889</v>
      </c>
      <c r="B890" s="1" t="s">
        <v>17</v>
      </c>
      <c r="C890" s="1">
        <v>2</v>
      </c>
      <c r="D890" s="1">
        <v>30</v>
      </c>
      <c r="E890" s="1">
        <v>100</v>
      </c>
      <c r="F890" s="1">
        <v>11</v>
      </c>
      <c r="G890" s="1">
        <v>25</v>
      </c>
      <c r="H890" s="1">
        <v>150</v>
      </c>
      <c r="I890" s="1">
        <v>100</v>
      </c>
      <c r="J890" s="1">
        <v>7.98</v>
      </c>
      <c r="K890" s="1">
        <v>84.04</v>
      </c>
      <c r="L890" s="1">
        <v>15.96</v>
      </c>
      <c r="M890" s="1">
        <v>118</v>
      </c>
      <c r="N890" s="1">
        <v>2.8559999999999999E-2</v>
      </c>
      <c r="O890" s="1">
        <v>1.994E-4</v>
      </c>
      <c r="P89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0.36358015942102073</v>
      </c>
      <c r="Q890" s="1">
        <f>LN(Table1[[#This Row],[qe_mg_g]]-Table1[[#This Row],[qt]])</f>
        <v>2.0303064220961167</v>
      </c>
      <c r="R890" s="1">
        <v>1</v>
      </c>
    </row>
    <row r="891" spans="1:18" x14ac:dyDescent="0.3">
      <c r="A891" s="1">
        <v>890</v>
      </c>
      <c r="B891" s="1" t="s">
        <v>17</v>
      </c>
      <c r="C891" s="1">
        <v>2</v>
      </c>
      <c r="D891" s="1">
        <v>30</v>
      </c>
      <c r="E891" s="1">
        <v>100</v>
      </c>
      <c r="F891" s="1">
        <v>11</v>
      </c>
      <c r="G891" s="1">
        <v>25</v>
      </c>
      <c r="H891" s="1">
        <v>150</v>
      </c>
      <c r="I891" s="1">
        <v>100</v>
      </c>
      <c r="J891" s="1">
        <v>8.2059999999999995</v>
      </c>
      <c r="K891" s="1">
        <v>83.587000000000003</v>
      </c>
      <c r="L891" s="1">
        <v>16.41</v>
      </c>
      <c r="M891" s="1">
        <v>87.3</v>
      </c>
      <c r="N891" s="1">
        <v>3.4599999999999999E-2</v>
      </c>
      <c r="O891" s="1">
        <v>1.74E-4</v>
      </c>
      <c r="P89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0.3370682112301297</v>
      </c>
      <c r="Q891" s="1">
        <f>LN(Table1[[#This Row],[qe_mg_g]]-Table1[[#This Row],[qt]])</f>
        <v>2.0629223211673118</v>
      </c>
      <c r="R891" s="1">
        <v>2</v>
      </c>
    </row>
    <row r="892" spans="1:18" x14ac:dyDescent="0.3">
      <c r="A892" s="1">
        <v>891</v>
      </c>
      <c r="B892" s="1" t="s">
        <v>17</v>
      </c>
      <c r="C892" s="1">
        <v>2</v>
      </c>
      <c r="D892" s="1">
        <v>30</v>
      </c>
      <c r="E892" s="1">
        <v>100</v>
      </c>
      <c r="F892" s="1">
        <v>11</v>
      </c>
      <c r="G892" s="1">
        <v>25</v>
      </c>
      <c r="H892" s="1">
        <v>150</v>
      </c>
      <c r="I892" s="1">
        <v>100</v>
      </c>
      <c r="J892" s="1">
        <v>7.8920000000000003</v>
      </c>
      <c r="K892" s="1">
        <v>84.215999999999994</v>
      </c>
      <c r="L892" s="1">
        <v>15.78</v>
      </c>
      <c r="M892" s="1">
        <v>76</v>
      </c>
      <c r="N892" s="1">
        <v>2.734E-2</v>
      </c>
      <c r="O892" s="1">
        <v>2.2389999999999999E-4</v>
      </c>
      <c r="P89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0.39729836090039455</v>
      </c>
      <c r="Q892" s="1">
        <f>LN(Table1[[#This Row],[qe_mg_g]]-Table1[[#This Row],[qt]])</f>
        <v>2.0141963227701547</v>
      </c>
      <c r="R892" s="1">
        <v>3</v>
      </c>
    </row>
    <row r="893" spans="1:18" x14ac:dyDescent="0.3">
      <c r="A893" s="1">
        <v>892</v>
      </c>
      <c r="B893" s="1" t="s">
        <v>17</v>
      </c>
      <c r="C893" s="1">
        <v>2</v>
      </c>
      <c r="D893" s="1">
        <v>30</v>
      </c>
      <c r="E893" s="1">
        <v>200</v>
      </c>
      <c r="F893" s="1">
        <v>3</v>
      </c>
      <c r="G893" s="1">
        <v>25</v>
      </c>
      <c r="H893" s="1">
        <v>150</v>
      </c>
      <c r="I893" s="1">
        <v>100</v>
      </c>
      <c r="J893" s="1">
        <v>22.120999999999999</v>
      </c>
      <c r="K893" s="1">
        <v>155.75700000000001</v>
      </c>
      <c r="L893" s="1">
        <v>22.12</v>
      </c>
      <c r="M893" s="1">
        <v>86.4</v>
      </c>
      <c r="N893" s="1">
        <v>3.5799999999999998E-2</v>
      </c>
      <c r="O893" s="1">
        <v>2.2149999999999999E-4</v>
      </c>
      <c r="P893" s="1">
        <f>(Table1[[#This Row],[Rate_Constant_k2_g_mg_min]]*Table1[[#This Row],[Contact_Time_min]]*Table1[[#This Row],[qe_mg_g]]^2)/(1+Table1[[#This Row],[Contact_Time_min]]*Table1[[#This Row],[qe_mg_g]]*Table1[[#This Row],[Rate_Constant_k2_g_mg_min]])</f>
        <v>2.8349364877870831</v>
      </c>
      <c r="Q893" s="1">
        <f>LN(Table1[[#This Row],[qe_mg_g]]-Table1[[#This Row],[qt]])</f>
        <v>2.9593827372598374</v>
      </c>
      <c r="R893" s="1">
        <v>1</v>
      </c>
    </row>
    <row r="894" spans="1:18" x14ac:dyDescent="0.3">
      <c r="A894" s="1">
        <v>893</v>
      </c>
      <c r="B894" s="1" t="s">
        <v>17</v>
      </c>
      <c r="C894" s="1">
        <v>2</v>
      </c>
      <c r="D894" s="1">
        <v>30</v>
      </c>
      <c r="E894" s="1">
        <v>200</v>
      </c>
      <c r="F894" s="1">
        <v>3</v>
      </c>
      <c r="G894" s="1">
        <v>25</v>
      </c>
      <c r="H894" s="1">
        <v>150</v>
      </c>
      <c r="I894" s="1">
        <v>100</v>
      </c>
      <c r="J894" s="1">
        <v>20.64</v>
      </c>
      <c r="K894" s="1">
        <v>158.721</v>
      </c>
      <c r="L894" s="1">
        <v>20.64</v>
      </c>
      <c r="M894" s="1">
        <v>97.3</v>
      </c>
      <c r="N894" s="1">
        <v>3.3959999999999997E-2</v>
      </c>
      <c r="O894" s="1">
        <v>2.262E-4</v>
      </c>
      <c r="P89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2.5357379760333254</v>
      </c>
      <c r="Q894" s="1">
        <f>LN(Table1[[#This Row],[qe_mg_g]]-Table1[[#This Row],[qt]])</f>
        <v>2.8961473814902354</v>
      </c>
      <c r="R894" s="1">
        <v>2</v>
      </c>
    </row>
    <row r="895" spans="1:18" x14ac:dyDescent="0.3">
      <c r="A895" s="1">
        <v>894</v>
      </c>
      <c r="B895" s="1" t="s">
        <v>17</v>
      </c>
      <c r="C895" s="1">
        <v>2</v>
      </c>
      <c r="D895" s="1">
        <v>30</v>
      </c>
      <c r="E895" s="1">
        <v>200</v>
      </c>
      <c r="F895" s="1">
        <v>3</v>
      </c>
      <c r="G895" s="1">
        <v>25</v>
      </c>
      <c r="H895" s="1">
        <v>150</v>
      </c>
      <c r="I895" s="1">
        <v>100</v>
      </c>
      <c r="J895" s="1">
        <v>20.834</v>
      </c>
      <c r="K895" s="1">
        <v>158.33099999999999</v>
      </c>
      <c r="L895" s="1">
        <v>20.83</v>
      </c>
      <c r="M895" s="1">
        <v>88.2</v>
      </c>
      <c r="N895" s="1">
        <v>3.0550000000000001E-2</v>
      </c>
      <c r="O895" s="1">
        <v>2.0570000000000001E-4</v>
      </c>
      <c r="P89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2.3734149166280405</v>
      </c>
      <c r="Q895" s="1">
        <f>LN(Table1[[#This Row],[qe_mg_g]]-Table1[[#This Row],[qt]])</f>
        <v>2.9156379232296437</v>
      </c>
      <c r="R895" s="1">
        <v>3</v>
      </c>
    </row>
    <row r="896" spans="1:18" x14ac:dyDescent="0.3">
      <c r="A896" s="1">
        <v>895</v>
      </c>
      <c r="B896" s="1" t="s">
        <v>17</v>
      </c>
      <c r="C896" s="1">
        <v>2</v>
      </c>
      <c r="D896" s="1">
        <v>30</v>
      </c>
      <c r="E896" s="1">
        <v>200</v>
      </c>
      <c r="F896" s="1">
        <v>7</v>
      </c>
      <c r="G896" s="1">
        <v>25</v>
      </c>
      <c r="H896" s="1">
        <v>150</v>
      </c>
      <c r="I896" s="1">
        <v>100</v>
      </c>
      <c r="J896" s="1">
        <v>29.925999999999998</v>
      </c>
      <c r="K896" s="1">
        <v>140.148</v>
      </c>
      <c r="L896" s="1">
        <v>29.93</v>
      </c>
      <c r="M896" s="1">
        <v>77.5</v>
      </c>
      <c r="N896" s="1">
        <v>3.2149999999999998E-2</v>
      </c>
      <c r="O896" s="1">
        <v>1.7870000000000001E-4</v>
      </c>
      <c r="P89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4.1373567741971851</v>
      </c>
      <c r="Q896" s="1">
        <f>LN(Table1[[#This Row],[qe_mg_g]]-Table1[[#This Row],[qt]])</f>
        <v>3.249934209971292</v>
      </c>
      <c r="R896" s="1">
        <v>1</v>
      </c>
    </row>
    <row r="897" spans="1:18" x14ac:dyDescent="0.3">
      <c r="A897" s="1">
        <v>896</v>
      </c>
      <c r="B897" s="1" t="s">
        <v>17</v>
      </c>
      <c r="C897" s="1">
        <v>2</v>
      </c>
      <c r="D897" s="1">
        <v>30</v>
      </c>
      <c r="E897" s="1">
        <v>200</v>
      </c>
      <c r="F897" s="1">
        <v>7</v>
      </c>
      <c r="G897" s="1">
        <v>25</v>
      </c>
      <c r="H897" s="1">
        <v>150</v>
      </c>
      <c r="I897" s="1">
        <v>100</v>
      </c>
      <c r="J897" s="1">
        <v>39.576999999999998</v>
      </c>
      <c r="K897" s="1">
        <v>120.845</v>
      </c>
      <c r="L897" s="1">
        <v>39.58</v>
      </c>
      <c r="M897" s="1">
        <v>102.8</v>
      </c>
      <c r="N897" s="1">
        <v>4.172E-2</v>
      </c>
      <c r="O897" s="1">
        <v>1.7550000000000001E-4</v>
      </c>
      <c r="P897" s="1">
        <f>(Table1[[#This Row],[Rate_Constant_k2_g_mg_min]]*Table1[[#This Row],[Contact_Time_min]]*Table1[[#This Row],[qe_mg_g]]^2)/(1+Table1[[#This Row],[Contact_Time_min]]*Table1[[#This Row],[qe_mg_g]]*Table1[[#This Row],[Rate_Constant_k2_g_mg_min]])</f>
        <v>6.8246932938181031</v>
      </c>
      <c r="Q897" s="1">
        <f>LN(Table1[[#This Row],[qe_mg_g]]-Table1[[#This Row],[qt]])</f>
        <v>3.4889733933774654</v>
      </c>
      <c r="R897" s="1">
        <v>2</v>
      </c>
    </row>
    <row r="898" spans="1:18" x14ac:dyDescent="0.3">
      <c r="A898" s="1">
        <v>897</v>
      </c>
      <c r="B898" s="1" t="s">
        <v>17</v>
      </c>
      <c r="C898" s="1">
        <v>2</v>
      </c>
      <c r="D898" s="1">
        <v>30</v>
      </c>
      <c r="E898" s="1">
        <v>200</v>
      </c>
      <c r="F898" s="1">
        <v>7</v>
      </c>
      <c r="G898" s="1">
        <v>25</v>
      </c>
      <c r="H898" s="1">
        <v>150</v>
      </c>
      <c r="I898" s="1">
        <v>100</v>
      </c>
      <c r="J898" s="1">
        <v>32.874000000000002</v>
      </c>
      <c r="K898" s="1">
        <v>134.251</v>
      </c>
      <c r="L898" s="1">
        <v>32.869999999999997</v>
      </c>
      <c r="M898" s="1">
        <v>69.099999999999994</v>
      </c>
      <c r="N898" s="1">
        <v>3.2570000000000002E-2</v>
      </c>
      <c r="O898" s="1">
        <v>1.816E-4</v>
      </c>
      <c r="P89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4.9933552270219623</v>
      </c>
      <c r="Q898" s="1">
        <f>LN(Table1[[#This Row],[qe_mg_g]]-Table1[[#This Row],[qt]])</f>
        <v>3.3279327123457811</v>
      </c>
      <c r="R898" s="1">
        <v>3</v>
      </c>
    </row>
    <row r="899" spans="1:18" x14ac:dyDescent="0.3">
      <c r="A899" s="1">
        <v>898</v>
      </c>
      <c r="B899" s="1" t="s">
        <v>17</v>
      </c>
      <c r="C899" s="1">
        <v>2</v>
      </c>
      <c r="D899" s="1">
        <v>30</v>
      </c>
      <c r="E899" s="1">
        <v>200</v>
      </c>
      <c r="F899" s="1">
        <v>11</v>
      </c>
      <c r="G899" s="1">
        <v>25</v>
      </c>
      <c r="H899" s="1">
        <v>150</v>
      </c>
      <c r="I899" s="1">
        <v>100</v>
      </c>
      <c r="J899" s="1">
        <v>28.027999999999999</v>
      </c>
      <c r="K899" s="1">
        <v>143.94399999999999</v>
      </c>
      <c r="L899" s="1">
        <v>28.03</v>
      </c>
      <c r="M899" s="1">
        <v>80.599999999999994</v>
      </c>
      <c r="N899" s="1">
        <v>3.8739999999999997E-2</v>
      </c>
      <c r="O899" s="1">
        <v>2.1210000000000001E-4</v>
      </c>
      <c r="P899" s="1">
        <f>(Table1[[#This Row],[Rate_Constant_k2_g_mg_min]]*Table1[[#This Row],[Contact_Time_min]]*Table1[[#This Row],[qe_mg_g]]^2)/(1+Table1[[#This Row],[Contact_Time_min]]*Table1[[#This Row],[qe_mg_g]]*Table1[[#This Row],[Rate_Constant_k2_g_mg_min]])</f>
        <v>4.2420396429029079</v>
      </c>
      <c r="Q899" s="1">
        <f>LN(Table1[[#This Row],[qe_mg_g]]-Table1[[#This Row],[qt]])</f>
        <v>3.1690955056550938</v>
      </c>
      <c r="R899" s="1">
        <v>1</v>
      </c>
    </row>
    <row r="900" spans="1:18" x14ac:dyDescent="0.3">
      <c r="A900" s="1">
        <v>899</v>
      </c>
      <c r="B900" s="1" t="s">
        <v>17</v>
      </c>
      <c r="C900" s="1">
        <v>2</v>
      </c>
      <c r="D900" s="1">
        <v>30</v>
      </c>
      <c r="E900" s="1">
        <v>200</v>
      </c>
      <c r="F900" s="1">
        <v>11</v>
      </c>
      <c r="G900" s="1">
        <v>25</v>
      </c>
      <c r="H900" s="1">
        <v>150</v>
      </c>
      <c r="I900" s="1">
        <v>100</v>
      </c>
      <c r="J900" s="1">
        <v>30.681000000000001</v>
      </c>
      <c r="K900" s="1">
        <v>138.637</v>
      </c>
      <c r="L900" s="1">
        <v>30.68</v>
      </c>
      <c r="M900" s="1">
        <v>66.7</v>
      </c>
      <c r="N900" s="1">
        <v>3.9410000000000001E-2</v>
      </c>
      <c r="O900" s="1">
        <v>2.229E-4</v>
      </c>
      <c r="P900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5.2230507955214156</v>
      </c>
      <c r="Q900" s="1">
        <f>LN(Table1[[#This Row],[qe_mg_g]]-Table1[[#This Row],[qt]])</f>
        <v>3.2370280401786973</v>
      </c>
      <c r="R900" s="1">
        <v>2</v>
      </c>
    </row>
    <row r="901" spans="1:18" x14ac:dyDescent="0.3">
      <c r="A901" s="1">
        <v>900</v>
      </c>
      <c r="B901" s="1" t="s">
        <v>17</v>
      </c>
      <c r="C901" s="1">
        <v>2</v>
      </c>
      <c r="D901" s="1">
        <v>30</v>
      </c>
      <c r="E901" s="1">
        <v>200</v>
      </c>
      <c r="F901" s="1">
        <v>11</v>
      </c>
      <c r="G901" s="1">
        <v>25</v>
      </c>
      <c r="H901" s="1">
        <v>150</v>
      </c>
      <c r="I901" s="1">
        <v>100</v>
      </c>
      <c r="J901" s="1">
        <v>22.51</v>
      </c>
      <c r="K901" s="1">
        <v>154.98099999999999</v>
      </c>
      <c r="L901" s="1">
        <v>22.51</v>
      </c>
      <c r="M901" s="1">
        <v>98.7</v>
      </c>
      <c r="N901" s="1">
        <v>3.6179999999999997E-2</v>
      </c>
      <c r="O901" s="1">
        <v>1.9550000000000001E-4</v>
      </c>
      <c r="P90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2.625212511709698</v>
      </c>
      <c r="Q901" s="1">
        <f>LN(Table1[[#This Row],[qe_mg_g]]-Table1[[#This Row],[qt]])</f>
        <v>2.9899549915666057</v>
      </c>
      <c r="R901" s="1">
        <v>3</v>
      </c>
    </row>
    <row r="902" spans="1:18" x14ac:dyDescent="0.3">
      <c r="A902" s="1">
        <v>901</v>
      </c>
      <c r="B902" s="1" t="s">
        <v>17</v>
      </c>
      <c r="C902" s="1">
        <v>2</v>
      </c>
      <c r="D902" s="1">
        <v>60</v>
      </c>
      <c r="E902" s="1">
        <v>25</v>
      </c>
      <c r="F902" s="1">
        <v>3</v>
      </c>
      <c r="G902" s="1">
        <v>25</v>
      </c>
      <c r="H902" s="1">
        <v>150</v>
      </c>
      <c r="I902" s="1">
        <v>100</v>
      </c>
      <c r="J902" s="1">
        <v>0.78600000000000003</v>
      </c>
      <c r="K902" s="1">
        <v>23.428999999999998</v>
      </c>
      <c r="L902" s="1">
        <v>6.29</v>
      </c>
      <c r="M902" s="1">
        <v>76.5</v>
      </c>
      <c r="N902" s="1">
        <v>4.2169999999999999E-2</v>
      </c>
      <c r="O902" s="1">
        <v>2.0000000000000001E-4</v>
      </c>
      <c r="P902" s="1">
        <f>(Table1[[#This Row],[Rate_Constant_k2_g_mg_min]]*Table1[[#This Row],[Contact_Time_min]]*Table1[[#This Row],[qe_mg_g]]^2)/(1+Table1[[#This Row],[Contact_Time_min]]*Table1[[#This Row],[qe_mg_g]]*Table1[[#This Row],[Rate_Constant_k2_g_mg_min]])</f>
        <v>7.3442807440223801E-3</v>
      </c>
      <c r="Q902" s="1">
        <f>LN(Table1[[#This Row],[qe_mg_g]]-Table1[[#This Row],[qt]])</f>
        <v>-0.25018628297564643</v>
      </c>
      <c r="R902" s="1">
        <v>1</v>
      </c>
    </row>
    <row r="903" spans="1:18" x14ac:dyDescent="0.3">
      <c r="A903" s="1">
        <v>902</v>
      </c>
      <c r="B903" s="1" t="s">
        <v>17</v>
      </c>
      <c r="C903" s="1">
        <v>2</v>
      </c>
      <c r="D903" s="1">
        <v>60</v>
      </c>
      <c r="E903" s="1">
        <v>25</v>
      </c>
      <c r="F903" s="1">
        <v>3</v>
      </c>
      <c r="G903" s="1">
        <v>25</v>
      </c>
      <c r="H903" s="1">
        <v>150</v>
      </c>
      <c r="I903" s="1">
        <v>100</v>
      </c>
      <c r="J903" s="1">
        <v>0.92300000000000004</v>
      </c>
      <c r="K903" s="1">
        <v>23.154</v>
      </c>
      <c r="L903" s="1">
        <v>7.39</v>
      </c>
      <c r="M903" s="1">
        <v>75.5</v>
      </c>
      <c r="N903" s="1">
        <v>3.227E-2</v>
      </c>
      <c r="O903" s="1">
        <v>2.2159999999999999E-4</v>
      </c>
      <c r="P90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1.1189922922392433E-2</v>
      </c>
      <c r="Q903" s="1">
        <f>LN(Table1[[#This Row],[qe_mg_g]]-Table1[[#This Row],[qt]])</f>
        <v>-9.2323559413014414E-2</v>
      </c>
      <c r="R903" s="1">
        <v>2</v>
      </c>
    </row>
    <row r="904" spans="1:18" x14ac:dyDescent="0.3">
      <c r="A904" s="1">
        <v>903</v>
      </c>
      <c r="B904" s="1" t="s">
        <v>17</v>
      </c>
      <c r="C904" s="1">
        <v>2</v>
      </c>
      <c r="D904" s="1">
        <v>60</v>
      </c>
      <c r="E904" s="1">
        <v>25</v>
      </c>
      <c r="F904" s="1">
        <v>3</v>
      </c>
      <c r="G904" s="1">
        <v>25</v>
      </c>
      <c r="H904" s="1">
        <v>150</v>
      </c>
      <c r="I904" s="1">
        <v>100</v>
      </c>
      <c r="J904" s="1">
        <v>0.74099999999999999</v>
      </c>
      <c r="K904" s="1">
        <v>23.518999999999998</v>
      </c>
      <c r="L904" s="1">
        <v>5.93</v>
      </c>
      <c r="M904" s="1">
        <v>80.400000000000006</v>
      </c>
      <c r="N904" s="1">
        <v>3.5119999999999998E-2</v>
      </c>
      <c r="O904" s="1">
        <v>2.0220000000000001E-4</v>
      </c>
      <c r="P904" s="1">
        <f>(Table1[[#This Row],[Rate_Constant_k2_g_mg_min]]*Table1[[#This Row],[Contact_Time_min]]*Table1[[#This Row],[qe_mg_g]]^2)/(1+Table1[[#This Row],[Contact_Time_min]]*Table1[[#This Row],[qe_mg_g]]*Table1[[#This Row],[Rate_Constant_k2_g_mg_min]])</f>
        <v>6.6020990626216554E-3</v>
      </c>
      <c r="Q904" s="1">
        <f>LN(Table1[[#This Row],[qe_mg_g]]-Table1[[#This Row],[qt]])</f>
        <v>-0.30870429788067855</v>
      </c>
      <c r="R904" s="1">
        <v>3</v>
      </c>
    </row>
    <row r="905" spans="1:18" x14ac:dyDescent="0.3">
      <c r="A905" s="1">
        <v>904</v>
      </c>
      <c r="B905" s="1" t="s">
        <v>17</v>
      </c>
      <c r="C905" s="1">
        <v>2</v>
      </c>
      <c r="D905" s="1">
        <v>60</v>
      </c>
      <c r="E905" s="1">
        <v>25</v>
      </c>
      <c r="F905" s="1">
        <v>7</v>
      </c>
      <c r="G905" s="1">
        <v>25</v>
      </c>
      <c r="H905" s="1">
        <v>150</v>
      </c>
      <c r="I905" s="1">
        <v>100</v>
      </c>
      <c r="J905" s="1">
        <v>1.4470000000000001</v>
      </c>
      <c r="K905" s="1">
        <v>22.105</v>
      </c>
      <c r="L905" s="1">
        <v>11.58</v>
      </c>
      <c r="M905" s="1">
        <v>90.8</v>
      </c>
      <c r="N905" s="1">
        <v>3.7420000000000002E-2</v>
      </c>
      <c r="O905" s="1">
        <v>2.1469999999999999E-4</v>
      </c>
      <c r="P90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2.6478874590008108E-2</v>
      </c>
      <c r="Q905" s="1">
        <f>LN(Table1[[#This Row],[qe_mg_g]]-Table1[[#This Row],[qt]])</f>
        <v>0.35102379401425754</v>
      </c>
      <c r="R905" s="1">
        <v>1</v>
      </c>
    </row>
    <row r="906" spans="1:18" x14ac:dyDescent="0.3">
      <c r="A906" s="1">
        <v>905</v>
      </c>
      <c r="B906" s="1" t="s">
        <v>17</v>
      </c>
      <c r="C906" s="1">
        <v>2</v>
      </c>
      <c r="D906" s="1">
        <v>60</v>
      </c>
      <c r="E906" s="1">
        <v>25</v>
      </c>
      <c r="F906" s="1">
        <v>7</v>
      </c>
      <c r="G906" s="1">
        <v>25</v>
      </c>
      <c r="H906" s="1">
        <v>150</v>
      </c>
      <c r="I906" s="1">
        <v>100</v>
      </c>
      <c r="J906" s="1">
        <v>1.329</v>
      </c>
      <c r="K906" s="1">
        <v>22.343</v>
      </c>
      <c r="L906" s="1">
        <v>10.63</v>
      </c>
      <c r="M906" s="1">
        <v>82.1</v>
      </c>
      <c r="N906" s="1">
        <v>3.918E-2</v>
      </c>
      <c r="O906" s="1">
        <v>2.1790000000000001E-4</v>
      </c>
      <c r="P90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2.2697458636863805E-2</v>
      </c>
      <c r="Q906" s="1">
        <f>LN(Table1[[#This Row],[qe_mg_g]]-Table1[[#This Row],[qt]])</f>
        <v>0.26720065897517736</v>
      </c>
      <c r="R906" s="1">
        <v>2</v>
      </c>
    </row>
    <row r="907" spans="1:18" x14ac:dyDescent="0.3">
      <c r="A907" s="1">
        <v>906</v>
      </c>
      <c r="B907" s="1" t="s">
        <v>17</v>
      </c>
      <c r="C907" s="1">
        <v>2</v>
      </c>
      <c r="D907" s="1">
        <v>60</v>
      </c>
      <c r="E907" s="1">
        <v>25</v>
      </c>
      <c r="F907" s="1">
        <v>7</v>
      </c>
      <c r="G907" s="1">
        <v>25</v>
      </c>
      <c r="H907" s="1">
        <v>150</v>
      </c>
      <c r="I907" s="1">
        <v>100</v>
      </c>
      <c r="J907" s="1">
        <v>1.272</v>
      </c>
      <c r="K907" s="1">
        <v>22.457000000000001</v>
      </c>
      <c r="L907" s="1">
        <v>10.17</v>
      </c>
      <c r="M907" s="1">
        <v>90.2</v>
      </c>
      <c r="N907" s="1">
        <v>2.8080000000000001E-2</v>
      </c>
      <c r="O907" s="1">
        <v>2.009E-4</v>
      </c>
      <c r="P90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1.9208658764268999E-2</v>
      </c>
      <c r="Q907" s="1">
        <f>LN(Table1[[#This Row],[qe_mg_g]]-Table1[[#This Row],[qt]])</f>
        <v>0.22537413470092796</v>
      </c>
      <c r="R907" s="1">
        <v>3</v>
      </c>
    </row>
    <row r="908" spans="1:18" x14ac:dyDescent="0.3">
      <c r="A908" s="1">
        <v>907</v>
      </c>
      <c r="B908" s="1" t="s">
        <v>17</v>
      </c>
      <c r="C908" s="1">
        <v>2</v>
      </c>
      <c r="D908" s="1">
        <v>60</v>
      </c>
      <c r="E908" s="1">
        <v>25</v>
      </c>
      <c r="F908" s="1">
        <v>11</v>
      </c>
      <c r="G908" s="1">
        <v>25</v>
      </c>
      <c r="H908" s="1">
        <v>150</v>
      </c>
      <c r="I908" s="1">
        <v>100</v>
      </c>
      <c r="J908" s="1">
        <v>1.292</v>
      </c>
      <c r="K908" s="1">
        <v>22.417000000000002</v>
      </c>
      <c r="L908" s="1">
        <v>10.33</v>
      </c>
      <c r="M908" s="1">
        <v>73.5</v>
      </c>
      <c r="N908" s="1">
        <v>3.2079999999999997E-2</v>
      </c>
      <c r="O908" s="1">
        <v>2.153E-4</v>
      </c>
      <c r="P90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2.1209563548637678E-2</v>
      </c>
      <c r="Q908" s="1">
        <f>LN(Table1[[#This Row],[qe_mg_g]]-Table1[[#This Row],[qt]])</f>
        <v>0.239639097772192</v>
      </c>
      <c r="R908" s="1">
        <v>1</v>
      </c>
    </row>
    <row r="909" spans="1:18" x14ac:dyDescent="0.3">
      <c r="A909" s="1">
        <v>908</v>
      </c>
      <c r="B909" s="1" t="s">
        <v>17</v>
      </c>
      <c r="C909" s="1">
        <v>2</v>
      </c>
      <c r="D909" s="1">
        <v>60</v>
      </c>
      <c r="E909" s="1">
        <v>25</v>
      </c>
      <c r="F909" s="1">
        <v>11</v>
      </c>
      <c r="G909" s="1">
        <v>25</v>
      </c>
      <c r="H909" s="1">
        <v>150</v>
      </c>
      <c r="I909" s="1">
        <v>100</v>
      </c>
      <c r="J909" s="1">
        <v>0.91800000000000004</v>
      </c>
      <c r="K909" s="1">
        <v>23.164000000000001</v>
      </c>
      <c r="L909" s="1">
        <v>7.34</v>
      </c>
      <c r="M909" s="1">
        <v>77.599999999999994</v>
      </c>
      <c r="N909" s="1">
        <v>3.7089999999999998E-2</v>
      </c>
      <c r="O909" s="1">
        <v>1.873E-4</v>
      </c>
      <c r="P909" s="1">
        <f>(Table1[[#This Row],[Rate_Constant_k2_g_mg_min]]*Table1[[#This Row],[Contact_Time_min]]*Table1[[#This Row],[qe_mg_g]]^2)/(1+Table1[[#This Row],[Contact_Time_min]]*Table1[[#This Row],[qe_mg_g]]*Table1[[#This Row],[Rate_Constant_k2_g_mg_min]])</f>
        <v>9.3738273718990423E-3</v>
      </c>
      <c r="Q909" s="1">
        <f>LN(Table1[[#This Row],[qe_mg_g]]-Table1[[#This Row],[qt]])</f>
        <v>-9.5821520625851184E-2</v>
      </c>
      <c r="R909" s="1">
        <v>2</v>
      </c>
    </row>
    <row r="910" spans="1:18" x14ac:dyDescent="0.3">
      <c r="A910" s="1">
        <v>909</v>
      </c>
      <c r="B910" s="1" t="s">
        <v>17</v>
      </c>
      <c r="C910" s="1">
        <v>2</v>
      </c>
      <c r="D910" s="1">
        <v>60</v>
      </c>
      <c r="E910" s="1">
        <v>25</v>
      </c>
      <c r="F910" s="1">
        <v>11</v>
      </c>
      <c r="G910" s="1">
        <v>25</v>
      </c>
      <c r="H910" s="1">
        <v>150</v>
      </c>
      <c r="I910" s="1">
        <v>100</v>
      </c>
      <c r="J910" s="1">
        <v>1.06</v>
      </c>
      <c r="K910" s="1">
        <v>22.88</v>
      </c>
      <c r="L910" s="1">
        <v>8.48</v>
      </c>
      <c r="M910" s="1">
        <v>95.3</v>
      </c>
      <c r="N910" s="1">
        <v>3.6479999999999999E-2</v>
      </c>
      <c r="O910" s="1">
        <v>2.053E-4</v>
      </c>
      <c r="P91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1.3662117439621469E-2</v>
      </c>
      <c r="Q910" s="1">
        <f>LN(Table1[[#This Row],[qe_mg_g]]-Table1[[#This Row],[qt]])</f>
        <v>4.5296336962164729E-2</v>
      </c>
      <c r="R910" s="1">
        <v>3</v>
      </c>
    </row>
    <row r="911" spans="1:18" x14ac:dyDescent="0.3">
      <c r="A911" s="1">
        <v>910</v>
      </c>
      <c r="B911" s="1" t="s">
        <v>17</v>
      </c>
      <c r="C911" s="1">
        <v>2</v>
      </c>
      <c r="D911" s="1">
        <v>60</v>
      </c>
      <c r="E911" s="1">
        <v>50</v>
      </c>
      <c r="F911" s="1">
        <v>3</v>
      </c>
      <c r="G911" s="1">
        <v>25</v>
      </c>
      <c r="H911" s="1">
        <v>150</v>
      </c>
      <c r="I911" s="1">
        <v>100</v>
      </c>
      <c r="J911" s="1">
        <v>3</v>
      </c>
      <c r="K911" s="1">
        <v>44</v>
      </c>
      <c r="L911" s="1">
        <v>12</v>
      </c>
      <c r="M911" s="1">
        <v>90.5</v>
      </c>
      <c r="N911" s="1">
        <v>3.4569999999999997E-2</v>
      </c>
      <c r="O911" s="1">
        <v>2.0919999999999999E-4</v>
      </c>
      <c r="P91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0.10886844965961744</v>
      </c>
      <c r="Q911" s="1">
        <f>LN(Table1[[#This Row],[qe_mg_g]]-Table1[[#This Row],[qt]])</f>
        <v>1.0616479654027595</v>
      </c>
      <c r="R911" s="1">
        <v>1</v>
      </c>
    </row>
    <row r="912" spans="1:18" x14ac:dyDescent="0.3">
      <c r="A912" s="1">
        <v>911</v>
      </c>
      <c r="B912" s="1" t="s">
        <v>17</v>
      </c>
      <c r="C912" s="1">
        <v>2</v>
      </c>
      <c r="D912" s="1">
        <v>60</v>
      </c>
      <c r="E912" s="1">
        <v>50</v>
      </c>
      <c r="F912" s="1">
        <v>3</v>
      </c>
      <c r="G912" s="1">
        <v>25</v>
      </c>
      <c r="H912" s="1">
        <v>150</v>
      </c>
      <c r="I912" s="1">
        <v>100</v>
      </c>
      <c r="J912" s="1">
        <v>2.9510000000000001</v>
      </c>
      <c r="K912" s="1">
        <v>44.097999999999999</v>
      </c>
      <c r="L912" s="1">
        <v>11.8</v>
      </c>
      <c r="M912" s="1">
        <v>83.4</v>
      </c>
      <c r="N912" s="1">
        <v>3.1539999999999999E-2</v>
      </c>
      <c r="O912" s="1">
        <v>1.9929999999999999E-4</v>
      </c>
      <c r="P91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0.10058558905737906</v>
      </c>
      <c r="Q912" s="1">
        <f>LN(Table1[[#This Row],[qe_mg_g]]-Table1[[#This Row],[qt]])</f>
        <v>1.0474643910582235</v>
      </c>
      <c r="R912" s="1">
        <v>2</v>
      </c>
    </row>
    <row r="913" spans="1:18" x14ac:dyDescent="0.3">
      <c r="A913" s="1">
        <v>912</v>
      </c>
      <c r="B913" s="1" t="s">
        <v>17</v>
      </c>
      <c r="C913" s="1">
        <v>2</v>
      </c>
      <c r="D913" s="1">
        <v>60</v>
      </c>
      <c r="E913" s="1">
        <v>50</v>
      </c>
      <c r="F913" s="1">
        <v>3</v>
      </c>
      <c r="G913" s="1">
        <v>25</v>
      </c>
      <c r="H913" s="1">
        <v>150</v>
      </c>
      <c r="I913" s="1">
        <v>100</v>
      </c>
      <c r="J913" s="1">
        <v>2.8530000000000002</v>
      </c>
      <c r="K913" s="1">
        <v>44.292999999999999</v>
      </c>
      <c r="L913" s="1">
        <v>11.41</v>
      </c>
      <c r="M913" s="1">
        <v>71.400000000000006</v>
      </c>
      <c r="N913" s="1">
        <v>3.5909999999999997E-2</v>
      </c>
      <c r="O913" s="1">
        <v>2.0430000000000001E-4</v>
      </c>
      <c r="P913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9.6403883378596386E-2</v>
      </c>
      <c r="Q913" s="1">
        <f>LN(Table1[[#This Row],[qe_mg_g]]-Table1[[#This Row],[qt]])</f>
        <v>1.0139966275205536</v>
      </c>
      <c r="R913" s="1">
        <v>3</v>
      </c>
    </row>
    <row r="914" spans="1:18" x14ac:dyDescent="0.3">
      <c r="A914" s="1">
        <v>913</v>
      </c>
      <c r="B914" s="1" t="s">
        <v>17</v>
      </c>
      <c r="C914" s="1">
        <v>2</v>
      </c>
      <c r="D914" s="1">
        <v>60</v>
      </c>
      <c r="E914" s="1">
        <v>50</v>
      </c>
      <c r="F914" s="1">
        <v>7</v>
      </c>
      <c r="G914" s="1">
        <v>25</v>
      </c>
      <c r="H914" s="1">
        <v>150</v>
      </c>
      <c r="I914" s="1">
        <v>100</v>
      </c>
      <c r="J914" s="1">
        <v>5.617</v>
      </c>
      <c r="K914" s="1">
        <v>38.765000000000001</v>
      </c>
      <c r="L914" s="1">
        <v>22.47</v>
      </c>
      <c r="M914" s="1">
        <v>80.2</v>
      </c>
      <c r="N914" s="1">
        <v>3.6429999999999997E-2</v>
      </c>
      <c r="O914" s="1">
        <v>2.1100000000000001E-4</v>
      </c>
      <c r="P91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0.37291339618307801</v>
      </c>
      <c r="Q914" s="1">
        <f>LN(Table1[[#This Row],[qe_mg_g]]-Table1[[#This Row],[qt]])</f>
        <v>1.6571010806043149</v>
      </c>
      <c r="R914" s="1">
        <v>1</v>
      </c>
    </row>
    <row r="915" spans="1:18" x14ac:dyDescent="0.3">
      <c r="A915" s="1">
        <v>914</v>
      </c>
      <c r="B915" s="1" t="s">
        <v>17</v>
      </c>
      <c r="C915" s="1">
        <v>2</v>
      </c>
      <c r="D915" s="1">
        <v>60</v>
      </c>
      <c r="E915" s="1">
        <v>50</v>
      </c>
      <c r="F915" s="1">
        <v>7</v>
      </c>
      <c r="G915" s="1">
        <v>25</v>
      </c>
      <c r="H915" s="1">
        <v>150</v>
      </c>
      <c r="I915" s="1">
        <v>100</v>
      </c>
      <c r="J915" s="1">
        <v>5.4409999999999998</v>
      </c>
      <c r="K915" s="1">
        <v>39.116999999999997</v>
      </c>
      <c r="L915" s="1">
        <v>21.77</v>
      </c>
      <c r="M915" s="1">
        <v>75.099999999999994</v>
      </c>
      <c r="N915" s="1">
        <v>3.5520000000000003E-2</v>
      </c>
      <c r="O915" s="1">
        <v>2.073E-4</v>
      </c>
      <c r="P91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0.34488068015721313</v>
      </c>
      <c r="Q915" s="1">
        <f>LN(Table1[[#This Row],[qe_mg_g]]-Table1[[#This Row],[qt]])</f>
        <v>1.628479332407599</v>
      </c>
      <c r="R915" s="1">
        <v>2</v>
      </c>
    </row>
    <row r="916" spans="1:18" x14ac:dyDescent="0.3">
      <c r="A916" s="1">
        <v>915</v>
      </c>
      <c r="B916" s="1" t="s">
        <v>17</v>
      </c>
      <c r="C916" s="1">
        <v>2</v>
      </c>
      <c r="D916" s="1">
        <v>60</v>
      </c>
      <c r="E916" s="1">
        <v>50</v>
      </c>
      <c r="F916" s="1">
        <v>7</v>
      </c>
      <c r="G916" s="1">
        <v>25</v>
      </c>
      <c r="H916" s="1">
        <v>150</v>
      </c>
      <c r="I916" s="1">
        <v>100</v>
      </c>
      <c r="J916" s="1">
        <v>5.2130000000000001</v>
      </c>
      <c r="K916" s="1">
        <v>39.573</v>
      </c>
      <c r="L916" s="1">
        <v>20.85</v>
      </c>
      <c r="M916" s="1">
        <v>58.9</v>
      </c>
      <c r="N916" s="1">
        <v>3.5560000000000001E-2</v>
      </c>
      <c r="O916" s="1">
        <v>2.4429999999999998E-4</v>
      </c>
      <c r="P91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0.37005951421280586</v>
      </c>
      <c r="Q916" s="1">
        <f>LN(Table1[[#This Row],[qe_mg_g]]-Table1[[#This Row],[qt]])</f>
        <v>1.5775220746375931</v>
      </c>
      <c r="R916" s="1">
        <v>3</v>
      </c>
    </row>
    <row r="917" spans="1:18" x14ac:dyDescent="0.3">
      <c r="A917" s="1">
        <v>916</v>
      </c>
      <c r="B917" s="1" t="s">
        <v>17</v>
      </c>
      <c r="C917" s="1">
        <v>2</v>
      </c>
      <c r="D917" s="1">
        <v>60</v>
      </c>
      <c r="E917" s="1">
        <v>50</v>
      </c>
      <c r="F917" s="1">
        <v>11</v>
      </c>
      <c r="G917" s="1">
        <v>25</v>
      </c>
      <c r="H917" s="1">
        <v>150</v>
      </c>
      <c r="I917" s="1">
        <v>100</v>
      </c>
      <c r="J917" s="1">
        <v>3.7549999999999999</v>
      </c>
      <c r="K917" s="1">
        <v>42.488999999999997</v>
      </c>
      <c r="L917" s="1">
        <v>15.02</v>
      </c>
      <c r="M917" s="1">
        <v>76.400000000000006</v>
      </c>
      <c r="N917" s="1">
        <v>3.6310000000000002E-2</v>
      </c>
      <c r="O917" s="1">
        <v>2.062E-4</v>
      </c>
      <c r="P91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0.16670109965163779</v>
      </c>
      <c r="Q917" s="1">
        <f>LN(Table1[[#This Row],[qe_mg_g]]-Table1[[#This Row],[qt]])</f>
        <v>1.2776782462865783</v>
      </c>
      <c r="R917" s="1">
        <v>1</v>
      </c>
    </row>
    <row r="918" spans="1:18" x14ac:dyDescent="0.3">
      <c r="A918" s="1">
        <v>917</v>
      </c>
      <c r="B918" s="1" t="s">
        <v>17</v>
      </c>
      <c r="C918" s="1">
        <v>2</v>
      </c>
      <c r="D918" s="1">
        <v>60</v>
      </c>
      <c r="E918" s="1">
        <v>50</v>
      </c>
      <c r="F918" s="1">
        <v>11</v>
      </c>
      <c r="G918" s="1">
        <v>25</v>
      </c>
      <c r="H918" s="1">
        <v>150</v>
      </c>
      <c r="I918" s="1">
        <v>100</v>
      </c>
      <c r="J918" s="1">
        <v>4.3600000000000003</v>
      </c>
      <c r="K918" s="1">
        <v>41.28</v>
      </c>
      <c r="L918" s="1">
        <v>17.440000000000001</v>
      </c>
      <c r="M918" s="1">
        <v>69.5</v>
      </c>
      <c r="N918" s="1">
        <v>3.7560000000000003E-2</v>
      </c>
      <c r="O918" s="1">
        <v>2.118E-4</v>
      </c>
      <c r="P91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0.22889181544846479</v>
      </c>
      <c r="Q918" s="1">
        <f>LN(Table1[[#This Row],[qe_mg_g]]-Table1[[#This Row],[qt]])</f>
        <v>1.41854569653735</v>
      </c>
      <c r="R918" s="1">
        <v>2</v>
      </c>
    </row>
    <row r="919" spans="1:18" x14ac:dyDescent="0.3">
      <c r="A919" s="1">
        <v>918</v>
      </c>
      <c r="B919" s="1" t="s">
        <v>17</v>
      </c>
      <c r="C919" s="1">
        <v>2</v>
      </c>
      <c r="D919" s="1">
        <v>60</v>
      </c>
      <c r="E919" s="1">
        <v>50</v>
      </c>
      <c r="F919" s="1">
        <v>11</v>
      </c>
      <c r="G919" s="1">
        <v>25</v>
      </c>
      <c r="H919" s="1">
        <v>150</v>
      </c>
      <c r="I919" s="1">
        <v>100</v>
      </c>
      <c r="J919" s="1">
        <v>3.84</v>
      </c>
      <c r="K919" s="1">
        <v>42.32</v>
      </c>
      <c r="L919" s="1">
        <v>15.36</v>
      </c>
      <c r="M919" s="1">
        <v>90.1</v>
      </c>
      <c r="N919" s="1">
        <v>3.8600000000000002E-2</v>
      </c>
      <c r="O919" s="1">
        <v>2.174E-4</v>
      </c>
      <c r="P91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0.18316696368277216</v>
      </c>
      <c r="Q919" s="1">
        <f>LN(Table1[[#This Row],[qe_mg_g]]-Table1[[#This Row],[qt]])</f>
        <v>1.296597482209539</v>
      </c>
      <c r="R919" s="1">
        <v>3</v>
      </c>
    </row>
    <row r="920" spans="1:18" x14ac:dyDescent="0.3">
      <c r="A920" s="1">
        <v>919</v>
      </c>
      <c r="B920" s="1" t="s">
        <v>17</v>
      </c>
      <c r="C920" s="1">
        <v>2</v>
      </c>
      <c r="D920" s="1">
        <v>60</v>
      </c>
      <c r="E920" s="1">
        <v>100</v>
      </c>
      <c r="F920" s="1">
        <v>3</v>
      </c>
      <c r="G920" s="1">
        <v>25</v>
      </c>
      <c r="H920" s="1">
        <v>150</v>
      </c>
      <c r="I920" s="1">
        <v>100</v>
      </c>
      <c r="J920" s="1">
        <v>9.2420000000000009</v>
      </c>
      <c r="K920" s="1">
        <v>81.515000000000001</v>
      </c>
      <c r="L920" s="1">
        <v>18.48</v>
      </c>
      <c r="M920" s="1">
        <v>96.3</v>
      </c>
      <c r="N920" s="1">
        <v>3.4770000000000002E-2</v>
      </c>
      <c r="O920" s="1">
        <v>2.0149999999999999E-4</v>
      </c>
      <c r="P92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0.92887365625670537</v>
      </c>
      <c r="Q920" s="1">
        <f>LN(Table1[[#This Row],[qe_mg_g]]-Table1[[#This Row],[qt]])</f>
        <v>2.1178357527665859</v>
      </c>
      <c r="R920" s="1">
        <v>1</v>
      </c>
    </row>
    <row r="921" spans="1:18" x14ac:dyDescent="0.3">
      <c r="A921" s="1">
        <v>920</v>
      </c>
      <c r="B921" s="1" t="s">
        <v>17</v>
      </c>
      <c r="C921" s="1">
        <v>2</v>
      </c>
      <c r="D921" s="1">
        <v>60</v>
      </c>
      <c r="E921" s="1">
        <v>100</v>
      </c>
      <c r="F921" s="1">
        <v>3</v>
      </c>
      <c r="G921" s="1">
        <v>25</v>
      </c>
      <c r="H921" s="1">
        <v>150</v>
      </c>
      <c r="I921" s="1">
        <v>100</v>
      </c>
      <c r="J921" s="1">
        <v>10.512</v>
      </c>
      <c r="K921" s="1">
        <v>78.977000000000004</v>
      </c>
      <c r="L921" s="1">
        <v>21.02</v>
      </c>
      <c r="M921" s="1">
        <v>83.8</v>
      </c>
      <c r="N921" s="1">
        <v>3.9170000000000003E-2</v>
      </c>
      <c r="O921" s="1">
        <v>1.983E-4</v>
      </c>
      <c r="P92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1.1685961174729533</v>
      </c>
      <c r="Q921" s="1">
        <f>LN(Table1[[#This Row],[qe_mg_g]]-Table1[[#This Row],[qt]])</f>
        <v>2.2346706272321724</v>
      </c>
      <c r="R921" s="1">
        <v>2</v>
      </c>
    </row>
    <row r="922" spans="1:18" x14ac:dyDescent="0.3">
      <c r="A922" s="1">
        <v>921</v>
      </c>
      <c r="B922" s="1" t="s">
        <v>17</v>
      </c>
      <c r="C922" s="1">
        <v>2</v>
      </c>
      <c r="D922" s="1">
        <v>60</v>
      </c>
      <c r="E922" s="1">
        <v>100</v>
      </c>
      <c r="F922" s="1">
        <v>3</v>
      </c>
      <c r="G922" s="1">
        <v>25</v>
      </c>
      <c r="H922" s="1">
        <v>150</v>
      </c>
      <c r="I922" s="1">
        <v>100</v>
      </c>
      <c r="J922" s="1">
        <v>9.2669999999999995</v>
      </c>
      <c r="K922" s="1">
        <v>81.465999999999994</v>
      </c>
      <c r="L922" s="1">
        <v>18.53</v>
      </c>
      <c r="M922" s="1">
        <v>80.7</v>
      </c>
      <c r="N922" s="1">
        <v>3.5630000000000002E-2</v>
      </c>
      <c r="O922" s="1">
        <v>2.2460000000000001E-4</v>
      </c>
      <c r="P92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1.0288032450640168</v>
      </c>
      <c r="Q922" s="1">
        <f>LN(Table1[[#This Row],[qe_mg_g]]-Table1[[#This Row],[qt]])</f>
        <v>2.1087814795519311</v>
      </c>
      <c r="R922" s="1">
        <v>3</v>
      </c>
    </row>
    <row r="923" spans="1:18" x14ac:dyDescent="0.3">
      <c r="A923" s="1">
        <v>922</v>
      </c>
      <c r="B923" s="1" t="s">
        <v>17</v>
      </c>
      <c r="C923" s="1">
        <v>2</v>
      </c>
      <c r="D923" s="1">
        <v>60</v>
      </c>
      <c r="E923" s="1">
        <v>100</v>
      </c>
      <c r="F923" s="1">
        <v>7</v>
      </c>
      <c r="G923" s="1">
        <v>25</v>
      </c>
      <c r="H923" s="1">
        <v>150</v>
      </c>
      <c r="I923" s="1">
        <v>100</v>
      </c>
      <c r="J923" s="1">
        <v>17.869</v>
      </c>
      <c r="K923" s="1">
        <v>64.262</v>
      </c>
      <c r="L923" s="1">
        <v>35.74</v>
      </c>
      <c r="M923" s="1">
        <v>74.8</v>
      </c>
      <c r="N923" s="1">
        <v>4.3700000000000003E-2</v>
      </c>
      <c r="O923" s="1">
        <v>2.053E-4</v>
      </c>
      <c r="P92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3.2236032806268931</v>
      </c>
      <c r="Q923" s="1">
        <f>LN(Table1[[#This Row],[qe_mg_g]]-Table1[[#This Row],[qt]])</f>
        <v>2.6841260689788995</v>
      </c>
      <c r="R923" s="1">
        <v>1</v>
      </c>
    </row>
    <row r="924" spans="1:18" x14ac:dyDescent="0.3">
      <c r="A924" s="1">
        <v>923</v>
      </c>
      <c r="B924" s="1" t="s">
        <v>17</v>
      </c>
      <c r="C924" s="1">
        <v>2</v>
      </c>
      <c r="D924" s="1">
        <v>60</v>
      </c>
      <c r="E924" s="1">
        <v>100</v>
      </c>
      <c r="F924" s="1">
        <v>7</v>
      </c>
      <c r="G924" s="1">
        <v>25</v>
      </c>
      <c r="H924" s="1">
        <v>150</v>
      </c>
      <c r="I924" s="1">
        <v>100</v>
      </c>
      <c r="J924" s="1">
        <v>19.001999999999999</v>
      </c>
      <c r="K924" s="1">
        <v>61.996000000000002</v>
      </c>
      <c r="L924" s="1">
        <v>38</v>
      </c>
      <c r="M924" s="1">
        <v>83.8</v>
      </c>
      <c r="N924" s="1">
        <v>3.687E-2</v>
      </c>
      <c r="O924" s="1">
        <v>2.1680000000000001E-4</v>
      </c>
      <c r="P92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3.7660034091171792</v>
      </c>
      <c r="Q924" s="1">
        <f>LN(Table1[[#This Row],[qe_mg_g]]-Table1[[#This Row],[qt]])</f>
        <v>2.7236608248622516</v>
      </c>
      <c r="R924" s="1">
        <v>2</v>
      </c>
    </row>
    <row r="925" spans="1:18" x14ac:dyDescent="0.3">
      <c r="A925" s="1">
        <v>924</v>
      </c>
      <c r="B925" s="1" t="s">
        <v>17</v>
      </c>
      <c r="C925" s="1">
        <v>2</v>
      </c>
      <c r="D925" s="1">
        <v>60</v>
      </c>
      <c r="E925" s="1">
        <v>100</v>
      </c>
      <c r="F925" s="1">
        <v>7</v>
      </c>
      <c r="G925" s="1">
        <v>25</v>
      </c>
      <c r="H925" s="1">
        <v>150</v>
      </c>
      <c r="I925" s="1">
        <v>100</v>
      </c>
      <c r="J925" s="1">
        <v>18.905000000000001</v>
      </c>
      <c r="K925" s="1">
        <v>62.189</v>
      </c>
      <c r="L925" s="1">
        <v>37.81</v>
      </c>
      <c r="M925" s="1">
        <v>99.3</v>
      </c>
      <c r="N925" s="1">
        <v>3.805E-2</v>
      </c>
      <c r="O925" s="1">
        <v>1.9369999999999999E-4</v>
      </c>
      <c r="P92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3.4054637193979369</v>
      </c>
      <c r="Q925" s="1">
        <f>LN(Table1[[#This Row],[qe_mg_g]]-Table1[[#This Row],[qt]])</f>
        <v>2.7408101060971553</v>
      </c>
      <c r="R925" s="1">
        <v>3</v>
      </c>
    </row>
    <row r="926" spans="1:18" x14ac:dyDescent="0.3">
      <c r="A926" s="1">
        <v>925</v>
      </c>
      <c r="B926" s="1" t="s">
        <v>17</v>
      </c>
      <c r="C926" s="1">
        <v>2</v>
      </c>
      <c r="D926" s="1">
        <v>60</v>
      </c>
      <c r="E926" s="1">
        <v>100</v>
      </c>
      <c r="F926" s="1">
        <v>11</v>
      </c>
      <c r="G926" s="1">
        <v>25</v>
      </c>
      <c r="H926" s="1">
        <v>150</v>
      </c>
      <c r="I926" s="1">
        <v>100</v>
      </c>
      <c r="J926" s="1">
        <v>12.147</v>
      </c>
      <c r="K926" s="1">
        <v>75.706000000000003</v>
      </c>
      <c r="L926" s="1">
        <v>24.29</v>
      </c>
      <c r="M926" s="1">
        <v>90</v>
      </c>
      <c r="N926" s="1">
        <v>3.8269999999999998E-2</v>
      </c>
      <c r="O926" s="1">
        <v>1.9550000000000001E-4</v>
      </c>
      <c r="P92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1.5149065054293833</v>
      </c>
      <c r="Q926" s="1">
        <f>LN(Table1[[#This Row],[qe_mg_g]]-Table1[[#This Row],[qt]])</f>
        <v>2.3638771150677855</v>
      </c>
      <c r="R926" s="1">
        <v>1</v>
      </c>
    </row>
    <row r="927" spans="1:18" x14ac:dyDescent="0.3">
      <c r="A927" s="1">
        <v>926</v>
      </c>
      <c r="B927" s="1" t="s">
        <v>17</v>
      </c>
      <c r="C927" s="1">
        <v>2</v>
      </c>
      <c r="D927" s="1">
        <v>60</v>
      </c>
      <c r="E927" s="1">
        <v>100</v>
      </c>
      <c r="F927" s="1">
        <v>11</v>
      </c>
      <c r="G927" s="1">
        <v>25</v>
      </c>
      <c r="H927" s="1">
        <v>150</v>
      </c>
      <c r="I927" s="1">
        <v>100</v>
      </c>
      <c r="J927" s="1">
        <v>14.256</v>
      </c>
      <c r="K927" s="1">
        <v>71.488</v>
      </c>
      <c r="L927" s="1">
        <v>28.51</v>
      </c>
      <c r="M927" s="1">
        <v>104.4</v>
      </c>
      <c r="N927" s="1">
        <v>3.1789999999999999E-2</v>
      </c>
      <c r="O927" s="1">
        <v>1.8330000000000001E-4</v>
      </c>
      <c r="P92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1.9322152531165695</v>
      </c>
      <c r="Q927" s="1">
        <f>LN(Table1[[#This Row],[qe_mg_g]]-Table1[[#This Row],[qt]])</f>
        <v>2.5115311144088444</v>
      </c>
      <c r="R927" s="1">
        <v>2</v>
      </c>
    </row>
    <row r="928" spans="1:18" x14ac:dyDescent="0.3">
      <c r="A928" s="1">
        <v>927</v>
      </c>
      <c r="B928" s="1" t="s">
        <v>17</v>
      </c>
      <c r="C928" s="1">
        <v>2</v>
      </c>
      <c r="D928" s="1">
        <v>60</v>
      </c>
      <c r="E928" s="1">
        <v>100</v>
      </c>
      <c r="F928" s="1">
        <v>11</v>
      </c>
      <c r="G928" s="1">
        <v>25</v>
      </c>
      <c r="H928" s="1">
        <v>150</v>
      </c>
      <c r="I928" s="1">
        <v>100</v>
      </c>
      <c r="J928" s="1">
        <v>12.702999999999999</v>
      </c>
      <c r="K928" s="1">
        <v>74.593999999999994</v>
      </c>
      <c r="L928" s="1">
        <v>25.41</v>
      </c>
      <c r="M928" s="1">
        <v>89.7</v>
      </c>
      <c r="N928" s="1">
        <v>3.3160000000000002E-2</v>
      </c>
      <c r="O928" s="1">
        <v>2.2699999999999999E-4</v>
      </c>
      <c r="P92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1.8736401741577258</v>
      </c>
      <c r="Q928" s="1">
        <f>LN(Table1[[#This Row],[qe_mg_g]]-Table1[[#This Row],[qt]])</f>
        <v>2.3822609480785317</v>
      </c>
      <c r="R928" s="1">
        <v>3</v>
      </c>
    </row>
    <row r="929" spans="1:18" x14ac:dyDescent="0.3">
      <c r="A929" s="1">
        <v>928</v>
      </c>
      <c r="B929" s="1" t="s">
        <v>17</v>
      </c>
      <c r="C929" s="1">
        <v>2</v>
      </c>
      <c r="D929" s="1">
        <v>60</v>
      </c>
      <c r="E929" s="1">
        <v>200</v>
      </c>
      <c r="F929" s="1">
        <v>3</v>
      </c>
      <c r="G929" s="1">
        <v>25</v>
      </c>
      <c r="H929" s="1">
        <v>150</v>
      </c>
      <c r="I929" s="1">
        <v>100</v>
      </c>
      <c r="J929" s="1">
        <v>32.415999999999997</v>
      </c>
      <c r="K929" s="1">
        <v>135.16900000000001</v>
      </c>
      <c r="L929" s="1">
        <v>32.42</v>
      </c>
      <c r="M929" s="1">
        <v>86.2</v>
      </c>
      <c r="N929" s="1">
        <v>2.997E-2</v>
      </c>
      <c r="O929" s="1">
        <v>1.7369999999999999E-4</v>
      </c>
      <c r="P92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8.1858896317276759</v>
      </c>
      <c r="Q929" s="1">
        <f>LN(Table1[[#This Row],[qe_mg_g]]-Table1[[#This Row],[qt]])</f>
        <v>3.1875960898437441</v>
      </c>
      <c r="R929" s="1">
        <v>1</v>
      </c>
    </row>
    <row r="930" spans="1:18" x14ac:dyDescent="0.3">
      <c r="A930" s="1">
        <v>929</v>
      </c>
      <c r="B930" s="1" t="s">
        <v>17</v>
      </c>
      <c r="C930" s="1">
        <v>2</v>
      </c>
      <c r="D930" s="1">
        <v>60</v>
      </c>
      <c r="E930" s="1">
        <v>200</v>
      </c>
      <c r="F930" s="1">
        <v>3</v>
      </c>
      <c r="G930" s="1">
        <v>25</v>
      </c>
      <c r="H930" s="1">
        <v>150</v>
      </c>
      <c r="I930" s="1">
        <v>100</v>
      </c>
      <c r="J930" s="1">
        <v>31.971</v>
      </c>
      <c r="K930" s="1">
        <v>136.059</v>
      </c>
      <c r="L930" s="1">
        <v>31.97</v>
      </c>
      <c r="M930" s="1">
        <v>58.3</v>
      </c>
      <c r="N930" s="1">
        <v>3.8539999999999998E-2</v>
      </c>
      <c r="O930" s="1">
        <v>1.9680000000000001E-4</v>
      </c>
      <c r="P930" s="1">
        <f>(Table1[[#This Row],[Rate_Constant_k2_g_mg_min]]*Table1[[#This Row],[Contact_Time_min]]*Table1[[#This Row],[qe_mg_g]]^2)/(1+Table1[[#This Row],[Contact_Time_min]]*Table1[[#This Row],[qe_mg_g]]*Table1[[#This Row],[Rate_Constant_k2_g_mg_min]])</f>
        <v>8.7617912178183364</v>
      </c>
      <c r="Q930" s="1">
        <f>LN(Table1[[#This Row],[qe_mg_g]]-Table1[[#This Row],[qt]])</f>
        <v>3.1445491301827366</v>
      </c>
      <c r="R930" s="1">
        <v>2</v>
      </c>
    </row>
    <row r="931" spans="1:18" x14ac:dyDescent="0.3">
      <c r="A931" s="1">
        <v>930</v>
      </c>
      <c r="B931" s="1" t="s">
        <v>17</v>
      </c>
      <c r="C931" s="1">
        <v>2</v>
      </c>
      <c r="D931" s="1">
        <v>60</v>
      </c>
      <c r="E931" s="1">
        <v>200</v>
      </c>
      <c r="F931" s="1">
        <v>3</v>
      </c>
      <c r="G931" s="1">
        <v>25</v>
      </c>
      <c r="H931" s="1">
        <v>150</v>
      </c>
      <c r="I931" s="1">
        <v>100</v>
      </c>
      <c r="J931" s="1">
        <v>41.182000000000002</v>
      </c>
      <c r="K931" s="1">
        <v>117.636</v>
      </c>
      <c r="L931" s="1">
        <v>41.18</v>
      </c>
      <c r="M931" s="1">
        <v>115.4</v>
      </c>
      <c r="N931" s="1">
        <v>3.4360000000000002E-2</v>
      </c>
      <c r="O931" s="1">
        <v>1.9790000000000001E-4</v>
      </c>
      <c r="P931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13.524420142925553</v>
      </c>
      <c r="Q931" s="1">
        <f>LN(Table1[[#This Row],[qe_mg_g]]-Table1[[#This Row],[qt]])</f>
        <v>3.3198998262796962</v>
      </c>
      <c r="R931" s="1">
        <v>3</v>
      </c>
    </row>
    <row r="932" spans="1:18" x14ac:dyDescent="0.3">
      <c r="A932" s="1">
        <v>931</v>
      </c>
      <c r="B932" s="1" t="s">
        <v>17</v>
      </c>
      <c r="C932" s="1">
        <v>2</v>
      </c>
      <c r="D932" s="1">
        <v>60</v>
      </c>
      <c r="E932" s="1">
        <v>200</v>
      </c>
      <c r="F932" s="1">
        <v>7</v>
      </c>
      <c r="G932" s="1">
        <v>25</v>
      </c>
      <c r="H932" s="1">
        <v>150</v>
      </c>
      <c r="I932" s="1">
        <v>100</v>
      </c>
      <c r="J932" s="1">
        <v>52.713000000000001</v>
      </c>
      <c r="K932" s="1">
        <v>94.575000000000003</v>
      </c>
      <c r="L932" s="1">
        <v>52.71</v>
      </c>
      <c r="M932" s="1">
        <v>107.6</v>
      </c>
      <c r="N932" s="1">
        <v>2.9270000000000001E-2</v>
      </c>
      <c r="O932" s="1">
        <v>1.6430000000000001E-4</v>
      </c>
      <c r="P932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18.02528771642244</v>
      </c>
      <c r="Q932" s="1">
        <f>LN(Table1[[#This Row],[qe_mg_g]]-Table1[[#This Row],[qt]])</f>
        <v>3.5463855113748477</v>
      </c>
      <c r="R932" s="1">
        <v>1</v>
      </c>
    </row>
    <row r="933" spans="1:18" x14ac:dyDescent="0.3">
      <c r="A933" s="1">
        <v>932</v>
      </c>
      <c r="B933" s="1" t="s">
        <v>17</v>
      </c>
      <c r="C933" s="1">
        <v>2</v>
      </c>
      <c r="D933" s="1">
        <v>60</v>
      </c>
      <c r="E933" s="1">
        <v>200</v>
      </c>
      <c r="F933" s="1">
        <v>7</v>
      </c>
      <c r="G933" s="1">
        <v>25</v>
      </c>
      <c r="H933" s="1">
        <v>150</v>
      </c>
      <c r="I933" s="1">
        <v>100</v>
      </c>
      <c r="J933" s="1">
        <v>44.957999999999998</v>
      </c>
      <c r="K933" s="1">
        <v>110.08499999999999</v>
      </c>
      <c r="L933" s="1">
        <v>44.96</v>
      </c>
      <c r="M933" s="1">
        <v>93.2</v>
      </c>
      <c r="N933" s="1">
        <v>3.6740000000000002E-2</v>
      </c>
      <c r="O933" s="1">
        <v>2.2139999999999999E-4</v>
      </c>
      <c r="P933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16.810379961350794</v>
      </c>
      <c r="Q933" s="1">
        <f>LN(Table1[[#This Row],[qe_mg_g]]-Table1[[#This Row],[qt]])</f>
        <v>3.3374628053152122</v>
      </c>
      <c r="R933" s="1">
        <v>2</v>
      </c>
    </row>
    <row r="934" spans="1:18" x14ac:dyDescent="0.3">
      <c r="A934" s="1">
        <v>933</v>
      </c>
      <c r="B934" s="1" t="s">
        <v>17</v>
      </c>
      <c r="C934" s="1">
        <v>2</v>
      </c>
      <c r="D934" s="1">
        <v>60</v>
      </c>
      <c r="E934" s="1">
        <v>200</v>
      </c>
      <c r="F934" s="1">
        <v>7</v>
      </c>
      <c r="G934" s="1">
        <v>25</v>
      </c>
      <c r="H934" s="1">
        <v>150</v>
      </c>
      <c r="I934" s="1">
        <v>100</v>
      </c>
      <c r="J934" s="1">
        <v>42.188000000000002</v>
      </c>
      <c r="K934" s="1">
        <v>115.623</v>
      </c>
      <c r="L934" s="1">
        <v>42.19</v>
      </c>
      <c r="M934" s="1">
        <v>55.9</v>
      </c>
      <c r="N934" s="1">
        <v>3.7999999999999999E-2</v>
      </c>
      <c r="O934" s="1">
        <v>1.8340000000000001E-4</v>
      </c>
      <c r="P934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13.375719511632639</v>
      </c>
      <c r="Q934" s="1">
        <f>LN(Table1[[#This Row],[qe_mg_g]]-Table1[[#This Row],[qt]])</f>
        <v>3.3608017021028513</v>
      </c>
      <c r="R934" s="1">
        <v>3</v>
      </c>
    </row>
    <row r="935" spans="1:18" x14ac:dyDescent="0.3">
      <c r="A935" s="1">
        <v>934</v>
      </c>
      <c r="B935" s="1" t="s">
        <v>17</v>
      </c>
      <c r="C935" s="1">
        <v>2</v>
      </c>
      <c r="D935" s="1">
        <v>60</v>
      </c>
      <c r="E935" s="1">
        <v>200</v>
      </c>
      <c r="F935" s="1">
        <v>11</v>
      </c>
      <c r="G935" s="1">
        <v>25</v>
      </c>
      <c r="H935" s="1">
        <v>150</v>
      </c>
      <c r="I935" s="1">
        <v>100</v>
      </c>
      <c r="J935" s="1">
        <v>30.039000000000001</v>
      </c>
      <c r="K935" s="1">
        <v>139.92099999999999</v>
      </c>
      <c r="L935" s="1">
        <v>30.04</v>
      </c>
      <c r="M935" s="1">
        <v>87.6</v>
      </c>
      <c r="N935" s="1">
        <v>3.7780000000000001E-2</v>
      </c>
      <c r="O935" s="1">
        <v>1.9760000000000001E-4</v>
      </c>
      <c r="P935" s="1">
        <f>(Table1[[#This Row],[Rate_Constant_k2_g_mg_min]]*Table1[[#This Row],[Contact_Time_min]]*Table1[[#This Row],[qe_mg_g]]^2)/(1+Table1[[#This Row],[Contact_Time_min]]*Table1[[#This Row],[qe_mg_g]]*Table1[[#This Row],[Rate_Constant_k2_g_mg_min]])</f>
        <v>7.8886709826303916</v>
      </c>
      <c r="Q935" s="1">
        <f>LN(Table1[[#This Row],[qe_mg_g]]-Table1[[#This Row],[qt]])</f>
        <v>3.097852350438143</v>
      </c>
      <c r="R935" s="1">
        <v>1</v>
      </c>
    </row>
    <row r="936" spans="1:18" x14ac:dyDescent="0.3">
      <c r="A936" s="1">
        <v>935</v>
      </c>
      <c r="B936" s="1" t="s">
        <v>17</v>
      </c>
      <c r="C936" s="1">
        <v>2</v>
      </c>
      <c r="D936" s="1">
        <v>60</v>
      </c>
      <c r="E936" s="1">
        <v>200</v>
      </c>
      <c r="F936" s="1">
        <v>11</v>
      </c>
      <c r="G936" s="1">
        <v>25</v>
      </c>
      <c r="H936" s="1">
        <v>150</v>
      </c>
      <c r="I936" s="1">
        <v>100</v>
      </c>
      <c r="J936" s="1">
        <v>35.912999999999997</v>
      </c>
      <c r="K936" s="1">
        <v>128.17400000000001</v>
      </c>
      <c r="L936" s="1">
        <v>35.909999999999997</v>
      </c>
      <c r="M936" s="1">
        <v>83.7</v>
      </c>
      <c r="N936" s="1">
        <v>3.3700000000000001E-2</v>
      </c>
      <c r="O936" s="1">
        <v>1.73E-4</v>
      </c>
      <c r="P93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9.7521584578919267</v>
      </c>
      <c r="Q936" s="1">
        <f>LN(Table1[[#This Row],[qe_mg_g]]-Table1[[#This Row],[qt]])</f>
        <v>3.264263695112414</v>
      </c>
      <c r="R936" s="1">
        <v>2</v>
      </c>
    </row>
    <row r="937" spans="1:18" x14ac:dyDescent="0.3">
      <c r="A937" s="1">
        <v>936</v>
      </c>
      <c r="B937" s="1" t="s">
        <v>17</v>
      </c>
      <c r="C937" s="1">
        <v>2</v>
      </c>
      <c r="D937" s="1">
        <v>60</v>
      </c>
      <c r="E937" s="1">
        <v>200</v>
      </c>
      <c r="F937" s="1">
        <v>11</v>
      </c>
      <c r="G937" s="1">
        <v>25</v>
      </c>
      <c r="H937" s="1">
        <v>150</v>
      </c>
      <c r="I937" s="1">
        <v>100</v>
      </c>
      <c r="J937" s="1">
        <v>34.945999999999998</v>
      </c>
      <c r="K937" s="1">
        <v>130.107</v>
      </c>
      <c r="L937" s="1">
        <v>34.950000000000003</v>
      </c>
      <c r="M937" s="1">
        <v>92.4</v>
      </c>
      <c r="N937" s="1">
        <v>3.6130000000000002E-2</v>
      </c>
      <c r="O937" s="1">
        <v>2.0340000000000001E-4</v>
      </c>
      <c r="P937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10.447951731590697</v>
      </c>
      <c r="Q937" s="1">
        <f>LN(Table1[[#This Row],[qe_mg_g]]-Table1[[#This Row],[qt]])</f>
        <v>3.1985934518635486</v>
      </c>
      <c r="R937" s="1">
        <v>3</v>
      </c>
    </row>
    <row r="938" spans="1:18" x14ac:dyDescent="0.3">
      <c r="A938" s="1">
        <v>937</v>
      </c>
      <c r="B938" s="1" t="s">
        <v>17</v>
      </c>
      <c r="C938" s="1">
        <v>2</v>
      </c>
      <c r="D938" s="1">
        <v>120</v>
      </c>
      <c r="E938" s="1">
        <v>25</v>
      </c>
      <c r="F938" s="1">
        <v>3</v>
      </c>
      <c r="G938" s="1">
        <v>25</v>
      </c>
      <c r="H938" s="1">
        <v>150</v>
      </c>
      <c r="I938" s="1">
        <v>100</v>
      </c>
      <c r="J938" s="1">
        <v>1.4039999999999999</v>
      </c>
      <c r="K938" s="1">
        <v>22.192</v>
      </c>
      <c r="L938" s="1">
        <v>11.23</v>
      </c>
      <c r="M938" s="1">
        <v>83.4</v>
      </c>
      <c r="N938" s="1">
        <v>2.7380000000000002E-2</v>
      </c>
      <c r="O938" s="1">
        <v>2.0359999999999999E-4</v>
      </c>
      <c r="P93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4.6563503431754145E-2</v>
      </c>
      <c r="Q938" s="1">
        <f>LN(Table1[[#This Row],[qe_mg_g]]-Table1[[#This Row],[qt]])</f>
        <v>0.3055979920398495</v>
      </c>
      <c r="R938" s="1">
        <v>1</v>
      </c>
    </row>
    <row r="939" spans="1:18" x14ac:dyDescent="0.3">
      <c r="A939" s="1">
        <v>938</v>
      </c>
      <c r="B939" s="1" t="s">
        <v>17</v>
      </c>
      <c r="C939" s="1">
        <v>2</v>
      </c>
      <c r="D939" s="1">
        <v>120</v>
      </c>
      <c r="E939" s="1">
        <v>25</v>
      </c>
      <c r="F939" s="1">
        <v>3</v>
      </c>
      <c r="G939" s="1">
        <v>25</v>
      </c>
      <c r="H939" s="1">
        <v>150</v>
      </c>
      <c r="I939" s="1">
        <v>100</v>
      </c>
      <c r="J939" s="1">
        <v>1.782</v>
      </c>
      <c r="K939" s="1">
        <v>21.437000000000001</v>
      </c>
      <c r="L939" s="1">
        <v>14.25</v>
      </c>
      <c r="M939" s="1">
        <v>66.8</v>
      </c>
      <c r="N939" s="1">
        <v>3.295E-2</v>
      </c>
      <c r="O939" s="1">
        <v>2.0660000000000001E-4</v>
      </c>
      <c r="P93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7.5396617889809558E-2</v>
      </c>
      <c r="Q939" s="1">
        <f>LN(Table1[[#This Row],[qe_mg_g]]-Table1[[#This Row],[qt]])</f>
        <v>0.53450506890098681</v>
      </c>
      <c r="R939" s="1">
        <v>2</v>
      </c>
    </row>
    <row r="940" spans="1:18" x14ac:dyDescent="0.3">
      <c r="A940" s="1">
        <v>939</v>
      </c>
      <c r="B940" s="1" t="s">
        <v>17</v>
      </c>
      <c r="C940" s="1">
        <v>2</v>
      </c>
      <c r="D940" s="1">
        <v>120</v>
      </c>
      <c r="E940" s="1">
        <v>25</v>
      </c>
      <c r="F940" s="1">
        <v>3</v>
      </c>
      <c r="G940" s="1">
        <v>25</v>
      </c>
      <c r="H940" s="1">
        <v>150</v>
      </c>
      <c r="I940" s="1">
        <v>100</v>
      </c>
      <c r="J940" s="1">
        <v>1.754</v>
      </c>
      <c r="K940" s="1">
        <v>21.491</v>
      </c>
      <c r="L940" s="1">
        <v>14.03</v>
      </c>
      <c r="M940" s="1">
        <v>80</v>
      </c>
      <c r="N940" s="1">
        <v>3.2579999999999998E-2</v>
      </c>
      <c r="O940" s="1">
        <v>1.606E-4</v>
      </c>
      <c r="P940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5.7351943556972616E-2</v>
      </c>
      <c r="Q940" s="1">
        <f>LN(Table1[[#This Row],[qe_mg_g]]-Table1[[#This Row],[qt]])</f>
        <v>0.52865457313653874</v>
      </c>
      <c r="R940" s="1">
        <v>3</v>
      </c>
    </row>
    <row r="941" spans="1:18" x14ac:dyDescent="0.3">
      <c r="A941" s="1">
        <v>940</v>
      </c>
      <c r="B941" s="1" t="s">
        <v>17</v>
      </c>
      <c r="C941" s="1">
        <v>2</v>
      </c>
      <c r="D941" s="1">
        <v>120</v>
      </c>
      <c r="E941" s="1">
        <v>25</v>
      </c>
      <c r="F941" s="1">
        <v>7</v>
      </c>
      <c r="G941" s="1">
        <v>25</v>
      </c>
      <c r="H941" s="1">
        <v>150</v>
      </c>
      <c r="I941" s="1">
        <v>100</v>
      </c>
      <c r="J941" s="1">
        <v>2.6419999999999999</v>
      </c>
      <c r="K941" s="1">
        <v>19.715</v>
      </c>
      <c r="L941" s="1">
        <v>21.14</v>
      </c>
      <c r="M941" s="1">
        <v>112</v>
      </c>
      <c r="N941" s="1">
        <v>3.5970000000000002E-2</v>
      </c>
      <c r="O941" s="1">
        <v>1.996E-4</v>
      </c>
      <c r="P94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0.15723864076955205</v>
      </c>
      <c r="Q941" s="1">
        <f>LN(Table1[[#This Row],[qe_mg_g]]-Table1[[#This Row],[qt]])</f>
        <v>0.91017662243433817</v>
      </c>
      <c r="R941" s="1">
        <v>1</v>
      </c>
    </row>
    <row r="942" spans="1:18" x14ac:dyDescent="0.3">
      <c r="A942" s="1">
        <v>941</v>
      </c>
      <c r="B942" s="1" t="s">
        <v>17</v>
      </c>
      <c r="C942" s="1">
        <v>2</v>
      </c>
      <c r="D942" s="1">
        <v>120</v>
      </c>
      <c r="E942" s="1">
        <v>25</v>
      </c>
      <c r="F942" s="1">
        <v>7</v>
      </c>
      <c r="G942" s="1">
        <v>25</v>
      </c>
      <c r="H942" s="1">
        <v>150</v>
      </c>
      <c r="I942" s="1">
        <v>100</v>
      </c>
      <c r="J942" s="1">
        <v>2.6989999999999998</v>
      </c>
      <c r="K942" s="1">
        <v>19.600999999999999</v>
      </c>
      <c r="L942" s="1">
        <v>21.6</v>
      </c>
      <c r="M942" s="1">
        <v>85.6</v>
      </c>
      <c r="N942" s="1">
        <v>3.2149999999999998E-2</v>
      </c>
      <c r="O942" s="1">
        <v>2.165E-4</v>
      </c>
      <c r="P94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0.17685299820855604</v>
      </c>
      <c r="Q942" s="1">
        <f>LN(Table1[[#This Row],[qe_mg_g]]-Table1[[#This Row],[qt]])</f>
        <v>0.92511052362813861</v>
      </c>
      <c r="R942" s="1">
        <v>2</v>
      </c>
    </row>
    <row r="943" spans="1:18" x14ac:dyDescent="0.3">
      <c r="A943" s="1">
        <v>942</v>
      </c>
      <c r="B943" s="1" t="s">
        <v>17</v>
      </c>
      <c r="C943" s="1">
        <v>2</v>
      </c>
      <c r="D943" s="1">
        <v>120</v>
      </c>
      <c r="E943" s="1">
        <v>25</v>
      </c>
      <c r="F943" s="1">
        <v>7</v>
      </c>
      <c r="G943" s="1">
        <v>25</v>
      </c>
      <c r="H943" s="1">
        <v>150</v>
      </c>
      <c r="I943" s="1">
        <v>100</v>
      </c>
      <c r="J943" s="1">
        <v>2.6739999999999999</v>
      </c>
      <c r="K943" s="1">
        <v>19.652000000000001</v>
      </c>
      <c r="L943" s="1">
        <v>21.39</v>
      </c>
      <c r="M943" s="1">
        <v>85.9</v>
      </c>
      <c r="N943" s="1">
        <v>3.159E-2</v>
      </c>
      <c r="O943" s="1">
        <v>2.2609999999999999E-4</v>
      </c>
      <c r="P94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0.1808783864078336</v>
      </c>
      <c r="Q943" s="1">
        <f>LN(Table1[[#This Row],[qe_mg_g]]-Table1[[#This Row],[qt]])</f>
        <v>0.91353558537815727</v>
      </c>
      <c r="R943" s="1">
        <v>3</v>
      </c>
    </row>
    <row r="944" spans="1:18" x14ac:dyDescent="0.3">
      <c r="A944" s="1">
        <v>943</v>
      </c>
      <c r="B944" s="1" t="s">
        <v>17</v>
      </c>
      <c r="C944" s="1">
        <v>2</v>
      </c>
      <c r="D944" s="1">
        <v>120</v>
      </c>
      <c r="E944" s="1">
        <v>25</v>
      </c>
      <c r="F944" s="1">
        <v>11</v>
      </c>
      <c r="G944" s="1">
        <v>25</v>
      </c>
      <c r="H944" s="1">
        <v>150</v>
      </c>
      <c r="I944" s="1">
        <v>100</v>
      </c>
      <c r="J944" s="1">
        <v>2.0859999999999999</v>
      </c>
      <c r="K944" s="1">
        <v>20.829000000000001</v>
      </c>
      <c r="L944" s="1">
        <v>16.690000000000001</v>
      </c>
      <c r="M944" s="1">
        <v>78.599999999999994</v>
      </c>
      <c r="N944" s="1">
        <v>3.8510000000000003E-2</v>
      </c>
      <c r="O944" s="1">
        <v>1.9000000000000001E-4</v>
      </c>
      <c r="P944" s="1">
        <f>(Table1[[#This Row],[Rate_Constant_k2_g_mg_min]]*Table1[[#This Row],[Contact_Time_min]]*Table1[[#This Row],[qe_mg_g]]^2)/(1+Table1[[#This Row],[Contact_Time_min]]*Table1[[#This Row],[qe_mg_g]]*Table1[[#This Row],[Rate_Constant_k2_g_mg_min]])</f>
        <v>9.47074659532888E-2</v>
      </c>
      <c r="Q944" s="1">
        <f>LN(Table1[[#This Row],[qe_mg_g]]-Table1[[#This Row],[qt]])</f>
        <v>0.68878394248942509</v>
      </c>
      <c r="R944" s="1">
        <v>1</v>
      </c>
    </row>
    <row r="945" spans="1:18" x14ac:dyDescent="0.3">
      <c r="A945" s="1">
        <v>944</v>
      </c>
      <c r="B945" s="1" t="s">
        <v>17</v>
      </c>
      <c r="C945" s="1">
        <v>2</v>
      </c>
      <c r="D945" s="1">
        <v>120</v>
      </c>
      <c r="E945" s="1">
        <v>25</v>
      </c>
      <c r="F945" s="1">
        <v>11</v>
      </c>
      <c r="G945" s="1">
        <v>25</v>
      </c>
      <c r="H945" s="1">
        <v>150</v>
      </c>
      <c r="I945" s="1">
        <v>100</v>
      </c>
      <c r="J945" s="1">
        <v>1.8029999999999999</v>
      </c>
      <c r="K945" s="1">
        <v>21.395</v>
      </c>
      <c r="L945" s="1">
        <v>14.42</v>
      </c>
      <c r="M945" s="1">
        <v>75.900000000000006</v>
      </c>
      <c r="N945" s="1">
        <v>2.8799999999999999E-2</v>
      </c>
      <c r="O945" s="1">
        <v>2.0939999999999999E-4</v>
      </c>
      <c r="P945" s="1">
        <f>(Table1[[#This Row],[Rate_Constant_k2_g_mg_min]]*Table1[[#This Row],[Contact_Time_min]]*Table1[[#This Row],[qe_mg_g]]^2)/(1+Table1[[#This Row],[Contact_Time_min]]*Table1[[#This Row],[qe_mg_g]]*Table1[[#This Row],[Rate_Constant_k2_g_mg_min]])</f>
        <v>7.8145868704004029E-2</v>
      </c>
      <c r="Q945" s="1">
        <f>LN(Table1[[#This Row],[qe_mg_g]]-Table1[[#This Row],[qt]])</f>
        <v>0.54514248534025356</v>
      </c>
      <c r="R945" s="1">
        <v>2</v>
      </c>
    </row>
    <row r="946" spans="1:18" x14ac:dyDescent="0.3">
      <c r="A946" s="1">
        <v>945</v>
      </c>
      <c r="B946" s="1" t="s">
        <v>17</v>
      </c>
      <c r="C946" s="1">
        <v>2</v>
      </c>
      <c r="D946" s="1">
        <v>120</v>
      </c>
      <c r="E946" s="1">
        <v>25</v>
      </c>
      <c r="F946" s="1">
        <v>11</v>
      </c>
      <c r="G946" s="1">
        <v>25</v>
      </c>
      <c r="H946" s="1">
        <v>150</v>
      </c>
      <c r="I946" s="1">
        <v>100</v>
      </c>
      <c r="J946" s="1">
        <v>1.5980000000000001</v>
      </c>
      <c r="K946" s="1">
        <v>21.805</v>
      </c>
      <c r="L946" s="1">
        <v>12.78</v>
      </c>
      <c r="M946" s="1">
        <v>69.900000000000006</v>
      </c>
      <c r="N946" s="1">
        <v>2.7740000000000001E-2</v>
      </c>
      <c r="O946" s="1">
        <v>1.983E-4</v>
      </c>
      <c r="P946" s="1">
        <f>(Table1[[#This Row],[Rate_Constant_k2_g_mg_min]]*Table1[[#This Row],[Contact_Time_min]]*Table1[[#This Row],[qe_mg_g]]^2)/(1+Table1[[#This Row],[Contact_Time_min]]*Table1[[#This Row],[qe_mg_g]]*Table1[[#This Row],[Rate_Constant_k2_g_mg_min]])</f>
        <v>5.8539535922687597E-2</v>
      </c>
      <c r="Q946" s="1">
        <f>LN(Table1[[#This Row],[qe_mg_g]]-Table1[[#This Row],[qt]])</f>
        <v>0.43143200703759332</v>
      </c>
      <c r="R946" s="1">
        <v>3</v>
      </c>
    </row>
    <row r="947" spans="1:18" x14ac:dyDescent="0.3">
      <c r="A947" s="1">
        <v>946</v>
      </c>
      <c r="B947" s="1" t="s">
        <v>17</v>
      </c>
      <c r="C947" s="1">
        <v>2</v>
      </c>
      <c r="D947" s="1">
        <v>120</v>
      </c>
      <c r="E947" s="1">
        <v>50</v>
      </c>
      <c r="F947" s="1">
        <v>3</v>
      </c>
      <c r="G947" s="1">
        <v>25</v>
      </c>
      <c r="H947" s="1">
        <v>150</v>
      </c>
      <c r="I947" s="1">
        <v>100</v>
      </c>
      <c r="J947" s="1">
        <v>5.1890000000000001</v>
      </c>
      <c r="K947" s="1">
        <v>39.622999999999998</v>
      </c>
      <c r="L947" s="1">
        <v>20.75</v>
      </c>
      <c r="M947" s="1">
        <v>81.5</v>
      </c>
      <c r="N947" s="1">
        <v>3.1350000000000003E-2</v>
      </c>
      <c r="O947" s="1">
        <v>1.7660000000000001E-4</v>
      </c>
      <c r="P94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0.51407903075974393</v>
      </c>
      <c r="Q947" s="1">
        <f>LN(Table1[[#This Row],[qe_mg_g]]-Table1[[#This Row],[qt]])</f>
        <v>1.5422122576224133</v>
      </c>
      <c r="R947" s="1">
        <v>1</v>
      </c>
    </row>
    <row r="948" spans="1:18" x14ac:dyDescent="0.3">
      <c r="A948" s="1">
        <v>947</v>
      </c>
      <c r="B948" s="1" t="s">
        <v>17</v>
      </c>
      <c r="C948" s="1">
        <v>2</v>
      </c>
      <c r="D948" s="1">
        <v>120</v>
      </c>
      <c r="E948" s="1">
        <v>50</v>
      </c>
      <c r="F948" s="1">
        <v>3</v>
      </c>
      <c r="G948" s="1">
        <v>25</v>
      </c>
      <c r="H948" s="1">
        <v>150</v>
      </c>
      <c r="I948" s="1">
        <v>100</v>
      </c>
      <c r="J948" s="1">
        <v>5.5119999999999996</v>
      </c>
      <c r="K948" s="1">
        <v>38.975000000000001</v>
      </c>
      <c r="L948" s="1">
        <v>22.05</v>
      </c>
      <c r="M948" s="1">
        <v>78.599999999999994</v>
      </c>
      <c r="N948" s="1">
        <v>3.6110000000000003E-2</v>
      </c>
      <c r="O948" s="1">
        <v>1.8230000000000001E-4</v>
      </c>
      <c r="P94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0.59312095385074837</v>
      </c>
      <c r="Q948" s="1">
        <f>LN(Table1[[#This Row],[qe_mg_g]]-Table1[[#This Row],[qt]])</f>
        <v>1.5930806683970924</v>
      </c>
      <c r="R948" s="1">
        <v>2</v>
      </c>
    </row>
    <row r="949" spans="1:18" x14ac:dyDescent="0.3">
      <c r="A949" s="1">
        <v>948</v>
      </c>
      <c r="B949" s="1" t="s">
        <v>17</v>
      </c>
      <c r="C949" s="1">
        <v>2</v>
      </c>
      <c r="D949" s="1">
        <v>120</v>
      </c>
      <c r="E949" s="1">
        <v>50</v>
      </c>
      <c r="F949" s="1">
        <v>3</v>
      </c>
      <c r="G949" s="1">
        <v>25</v>
      </c>
      <c r="H949" s="1">
        <v>150</v>
      </c>
      <c r="I949" s="1">
        <v>100</v>
      </c>
      <c r="J949" s="1">
        <v>5.3630000000000004</v>
      </c>
      <c r="K949" s="1">
        <v>39.274000000000001</v>
      </c>
      <c r="L949" s="1">
        <v>21.45</v>
      </c>
      <c r="M949" s="1">
        <v>102.5</v>
      </c>
      <c r="N949" s="1">
        <v>3.705E-2</v>
      </c>
      <c r="O949" s="1">
        <v>1.918E-4</v>
      </c>
      <c r="P94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0.58924725368131925</v>
      </c>
      <c r="Q949" s="1">
        <f>LN(Table1[[#This Row],[qe_mg_g]]-Table1[[#This Row],[qt]])</f>
        <v>1.563132734853298</v>
      </c>
      <c r="R949" s="1">
        <v>3</v>
      </c>
    </row>
    <row r="950" spans="1:18" x14ac:dyDescent="0.3">
      <c r="A950" s="1">
        <v>949</v>
      </c>
      <c r="B950" s="1" t="s">
        <v>17</v>
      </c>
      <c r="C950" s="1">
        <v>2</v>
      </c>
      <c r="D950" s="1">
        <v>120</v>
      </c>
      <c r="E950" s="1">
        <v>50</v>
      </c>
      <c r="F950" s="1">
        <v>7</v>
      </c>
      <c r="G950" s="1">
        <v>25</v>
      </c>
      <c r="H950" s="1">
        <v>150</v>
      </c>
      <c r="I950" s="1">
        <v>100</v>
      </c>
      <c r="J950" s="1">
        <v>8.7230000000000008</v>
      </c>
      <c r="K950" s="1">
        <v>32.554000000000002</v>
      </c>
      <c r="L950" s="1">
        <v>34.89</v>
      </c>
      <c r="M950" s="1">
        <v>82.6</v>
      </c>
      <c r="N950" s="1">
        <v>3.5029999999999999E-2</v>
      </c>
      <c r="O950" s="1">
        <v>1.9349999999999999E-4</v>
      </c>
      <c r="P95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1.4692358552222853</v>
      </c>
      <c r="Q950" s="1">
        <f>LN(Table1[[#This Row],[qe_mg_g]]-Table1[[#This Row],[qt]])</f>
        <v>1.9815205265159843</v>
      </c>
      <c r="R950" s="1">
        <v>1</v>
      </c>
    </row>
    <row r="951" spans="1:18" x14ac:dyDescent="0.3">
      <c r="A951" s="1">
        <v>950</v>
      </c>
      <c r="B951" s="1" t="s">
        <v>17</v>
      </c>
      <c r="C951" s="1">
        <v>2</v>
      </c>
      <c r="D951" s="1">
        <v>120</v>
      </c>
      <c r="E951" s="1">
        <v>50</v>
      </c>
      <c r="F951" s="1">
        <v>7</v>
      </c>
      <c r="G951" s="1">
        <v>25</v>
      </c>
      <c r="H951" s="1">
        <v>150</v>
      </c>
      <c r="I951" s="1">
        <v>100</v>
      </c>
      <c r="J951" s="1">
        <v>8.3640000000000008</v>
      </c>
      <c r="K951" s="1">
        <v>33.271000000000001</v>
      </c>
      <c r="L951" s="1">
        <v>33.46</v>
      </c>
      <c r="M951" s="1">
        <v>88.4</v>
      </c>
      <c r="N951" s="1">
        <v>3.1519999999999999E-2</v>
      </c>
      <c r="O951" s="1">
        <v>1.797E-4</v>
      </c>
      <c r="P95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1.2780340094648446</v>
      </c>
      <c r="Q951" s="1">
        <f>LN(Table1[[#This Row],[qe_mg_g]]-Table1[[#This Row],[qt]])</f>
        <v>1.9581162069024309</v>
      </c>
      <c r="R951" s="1">
        <v>2</v>
      </c>
    </row>
    <row r="952" spans="1:18" x14ac:dyDescent="0.3">
      <c r="A952" s="1">
        <v>951</v>
      </c>
      <c r="B952" s="1" t="s">
        <v>17</v>
      </c>
      <c r="C952" s="1">
        <v>2</v>
      </c>
      <c r="D952" s="1">
        <v>120</v>
      </c>
      <c r="E952" s="1">
        <v>50</v>
      </c>
      <c r="F952" s="1">
        <v>7</v>
      </c>
      <c r="G952" s="1">
        <v>25</v>
      </c>
      <c r="H952" s="1">
        <v>150</v>
      </c>
      <c r="I952" s="1">
        <v>100</v>
      </c>
      <c r="J952" s="1">
        <v>7.3230000000000004</v>
      </c>
      <c r="K952" s="1">
        <v>35.353000000000002</v>
      </c>
      <c r="L952" s="1">
        <v>29.29</v>
      </c>
      <c r="M952" s="1">
        <v>65.099999999999994</v>
      </c>
      <c r="N952" s="1">
        <v>3.074E-2</v>
      </c>
      <c r="O952" s="1">
        <v>2.0320000000000001E-4</v>
      </c>
      <c r="P95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1.1095064594131447</v>
      </c>
      <c r="Q952" s="1">
        <f>LN(Table1[[#This Row],[qe_mg_g]]-Table1[[#This Row],[qt]])</f>
        <v>1.8267233046861377</v>
      </c>
      <c r="R952" s="1">
        <v>3</v>
      </c>
    </row>
    <row r="953" spans="1:18" x14ac:dyDescent="0.3">
      <c r="A953" s="1">
        <v>952</v>
      </c>
      <c r="B953" s="1" t="s">
        <v>17</v>
      </c>
      <c r="C953" s="1">
        <v>2</v>
      </c>
      <c r="D953" s="1">
        <v>120</v>
      </c>
      <c r="E953" s="1">
        <v>50</v>
      </c>
      <c r="F953" s="1">
        <v>11</v>
      </c>
      <c r="G953" s="1">
        <v>25</v>
      </c>
      <c r="H953" s="1">
        <v>150</v>
      </c>
      <c r="I953" s="1">
        <v>100</v>
      </c>
      <c r="J953" s="1">
        <v>5.9219999999999997</v>
      </c>
      <c r="K953" s="1">
        <v>38.155999999999999</v>
      </c>
      <c r="L953" s="1">
        <v>23.69</v>
      </c>
      <c r="M953" s="1">
        <v>92.3</v>
      </c>
      <c r="N953" s="1">
        <v>3.5119999999999998E-2</v>
      </c>
      <c r="O953" s="1">
        <v>1.606E-4</v>
      </c>
      <c r="P95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0.60663602678090389</v>
      </c>
      <c r="Q953" s="1">
        <f>LN(Table1[[#This Row],[qe_mg_g]]-Table1[[#This Row],[qt]])</f>
        <v>1.6706014898291235</v>
      </c>
      <c r="R953" s="1">
        <v>1</v>
      </c>
    </row>
    <row r="954" spans="1:18" x14ac:dyDescent="0.3">
      <c r="A954" s="1">
        <v>953</v>
      </c>
      <c r="B954" s="1" t="s">
        <v>17</v>
      </c>
      <c r="C954" s="1">
        <v>2</v>
      </c>
      <c r="D954" s="1">
        <v>120</v>
      </c>
      <c r="E954" s="1">
        <v>50</v>
      </c>
      <c r="F954" s="1">
        <v>11</v>
      </c>
      <c r="G954" s="1">
        <v>25</v>
      </c>
      <c r="H954" s="1">
        <v>150</v>
      </c>
      <c r="I954" s="1">
        <v>100</v>
      </c>
      <c r="J954" s="1">
        <v>6.9290000000000003</v>
      </c>
      <c r="K954" s="1">
        <v>36.143000000000001</v>
      </c>
      <c r="L954" s="1">
        <v>27.71</v>
      </c>
      <c r="M954" s="1">
        <v>96.1</v>
      </c>
      <c r="N954" s="1">
        <v>3.1519999999999999E-2</v>
      </c>
      <c r="O954" s="1">
        <v>2.084E-4</v>
      </c>
      <c r="P95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1.0233360078130069</v>
      </c>
      <c r="Q954" s="1">
        <f>LN(Table1[[#This Row],[qe_mg_g]]-Table1[[#This Row],[qt]])</f>
        <v>1.7759118890834054</v>
      </c>
      <c r="R954" s="1">
        <v>2</v>
      </c>
    </row>
    <row r="955" spans="1:18" x14ac:dyDescent="0.3">
      <c r="A955" s="1">
        <v>954</v>
      </c>
      <c r="B955" s="1" t="s">
        <v>17</v>
      </c>
      <c r="C955" s="1">
        <v>2</v>
      </c>
      <c r="D955" s="1">
        <v>120</v>
      </c>
      <c r="E955" s="1">
        <v>50</v>
      </c>
      <c r="F955" s="1">
        <v>11</v>
      </c>
      <c r="G955" s="1">
        <v>25</v>
      </c>
      <c r="H955" s="1">
        <v>150</v>
      </c>
      <c r="I955" s="1">
        <v>100</v>
      </c>
      <c r="J955" s="1">
        <v>5.9459999999999997</v>
      </c>
      <c r="K955" s="1">
        <v>38.107999999999997</v>
      </c>
      <c r="L955" s="1">
        <v>23.78</v>
      </c>
      <c r="M955" s="1">
        <v>87</v>
      </c>
      <c r="N955" s="1">
        <v>3.057E-2</v>
      </c>
      <c r="O955" s="1">
        <v>1.641E-4</v>
      </c>
      <c r="P95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0.6232352437653309</v>
      </c>
      <c r="Q955" s="1">
        <f>LN(Table1[[#This Row],[qe_mg_g]]-Table1[[#This Row],[qt]])</f>
        <v>1.671992859382496</v>
      </c>
      <c r="R955" s="1">
        <v>3</v>
      </c>
    </row>
    <row r="956" spans="1:18" x14ac:dyDescent="0.3">
      <c r="A956" s="1">
        <v>955</v>
      </c>
      <c r="B956" s="1" t="s">
        <v>17</v>
      </c>
      <c r="C956" s="1">
        <v>2</v>
      </c>
      <c r="D956" s="1">
        <v>120</v>
      </c>
      <c r="E956" s="1">
        <v>100</v>
      </c>
      <c r="F956" s="1">
        <v>3</v>
      </c>
      <c r="G956" s="1">
        <v>25</v>
      </c>
      <c r="H956" s="1">
        <v>150</v>
      </c>
      <c r="I956" s="1">
        <v>100</v>
      </c>
      <c r="J956" s="1">
        <v>15.411</v>
      </c>
      <c r="K956" s="1">
        <v>69.179000000000002</v>
      </c>
      <c r="L956" s="1">
        <v>30.82</v>
      </c>
      <c r="M956" s="1">
        <v>84.1</v>
      </c>
      <c r="N956" s="1">
        <v>3.3610000000000001E-2</v>
      </c>
      <c r="O956" s="1">
        <v>1.763E-4</v>
      </c>
      <c r="P95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3.7891358321132129</v>
      </c>
      <c r="Q956" s="1">
        <f>LN(Table1[[#This Row],[qe_mg_g]]-Table1[[#This Row],[qt]])</f>
        <v>2.4528881660856285</v>
      </c>
      <c r="R956" s="1">
        <v>1</v>
      </c>
    </row>
    <row r="957" spans="1:18" x14ac:dyDescent="0.3">
      <c r="A957" s="1">
        <v>956</v>
      </c>
      <c r="B957" s="1" t="s">
        <v>17</v>
      </c>
      <c r="C957" s="1">
        <v>2</v>
      </c>
      <c r="D957" s="1">
        <v>120</v>
      </c>
      <c r="E957" s="1">
        <v>100</v>
      </c>
      <c r="F957" s="1">
        <v>3</v>
      </c>
      <c r="G957" s="1">
        <v>25</v>
      </c>
      <c r="H957" s="1">
        <v>150</v>
      </c>
      <c r="I957" s="1">
        <v>100</v>
      </c>
      <c r="J957" s="1">
        <v>15.382999999999999</v>
      </c>
      <c r="K957" s="1">
        <v>69.233999999999995</v>
      </c>
      <c r="L957" s="1">
        <v>30.77</v>
      </c>
      <c r="M957" s="1">
        <v>89.2</v>
      </c>
      <c r="N957" s="1">
        <v>3.4840000000000003E-2</v>
      </c>
      <c r="O957" s="1">
        <v>2.0369999999999999E-4</v>
      </c>
      <c r="P95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4.2036733477553305</v>
      </c>
      <c r="Q957" s="1">
        <f>LN(Table1[[#This Row],[qe_mg_g]]-Table1[[#This Row],[qt]])</f>
        <v>2.4140662380280888</v>
      </c>
      <c r="R957" s="1">
        <v>2</v>
      </c>
    </row>
    <row r="958" spans="1:18" x14ac:dyDescent="0.3">
      <c r="A958" s="1">
        <v>957</v>
      </c>
      <c r="B958" s="1" t="s">
        <v>17</v>
      </c>
      <c r="C958" s="1">
        <v>2</v>
      </c>
      <c r="D958" s="1">
        <v>120</v>
      </c>
      <c r="E958" s="1">
        <v>100</v>
      </c>
      <c r="F958" s="1">
        <v>3</v>
      </c>
      <c r="G958" s="1">
        <v>25</v>
      </c>
      <c r="H958" s="1">
        <v>150</v>
      </c>
      <c r="I958" s="1">
        <v>100</v>
      </c>
      <c r="J958" s="1">
        <v>14.95</v>
      </c>
      <c r="K958" s="1">
        <v>70.099999999999994</v>
      </c>
      <c r="L958" s="1">
        <v>29.9</v>
      </c>
      <c r="M958" s="1">
        <v>100.8</v>
      </c>
      <c r="N958" s="1">
        <v>3.0880000000000001E-2</v>
      </c>
      <c r="O958" s="1">
        <v>2.098E-4</v>
      </c>
      <c r="P95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4.0881835206700003</v>
      </c>
      <c r="Q958" s="1">
        <f>LN(Table1[[#This Row],[qe_mg_g]]-Table1[[#This Row],[qt]])</f>
        <v>2.3852535638089001</v>
      </c>
      <c r="R958" s="1">
        <v>3</v>
      </c>
    </row>
    <row r="959" spans="1:18" x14ac:dyDescent="0.3">
      <c r="A959" s="1">
        <v>958</v>
      </c>
      <c r="B959" s="1" t="s">
        <v>17</v>
      </c>
      <c r="C959" s="1">
        <v>2</v>
      </c>
      <c r="D959" s="1">
        <v>120</v>
      </c>
      <c r="E959" s="1">
        <v>100</v>
      </c>
      <c r="F959" s="1">
        <v>7</v>
      </c>
      <c r="G959" s="1">
        <v>25</v>
      </c>
      <c r="H959" s="1">
        <v>150</v>
      </c>
      <c r="I959" s="1">
        <v>100</v>
      </c>
      <c r="J959" s="1">
        <v>27.584</v>
      </c>
      <c r="K959" s="1">
        <v>44.832000000000001</v>
      </c>
      <c r="L959" s="1">
        <v>55.17</v>
      </c>
      <c r="M959" s="1">
        <v>91.9</v>
      </c>
      <c r="N959" s="1">
        <v>3.4290000000000001E-2</v>
      </c>
      <c r="O959" s="1">
        <v>1.894E-4</v>
      </c>
      <c r="P959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10.629358818427514</v>
      </c>
      <c r="Q959" s="1">
        <f>LN(Table1[[#This Row],[qe_mg_g]]-Table1[[#This Row],[qt]])</f>
        <v>2.8305416123676697</v>
      </c>
      <c r="R959" s="1">
        <v>1</v>
      </c>
    </row>
    <row r="960" spans="1:18" x14ac:dyDescent="0.3">
      <c r="A960" s="1">
        <v>959</v>
      </c>
      <c r="B960" s="1" t="s">
        <v>17</v>
      </c>
      <c r="C960" s="1">
        <v>2</v>
      </c>
      <c r="D960" s="1">
        <v>120</v>
      </c>
      <c r="E960" s="1">
        <v>100</v>
      </c>
      <c r="F960" s="1">
        <v>7</v>
      </c>
      <c r="G960" s="1">
        <v>25</v>
      </c>
      <c r="H960" s="1">
        <v>150</v>
      </c>
      <c r="I960" s="1">
        <v>100</v>
      </c>
      <c r="J960" s="1">
        <v>27.224</v>
      </c>
      <c r="K960" s="1">
        <v>45.551000000000002</v>
      </c>
      <c r="L960" s="1">
        <v>54.45</v>
      </c>
      <c r="M960" s="1">
        <v>67.400000000000006</v>
      </c>
      <c r="N960" s="1">
        <v>3.1600000000000003E-2</v>
      </c>
      <c r="O960" s="1">
        <v>1.92E-4</v>
      </c>
      <c r="P960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10.493840995152924</v>
      </c>
      <c r="Q960" s="1">
        <f>LN(Table1[[#This Row],[qe_mg_g]]-Table1[[#This Row],[qt]])</f>
        <v>2.8172130191285278</v>
      </c>
      <c r="R960" s="1">
        <v>2</v>
      </c>
    </row>
    <row r="961" spans="1:18" x14ac:dyDescent="0.3">
      <c r="A961" s="1">
        <v>960</v>
      </c>
      <c r="B961" s="1" t="s">
        <v>17</v>
      </c>
      <c r="C961" s="1">
        <v>2</v>
      </c>
      <c r="D961" s="1">
        <v>120</v>
      </c>
      <c r="E961" s="1">
        <v>100</v>
      </c>
      <c r="F961" s="1">
        <v>7</v>
      </c>
      <c r="G961" s="1">
        <v>25</v>
      </c>
      <c r="H961" s="1">
        <v>150</v>
      </c>
      <c r="I961" s="1">
        <v>100</v>
      </c>
      <c r="J961" s="1">
        <v>27.721</v>
      </c>
      <c r="K961" s="1">
        <v>44.557000000000002</v>
      </c>
      <c r="L961" s="1">
        <v>55.44</v>
      </c>
      <c r="M961" s="1">
        <v>90.6</v>
      </c>
      <c r="N961" s="1">
        <v>3.1609999999999999E-2</v>
      </c>
      <c r="O961" s="1">
        <v>1.9379999999999999E-4</v>
      </c>
      <c r="P961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10.866045147687782</v>
      </c>
      <c r="Q961" s="1">
        <f>LN(Table1[[#This Row],[qe_mg_g]]-Table1[[#This Row],[qt]])</f>
        <v>2.8246446700892727</v>
      </c>
      <c r="R961" s="1">
        <v>3</v>
      </c>
    </row>
    <row r="962" spans="1:18" x14ac:dyDescent="0.3">
      <c r="A962" s="1">
        <v>961</v>
      </c>
      <c r="B962" s="1" t="s">
        <v>17</v>
      </c>
      <c r="C962" s="1">
        <v>2</v>
      </c>
      <c r="D962" s="1">
        <v>120</v>
      </c>
      <c r="E962" s="1">
        <v>100</v>
      </c>
      <c r="F962" s="1">
        <v>11</v>
      </c>
      <c r="G962" s="1">
        <v>25</v>
      </c>
      <c r="H962" s="1">
        <v>150</v>
      </c>
      <c r="I962" s="1">
        <v>100</v>
      </c>
      <c r="J962" s="1">
        <v>18.190999999999999</v>
      </c>
      <c r="K962" s="1">
        <v>63.618000000000002</v>
      </c>
      <c r="L962" s="1">
        <v>36.380000000000003</v>
      </c>
      <c r="M962" s="1">
        <v>76.599999999999994</v>
      </c>
      <c r="N962" s="1">
        <v>3.8429999999999999E-2</v>
      </c>
      <c r="O962" s="1">
        <v>1.7259999999999999E-4</v>
      </c>
      <c r="P962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4.9782094248704025</v>
      </c>
      <c r="Q962" s="1">
        <f>LN(Table1[[#This Row],[qe_mg_g]]-Table1[[#This Row],[qt]])</f>
        <v>2.5811853433957439</v>
      </c>
      <c r="R962" s="1">
        <v>1</v>
      </c>
    </row>
    <row r="963" spans="1:18" x14ac:dyDescent="0.3">
      <c r="A963" s="1">
        <v>962</v>
      </c>
      <c r="B963" s="1" t="s">
        <v>17</v>
      </c>
      <c r="C963" s="1">
        <v>2</v>
      </c>
      <c r="D963" s="1">
        <v>120</v>
      </c>
      <c r="E963" s="1">
        <v>100</v>
      </c>
      <c r="F963" s="1">
        <v>11</v>
      </c>
      <c r="G963" s="1">
        <v>25</v>
      </c>
      <c r="H963" s="1">
        <v>150</v>
      </c>
      <c r="I963" s="1">
        <v>100</v>
      </c>
      <c r="J963" s="1">
        <v>22.5</v>
      </c>
      <c r="K963" s="1">
        <v>55</v>
      </c>
      <c r="L963" s="1">
        <v>45</v>
      </c>
      <c r="M963" s="1">
        <v>96.4</v>
      </c>
      <c r="N963" s="1">
        <v>3.882E-2</v>
      </c>
      <c r="O963" s="1">
        <v>1.907E-4</v>
      </c>
      <c r="P963" s="1">
        <f>(Table1[[#This Row],[Rate_Constant_k2_g_mg_min]]*Table1[[#This Row],[Contact_Time_min]]*Table1[[#This Row],[qe_mg_g]]^2)/(1+Table1[[#This Row],[Contact_Time_min]]*Table1[[#This Row],[qe_mg_g]]*Table1[[#This Row],[Rate_Constant_k2_g_mg_min]])</f>
        <v>7.6474364475308443</v>
      </c>
      <c r="Q963" s="1">
        <f>LN(Table1[[#This Row],[qe_mg_g]]-Table1[[#This Row],[qt]])</f>
        <v>2.6981724801458027</v>
      </c>
      <c r="R963" s="1">
        <v>2</v>
      </c>
    </row>
    <row r="964" spans="1:18" x14ac:dyDescent="0.3">
      <c r="A964" s="1">
        <v>963</v>
      </c>
      <c r="B964" s="1" t="s">
        <v>17</v>
      </c>
      <c r="C964" s="1">
        <v>2</v>
      </c>
      <c r="D964" s="1">
        <v>120</v>
      </c>
      <c r="E964" s="1">
        <v>100</v>
      </c>
      <c r="F964" s="1">
        <v>11</v>
      </c>
      <c r="G964" s="1">
        <v>25</v>
      </c>
      <c r="H964" s="1">
        <v>150</v>
      </c>
      <c r="I964" s="1">
        <v>100</v>
      </c>
      <c r="J964" s="1">
        <v>19.091000000000001</v>
      </c>
      <c r="K964" s="1">
        <v>61.817999999999998</v>
      </c>
      <c r="L964" s="1">
        <v>38.18</v>
      </c>
      <c r="M964" s="1">
        <v>67.3</v>
      </c>
      <c r="N964" s="1">
        <v>3.3160000000000002E-2</v>
      </c>
      <c r="O964" s="1">
        <v>2.0990000000000001E-4</v>
      </c>
      <c r="P964" s="1">
        <f>(Table1[[#This Row],[Rate_Constant_k2_g_mg_min]]*Table1[[#This Row],[Contact_Time_min]]*Table1[[#This Row],[qe_mg_g]]^2)/(1+Table1[[#This Row],[Contact_Time_min]]*Table1[[#This Row],[qe_mg_g]]*Table1[[#This Row],[Rate_Constant_k2_g_mg_min]])</f>
        <v>6.1992026386718271</v>
      </c>
      <c r="Q964" s="1">
        <f>LN(Table1[[#This Row],[qe_mg_g]]-Table1[[#This Row],[qt]])</f>
        <v>2.5565912456577835</v>
      </c>
      <c r="R964" s="1">
        <v>3</v>
      </c>
    </row>
    <row r="965" spans="1:18" x14ac:dyDescent="0.3">
      <c r="A965" s="1">
        <v>964</v>
      </c>
      <c r="B965" s="1" t="s">
        <v>17</v>
      </c>
      <c r="C965" s="1">
        <v>2</v>
      </c>
      <c r="D965" s="1">
        <v>120</v>
      </c>
      <c r="E965" s="1">
        <v>200</v>
      </c>
      <c r="F965" s="1">
        <v>3</v>
      </c>
      <c r="G965" s="1">
        <v>25</v>
      </c>
      <c r="H965" s="1">
        <v>150</v>
      </c>
      <c r="I965" s="1">
        <v>100</v>
      </c>
      <c r="J965" s="1">
        <v>48.134</v>
      </c>
      <c r="K965" s="1">
        <v>103.73099999999999</v>
      </c>
      <c r="L965" s="1">
        <v>48.13</v>
      </c>
      <c r="M965" s="1">
        <v>71.5</v>
      </c>
      <c r="N965" s="1">
        <v>3.372E-2</v>
      </c>
      <c r="O965" s="1">
        <v>1.9699999999999999E-4</v>
      </c>
      <c r="P965" s="1">
        <f>(Table1[[#This Row],[Rate_Constant_k2_g_mg_min]]*Table1[[#This Row],[Contact_Time_min]]*Table1[[#This Row],[qe_mg_g]]^2)/(1+Table1[[#This Row],[Contact_Time_min]]*Table1[[#This Row],[qe_mg_g]]*Table1[[#This Row],[Rate_Constant_k2_g_mg_min]])</f>
        <v>25.619253949908014</v>
      </c>
      <c r="Q965" s="1">
        <f>LN(Table1[[#This Row],[qe_mg_g]]-Table1[[#This Row],[qt]])</f>
        <v>3.1141704745467753</v>
      </c>
      <c r="R965" s="1">
        <v>1</v>
      </c>
    </row>
    <row r="966" spans="1:18" x14ac:dyDescent="0.3">
      <c r="A966" s="1">
        <v>965</v>
      </c>
      <c r="B966" s="1" t="s">
        <v>17</v>
      </c>
      <c r="C966" s="1">
        <v>2</v>
      </c>
      <c r="D966" s="1">
        <v>120</v>
      </c>
      <c r="E966" s="1">
        <v>200</v>
      </c>
      <c r="F966" s="1">
        <v>3</v>
      </c>
      <c r="G966" s="1">
        <v>25</v>
      </c>
      <c r="H966" s="1">
        <v>150</v>
      </c>
      <c r="I966" s="1">
        <v>100</v>
      </c>
      <c r="J966" s="1">
        <v>36.664000000000001</v>
      </c>
      <c r="K966" s="1">
        <v>126.672</v>
      </c>
      <c r="L966" s="1">
        <v>36.659999999999997</v>
      </c>
      <c r="M966" s="1">
        <v>93.3</v>
      </c>
      <c r="N966" s="1">
        <v>3.2469999999999999E-2</v>
      </c>
      <c r="O966" s="1">
        <v>1.961E-4</v>
      </c>
      <c r="P966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16.981560760759304</v>
      </c>
      <c r="Q966" s="1">
        <f>LN(Table1[[#This Row],[qe_mg_g]]-Table1[[#This Row],[qt]])</f>
        <v>2.979726829026919</v>
      </c>
      <c r="R966" s="1">
        <v>2</v>
      </c>
    </row>
    <row r="967" spans="1:18" x14ac:dyDescent="0.3">
      <c r="A967" s="1">
        <v>966</v>
      </c>
      <c r="B967" s="1" t="s">
        <v>17</v>
      </c>
      <c r="C967" s="1">
        <v>2</v>
      </c>
      <c r="D967" s="1">
        <v>120</v>
      </c>
      <c r="E967" s="1">
        <v>200</v>
      </c>
      <c r="F967" s="1">
        <v>3</v>
      </c>
      <c r="G967" s="1">
        <v>25</v>
      </c>
      <c r="H967" s="1">
        <v>150</v>
      </c>
      <c r="I967" s="1">
        <v>100</v>
      </c>
      <c r="J967" s="1">
        <v>40.686</v>
      </c>
      <c r="K967" s="1">
        <v>118.628</v>
      </c>
      <c r="L967" s="1">
        <v>40.69</v>
      </c>
      <c r="M967" s="1">
        <v>75.599999999999994</v>
      </c>
      <c r="N967" s="1">
        <v>3.4979999999999997E-2</v>
      </c>
      <c r="O967" s="1">
        <v>1.9570000000000001E-4</v>
      </c>
      <c r="P967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19.879749072780466</v>
      </c>
      <c r="Q967" s="1">
        <f>LN(Table1[[#This Row],[qe_mg_g]]-Table1[[#This Row],[qt]])</f>
        <v>3.0352534669056683</v>
      </c>
      <c r="R967" s="1">
        <v>3</v>
      </c>
    </row>
    <row r="968" spans="1:18" x14ac:dyDescent="0.3">
      <c r="A968" s="1">
        <v>967</v>
      </c>
      <c r="B968" s="1" t="s">
        <v>17</v>
      </c>
      <c r="C968" s="1">
        <v>2</v>
      </c>
      <c r="D968" s="1">
        <v>120</v>
      </c>
      <c r="E968" s="1">
        <v>200</v>
      </c>
      <c r="F968" s="1">
        <v>7</v>
      </c>
      <c r="G968" s="1">
        <v>25</v>
      </c>
      <c r="H968" s="1">
        <v>150</v>
      </c>
      <c r="I968" s="1">
        <v>100</v>
      </c>
      <c r="J968" s="1">
        <v>60.283000000000001</v>
      </c>
      <c r="K968" s="1">
        <v>79.433000000000007</v>
      </c>
      <c r="L968" s="1">
        <v>60.28</v>
      </c>
      <c r="M968" s="1">
        <v>76.3</v>
      </c>
      <c r="N968" s="1">
        <v>3.6119999999999999E-2</v>
      </c>
      <c r="O968" s="1">
        <v>2.331E-4</v>
      </c>
      <c r="P968" s="1">
        <f>(Table1[[#This Row],[Rate_Constant_k2_g_mg_min]]*Table1[[#This Row],[Contact_Time_min]]*Table1[[#This Row],[qe_mg_g]]^2)/(1+Table1[[#This Row],[Contact_Time_min]]*Table1[[#This Row],[qe_mg_g]]*Table1[[#This Row],[Rate_Constant_k2_g_mg_min]])</f>
        <v>37.841562131379845</v>
      </c>
      <c r="Q968" s="1">
        <f>LN(Table1[[#This Row],[qe_mg_g]]-Table1[[#This Row],[qt]])</f>
        <v>3.1109091547434256</v>
      </c>
      <c r="R968" s="1">
        <v>1</v>
      </c>
    </row>
    <row r="969" spans="1:18" x14ac:dyDescent="0.3">
      <c r="A969" s="1">
        <v>968</v>
      </c>
      <c r="B969" s="1" t="s">
        <v>17</v>
      </c>
      <c r="C969" s="1">
        <v>2</v>
      </c>
      <c r="D969" s="1">
        <v>120</v>
      </c>
      <c r="E969" s="1">
        <v>200</v>
      </c>
      <c r="F969" s="1">
        <v>7</v>
      </c>
      <c r="G969" s="1">
        <v>25</v>
      </c>
      <c r="H969" s="1">
        <v>150</v>
      </c>
      <c r="I969" s="1">
        <v>100</v>
      </c>
      <c r="J969" s="1">
        <v>63.488</v>
      </c>
      <c r="K969" s="1">
        <v>73.025000000000006</v>
      </c>
      <c r="L969" s="1">
        <v>63.49</v>
      </c>
      <c r="M969" s="1">
        <v>98.5</v>
      </c>
      <c r="N969" s="1">
        <v>3.0130000000000001E-2</v>
      </c>
      <c r="O969" s="1">
        <v>2.0320000000000001E-4</v>
      </c>
      <c r="P969" s="1">
        <f>(Table1[[#This Row],[Rate_Constant_k2_g_mg_min]]*Table1[[#This Row],[Contact_Time_min]]*Table1[[#This Row],[qe_mg_g]]^2)/(1+Table1[[#This Row],[Contact_Time_min]]*Table1[[#This Row],[qe_mg_g]]*Table1[[#This Row],[Rate_Constant_k2_g_mg_min]])</f>
        <v>38.572096198697096</v>
      </c>
      <c r="Q969" s="1">
        <f>LN(Table1[[#This Row],[qe_mg_g]]-Table1[[#This Row],[qt]])</f>
        <v>3.2155063064638689</v>
      </c>
      <c r="R969" s="1">
        <v>2</v>
      </c>
    </row>
    <row r="970" spans="1:18" x14ac:dyDescent="0.3">
      <c r="A970" s="1">
        <v>969</v>
      </c>
      <c r="B970" s="1" t="s">
        <v>17</v>
      </c>
      <c r="C970" s="1">
        <v>2</v>
      </c>
      <c r="D970" s="1">
        <v>120</v>
      </c>
      <c r="E970" s="1">
        <v>200</v>
      </c>
      <c r="F970" s="1">
        <v>7</v>
      </c>
      <c r="G970" s="1">
        <v>25</v>
      </c>
      <c r="H970" s="1">
        <v>150</v>
      </c>
      <c r="I970" s="1">
        <v>100</v>
      </c>
      <c r="J970" s="1">
        <v>55.741</v>
      </c>
      <c r="K970" s="1">
        <v>88.518000000000001</v>
      </c>
      <c r="L970" s="1">
        <v>55.74</v>
      </c>
      <c r="M970" s="1">
        <v>66.7</v>
      </c>
      <c r="N970" s="1">
        <v>3.2410000000000001E-2</v>
      </c>
      <c r="O970" s="1">
        <v>2.2379999999999999E-4</v>
      </c>
      <c r="P970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33.417636019397719</v>
      </c>
      <c r="Q970" s="1">
        <f>LN(Table1[[#This Row],[qe_mg_g]]-Table1[[#This Row],[qt]])</f>
        <v>3.1056338421334031</v>
      </c>
      <c r="R970" s="1">
        <v>3</v>
      </c>
    </row>
    <row r="971" spans="1:18" x14ac:dyDescent="0.3">
      <c r="A971" s="1">
        <v>970</v>
      </c>
      <c r="B971" s="1" t="s">
        <v>17</v>
      </c>
      <c r="C971" s="1">
        <v>2</v>
      </c>
      <c r="D971" s="1">
        <v>120</v>
      </c>
      <c r="E971" s="1">
        <v>200</v>
      </c>
      <c r="F971" s="1">
        <v>11</v>
      </c>
      <c r="G971" s="1">
        <v>25</v>
      </c>
      <c r="H971" s="1">
        <v>150</v>
      </c>
      <c r="I971" s="1">
        <v>100</v>
      </c>
      <c r="J971" s="1">
        <v>55.29</v>
      </c>
      <c r="K971" s="1">
        <v>89.42</v>
      </c>
      <c r="L971" s="1">
        <v>55.29</v>
      </c>
      <c r="M971" s="1">
        <v>88.8</v>
      </c>
      <c r="N971" s="1">
        <v>2.964E-2</v>
      </c>
      <c r="O971" s="1">
        <v>1.961E-4</v>
      </c>
      <c r="P971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31.262196898411737</v>
      </c>
      <c r="Q971" s="1">
        <f>LN(Table1[[#This Row],[qe_mg_g]]-Table1[[#This Row],[qt]])</f>
        <v>3.1792116224141473</v>
      </c>
      <c r="R971" s="1">
        <v>1</v>
      </c>
    </row>
    <row r="972" spans="1:18" x14ac:dyDescent="0.3">
      <c r="A972" s="1">
        <v>971</v>
      </c>
      <c r="B972" s="1" t="s">
        <v>17</v>
      </c>
      <c r="C972" s="1">
        <v>2</v>
      </c>
      <c r="D972" s="1">
        <v>120</v>
      </c>
      <c r="E972" s="1">
        <v>200</v>
      </c>
      <c r="F972" s="1">
        <v>11</v>
      </c>
      <c r="G972" s="1">
        <v>25</v>
      </c>
      <c r="H972" s="1">
        <v>150</v>
      </c>
      <c r="I972" s="1">
        <v>100</v>
      </c>
      <c r="J972" s="1">
        <v>52.015999999999998</v>
      </c>
      <c r="K972" s="1">
        <v>95.966999999999999</v>
      </c>
      <c r="L972" s="1">
        <v>52.02</v>
      </c>
      <c r="M972" s="1">
        <v>88</v>
      </c>
      <c r="N972" s="1">
        <v>2.8549999999999999E-2</v>
      </c>
      <c r="O972" s="1">
        <v>1.8220000000000001E-4</v>
      </c>
      <c r="P972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27.678499551579126</v>
      </c>
      <c r="Q972" s="1">
        <f>LN(Table1[[#This Row],[qe_mg_g]]-Table1[[#This Row],[qt]])</f>
        <v>3.192018389123418</v>
      </c>
      <c r="R972" s="1">
        <v>2</v>
      </c>
    </row>
    <row r="973" spans="1:18" x14ac:dyDescent="0.3">
      <c r="A973" s="1">
        <v>972</v>
      </c>
      <c r="B973" s="1" t="s">
        <v>17</v>
      </c>
      <c r="C973" s="1">
        <v>2</v>
      </c>
      <c r="D973" s="1">
        <v>120</v>
      </c>
      <c r="E973" s="1">
        <v>200</v>
      </c>
      <c r="F973" s="1">
        <v>11</v>
      </c>
      <c r="G973" s="1">
        <v>25</v>
      </c>
      <c r="H973" s="1">
        <v>150</v>
      </c>
      <c r="I973" s="1">
        <v>100</v>
      </c>
      <c r="J973" s="1">
        <v>50.168999999999997</v>
      </c>
      <c r="K973" s="1">
        <v>99.661000000000001</v>
      </c>
      <c r="L973" s="1">
        <v>50.17</v>
      </c>
      <c r="M973" s="1">
        <v>92.6</v>
      </c>
      <c r="N973" s="1">
        <v>2.7310000000000001E-2</v>
      </c>
      <c r="O973" s="1">
        <v>1.9680000000000001E-4</v>
      </c>
      <c r="P973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27.206163915511802</v>
      </c>
      <c r="Q973" s="1">
        <f>LN(Table1[[#This Row],[qe_mg_g]]-Table1[[#This Row],[qt]])</f>
        <v>3.1338770866666099</v>
      </c>
      <c r="R973" s="1">
        <v>3</v>
      </c>
    </row>
    <row r="974" spans="1:18" x14ac:dyDescent="0.3">
      <c r="A974" s="1">
        <v>973</v>
      </c>
      <c r="B974" s="1" t="s">
        <v>17</v>
      </c>
      <c r="C974" s="1">
        <v>2</v>
      </c>
      <c r="D974" s="1">
        <v>240</v>
      </c>
      <c r="E974" s="1">
        <v>25</v>
      </c>
      <c r="F974" s="1">
        <v>3</v>
      </c>
      <c r="G974" s="1">
        <v>25</v>
      </c>
      <c r="H974" s="1">
        <v>150</v>
      </c>
      <c r="I974" s="1">
        <v>100</v>
      </c>
      <c r="J974" s="1">
        <v>2.6819999999999999</v>
      </c>
      <c r="K974" s="1">
        <v>19.637</v>
      </c>
      <c r="L974" s="1">
        <v>21.45</v>
      </c>
      <c r="M974" s="1">
        <v>96.6</v>
      </c>
      <c r="N974" s="1">
        <v>3.7429999999999998E-2</v>
      </c>
      <c r="O974" s="1">
        <v>2.117E-4</v>
      </c>
      <c r="P97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0.32163939125240293</v>
      </c>
      <c r="Q974" s="1">
        <f>LN(Table1[[#This Row],[qe_mg_g]]-Table1[[#This Row],[qt]])</f>
        <v>0.85881440768151784</v>
      </c>
      <c r="R974" s="1">
        <v>1</v>
      </c>
    </row>
    <row r="975" spans="1:18" x14ac:dyDescent="0.3">
      <c r="A975" s="1">
        <v>974</v>
      </c>
      <c r="B975" s="1" t="s">
        <v>17</v>
      </c>
      <c r="C975" s="1">
        <v>2</v>
      </c>
      <c r="D975" s="1">
        <v>240</v>
      </c>
      <c r="E975" s="1">
        <v>25</v>
      </c>
      <c r="F975" s="1">
        <v>3</v>
      </c>
      <c r="G975" s="1">
        <v>25</v>
      </c>
      <c r="H975" s="1">
        <v>150</v>
      </c>
      <c r="I975" s="1">
        <v>100</v>
      </c>
      <c r="J975" s="1">
        <v>2.4319999999999999</v>
      </c>
      <c r="K975" s="1">
        <v>20.135000000000002</v>
      </c>
      <c r="L975" s="1">
        <v>19.46</v>
      </c>
      <c r="M975" s="1">
        <v>61.2</v>
      </c>
      <c r="N975" s="1">
        <v>3.3619999999999997E-2</v>
      </c>
      <c r="O975" s="1">
        <v>2.2000000000000001E-4</v>
      </c>
      <c r="P97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0.2767542452669669</v>
      </c>
      <c r="Q975" s="1">
        <f>LN(Table1[[#This Row],[qe_mg_g]]-Table1[[#This Row],[qt]])</f>
        <v>0.76790475637299527</v>
      </c>
      <c r="R975" s="1">
        <v>2</v>
      </c>
    </row>
    <row r="976" spans="1:18" x14ac:dyDescent="0.3">
      <c r="A976" s="1">
        <v>975</v>
      </c>
      <c r="B976" s="1" t="s">
        <v>17</v>
      </c>
      <c r="C976" s="1">
        <v>2</v>
      </c>
      <c r="D976" s="1">
        <v>240</v>
      </c>
      <c r="E976" s="1">
        <v>25</v>
      </c>
      <c r="F976" s="1">
        <v>3</v>
      </c>
      <c r="G976" s="1">
        <v>25</v>
      </c>
      <c r="H976" s="1">
        <v>150</v>
      </c>
      <c r="I976" s="1">
        <v>100</v>
      </c>
      <c r="J976" s="1">
        <v>3.012</v>
      </c>
      <c r="K976" s="1">
        <v>18.975000000000001</v>
      </c>
      <c r="L976" s="1">
        <v>24.1</v>
      </c>
      <c r="M976" s="1">
        <v>94.8</v>
      </c>
      <c r="N976" s="1">
        <v>3.6499999999999998E-2</v>
      </c>
      <c r="O976" s="1">
        <v>2.076E-4</v>
      </c>
      <c r="P97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0.39302872579514059</v>
      </c>
      <c r="Q976" s="1">
        <f>LN(Table1[[#This Row],[qe_mg_g]]-Table1[[#This Row],[qt]])</f>
        <v>0.96278159723512913</v>
      </c>
      <c r="R976" s="1">
        <v>3</v>
      </c>
    </row>
    <row r="977" spans="1:18" x14ac:dyDescent="0.3">
      <c r="A977" s="1">
        <v>976</v>
      </c>
      <c r="B977" s="1" t="s">
        <v>17</v>
      </c>
      <c r="C977" s="1">
        <v>2</v>
      </c>
      <c r="D977" s="1">
        <v>240</v>
      </c>
      <c r="E977" s="1">
        <v>25</v>
      </c>
      <c r="F977" s="1">
        <v>7</v>
      </c>
      <c r="G977" s="1">
        <v>25</v>
      </c>
      <c r="H977" s="1">
        <v>150</v>
      </c>
      <c r="I977" s="1">
        <v>100</v>
      </c>
      <c r="J977" s="1">
        <v>4.03</v>
      </c>
      <c r="K977" s="1">
        <v>16.939</v>
      </c>
      <c r="L977" s="1">
        <v>32.24</v>
      </c>
      <c r="M977" s="1">
        <v>84</v>
      </c>
      <c r="N977" s="1">
        <v>4.0840000000000001E-2</v>
      </c>
      <c r="O977" s="1">
        <v>1.8110000000000001E-4</v>
      </c>
      <c r="P97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0.60067950377341006</v>
      </c>
      <c r="Q977" s="1">
        <f>LN(Table1[[#This Row],[qe_mg_g]]-Table1[[#This Row],[qt]])</f>
        <v>1.232362135495864</v>
      </c>
      <c r="R977" s="1">
        <v>1</v>
      </c>
    </row>
    <row r="978" spans="1:18" x14ac:dyDescent="0.3">
      <c r="A978" s="1">
        <v>977</v>
      </c>
      <c r="B978" s="1" t="s">
        <v>17</v>
      </c>
      <c r="C978" s="1">
        <v>2</v>
      </c>
      <c r="D978" s="1">
        <v>240</v>
      </c>
      <c r="E978" s="1">
        <v>25</v>
      </c>
      <c r="F978" s="1">
        <v>7</v>
      </c>
      <c r="G978" s="1">
        <v>25</v>
      </c>
      <c r="H978" s="1">
        <v>150</v>
      </c>
      <c r="I978" s="1">
        <v>100</v>
      </c>
      <c r="J978" s="1">
        <v>4.9569999999999999</v>
      </c>
      <c r="K978" s="1">
        <v>15.086</v>
      </c>
      <c r="L978" s="1">
        <v>39.65</v>
      </c>
      <c r="M978" s="1">
        <v>81.599999999999994</v>
      </c>
      <c r="N978" s="1">
        <v>3.9640000000000002E-2</v>
      </c>
      <c r="O978" s="1">
        <v>1.719E-4</v>
      </c>
      <c r="P97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0.84161989153807371</v>
      </c>
      <c r="Q978" s="1">
        <f>LN(Table1[[#This Row],[qe_mg_g]]-Table1[[#This Row],[qt]])</f>
        <v>1.4147312012997317</v>
      </c>
      <c r="R978" s="1">
        <v>2</v>
      </c>
    </row>
    <row r="979" spans="1:18" x14ac:dyDescent="0.3">
      <c r="A979" s="1">
        <v>978</v>
      </c>
      <c r="B979" s="1" t="s">
        <v>17</v>
      </c>
      <c r="C979" s="1">
        <v>2</v>
      </c>
      <c r="D979" s="1">
        <v>240</v>
      </c>
      <c r="E979" s="1">
        <v>25</v>
      </c>
      <c r="F979" s="1">
        <v>7</v>
      </c>
      <c r="G979" s="1">
        <v>25</v>
      </c>
      <c r="H979" s="1">
        <v>150</v>
      </c>
      <c r="I979" s="1">
        <v>100</v>
      </c>
      <c r="J979" s="1">
        <v>4.5179999999999998</v>
      </c>
      <c r="K979" s="1">
        <v>15.965</v>
      </c>
      <c r="L979" s="1">
        <v>36.14</v>
      </c>
      <c r="M979" s="1">
        <v>76.2</v>
      </c>
      <c r="N979" s="1">
        <v>3.005E-2</v>
      </c>
      <c r="O979" s="1">
        <v>2.0440000000000001E-4</v>
      </c>
      <c r="P97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0.81967769389922396</v>
      </c>
      <c r="Q979" s="1">
        <f>LN(Table1[[#This Row],[qe_mg_g]]-Table1[[#This Row],[qt]])</f>
        <v>1.3078792860357813</v>
      </c>
      <c r="R979" s="1">
        <v>3</v>
      </c>
    </row>
    <row r="980" spans="1:18" x14ac:dyDescent="0.3">
      <c r="A980" s="1">
        <v>979</v>
      </c>
      <c r="B980" s="1" t="s">
        <v>17</v>
      </c>
      <c r="C980" s="1">
        <v>2</v>
      </c>
      <c r="D980" s="1">
        <v>240</v>
      </c>
      <c r="E980" s="1">
        <v>25</v>
      </c>
      <c r="F980" s="1">
        <v>11</v>
      </c>
      <c r="G980" s="1">
        <v>25</v>
      </c>
      <c r="H980" s="1">
        <v>150</v>
      </c>
      <c r="I980" s="1">
        <v>100</v>
      </c>
      <c r="J980" s="1">
        <v>3.593</v>
      </c>
      <c r="K980" s="1">
        <v>17.814</v>
      </c>
      <c r="L980" s="1">
        <v>28.74</v>
      </c>
      <c r="M980" s="1">
        <v>74.900000000000006</v>
      </c>
      <c r="N980" s="1">
        <v>2.9749999999999999E-2</v>
      </c>
      <c r="O980" s="1">
        <v>1.9819999999999999E-4</v>
      </c>
      <c r="P98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0.52445126186717872</v>
      </c>
      <c r="Q980" s="1">
        <f>LN(Table1[[#This Row],[qe_mg_g]]-Table1[[#This Row],[qt]])</f>
        <v>1.1212047260947782</v>
      </c>
      <c r="R980" s="1">
        <v>1</v>
      </c>
    </row>
    <row r="981" spans="1:18" x14ac:dyDescent="0.3">
      <c r="A981" s="1">
        <v>980</v>
      </c>
      <c r="B981" s="1" t="s">
        <v>17</v>
      </c>
      <c r="C981" s="1">
        <v>2</v>
      </c>
      <c r="D981" s="1">
        <v>240</v>
      </c>
      <c r="E981" s="1">
        <v>25</v>
      </c>
      <c r="F981" s="1">
        <v>11</v>
      </c>
      <c r="G981" s="1">
        <v>25</v>
      </c>
      <c r="H981" s="1">
        <v>150</v>
      </c>
      <c r="I981" s="1">
        <v>100</v>
      </c>
      <c r="J981" s="1">
        <v>3.2349999999999999</v>
      </c>
      <c r="K981" s="1">
        <v>18.53</v>
      </c>
      <c r="L981" s="1">
        <v>25.88</v>
      </c>
      <c r="M981" s="1">
        <v>92.8</v>
      </c>
      <c r="N981" s="1">
        <v>3.832E-2</v>
      </c>
      <c r="O981" s="1">
        <v>1.9880000000000001E-4</v>
      </c>
      <c r="P98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0.43255298816565174</v>
      </c>
      <c r="Q981" s="1">
        <f>LN(Table1[[#This Row],[qe_mg_g]]-Table1[[#This Row],[qt]])</f>
        <v>1.0304929683222175</v>
      </c>
      <c r="R981" s="1">
        <v>2</v>
      </c>
    </row>
    <row r="982" spans="1:18" x14ac:dyDescent="0.3">
      <c r="A982" s="1">
        <v>981</v>
      </c>
      <c r="B982" s="1" t="s">
        <v>17</v>
      </c>
      <c r="C982" s="1">
        <v>2</v>
      </c>
      <c r="D982" s="1">
        <v>240</v>
      </c>
      <c r="E982" s="1">
        <v>25</v>
      </c>
      <c r="F982" s="1">
        <v>11</v>
      </c>
      <c r="G982" s="1">
        <v>25</v>
      </c>
      <c r="H982" s="1">
        <v>150</v>
      </c>
      <c r="I982" s="1">
        <v>100</v>
      </c>
      <c r="J982" s="1">
        <v>3.8690000000000002</v>
      </c>
      <c r="K982" s="1">
        <v>17.262</v>
      </c>
      <c r="L982" s="1">
        <v>30.95</v>
      </c>
      <c r="M982" s="1">
        <v>88.6</v>
      </c>
      <c r="N982" s="1">
        <v>3.3790000000000001E-2</v>
      </c>
      <c r="O982" s="1">
        <v>1.6780000000000001E-4</v>
      </c>
      <c r="P98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0.52157086087869242</v>
      </c>
      <c r="Q982" s="1">
        <f>LN(Table1[[#This Row],[qe_mg_g]]-Table1[[#This Row],[qt]])</f>
        <v>1.2081926300607992</v>
      </c>
      <c r="R982" s="1">
        <v>3</v>
      </c>
    </row>
    <row r="983" spans="1:18" x14ac:dyDescent="0.3">
      <c r="A983" s="1">
        <v>982</v>
      </c>
      <c r="B983" s="1" t="s">
        <v>17</v>
      </c>
      <c r="C983" s="1">
        <v>2</v>
      </c>
      <c r="D983" s="1">
        <v>240</v>
      </c>
      <c r="E983" s="1">
        <v>50</v>
      </c>
      <c r="F983" s="1">
        <v>3</v>
      </c>
      <c r="G983" s="1">
        <v>25</v>
      </c>
      <c r="H983" s="1">
        <v>150</v>
      </c>
      <c r="I983" s="1">
        <v>100</v>
      </c>
      <c r="J983" s="1">
        <v>7.8689999999999998</v>
      </c>
      <c r="K983" s="1">
        <v>34.261000000000003</v>
      </c>
      <c r="L983" s="1">
        <v>31.48</v>
      </c>
      <c r="M983" s="1">
        <v>81.400000000000006</v>
      </c>
      <c r="N983" s="1">
        <v>3.8359999999999998E-2</v>
      </c>
      <c r="O983" s="1">
        <v>2.0919999999999999E-4</v>
      </c>
      <c r="P983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2.2284905558962684</v>
      </c>
      <c r="Q983" s="1">
        <f>LN(Table1[[#This Row],[qe_mg_g]]-Table1[[#This Row],[qt]])</f>
        <v>1.7299743883994791</v>
      </c>
      <c r="R983" s="1">
        <v>1</v>
      </c>
    </row>
    <row r="984" spans="1:18" x14ac:dyDescent="0.3">
      <c r="A984" s="1">
        <v>983</v>
      </c>
      <c r="B984" s="1" t="s">
        <v>17</v>
      </c>
      <c r="C984" s="1">
        <v>2</v>
      </c>
      <c r="D984" s="1">
        <v>240</v>
      </c>
      <c r="E984" s="1">
        <v>50</v>
      </c>
      <c r="F984" s="1">
        <v>3</v>
      </c>
      <c r="G984" s="1">
        <v>25</v>
      </c>
      <c r="H984" s="1">
        <v>150</v>
      </c>
      <c r="I984" s="1">
        <v>100</v>
      </c>
      <c r="J984" s="1">
        <v>7.1280000000000001</v>
      </c>
      <c r="K984" s="1">
        <v>35.743000000000002</v>
      </c>
      <c r="L984" s="1">
        <v>28.51</v>
      </c>
      <c r="M984" s="1">
        <v>87.9</v>
      </c>
      <c r="N984" s="1">
        <v>3.7350000000000001E-2</v>
      </c>
      <c r="O984" s="1">
        <v>2.3059999999999999E-4</v>
      </c>
      <c r="P98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2.0164612916884708</v>
      </c>
      <c r="Q984" s="1">
        <f>LN(Table1[[#This Row],[qe_mg_g]]-Table1[[#This Row],[qt]])</f>
        <v>1.6315004759753671</v>
      </c>
      <c r="R984" s="1">
        <v>2</v>
      </c>
    </row>
    <row r="985" spans="1:18" x14ac:dyDescent="0.3">
      <c r="A985" s="1">
        <v>984</v>
      </c>
      <c r="B985" s="1" t="s">
        <v>17</v>
      </c>
      <c r="C985" s="1">
        <v>2</v>
      </c>
      <c r="D985" s="1">
        <v>240</v>
      </c>
      <c r="E985" s="1">
        <v>50</v>
      </c>
      <c r="F985" s="1">
        <v>3</v>
      </c>
      <c r="G985" s="1">
        <v>25</v>
      </c>
      <c r="H985" s="1">
        <v>150</v>
      </c>
      <c r="I985" s="1">
        <v>100</v>
      </c>
      <c r="J985" s="1">
        <v>8.7989999999999995</v>
      </c>
      <c r="K985" s="1">
        <v>32.402000000000001</v>
      </c>
      <c r="L985" s="1">
        <v>35.200000000000003</v>
      </c>
      <c r="M985" s="1">
        <v>95.5</v>
      </c>
      <c r="N985" s="1">
        <v>3.5209999999999998E-2</v>
      </c>
      <c r="O985" s="1">
        <v>2.0780000000000001E-4</v>
      </c>
      <c r="P98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2.6835879250053618</v>
      </c>
      <c r="Q985" s="1">
        <f>LN(Table1[[#This Row],[qe_mg_g]]-Table1[[#This Row],[qt]])</f>
        <v>1.8108121544393638</v>
      </c>
      <c r="R985" s="1">
        <v>3</v>
      </c>
    </row>
    <row r="986" spans="1:18" x14ac:dyDescent="0.3">
      <c r="A986" s="1">
        <v>985</v>
      </c>
      <c r="B986" s="1" t="s">
        <v>17</v>
      </c>
      <c r="C986" s="1">
        <v>2</v>
      </c>
      <c r="D986" s="1">
        <v>240</v>
      </c>
      <c r="E986" s="1">
        <v>50</v>
      </c>
      <c r="F986" s="1">
        <v>7</v>
      </c>
      <c r="G986" s="1">
        <v>25</v>
      </c>
      <c r="H986" s="1">
        <v>150</v>
      </c>
      <c r="I986" s="1">
        <v>100</v>
      </c>
      <c r="J986" s="1">
        <v>13.99</v>
      </c>
      <c r="K986" s="1">
        <v>22.02</v>
      </c>
      <c r="L986" s="1">
        <v>55.96</v>
      </c>
      <c r="M986" s="1">
        <v>68.599999999999994</v>
      </c>
      <c r="N986" s="1">
        <v>3.3779999999999998E-2</v>
      </c>
      <c r="O986" s="1">
        <v>1.8450000000000001E-4</v>
      </c>
      <c r="P986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5.3514097191365213</v>
      </c>
      <c r="Q986" s="1">
        <f>LN(Table1[[#This Row],[qe_mg_g]]-Table1[[#This Row],[qt]])</f>
        <v>2.1562394075665101</v>
      </c>
      <c r="R986" s="1">
        <v>1</v>
      </c>
    </row>
    <row r="987" spans="1:18" x14ac:dyDescent="0.3">
      <c r="A987" s="1">
        <v>986</v>
      </c>
      <c r="B987" s="1" t="s">
        <v>17</v>
      </c>
      <c r="C987" s="1">
        <v>2</v>
      </c>
      <c r="D987" s="1">
        <v>240</v>
      </c>
      <c r="E987" s="1">
        <v>50</v>
      </c>
      <c r="F987" s="1">
        <v>7</v>
      </c>
      <c r="G987" s="1">
        <v>25</v>
      </c>
      <c r="H987" s="1">
        <v>150</v>
      </c>
      <c r="I987" s="1">
        <v>100</v>
      </c>
      <c r="J987" s="1">
        <v>12.907999999999999</v>
      </c>
      <c r="K987" s="1">
        <v>24.184000000000001</v>
      </c>
      <c r="L987" s="1">
        <v>51.63</v>
      </c>
      <c r="M987" s="1">
        <v>101.5</v>
      </c>
      <c r="N987" s="1">
        <v>3.2910000000000002E-2</v>
      </c>
      <c r="O987" s="1">
        <v>1.5220000000000001E-4</v>
      </c>
      <c r="P98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4.1360190521663371</v>
      </c>
      <c r="Q987" s="1">
        <f>LN(Table1[[#This Row],[qe_mg_g]]-Table1[[#This Row],[qt]])</f>
        <v>2.1715626586236958</v>
      </c>
      <c r="R987" s="1">
        <v>2</v>
      </c>
    </row>
    <row r="988" spans="1:18" x14ac:dyDescent="0.3">
      <c r="A988" s="1">
        <v>987</v>
      </c>
      <c r="B988" s="1" t="s">
        <v>17</v>
      </c>
      <c r="C988" s="1">
        <v>2</v>
      </c>
      <c r="D988" s="1">
        <v>240</v>
      </c>
      <c r="E988" s="1">
        <v>50</v>
      </c>
      <c r="F988" s="1">
        <v>7</v>
      </c>
      <c r="G988" s="1">
        <v>25</v>
      </c>
      <c r="H988" s="1">
        <v>150</v>
      </c>
      <c r="I988" s="1">
        <v>100</v>
      </c>
      <c r="J988" s="1">
        <v>11.923999999999999</v>
      </c>
      <c r="K988" s="1">
        <v>26.152999999999999</v>
      </c>
      <c r="L988" s="1">
        <v>47.69</v>
      </c>
      <c r="M988" s="1">
        <v>97.5</v>
      </c>
      <c r="N988" s="1">
        <v>3.6880000000000003E-2</v>
      </c>
      <c r="O988" s="1">
        <v>2.086E-4</v>
      </c>
      <c r="P98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4.4573279577970171</v>
      </c>
      <c r="Q988" s="1">
        <f>LN(Table1[[#This Row],[qe_mg_g]]-Table1[[#This Row],[qt]])</f>
        <v>2.0104493901305247</v>
      </c>
      <c r="R988" s="1">
        <v>3</v>
      </c>
    </row>
    <row r="989" spans="1:18" x14ac:dyDescent="0.3">
      <c r="A989" s="1">
        <v>988</v>
      </c>
      <c r="B989" s="1" t="s">
        <v>17</v>
      </c>
      <c r="C989" s="1">
        <v>2</v>
      </c>
      <c r="D989" s="1">
        <v>240</v>
      </c>
      <c r="E989" s="1">
        <v>50</v>
      </c>
      <c r="F989" s="1">
        <v>11</v>
      </c>
      <c r="G989" s="1">
        <v>25</v>
      </c>
      <c r="H989" s="1">
        <v>150</v>
      </c>
      <c r="I989" s="1">
        <v>100</v>
      </c>
      <c r="J989" s="1">
        <v>9.5</v>
      </c>
      <c r="K989" s="1">
        <v>31.001000000000001</v>
      </c>
      <c r="L989" s="1">
        <v>38</v>
      </c>
      <c r="M989" s="1">
        <v>69.3</v>
      </c>
      <c r="N989" s="1">
        <v>3.6799999999999999E-2</v>
      </c>
      <c r="O989" s="1">
        <v>1.8330000000000001E-4</v>
      </c>
      <c r="P98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2.8000640372826755</v>
      </c>
      <c r="Q989" s="1">
        <f>LN(Table1[[#This Row],[qe_mg_g]]-Table1[[#This Row],[qt]])</f>
        <v>1.9020979685478598</v>
      </c>
      <c r="R989" s="1">
        <v>1</v>
      </c>
    </row>
    <row r="990" spans="1:18" x14ac:dyDescent="0.3">
      <c r="A990" s="1">
        <v>989</v>
      </c>
      <c r="B990" s="1" t="s">
        <v>17</v>
      </c>
      <c r="C990" s="1">
        <v>2</v>
      </c>
      <c r="D990" s="1">
        <v>240</v>
      </c>
      <c r="E990" s="1">
        <v>50</v>
      </c>
      <c r="F990" s="1">
        <v>11</v>
      </c>
      <c r="G990" s="1">
        <v>25</v>
      </c>
      <c r="H990" s="1">
        <v>150</v>
      </c>
      <c r="I990" s="1">
        <v>100</v>
      </c>
      <c r="J990" s="1">
        <v>11.907999999999999</v>
      </c>
      <c r="K990" s="1">
        <v>26.184000000000001</v>
      </c>
      <c r="L990" s="1">
        <v>47.63</v>
      </c>
      <c r="M990" s="1">
        <v>93</v>
      </c>
      <c r="N990" s="1">
        <v>3.2969999999999999E-2</v>
      </c>
      <c r="O990" s="1">
        <v>1.8780000000000001E-4</v>
      </c>
      <c r="P99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4.1590149322343573</v>
      </c>
      <c r="Q990" s="1">
        <f>LN(Table1[[#This Row],[qe_mg_g]]-Table1[[#This Row],[qt]])</f>
        <v>2.0475618757913958</v>
      </c>
      <c r="R990" s="1">
        <v>2</v>
      </c>
    </row>
    <row r="991" spans="1:18" x14ac:dyDescent="0.3">
      <c r="A991" s="1">
        <v>990</v>
      </c>
      <c r="B991" s="1" t="s">
        <v>17</v>
      </c>
      <c r="C991" s="1">
        <v>2</v>
      </c>
      <c r="D991" s="1">
        <v>240</v>
      </c>
      <c r="E991" s="1">
        <v>50</v>
      </c>
      <c r="F991" s="1">
        <v>11</v>
      </c>
      <c r="G991" s="1">
        <v>25</v>
      </c>
      <c r="H991" s="1">
        <v>150</v>
      </c>
      <c r="I991" s="1">
        <v>100</v>
      </c>
      <c r="J991" s="1">
        <v>9.6829999999999998</v>
      </c>
      <c r="K991" s="1">
        <v>30.635000000000002</v>
      </c>
      <c r="L991" s="1">
        <v>38.729999999999997</v>
      </c>
      <c r="M991" s="1">
        <v>82.6</v>
      </c>
      <c r="N991" s="1">
        <v>3.891E-2</v>
      </c>
      <c r="O991" s="1">
        <v>2.0369999999999999E-4</v>
      </c>
      <c r="P99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3.1110473850393978</v>
      </c>
      <c r="Q991" s="1">
        <f>LN(Table1[[#This Row],[qe_mg_g]]-Table1[[#This Row],[qt]])</f>
        <v>1.8828109900091323</v>
      </c>
      <c r="R991" s="1">
        <v>3</v>
      </c>
    </row>
    <row r="992" spans="1:18" x14ac:dyDescent="0.3">
      <c r="A992" s="1">
        <v>991</v>
      </c>
      <c r="B992" s="1" t="s">
        <v>17</v>
      </c>
      <c r="C992" s="1">
        <v>2</v>
      </c>
      <c r="D992" s="1">
        <v>240</v>
      </c>
      <c r="E992" s="1">
        <v>100</v>
      </c>
      <c r="F992" s="1">
        <v>3</v>
      </c>
      <c r="G992" s="1">
        <v>25</v>
      </c>
      <c r="H992" s="1">
        <v>150</v>
      </c>
      <c r="I992" s="1">
        <v>100</v>
      </c>
      <c r="J992" s="1">
        <v>20.283000000000001</v>
      </c>
      <c r="K992" s="1">
        <v>59.433</v>
      </c>
      <c r="L992" s="1">
        <v>40.57</v>
      </c>
      <c r="M992" s="1">
        <v>110</v>
      </c>
      <c r="N992" s="1">
        <v>3.517E-2</v>
      </c>
      <c r="O992" s="1">
        <v>2.154E-4</v>
      </c>
      <c r="P992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10.381850251721074</v>
      </c>
      <c r="Q992" s="1">
        <f>LN(Table1[[#This Row],[qe_mg_g]]-Table1[[#This Row],[qt]])</f>
        <v>2.2926508865870496</v>
      </c>
      <c r="R992" s="1">
        <v>1</v>
      </c>
    </row>
    <row r="993" spans="1:18" x14ac:dyDescent="0.3">
      <c r="A993" s="1">
        <v>992</v>
      </c>
      <c r="B993" s="1" t="s">
        <v>17</v>
      </c>
      <c r="C993" s="1">
        <v>2</v>
      </c>
      <c r="D993" s="1">
        <v>240</v>
      </c>
      <c r="E993" s="1">
        <v>100</v>
      </c>
      <c r="F993" s="1">
        <v>3</v>
      </c>
      <c r="G993" s="1">
        <v>25</v>
      </c>
      <c r="H993" s="1">
        <v>150</v>
      </c>
      <c r="I993" s="1">
        <v>100</v>
      </c>
      <c r="J993" s="1">
        <v>20.553999999999998</v>
      </c>
      <c r="K993" s="1">
        <v>58.893000000000001</v>
      </c>
      <c r="L993" s="1">
        <v>41.11</v>
      </c>
      <c r="M993" s="1">
        <v>90.4</v>
      </c>
      <c r="N993" s="1">
        <v>3.6089999999999997E-2</v>
      </c>
      <c r="O993" s="1">
        <v>1.6220000000000001E-4</v>
      </c>
      <c r="P993" s="1">
        <f>(Table1[[#This Row],[Rate_Constant_k2_g_mg_min]]*Table1[[#This Row],[Contact_Time_min]]*Table1[[#This Row],[qe_mg_g]]^2)/(1+Table1[[#This Row],[Contact_Time_min]]*Table1[[#This Row],[qe_mg_g]]*Table1[[#This Row],[Rate_Constant_k2_g_mg_min]])</f>
        <v>9.135911087793831</v>
      </c>
      <c r="Q993" s="1">
        <f>LN(Table1[[#This Row],[qe_mg_g]]-Table1[[#This Row],[qt]])</f>
        <v>2.435198844532783</v>
      </c>
      <c r="R993" s="1">
        <v>2</v>
      </c>
    </row>
    <row r="994" spans="1:18" x14ac:dyDescent="0.3">
      <c r="A994" s="1">
        <v>993</v>
      </c>
      <c r="B994" s="1" t="s">
        <v>17</v>
      </c>
      <c r="C994" s="1">
        <v>2</v>
      </c>
      <c r="D994" s="1">
        <v>240</v>
      </c>
      <c r="E994" s="1">
        <v>100</v>
      </c>
      <c r="F994" s="1">
        <v>3</v>
      </c>
      <c r="G994" s="1">
        <v>25</v>
      </c>
      <c r="H994" s="1">
        <v>150</v>
      </c>
      <c r="I994" s="1">
        <v>100</v>
      </c>
      <c r="J994" s="1">
        <v>26.295000000000002</v>
      </c>
      <c r="K994" s="1">
        <v>47.41</v>
      </c>
      <c r="L994" s="1">
        <v>52.59</v>
      </c>
      <c r="M994" s="1">
        <v>102.3</v>
      </c>
      <c r="N994" s="1">
        <v>3.3610000000000001E-2</v>
      </c>
      <c r="O994" s="1">
        <v>1.7799999999999999E-4</v>
      </c>
      <c r="P994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13.911105778378261</v>
      </c>
      <c r="Q994" s="1">
        <f>LN(Table1[[#This Row],[qe_mg_g]]-Table1[[#This Row],[qt]])</f>
        <v>2.5163967752751799</v>
      </c>
      <c r="R994" s="1">
        <v>3</v>
      </c>
    </row>
    <row r="995" spans="1:18" x14ac:dyDescent="0.3">
      <c r="A995" s="1">
        <v>994</v>
      </c>
      <c r="B995" s="1" t="s">
        <v>17</v>
      </c>
      <c r="C995" s="1">
        <v>2</v>
      </c>
      <c r="D995" s="1">
        <v>240</v>
      </c>
      <c r="E995" s="1">
        <v>100</v>
      </c>
      <c r="F995" s="1">
        <v>7</v>
      </c>
      <c r="G995" s="1">
        <v>25</v>
      </c>
      <c r="H995" s="1">
        <v>150</v>
      </c>
      <c r="I995" s="1">
        <v>100</v>
      </c>
      <c r="J995" s="1">
        <v>33.231999999999999</v>
      </c>
      <c r="K995" s="1">
        <v>33.536000000000001</v>
      </c>
      <c r="L995" s="1">
        <v>66.459999999999994</v>
      </c>
      <c r="M995" s="1">
        <v>86.8</v>
      </c>
      <c r="N995" s="1">
        <v>3.6240000000000001E-2</v>
      </c>
      <c r="O995" s="1">
        <v>2.0379999999999999E-4</v>
      </c>
      <c r="P995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20.57432942481692</v>
      </c>
      <c r="Q995" s="1">
        <f>LN(Table1[[#This Row],[qe_mg_g]]-Table1[[#This Row],[qt]])</f>
        <v>2.5382634009854694</v>
      </c>
      <c r="R995" s="1">
        <v>1</v>
      </c>
    </row>
    <row r="996" spans="1:18" x14ac:dyDescent="0.3">
      <c r="A996" s="1">
        <v>995</v>
      </c>
      <c r="B996" s="1" t="s">
        <v>17</v>
      </c>
      <c r="C996" s="1">
        <v>2</v>
      </c>
      <c r="D996" s="1">
        <v>240</v>
      </c>
      <c r="E996" s="1">
        <v>100</v>
      </c>
      <c r="F996" s="1">
        <v>7</v>
      </c>
      <c r="G996" s="1">
        <v>25</v>
      </c>
      <c r="H996" s="1">
        <v>150</v>
      </c>
      <c r="I996" s="1">
        <v>100</v>
      </c>
      <c r="J996" s="1">
        <v>33.741999999999997</v>
      </c>
      <c r="K996" s="1">
        <v>32.515999999999998</v>
      </c>
      <c r="L996" s="1">
        <v>67.48</v>
      </c>
      <c r="M996" s="1">
        <v>104.3</v>
      </c>
      <c r="N996" s="1">
        <v>3.6990000000000002E-2</v>
      </c>
      <c r="O996" s="1">
        <v>1.7899999999999999E-4</v>
      </c>
      <c r="P996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19.967260581067187</v>
      </c>
      <c r="Q996" s="1">
        <f>LN(Table1[[#This Row],[qe_mg_g]]-Table1[[#This Row],[qt]])</f>
        <v>2.6228364379041746</v>
      </c>
      <c r="R996" s="1">
        <v>2</v>
      </c>
    </row>
    <row r="997" spans="1:18" x14ac:dyDescent="0.3">
      <c r="A997" s="1">
        <v>996</v>
      </c>
      <c r="B997" s="1" t="s">
        <v>17</v>
      </c>
      <c r="C997" s="1">
        <v>2</v>
      </c>
      <c r="D997" s="1">
        <v>240</v>
      </c>
      <c r="E997" s="1">
        <v>100</v>
      </c>
      <c r="F997" s="1">
        <v>7</v>
      </c>
      <c r="G997" s="1">
        <v>25</v>
      </c>
      <c r="H997" s="1">
        <v>150</v>
      </c>
      <c r="I997" s="1">
        <v>100</v>
      </c>
      <c r="J997" s="1">
        <v>36.491999999999997</v>
      </c>
      <c r="K997" s="1">
        <v>27.015999999999998</v>
      </c>
      <c r="L997" s="1">
        <v>72.98</v>
      </c>
      <c r="M997" s="1">
        <v>106.8</v>
      </c>
      <c r="N997" s="1">
        <v>4.6030000000000001E-2</v>
      </c>
      <c r="O997" s="1">
        <v>1.775E-4</v>
      </c>
      <c r="P997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22.206952309580451</v>
      </c>
      <c r="Q997" s="1">
        <f>LN(Table1[[#This Row],[qe_mg_g]]-Table1[[#This Row],[qt]])</f>
        <v>2.6592133741734565</v>
      </c>
      <c r="R997" s="1">
        <v>3</v>
      </c>
    </row>
    <row r="998" spans="1:18" x14ac:dyDescent="0.3">
      <c r="A998" s="1">
        <v>997</v>
      </c>
      <c r="B998" s="1" t="s">
        <v>17</v>
      </c>
      <c r="C998" s="1">
        <v>2</v>
      </c>
      <c r="D998" s="1">
        <v>240</v>
      </c>
      <c r="E998" s="1">
        <v>100</v>
      </c>
      <c r="F998" s="1">
        <v>11</v>
      </c>
      <c r="G998" s="1">
        <v>25</v>
      </c>
      <c r="H998" s="1">
        <v>150</v>
      </c>
      <c r="I998" s="1">
        <v>100</v>
      </c>
      <c r="J998" s="1">
        <v>26.547000000000001</v>
      </c>
      <c r="K998" s="1">
        <v>46.905999999999999</v>
      </c>
      <c r="L998" s="1">
        <v>53.09</v>
      </c>
      <c r="M998" s="1">
        <v>58.9</v>
      </c>
      <c r="N998" s="1">
        <v>3.6940000000000001E-2</v>
      </c>
      <c r="O998" s="1">
        <v>1.8900000000000001E-4</v>
      </c>
      <c r="P998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14.503021143759058</v>
      </c>
      <c r="Q998" s="1">
        <f>LN(Table1[[#This Row],[qe_mg_g]]-Table1[[#This Row],[qt]])</f>
        <v>2.4885648550750159</v>
      </c>
      <c r="R998" s="1">
        <v>1</v>
      </c>
    </row>
    <row r="999" spans="1:18" x14ac:dyDescent="0.3">
      <c r="A999" s="1">
        <v>998</v>
      </c>
      <c r="B999" s="1" t="s">
        <v>17</v>
      </c>
      <c r="C999" s="1">
        <v>2</v>
      </c>
      <c r="D999" s="1">
        <v>240</v>
      </c>
      <c r="E999" s="1">
        <v>100</v>
      </c>
      <c r="F999" s="1">
        <v>11</v>
      </c>
      <c r="G999" s="1">
        <v>25</v>
      </c>
      <c r="H999" s="1">
        <v>150</v>
      </c>
      <c r="I999" s="1">
        <v>100</v>
      </c>
      <c r="J999" s="1">
        <v>30.902999999999999</v>
      </c>
      <c r="K999" s="1">
        <v>38.194000000000003</v>
      </c>
      <c r="L999" s="1">
        <v>61.81</v>
      </c>
      <c r="M999" s="1">
        <v>75.8</v>
      </c>
      <c r="N999" s="1">
        <v>2.9090000000000001E-2</v>
      </c>
      <c r="O999" s="1">
        <v>1.906E-4</v>
      </c>
      <c r="P999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18.099446612920318</v>
      </c>
      <c r="Q999" s="1">
        <f>LN(Table1[[#This Row],[qe_mg_g]]-Table1[[#This Row],[qt]])</f>
        <v>2.5497227407650991</v>
      </c>
      <c r="R999" s="1">
        <v>2</v>
      </c>
    </row>
    <row r="1000" spans="1:18" x14ac:dyDescent="0.3">
      <c r="A1000" s="1">
        <v>999</v>
      </c>
      <c r="B1000" s="1" t="s">
        <v>17</v>
      </c>
      <c r="C1000" s="1">
        <v>2</v>
      </c>
      <c r="D1000" s="1">
        <v>240</v>
      </c>
      <c r="E1000" s="1">
        <v>100</v>
      </c>
      <c r="F1000" s="1">
        <v>11</v>
      </c>
      <c r="G1000" s="1">
        <v>25</v>
      </c>
      <c r="H1000" s="1">
        <v>150</v>
      </c>
      <c r="I1000" s="1">
        <v>100</v>
      </c>
      <c r="J1000" s="1">
        <v>20.797999999999998</v>
      </c>
      <c r="K1000" s="1">
        <v>58.405000000000001</v>
      </c>
      <c r="L1000" s="1">
        <v>41.6</v>
      </c>
      <c r="M1000" s="1">
        <v>95.4</v>
      </c>
      <c r="N1000" s="1">
        <v>2.777E-2</v>
      </c>
      <c r="O1000" s="1">
        <v>2.006E-4</v>
      </c>
      <c r="P1000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10.405749309564404</v>
      </c>
      <c r="Q1000" s="1">
        <f>LN(Table1[[#This Row],[qe_mg_g]]-Table1[[#This Row],[qt]])</f>
        <v>2.3410604024833761</v>
      </c>
      <c r="R1000" s="1">
        <v>3</v>
      </c>
    </row>
    <row r="1001" spans="1:18" x14ac:dyDescent="0.3">
      <c r="A1001" s="1">
        <v>1000</v>
      </c>
      <c r="B1001" s="1" t="s">
        <v>17</v>
      </c>
      <c r="C1001" s="1">
        <v>2</v>
      </c>
      <c r="D1001" s="1">
        <v>240</v>
      </c>
      <c r="E1001" s="1">
        <v>200</v>
      </c>
      <c r="F1001" s="1">
        <v>3</v>
      </c>
      <c r="G1001" s="1">
        <v>25</v>
      </c>
      <c r="H1001" s="1">
        <v>150</v>
      </c>
      <c r="I1001" s="1">
        <v>100</v>
      </c>
      <c r="J1001" s="1">
        <v>41.427999999999997</v>
      </c>
      <c r="K1001" s="1">
        <v>117.14400000000001</v>
      </c>
      <c r="L1001" s="1">
        <v>41.43</v>
      </c>
      <c r="M1001" s="1">
        <v>81.599999999999994</v>
      </c>
      <c r="N1001" s="1">
        <v>4.0750000000000001E-2</v>
      </c>
      <c r="O1001" s="1">
        <v>2.0719999999999999E-4</v>
      </c>
      <c r="P1001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27.890020059330887</v>
      </c>
      <c r="Q1001" s="1">
        <f>LN(Table1[[#This Row],[qe_mg_g]]-Table1[[#This Row],[qt]])</f>
        <v>2.6054990643796829</v>
      </c>
      <c r="R1001" s="1">
        <v>1</v>
      </c>
    </row>
    <row r="1002" spans="1:18" x14ac:dyDescent="0.3">
      <c r="A1002" s="1">
        <v>1001</v>
      </c>
      <c r="B1002" s="1" t="s">
        <v>17</v>
      </c>
      <c r="C1002" s="1">
        <v>2</v>
      </c>
      <c r="D1002" s="1">
        <v>240</v>
      </c>
      <c r="E1002" s="1">
        <v>200</v>
      </c>
      <c r="F1002" s="1">
        <v>3</v>
      </c>
      <c r="G1002" s="1">
        <v>25</v>
      </c>
      <c r="H1002" s="1">
        <v>150</v>
      </c>
      <c r="I1002" s="1">
        <v>100</v>
      </c>
      <c r="J1002" s="1">
        <v>47.777999999999999</v>
      </c>
      <c r="K1002" s="1">
        <v>104.444</v>
      </c>
      <c r="L1002" s="1">
        <v>47.78</v>
      </c>
      <c r="M1002" s="1">
        <v>85.3</v>
      </c>
      <c r="N1002" s="1">
        <v>3.5060000000000001E-2</v>
      </c>
      <c r="O1002" s="1">
        <v>2.095E-4</v>
      </c>
      <c r="P1002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33.735055171014487</v>
      </c>
      <c r="Q1002" s="1">
        <f>LN(Table1[[#This Row],[qe_mg_g]]-Table1[[#This Row],[qt]])</f>
        <v>2.6421201222583592</v>
      </c>
      <c r="R1002" s="1">
        <v>2</v>
      </c>
    </row>
    <row r="1003" spans="1:18" x14ac:dyDescent="0.3">
      <c r="A1003" s="1">
        <v>1002</v>
      </c>
      <c r="B1003" s="1" t="s">
        <v>17</v>
      </c>
      <c r="C1003" s="1">
        <v>2</v>
      </c>
      <c r="D1003" s="1">
        <v>240</v>
      </c>
      <c r="E1003" s="1">
        <v>200</v>
      </c>
      <c r="F1003" s="1">
        <v>3</v>
      </c>
      <c r="G1003" s="1">
        <v>25</v>
      </c>
      <c r="H1003" s="1">
        <v>150</v>
      </c>
      <c r="I1003" s="1">
        <v>100</v>
      </c>
      <c r="J1003" s="1">
        <v>45.146000000000001</v>
      </c>
      <c r="K1003" s="1">
        <v>109.708</v>
      </c>
      <c r="L1003" s="1">
        <v>45.15</v>
      </c>
      <c r="M1003" s="1">
        <v>93.3</v>
      </c>
      <c r="N1003" s="1">
        <v>2.5530000000000001E-2</v>
      </c>
      <c r="O1003" s="1">
        <v>1.874E-4</v>
      </c>
      <c r="P1003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30.248721936035981</v>
      </c>
      <c r="Q1003" s="1">
        <f>LN(Table1[[#This Row],[qe_mg_g]]-Table1[[#This Row],[qt]])</f>
        <v>2.7011785159924693</v>
      </c>
      <c r="R1003" s="1">
        <v>3</v>
      </c>
    </row>
    <row r="1004" spans="1:18" x14ac:dyDescent="0.3">
      <c r="A1004" s="1">
        <v>1003</v>
      </c>
      <c r="B1004" s="1" t="s">
        <v>17</v>
      </c>
      <c r="C1004" s="1">
        <v>2</v>
      </c>
      <c r="D1004" s="1">
        <v>240</v>
      </c>
      <c r="E1004" s="1">
        <v>200</v>
      </c>
      <c r="F1004" s="1">
        <v>7</v>
      </c>
      <c r="G1004" s="1">
        <v>25</v>
      </c>
      <c r="H1004" s="1">
        <v>150</v>
      </c>
      <c r="I1004" s="1">
        <v>100</v>
      </c>
      <c r="J1004" s="1">
        <v>70.313999999999993</v>
      </c>
      <c r="K1004" s="1">
        <v>59.371000000000002</v>
      </c>
      <c r="L1004" s="1">
        <v>70.31</v>
      </c>
      <c r="M1004" s="1">
        <v>93.9</v>
      </c>
      <c r="N1004" s="1">
        <v>3.508E-2</v>
      </c>
      <c r="O1004" s="1">
        <v>1.719E-4</v>
      </c>
      <c r="P1004" s="1">
        <f>(Table1[[#This Row],[Rate_Constant_k2_g_mg_min]]*Table1[[#This Row],[Contact_Time_min]]*Table1[[#This Row],[qe_mg_g]]^2)/(1+Table1[[#This Row],[Contact_Time_min]]*Table1[[#This Row],[qe_mg_g]]*Table1[[#This Row],[Rate_Constant_k2_g_mg_min]])</f>
        <v>52.288810496743231</v>
      </c>
      <c r="Q1004" s="1">
        <f>LN(Table1[[#This Row],[qe_mg_g]]-Table1[[#This Row],[qt]])</f>
        <v>2.8917701964725722</v>
      </c>
      <c r="R1004" s="1">
        <v>1</v>
      </c>
    </row>
    <row r="1005" spans="1:18" x14ac:dyDescent="0.3">
      <c r="A1005" s="1">
        <v>1004</v>
      </c>
      <c r="B1005" s="1" t="s">
        <v>17</v>
      </c>
      <c r="C1005" s="1">
        <v>2</v>
      </c>
      <c r="D1005" s="1">
        <v>240</v>
      </c>
      <c r="E1005" s="1">
        <v>200</v>
      </c>
      <c r="F1005" s="1">
        <v>7</v>
      </c>
      <c r="G1005" s="1">
        <v>25</v>
      </c>
      <c r="H1005" s="1">
        <v>150</v>
      </c>
      <c r="I1005" s="1">
        <v>100</v>
      </c>
      <c r="J1005" s="1">
        <v>66.641999999999996</v>
      </c>
      <c r="K1005" s="1">
        <v>66.715000000000003</v>
      </c>
      <c r="L1005" s="1">
        <v>66.64</v>
      </c>
      <c r="M1005" s="1">
        <v>88.3</v>
      </c>
      <c r="N1005" s="1">
        <v>3.4720000000000001E-2</v>
      </c>
      <c r="O1005" s="1">
        <v>1.884E-4</v>
      </c>
      <c r="P1005" s="1">
        <f>(Table1[[#This Row],[Rate_Constant_k2_g_mg_min]]*Table1[[#This Row],[Contact_Time_min]]*Table1[[#This Row],[qe_mg_g]]^2)/(1+Table1[[#This Row],[Contact_Time_min]]*Table1[[#This Row],[qe_mg_g]]*Table1[[#This Row],[Rate_Constant_k2_g_mg_min]])</f>
        <v>50.036649159839115</v>
      </c>
      <c r="Q1005" s="1">
        <f>LN(Table1[[#This Row],[qe_mg_g]]-Table1[[#This Row],[qt]])</f>
        <v>2.8097249831909235</v>
      </c>
      <c r="R1005" s="1">
        <v>2</v>
      </c>
    </row>
    <row r="1006" spans="1:18" x14ac:dyDescent="0.3">
      <c r="A1006" s="1">
        <v>1005</v>
      </c>
      <c r="B1006" s="1" t="s">
        <v>17</v>
      </c>
      <c r="C1006" s="1">
        <v>2</v>
      </c>
      <c r="D1006" s="1">
        <v>240</v>
      </c>
      <c r="E1006" s="1">
        <v>200</v>
      </c>
      <c r="F1006" s="1">
        <v>7</v>
      </c>
      <c r="G1006" s="1">
        <v>25</v>
      </c>
      <c r="H1006" s="1">
        <v>150</v>
      </c>
      <c r="I1006" s="1">
        <v>100</v>
      </c>
      <c r="J1006" s="1">
        <v>70.369</v>
      </c>
      <c r="K1006" s="1">
        <v>59.261000000000003</v>
      </c>
      <c r="L1006" s="1">
        <v>70.37</v>
      </c>
      <c r="M1006" s="1">
        <v>94.7</v>
      </c>
      <c r="N1006" s="1">
        <v>3.3189999999999997E-2</v>
      </c>
      <c r="O1006" s="1">
        <v>1.9819999999999999E-4</v>
      </c>
      <c r="P1006" s="1">
        <f>(Table1[[#This Row],[Rate_Constant_k2_g_mg_min]]*Table1[[#This Row],[Contact_Time_min]]*Table1[[#This Row],[qe_mg_g]]^2)/(1+Table1[[#This Row],[Contact_Time_min]]*Table1[[#This Row],[qe_mg_g]]*Table1[[#This Row],[Rate_Constant_k2_g_mg_min]])</f>
        <v>54.182218278921503</v>
      </c>
      <c r="Q1006" s="1">
        <f>LN(Table1[[#This Row],[qe_mg_g]]-Table1[[#This Row],[qt]])</f>
        <v>2.7841949660322434</v>
      </c>
      <c r="R1006" s="1">
        <v>3</v>
      </c>
    </row>
    <row r="1007" spans="1:18" x14ac:dyDescent="0.3">
      <c r="A1007" s="1">
        <v>1006</v>
      </c>
      <c r="B1007" s="1" t="s">
        <v>17</v>
      </c>
      <c r="C1007" s="1">
        <v>2</v>
      </c>
      <c r="D1007" s="1">
        <v>240</v>
      </c>
      <c r="E1007" s="1">
        <v>200</v>
      </c>
      <c r="F1007" s="1">
        <v>11</v>
      </c>
      <c r="G1007" s="1">
        <v>25</v>
      </c>
      <c r="H1007" s="1">
        <v>150</v>
      </c>
      <c r="I1007" s="1">
        <v>100</v>
      </c>
      <c r="J1007" s="1">
        <v>74.106999999999999</v>
      </c>
      <c r="K1007" s="1">
        <v>51.784999999999997</v>
      </c>
      <c r="L1007" s="1">
        <v>74.11</v>
      </c>
      <c r="M1007" s="1">
        <v>67.400000000000006</v>
      </c>
      <c r="N1007" s="1">
        <v>2.852E-2</v>
      </c>
      <c r="O1007" s="1">
        <v>2.1570000000000001E-4</v>
      </c>
      <c r="P1007" s="1">
        <f>(Table1[[#This Row],[Rate_Constant_k2_g_mg_min]]*Table1[[#This Row],[Contact_Time_min]]*Table1[[#This Row],[qe_mg_g]]^2)/(1+Table1[[#This Row],[Contact_Time_min]]*Table1[[#This Row],[qe_mg_g]]*Table1[[#This Row],[Rate_Constant_k2_g_mg_min]])</f>
        <v>58.784147947670256</v>
      </c>
      <c r="Q1007" s="1">
        <f>LN(Table1[[#This Row],[qe_mg_g]]-Table1[[#This Row],[qt]])</f>
        <v>2.7293453122815121</v>
      </c>
      <c r="R1007" s="1">
        <v>1</v>
      </c>
    </row>
    <row r="1008" spans="1:18" x14ac:dyDescent="0.3">
      <c r="A1008" s="1">
        <v>1007</v>
      </c>
      <c r="B1008" s="1" t="s">
        <v>17</v>
      </c>
      <c r="C1008" s="1">
        <v>2</v>
      </c>
      <c r="D1008" s="1">
        <v>240</v>
      </c>
      <c r="E1008" s="1">
        <v>200</v>
      </c>
      <c r="F1008" s="1">
        <v>11</v>
      </c>
      <c r="G1008" s="1">
        <v>25</v>
      </c>
      <c r="H1008" s="1">
        <v>150</v>
      </c>
      <c r="I1008" s="1">
        <v>100</v>
      </c>
      <c r="J1008" s="1">
        <v>56.761000000000003</v>
      </c>
      <c r="K1008" s="1">
        <v>86.477000000000004</v>
      </c>
      <c r="L1008" s="1">
        <v>56.76</v>
      </c>
      <c r="M1008" s="1">
        <v>81.599999999999994</v>
      </c>
      <c r="N1008" s="1">
        <v>3.227E-2</v>
      </c>
      <c r="O1008" s="1">
        <v>1.9479999999999999E-4</v>
      </c>
      <c r="P1008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41.225747755170417</v>
      </c>
      <c r="Q1008" s="1">
        <f>LN(Table1[[#This Row],[qe_mg_g]]-Table1[[#This Row],[qt]])</f>
        <v>2.7431117799085274</v>
      </c>
      <c r="R1008" s="1">
        <v>2</v>
      </c>
    </row>
    <row r="1009" spans="1:18" x14ac:dyDescent="0.3">
      <c r="A1009" s="1">
        <v>1008</v>
      </c>
      <c r="B1009" s="1" t="s">
        <v>17</v>
      </c>
      <c r="C1009" s="1">
        <v>2</v>
      </c>
      <c r="D1009" s="1">
        <v>240</v>
      </c>
      <c r="E1009" s="1">
        <v>200</v>
      </c>
      <c r="F1009" s="1">
        <v>11</v>
      </c>
      <c r="G1009" s="1">
        <v>25</v>
      </c>
      <c r="H1009" s="1">
        <v>150</v>
      </c>
      <c r="I1009" s="1">
        <v>100</v>
      </c>
      <c r="J1009" s="1">
        <v>70.628</v>
      </c>
      <c r="K1009" s="1">
        <v>58.744</v>
      </c>
      <c r="L1009" s="1">
        <v>70.63</v>
      </c>
      <c r="M1009" s="1">
        <v>96</v>
      </c>
      <c r="N1009" s="1">
        <v>3.8019999999999998E-2</v>
      </c>
      <c r="O1009" s="1">
        <v>1.717E-4</v>
      </c>
      <c r="P1009" s="1">
        <f>(Table1[[#This Row],[Rate_Constant_k2_g_mg_min]]*Table1[[#This Row],[Contact_Time_min]]*Table1[[#This Row],[qe_mg_g]]^2)/(1+Table1[[#This Row],[Contact_Time_min]]*Table1[[#This Row],[qe_mg_g]]*Table1[[#This Row],[Rate_Constant_k2_g_mg_min]])</f>
        <v>52.566599018911496</v>
      </c>
      <c r="Q1009" s="1">
        <f>LN(Table1[[#This Row],[qe_mg_g]]-Table1[[#This Row],[qt]])</f>
        <v>2.8937771186838375</v>
      </c>
      <c r="R1009" s="1">
        <v>3</v>
      </c>
    </row>
    <row r="1010" spans="1:18" x14ac:dyDescent="0.3">
      <c r="A1010" s="1">
        <v>1009</v>
      </c>
      <c r="B1010" s="1" t="s">
        <v>17</v>
      </c>
      <c r="C1010" s="1">
        <v>4</v>
      </c>
      <c r="D1010" s="1">
        <v>30</v>
      </c>
      <c r="E1010" s="1">
        <v>25</v>
      </c>
      <c r="F1010" s="1">
        <v>3</v>
      </c>
      <c r="G1010" s="1">
        <v>25</v>
      </c>
      <c r="H1010" s="1">
        <v>150</v>
      </c>
      <c r="I1010" s="1">
        <v>100</v>
      </c>
      <c r="J1010" s="1">
        <v>9.9000000000000005E-2</v>
      </c>
      <c r="K1010" s="1">
        <v>24.605</v>
      </c>
      <c r="L1010" s="1">
        <v>1.58</v>
      </c>
      <c r="M1010" s="1">
        <v>49.2</v>
      </c>
      <c r="N1010" s="1">
        <v>3.2169999999999997E-2</v>
      </c>
      <c r="O1010" s="1">
        <v>2.1910000000000001E-4</v>
      </c>
      <c r="P1010" s="1">
        <f>(Table1[[#This Row],[Rate_Constant_k2_g_mg_min]]*Table1[[#This Row],[Contact_Time_min]]*Table1[[#This Row],[qe_mg_g]]^2)/(1+Table1[[#This Row],[Contact_Time_min]]*Table1[[#This Row],[qe_mg_g]]*Table1[[#This Row],[Rate_Constant_k2_g_mg_min]])</f>
        <v>6.4380079144238719E-5</v>
      </c>
      <c r="Q1010" s="1">
        <f>LN(Table1[[#This Row],[qe_mg_g]]-Table1[[#This Row],[qt]])</f>
        <v>-2.313285944216537</v>
      </c>
      <c r="R1010" s="1">
        <v>1</v>
      </c>
    </row>
    <row r="1011" spans="1:18" x14ac:dyDescent="0.3">
      <c r="A1011" s="1">
        <v>1010</v>
      </c>
      <c r="B1011" s="1" t="s">
        <v>17</v>
      </c>
      <c r="C1011" s="1">
        <v>4</v>
      </c>
      <c r="D1011" s="1">
        <v>30</v>
      </c>
      <c r="E1011" s="1">
        <v>25</v>
      </c>
      <c r="F1011" s="1">
        <v>3</v>
      </c>
      <c r="G1011" s="1">
        <v>25</v>
      </c>
      <c r="H1011" s="1">
        <v>150</v>
      </c>
      <c r="I1011" s="1">
        <v>100</v>
      </c>
      <c r="J1011" s="1">
        <v>0.11700000000000001</v>
      </c>
      <c r="K1011" s="1">
        <v>24.530999999999999</v>
      </c>
      <c r="L1011" s="1">
        <v>1.88</v>
      </c>
      <c r="M1011" s="1">
        <v>82.9</v>
      </c>
      <c r="N1011" s="1">
        <v>3.492E-2</v>
      </c>
      <c r="O1011" s="1">
        <v>1.862E-4</v>
      </c>
      <c r="P1011" s="1">
        <f>(Table1[[#This Row],[Rate_Constant_k2_g_mg_min]]*Table1[[#This Row],[Contact_Time_min]]*Table1[[#This Row],[qe_mg_g]]^2)/(1+Table1[[#This Row],[Contact_Time_min]]*Table1[[#This Row],[qe_mg_g]]*Table1[[#This Row],[Rate_Constant_k2_g_mg_min]])</f>
        <v>7.6416810876250092E-5</v>
      </c>
      <c r="Q1011" s="1">
        <f>LN(Table1[[#This Row],[qe_mg_g]]-Table1[[#This Row],[qt]])</f>
        <v>-2.1462346927057463</v>
      </c>
      <c r="R1011" s="1">
        <v>2</v>
      </c>
    </row>
    <row r="1012" spans="1:18" x14ac:dyDescent="0.3">
      <c r="A1012" s="1">
        <v>1011</v>
      </c>
      <c r="B1012" s="1" t="s">
        <v>17</v>
      </c>
      <c r="C1012" s="1">
        <v>4</v>
      </c>
      <c r="D1012" s="1">
        <v>30</v>
      </c>
      <c r="E1012" s="1">
        <v>25</v>
      </c>
      <c r="F1012" s="1">
        <v>3</v>
      </c>
      <c r="G1012" s="1">
        <v>25</v>
      </c>
      <c r="H1012" s="1">
        <v>150</v>
      </c>
      <c r="I1012" s="1">
        <v>100</v>
      </c>
      <c r="J1012" s="1">
        <v>0.114</v>
      </c>
      <c r="K1012" s="1">
        <v>24.545000000000002</v>
      </c>
      <c r="L1012" s="1">
        <v>1.82</v>
      </c>
      <c r="M1012" s="1">
        <v>95.6</v>
      </c>
      <c r="N1012" s="1">
        <v>2.9340000000000001E-2</v>
      </c>
      <c r="O1012" s="1">
        <v>2.0599999999999999E-4</v>
      </c>
      <c r="P1012" s="1">
        <f>(Table1[[#This Row],[Rate_Constant_k2_g_mg_min]]*Table1[[#This Row],[Contact_Time_min]]*Table1[[#This Row],[qe_mg_g]]^2)/(1+Table1[[#This Row],[Contact_Time_min]]*Table1[[#This Row],[qe_mg_g]]*Table1[[#This Row],[Rate_Constant_k2_g_mg_min]])</f>
        <v>8.02587361152321E-5</v>
      </c>
      <c r="Q1012" s="1">
        <f>LN(Table1[[#This Row],[qe_mg_g]]-Table1[[#This Row],[qt]])</f>
        <v>-2.1722611025299274</v>
      </c>
      <c r="R1012" s="1">
        <v>3</v>
      </c>
    </row>
    <row r="1013" spans="1:18" x14ac:dyDescent="0.3">
      <c r="A1013" s="1">
        <v>1012</v>
      </c>
      <c r="B1013" s="1" t="s">
        <v>17</v>
      </c>
      <c r="C1013" s="1">
        <v>4</v>
      </c>
      <c r="D1013" s="1">
        <v>30</v>
      </c>
      <c r="E1013" s="1">
        <v>25</v>
      </c>
      <c r="F1013" s="1">
        <v>7</v>
      </c>
      <c r="G1013" s="1">
        <v>25</v>
      </c>
      <c r="H1013" s="1">
        <v>150</v>
      </c>
      <c r="I1013" s="1">
        <v>100</v>
      </c>
      <c r="J1013" s="1">
        <v>0.215</v>
      </c>
      <c r="K1013" s="1">
        <v>24.14</v>
      </c>
      <c r="L1013" s="1">
        <v>3.44</v>
      </c>
      <c r="M1013" s="1">
        <v>80.400000000000006</v>
      </c>
      <c r="N1013" s="1">
        <v>3.7449999999999997E-2</v>
      </c>
      <c r="O1013" s="1">
        <v>2.563E-4</v>
      </c>
      <c r="P101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3.5483743082379509E-4</v>
      </c>
      <c r="Q1013" s="1">
        <f>LN(Table1[[#This Row],[qe_mg_g]]-Table1[[#This Row],[qt]])</f>
        <v>-1.5387690209308718</v>
      </c>
      <c r="R1013" s="1">
        <v>1</v>
      </c>
    </row>
    <row r="1014" spans="1:18" x14ac:dyDescent="0.3">
      <c r="A1014" s="1">
        <v>1013</v>
      </c>
      <c r="B1014" s="1" t="s">
        <v>17</v>
      </c>
      <c r="C1014" s="1">
        <v>4</v>
      </c>
      <c r="D1014" s="1">
        <v>30</v>
      </c>
      <c r="E1014" s="1">
        <v>25</v>
      </c>
      <c r="F1014" s="1">
        <v>7</v>
      </c>
      <c r="G1014" s="1">
        <v>25</v>
      </c>
      <c r="H1014" s="1">
        <v>150</v>
      </c>
      <c r="I1014" s="1">
        <v>100</v>
      </c>
      <c r="J1014" s="1">
        <v>0.19500000000000001</v>
      </c>
      <c r="K1014" s="1">
        <v>24.222000000000001</v>
      </c>
      <c r="L1014" s="1">
        <v>3.11</v>
      </c>
      <c r="M1014" s="1">
        <v>90.8</v>
      </c>
      <c r="N1014" s="1">
        <v>3.2419999999999997E-2</v>
      </c>
      <c r="O1014" s="1">
        <v>2.0359999999999999E-4</v>
      </c>
      <c r="P101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2.3198039742783962E-4</v>
      </c>
      <c r="Q1014" s="1">
        <f>LN(Table1[[#This Row],[qe_mg_g]]-Table1[[#This Row],[qt]])</f>
        <v>-1.6359460716691478</v>
      </c>
      <c r="R1014" s="1">
        <v>2</v>
      </c>
    </row>
    <row r="1015" spans="1:18" x14ac:dyDescent="0.3">
      <c r="A1015" s="1">
        <v>1014</v>
      </c>
      <c r="B1015" s="1" t="s">
        <v>17</v>
      </c>
      <c r="C1015" s="1">
        <v>4</v>
      </c>
      <c r="D1015" s="1">
        <v>30</v>
      </c>
      <c r="E1015" s="1">
        <v>25</v>
      </c>
      <c r="F1015" s="1">
        <v>7</v>
      </c>
      <c r="G1015" s="1">
        <v>25</v>
      </c>
      <c r="H1015" s="1">
        <v>150</v>
      </c>
      <c r="I1015" s="1">
        <v>100</v>
      </c>
      <c r="J1015" s="1">
        <v>0.20599999999999999</v>
      </c>
      <c r="K1015" s="1">
        <v>24.177</v>
      </c>
      <c r="L1015" s="1">
        <v>3.29</v>
      </c>
      <c r="M1015" s="1">
        <v>88.2</v>
      </c>
      <c r="N1015" s="1">
        <v>3.143E-2</v>
      </c>
      <c r="O1015" s="1">
        <v>2.041E-4</v>
      </c>
      <c r="P101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2.5950830031949159E-4</v>
      </c>
      <c r="Q1015" s="1">
        <f>LN(Table1[[#This Row],[qe_mg_g]]-Table1[[#This Row],[qt]])</f>
        <v>-1.5811396533740671</v>
      </c>
      <c r="R1015" s="1">
        <v>3</v>
      </c>
    </row>
    <row r="1016" spans="1:18" x14ac:dyDescent="0.3">
      <c r="A1016" s="1">
        <v>1015</v>
      </c>
      <c r="B1016" s="1" t="s">
        <v>17</v>
      </c>
      <c r="C1016" s="1">
        <v>4</v>
      </c>
      <c r="D1016" s="1">
        <v>30</v>
      </c>
      <c r="E1016" s="1">
        <v>25</v>
      </c>
      <c r="F1016" s="1">
        <v>11</v>
      </c>
      <c r="G1016" s="1">
        <v>25</v>
      </c>
      <c r="H1016" s="1">
        <v>150</v>
      </c>
      <c r="I1016" s="1">
        <v>100</v>
      </c>
      <c r="J1016" s="1">
        <v>0.16400000000000001</v>
      </c>
      <c r="K1016" s="1">
        <v>24.344999999999999</v>
      </c>
      <c r="L1016" s="1">
        <v>2.62</v>
      </c>
      <c r="M1016" s="1">
        <v>91.5</v>
      </c>
      <c r="N1016" s="1">
        <v>3.8370000000000001E-2</v>
      </c>
      <c r="O1016" s="1">
        <v>1.953E-4</v>
      </c>
      <c r="P101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1.5743239099387141E-4</v>
      </c>
      <c r="Q1016" s="1">
        <f>LN(Table1[[#This Row],[qe_mg_g]]-Table1[[#This Row],[qt]])</f>
        <v>-1.808849265812102</v>
      </c>
      <c r="R1016" s="1">
        <v>1</v>
      </c>
    </row>
    <row r="1017" spans="1:18" x14ac:dyDescent="0.3">
      <c r="A1017" s="1">
        <v>1016</v>
      </c>
      <c r="B1017" s="1" t="s">
        <v>17</v>
      </c>
      <c r="C1017" s="1">
        <v>4</v>
      </c>
      <c r="D1017" s="1">
        <v>30</v>
      </c>
      <c r="E1017" s="1">
        <v>25</v>
      </c>
      <c r="F1017" s="1">
        <v>11</v>
      </c>
      <c r="G1017" s="1">
        <v>25</v>
      </c>
      <c r="H1017" s="1">
        <v>150</v>
      </c>
      <c r="I1017" s="1">
        <v>100</v>
      </c>
      <c r="J1017" s="1">
        <v>0.154</v>
      </c>
      <c r="K1017" s="1">
        <v>24.385999999999999</v>
      </c>
      <c r="L1017" s="1">
        <v>2.46</v>
      </c>
      <c r="M1017" s="1">
        <v>89.3</v>
      </c>
      <c r="N1017" s="1">
        <v>3.1669999999999997E-2</v>
      </c>
      <c r="O1017" s="1">
        <v>2.064E-4</v>
      </c>
      <c r="P101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1.4670957444451612E-4</v>
      </c>
      <c r="Q1017" s="1">
        <f>LN(Table1[[#This Row],[qe_mg_g]]-Table1[[#This Row],[qt]])</f>
        <v>-1.87175579021136</v>
      </c>
      <c r="R1017" s="1">
        <v>2</v>
      </c>
    </row>
    <row r="1018" spans="1:18" x14ac:dyDescent="0.3">
      <c r="A1018" s="1">
        <v>1017</v>
      </c>
      <c r="B1018" s="1" t="s">
        <v>17</v>
      </c>
      <c r="C1018" s="1">
        <v>4</v>
      </c>
      <c r="D1018" s="1">
        <v>30</v>
      </c>
      <c r="E1018" s="1">
        <v>25</v>
      </c>
      <c r="F1018" s="1">
        <v>11</v>
      </c>
      <c r="G1018" s="1">
        <v>25</v>
      </c>
      <c r="H1018" s="1">
        <v>150</v>
      </c>
      <c r="I1018" s="1">
        <v>100</v>
      </c>
      <c r="J1018" s="1">
        <v>0.129</v>
      </c>
      <c r="K1018" s="1">
        <v>24.484999999999999</v>
      </c>
      <c r="L1018" s="1">
        <v>2.06</v>
      </c>
      <c r="M1018" s="1">
        <v>77.599999999999994</v>
      </c>
      <c r="N1018" s="1">
        <v>3.5659999999999997E-2</v>
      </c>
      <c r="O1018" s="1">
        <v>2.0589999999999999E-4</v>
      </c>
      <c r="P101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1.0270961458967765E-4</v>
      </c>
      <c r="Q1018" s="1">
        <f>LN(Table1[[#This Row],[qe_mg_g]]-Table1[[#This Row],[qt]])</f>
        <v>-2.0487393903175972</v>
      </c>
      <c r="R1018" s="1">
        <v>3</v>
      </c>
    </row>
    <row r="1019" spans="1:18" x14ac:dyDescent="0.3">
      <c r="A1019" s="1">
        <v>1018</v>
      </c>
      <c r="B1019" s="1" t="s">
        <v>17</v>
      </c>
      <c r="C1019" s="1">
        <v>4</v>
      </c>
      <c r="D1019" s="1">
        <v>30</v>
      </c>
      <c r="E1019" s="1">
        <v>50</v>
      </c>
      <c r="F1019" s="1">
        <v>3</v>
      </c>
      <c r="G1019" s="1">
        <v>25</v>
      </c>
      <c r="H1019" s="1">
        <v>150</v>
      </c>
      <c r="I1019" s="1">
        <v>100</v>
      </c>
      <c r="J1019" s="1">
        <v>0.38300000000000001</v>
      </c>
      <c r="K1019" s="1">
        <v>48.47</v>
      </c>
      <c r="L1019" s="1">
        <v>3.06</v>
      </c>
      <c r="M1019" s="1">
        <v>99.3</v>
      </c>
      <c r="N1019" s="1">
        <v>3.6999999999999998E-2</v>
      </c>
      <c r="O1019" s="1">
        <v>1.8589999999999999E-4</v>
      </c>
      <c r="P101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8.1634085627805772E-4</v>
      </c>
      <c r="Q1019" s="1">
        <f>LN(Table1[[#This Row],[qe_mg_g]]-Table1[[#This Row],[qt]])</f>
        <v>-0.96185400281597599</v>
      </c>
      <c r="R1019" s="1">
        <v>1</v>
      </c>
    </row>
    <row r="1020" spans="1:18" x14ac:dyDescent="0.3">
      <c r="A1020" s="1">
        <v>1019</v>
      </c>
      <c r="B1020" s="1" t="s">
        <v>17</v>
      </c>
      <c r="C1020" s="1">
        <v>4</v>
      </c>
      <c r="D1020" s="1">
        <v>30</v>
      </c>
      <c r="E1020" s="1">
        <v>50</v>
      </c>
      <c r="F1020" s="1">
        <v>3</v>
      </c>
      <c r="G1020" s="1">
        <v>25</v>
      </c>
      <c r="H1020" s="1">
        <v>150</v>
      </c>
      <c r="I1020" s="1">
        <v>100</v>
      </c>
      <c r="J1020" s="1">
        <v>0.36699999999999999</v>
      </c>
      <c r="K1020" s="1">
        <v>48.53</v>
      </c>
      <c r="L1020" s="1">
        <v>2.94</v>
      </c>
      <c r="M1020" s="1">
        <v>83.9</v>
      </c>
      <c r="N1020" s="1">
        <v>3.3439999999999998E-2</v>
      </c>
      <c r="O1020" s="1">
        <v>2.0230000000000001E-4</v>
      </c>
      <c r="P1020" s="1">
        <f>(Table1[[#This Row],[Rate_Constant_k2_g_mg_min]]*Table1[[#This Row],[Contact_Time_min]]*Table1[[#This Row],[qe_mg_g]]^2)/(1+Table1[[#This Row],[Contact_Time_min]]*Table1[[#This Row],[qe_mg_g]]*Table1[[#This Row],[Rate_Constant_k2_g_mg_min]])</f>
        <v>8.1561091205652561E-4</v>
      </c>
      <c r="Q1020" s="1">
        <f>LN(Table1[[#This Row],[qe_mg_g]]-Table1[[#This Row],[qt]])</f>
        <v>-1.0046182771207777</v>
      </c>
      <c r="R1020" s="1">
        <v>2</v>
      </c>
    </row>
    <row r="1021" spans="1:18" x14ac:dyDescent="0.3">
      <c r="A1021" s="1">
        <v>1020</v>
      </c>
      <c r="B1021" s="1" t="s">
        <v>17</v>
      </c>
      <c r="C1021" s="1">
        <v>4</v>
      </c>
      <c r="D1021" s="1">
        <v>30</v>
      </c>
      <c r="E1021" s="1">
        <v>50</v>
      </c>
      <c r="F1021" s="1">
        <v>3</v>
      </c>
      <c r="G1021" s="1">
        <v>25</v>
      </c>
      <c r="H1021" s="1">
        <v>150</v>
      </c>
      <c r="I1021" s="1">
        <v>100</v>
      </c>
      <c r="J1021" s="1">
        <v>0.41799999999999998</v>
      </c>
      <c r="K1021" s="1">
        <v>48.326000000000001</v>
      </c>
      <c r="L1021" s="1">
        <v>3.35</v>
      </c>
      <c r="M1021" s="1">
        <v>59.9</v>
      </c>
      <c r="N1021" s="1">
        <v>3.3640000000000003E-2</v>
      </c>
      <c r="O1021" s="1">
        <v>1.939E-4</v>
      </c>
      <c r="P102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1.0139041938691819E-3</v>
      </c>
      <c r="Q1021" s="1">
        <f>LN(Table1[[#This Row],[qe_mg_g]]-Table1[[#This Row],[qt]])</f>
        <v>-0.87470240112981246</v>
      </c>
      <c r="R1021" s="1">
        <v>3</v>
      </c>
    </row>
    <row r="1022" spans="1:18" x14ac:dyDescent="0.3">
      <c r="A1022" s="1">
        <v>1021</v>
      </c>
      <c r="B1022" s="1" t="s">
        <v>17</v>
      </c>
      <c r="C1022" s="1">
        <v>4</v>
      </c>
      <c r="D1022" s="1">
        <v>30</v>
      </c>
      <c r="E1022" s="1">
        <v>50</v>
      </c>
      <c r="F1022" s="1">
        <v>7</v>
      </c>
      <c r="G1022" s="1">
        <v>25</v>
      </c>
      <c r="H1022" s="1">
        <v>150</v>
      </c>
      <c r="I1022" s="1">
        <v>100</v>
      </c>
      <c r="J1022" s="1">
        <v>0.80700000000000005</v>
      </c>
      <c r="K1022" s="1">
        <v>46.774000000000001</v>
      </c>
      <c r="L1022" s="1">
        <v>6.45</v>
      </c>
      <c r="M1022" s="1">
        <v>76.7</v>
      </c>
      <c r="N1022" s="1">
        <v>4.088E-2</v>
      </c>
      <c r="O1022" s="1">
        <v>1.618E-4</v>
      </c>
      <c r="P102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3.14882812574007E-3</v>
      </c>
      <c r="Q1022" s="1">
        <f>LN(Table1[[#This Row],[qe_mg_g]]-Table1[[#This Row],[qt]])</f>
        <v>-0.21834113654719828</v>
      </c>
      <c r="R1022" s="1">
        <v>1</v>
      </c>
    </row>
    <row r="1023" spans="1:18" x14ac:dyDescent="0.3">
      <c r="A1023" s="1">
        <v>1022</v>
      </c>
      <c r="B1023" s="1" t="s">
        <v>17</v>
      </c>
      <c r="C1023" s="1">
        <v>4</v>
      </c>
      <c r="D1023" s="1">
        <v>30</v>
      </c>
      <c r="E1023" s="1">
        <v>50</v>
      </c>
      <c r="F1023" s="1">
        <v>7</v>
      </c>
      <c r="G1023" s="1">
        <v>25</v>
      </c>
      <c r="H1023" s="1">
        <v>150</v>
      </c>
      <c r="I1023" s="1">
        <v>100</v>
      </c>
      <c r="J1023" s="1">
        <v>0.85799999999999998</v>
      </c>
      <c r="K1023" s="1">
        <v>46.567999999999998</v>
      </c>
      <c r="L1023" s="1">
        <v>6.86</v>
      </c>
      <c r="M1023" s="1">
        <v>82.8</v>
      </c>
      <c r="N1023" s="1">
        <v>3.8010000000000002E-2</v>
      </c>
      <c r="O1023" s="1">
        <v>2.0159999999999999E-4</v>
      </c>
      <c r="P102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4.4293352364603231E-3</v>
      </c>
      <c r="Q1023" s="1">
        <f>LN(Table1[[#This Row],[qe_mg_g]]-Table1[[#This Row],[qt]])</f>
        <v>-0.15832694607583336</v>
      </c>
      <c r="R1023" s="1">
        <v>2</v>
      </c>
    </row>
    <row r="1024" spans="1:18" x14ac:dyDescent="0.3">
      <c r="A1024" s="1">
        <v>1023</v>
      </c>
      <c r="B1024" s="1" t="s">
        <v>17</v>
      </c>
      <c r="C1024" s="1">
        <v>4</v>
      </c>
      <c r="D1024" s="1">
        <v>30</v>
      </c>
      <c r="E1024" s="1">
        <v>50</v>
      </c>
      <c r="F1024" s="1">
        <v>7</v>
      </c>
      <c r="G1024" s="1">
        <v>25</v>
      </c>
      <c r="H1024" s="1">
        <v>150</v>
      </c>
      <c r="I1024" s="1">
        <v>100</v>
      </c>
      <c r="J1024" s="1">
        <v>0.84499999999999997</v>
      </c>
      <c r="K1024" s="1">
        <v>46.62</v>
      </c>
      <c r="L1024" s="1">
        <v>6.76</v>
      </c>
      <c r="M1024" s="1">
        <v>80.7</v>
      </c>
      <c r="N1024" s="1">
        <v>3.1150000000000001E-2</v>
      </c>
      <c r="O1024" s="1">
        <v>2.284E-4</v>
      </c>
      <c r="P102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4.8643350916792814E-3</v>
      </c>
      <c r="Q1024" s="1">
        <f>LN(Table1[[#This Row],[qe_mg_g]]-Table1[[#This Row],[qt]])</f>
        <v>-0.17419189434220345</v>
      </c>
      <c r="R1024" s="1">
        <v>3</v>
      </c>
    </row>
    <row r="1025" spans="1:18" x14ac:dyDescent="0.3">
      <c r="A1025" s="1">
        <v>1024</v>
      </c>
      <c r="B1025" s="1" t="s">
        <v>17</v>
      </c>
      <c r="C1025" s="1">
        <v>4</v>
      </c>
      <c r="D1025" s="1">
        <v>30</v>
      </c>
      <c r="E1025" s="1">
        <v>50</v>
      </c>
      <c r="F1025" s="1">
        <v>11</v>
      </c>
      <c r="G1025" s="1">
        <v>25</v>
      </c>
      <c r="H1025" s="1">
        <v>150</v>
      </c>
      <c r="I1025" s="1">
        <v>100</v>
      </c>
      <c r="J1025" s="1">
        <v>0.54700000000000004</v>
      </c>
      <c r="K1025" s="1">
        <v>47.81</v>
      </c>
      <c r="L1025" s="1">
        <v>4.38</v>
      </c>
      <c r="M1025" s="1">
        <v>88.6</v>
      </c>
      <c r="N1025" s="1">
        <v>3.9320000000000001E-2</v>
      </c>
      <c r="O1025" s="1">
        <v>1.794E-4</v>
      </c>
      <c r="P102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1.6056159784178729E-3</v>
      </c>
      <c r="Q1025" s="1">
        <f>LN(Table1[[#This Row],[qe_mg_g]]-Table1[[#This Row],[qt]])</f>
        <v>-0.60624610561379499</v>
      </c>
      <c r="R1025" s="1">
        <v>1</v>
      </c>
    </row>
    <row r="1026" spans="1:18" x14ac:dyDescent="0.3">
      <c r="A1026" s="1">
        <v>1025</v>
      </c>
      <c r="B1026" s="1" t="s">
        <v>17</v>
      </c>
      <c r="C1026" s="1">
        <v>4</v>
      </c>
      <c r="D1026" s="1">
        <v>30</v>
      </c>
      <c r="E1026" s="1">
        <v>50</v>
      </c>
      <c r="F1026" s="1">
        <v>11</v>
      </c>
      <c r="G1026" s="1">
        <v>25</v>
      </c>
      <c r="H1026" s="1">
        <v>150</v>
      </c>
      <c r="I1026" s="1">
        <v>100</v>
      </c>
      <c r="J1026" s="1">
        <v>0.58699999999999997</v>
      </c>
      <c r="K1026" s="1">
        <v>47.652999999999999</v>
      </c>
      <c r="L1026" s="1">
        <v>4.6900000000000004</v>
      </c>
      <c r="M1026" s="1">
        <v>78.099999999999994</v>
      </c>
      <c r="N1026" s="1">
        <v>3.4540000000000001E-2</v>
      </c>
      <c r="O1026" s="1">
        <v>2.0139999999999999E-4</v>
      </c>
      <c r="P102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2.0745282640342497E-3</v>
      </c>
      <c r="Q1026" s="1">
        <f>LN(Table1[[#This Row],[qe_mg_g]]-Table1[[#This Row],[qt]])</f>
        <v>-0.53627083860812841</v>
      </c>
      <c r="R1026" s="1">
        <v>2</v>
      </c>
    </row>
    <row r="1027" spans="1:18" x14ac:dyDescent="0.3">
      <c r="A1027" s="1">
        <v>1026</v>
      </c>
      <c r="B1027" s="1" t="s">
        <v>17</v>
      </c>
      <c r="C1027" s="1">
        <v>4</v>
      </c>
      <c r="D1027" s="1">
        <v>30</v>
      </c>
      <c r="E1027" s="1">
        <v>50</v>
      </c>
      <c r="F1027" s="1">
        <v>11</v>
      </c>
      <c r="G1027" s="1">
        <v>25</v>
      </c>
      <c r="H1027" s="1">
        <v>150</v>
      </c>
      <c r="I1027" s="1">
        <v>100</v>
      </c>
      <c r="J1027" s="1">
        <v>0.47099999999999997</v>
      </c>
      <c r="K1027" s="1">
        <v>48.116999999999997</v>
      </c>
      <c r="L1027" s="1">
        <v>3.77</v>
      </c>
      <c r="M1027" s="1">
        <v>75.7</v>
      </c>
      <c r="N1027" s="1">
        <v>3.9730000000000001E-2</v>
      </c>
      <c r="O1027" s="1">
        <v>2.1770000000000001E-4</v>
      </c>
      <c r="P102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1.4444004493334049E-3</v>
      </c>
      <c r="Q1027" s="1">
        <f>LN(Table1[[#This Row],[qe_mg_g]]-Table1[[#This Row],[qt]])</f>
        <v>-0.755968564447139</v>
      </c>
      <c r="R1027" s="1">
        <v>3</v>
      </c>
    </row>
    <row r="1028" spans="1:18" x14ac:dyDescent="0.3">
      <c r="A1028" s="1">
        <v>1027</v>
      </c>
      <c r="B1028" s="1" t="s">
        <v>17</v>
      </c>
      <c r="C1028" s="1">
        <v>4</v>
      </c>
      <c r="D1028" s="1">
        <v>30</v>
      </c>
      <c r="E1028" s="1">
        <v>100</v>
      </c>
      <c r="F1028" s="1">
        <v>3</v>
      </c>
      <c r="G1028" s="1">
        <v>25</v>
      </c>
      <c r="H1028" s="1">
        <v>150</v>
      </c>
      <c r="I1028" s="1">
        <v>100</v>
      </c>
      <c r="J1028" s="1">
        <v>1.6359999999999999</v>
      </c>
      <c r="K1028" s="1">
        <v>93.456000000000003</v>
      </c>
      <c r="L1028" s="1">
        <v>6.54</v>
      </c>
      <c r="M1028" s="1">
        <v>88.8</v>
      </c>
      <c r="N1028" s="1">
        <v>3.397E-2</v>
      </c>
      <c r="O1028" s="1">
        <v>2.2709999999999999E-4</v>
      </c>
      <c r="P102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1.8033959509003401E-2</v>
      </c>
      <c r="Q1028" s="1">
        <f>LN(Table1[[#This Row],[qe_mg_g]]-Table1[[#This Row],[qt]])</f>
        <v>0.4811698298443412</v>
      </c>
      <c r="R1028" s="1">
        <v>1</v>
      </c>
    </row>
    <row r="1029" spans="1:18" x14ac:dyDescent="0.3">
      <c r="A1029" s="1">
        <v>1028</v>
      </c>
      <c r="B1029" s="1" t="s">
        <v>17</v>
      </c>
      <c r="C1029" s="1">
        <v>4</v>
      </c>
      <c r="D1029" s="1">
        <v>30</v>
      </c>
      <c r="E1029" s="1">
        <v>100</v>
      </c>
      <c r="F1029" s="1">
        <v>3</v>
      </c>
      <c r="G1029" s="1">
        <v>25</v>
      </c>
      <c r="H1029" s="1">
        <v>150</v>
      </c>
      <c r="I1029" s="1">
        <v>100</v>
      </c>
      <c r="J1029" s="1">
        <v>1.613</v>
      </c>
      <c r="K1029" s="1">
        <v>93.546999999999997</v>
      </c>
      <c r="L1029" s="1">
        <v>6.45</v>
      </c>
      <c r="M1029" s="1">
        <v>88.7</v>
      </c>
      <c r="N1029" s="1">
        <v>3.9010000000000003E-2</v>
      </c>
      <c r="O1029" s="1">
        <v>1.8450000000000001E-4</v>
      </c>
      <c r="P102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1.4273359503652565E-2</v>
      </c>
      <c r="Q1029" s="1">
        <f>LN(Table1[[#This Row],[qe_mg_g]]-Table1[[#This Row],[qt]])</f>
        <v>0.46920746269946373</v>
      </c>
      <c r="R1029" s="1">
        <v>2</v>
      </c>
    </row>
    <row r="1030" spans="1:18" x14ac:dyDescent="0.3">
      <c r="A1030" s="1">
        <v>1029</v>
      </c>
      <c r="B1030" s="1" t="s">
        <v>17</v>
      </c>
      <c r="C1030" s="1">
        <v>4</v>
      </c>
      <c r="D1030" s="1">
        <v>30</v>
      </c>
      <c r="E1030" s="1">
        <v>100</v>
      </c>
      <c r="F1030" s="1">
        <v>3</v>
      </c>
      <c r="G1030" s="1">
        <v>25</v>
      </c>
      <c r="H1030" s="1">
        <v>150</v>
      </c>
      <c r="I1030" s="1">
        <v>100</v>
      </c>
      <c r="J1030" s="1">
        <v>1.903</v>
      </c>
      <c r="K1030" s="1">
        <v>92.388000000000005</v>
      </c>
      <c r="L1030" s="1">
        <v>7.61</v>
      </c>
      <c r="M1030" s="1">
        <v>66</v>
      </c>
      <c r="N1030" s="1">
        <v>4.07E-2</v>
      </c>
      <c r="O1030" s="1">
        <v>1.9249999999999999E-4</v>
      </c>
      <c r="P103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2.0686298178124587E-2</v>
      </c>
      <c r="Q1030" s="1">
        <f>LN(Table1[[#This Row],[qe_mg_g]]-Table1[[#This Row],[qt]])</f>
        <v>0.63250171261910282</v>
      </c>
      <c r="R1030" s="1">
        <v>3</v>
      </c>
    </row>
    <row r="1031" spans="1:18" x14ac:dyDescent="0.3">
      <c r="A1031" s="1">
        <v>1030</v>
      </c>
      <c r="B1031" s="1" t="s">
        <v>17</v>
      </c>
      <c r="C1031" s="1">
        <v>4</v>
      </c>
      <c r="D1031" s="1">
        <v>30</v>
      </c>
      <c r="E1031" s="1">
        <v>100</v>
      </c>
      <c r="F1031" s="1">
        <v>7</v>
      </c>
      <c r="G1031" s="1">
        <v>25</v>
      </c>
      <c r="H1031" s="1">
        <v>150</v>
      </c>
      <c r="I1031" s="1">
        <v>100</v>
      </c>
      <c r="J1031" s="1">
        <v>2.7639999999999998</v>
      </c>
      <c r="K1031" s="1">
        <v>88.944000000000003</v>
      </c>
      <c r="L1031" s="1">
        <v>11.06</v>
      </c>
      <c r="M1031" s="1">
        <v>61.4</v>
      </c>
      <c r="N1031" s="1">
        <v>3.3410000000000002E-2</v>
      </c>
      <c r="O1031" s="1">
        <v>1.7919999999999999E-4</v>
      </c>
      <c r="P1031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4.0469656387745204E-2</v>
      </c>
      <c r="Q1031" s="1">
        <f>LN(Table1[[#This Row],[qe_mg_g]]-Table1[[#This Row],[qt]])</f>
        <v>1.0019289591829619</v>
      </c>
      <c r="R1031" s="1">
        <v>1</v>
      </c>
    </row>
    <row r="1032" spans="1:18" x14ac:dyDescent="0.3">
      <c r="A1032" s="1">
        <v>1031</v>
      </c>
      <c r="B1032" s="1" t="s">
        <v>17</v>
      </c>
      <c r="C1032" s="1">
        <v>4</v>
      </c>
      <c r="D1032" s="1">
        <v>30</v>
      </c>
      <c r="E1032" s="1">
        <v>100</v>
      </c>
      <c r="F1032" s="1">
        <v>7</v>
      </c>
      <c r="G1032" s="1">
        <v>25</v>
      </c>
      <c r="H1032" s="1">
        <v>150</v>
      </c>
      <c r="I1032" s="1">
        <v>100</v>
      </c>
      <c r="J1032" s="1">
        <v>2.661</v>
      </c>
      <c r="K1032" s="1">
        <v>89.358000000000004</v>
      </c>
      <c r="L1032" s="1">
        <v>10.64</v>
      </c>
      <c r="M1032" s="1">
        <v>83.9</v>
      </c>
      <c r="N1032" s="1">
        <v>3.8350000000000002E-2</v>
      </c>
      <c r="O1032" s="1">
        <v>2.042E-4</v>
      </c>
      <c r="P1032" s="1">
        <f>(Table1[[#This Row],[Rate_Constant_k2_g_mg_min]]*Table1[[#This Row],[Contact_Time_min]]*Table1[[#This Row],[qe_mg_g]]^2)/(1+Table1[[#This Row],[Contact_Time_min]]*Table1[[#This Row],[qe_mg_g]]*Table1[[#This Row],[Rate_Constant_k2_g_mg_min]])</f>
        <v>4.2681951350005479E-2</v>
      </c>
      <c r="Q1032" s="1">
        <f>LN(Table1[[#This Row],[qe_mg_g]]-Table1[[#This Row],[qt]])</f>
        <v>0.96253214546037169</v>
      </c>
      <c r="R1032" s="1">
        <v>2</v>
      </c>
    </row>
    <row r="1033" spans="1:18" x14ac:dyDescent="0.3">
      <c r="A1033" s="1">
        <v>1032</v>
      </c>
      <c r="B1033" s="1" t="s">
        <v>17</v>
      </c>
      <c r="C1033" s="1">
        <v>4</v>
      </c>
      <c r="D1033" s="1">
        <v>30</v>
      </c>
      <c r="E1033" s="1">
        <v>100</v>
      </c>
      <c r="F1033" s="1">
        <v>7</v>
      </c>
      <c r="G1033" s="1">
        <v>25</v>
      </c>
      <c r="H1033" s="1">
        <v>150</v>
      </c>
      <c r="I1033" s="1">
        <v>100</v>
      </c>
      <c r="J1033" s="1">
        <v>2.92</v>
      </c>
      <c r="K1033" s="1">
        <v>88.320999999999998</v>
      </c>
      <c r="L1033" s="1">
        <v>11.68</v>
      </c>
      <c r="M1033" s="1">
        <v>71.599999999999994</v>
      </c>
      <c r="N1033" s="1">
        <v>3.1919999999999997E-2</v>
      </c>
      <c r="O1033" s="1">
        <v>2.3599999999999999E-4</v>
      </c>
      <c r="P103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5.9144188700481708E-2</v>
      </c>
      <c r="Q1033" s="1">
        <f>LN(Table1[[#This Row],[qe_mg_g]]-Table1[[#This Row],[qt]])</f>
        <v>1.051120814790093</v>
      </c>
      <c r="R1033" s="1">
        <v>3</v>
      </c>
    </row>
    <row r="1034" spans="1:18" x14ac:dyDescent="0.3">
      <c r="A1034" s="1">
        <v>1033</v>
      </c>
      <c r="B1034" s="1" t="s">
        <v>17</v>
      </c>
      <c r="C1034" s="1">
        <v>4</v>
      </c>
      <c r="D1034" s="1">
        <v>30</v>
      </c>
      <c r="E1034" s="1">
        <v>100</v>
      </c>
      <c r="F1034" s="1">
        <v>11</v>
      </c>
      <c r="G1034" s="1">
        <v>25</v>
      </c>
      <c r="H1034" s="1">
        <v>150</v>
      </c>
      <c r="I1034" s="1">
        <v>100</v>
      </c>
      <c r="J1034" s="1">
        <v>1.9330000000000001</v>
      </c>
      <c r="K1034" s="1">
        <v>92.266000000000005</v>
      </c>
      <c r="L1034" s="1">
        <v>7.73</v>
      </c>
      <c r="M1034" s="1">
        <v>107</v>
      </c>
      <c r="N1034" s="1">
        <v>3.415E-2</v>
      </c>
      <c r="O1034" s="1">
        <v>2.0000000000000001E-4</v>
      </c>
      <c r="P103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2.2161900280546227E-2</v>
      </c>
      <c r="Q1034" s="1">
        <f>LN(Table1[[#This Row],[qe_mg_g]]-Table1[[#This Row],[qt]])</f>
        <v>0.64754194148050925</v>
      </c>
      <c r="R1034" s="1">
        <v>1</v>
      </c>
    </row>
    <row r="1035" spans="1:18" x14ac:dyDescent="0.3">
      <c r="A1035" s="1">
        <v>1034</v>
      </c>
      <c r="B1035" s="1" t="s">
        <v>17</v>
      </c>
      <c r="C1035" s="1">
        <v>4</v>
      </c>
      <c r="D1035" s="1">
        <v>30</v>
      </c>
      <c r="E1035" s="1">
        <v>100</v>
      </c>
      <c r="F1035" s="1">
        <v>11</v>
      </c>
      <c r="G1035" s="1">
        <v>25</v>
      </c>
      <c r="H1035" s="1">
        <v>150</v>
      </c>
      <c r="I1035" s="1">
        <v>100</v>
      </c>
      <c r="J1035" s="1">
        <v>2.31</v>
      </c>
      <c r="K1035" s="1">
        <v>90.759</v>
      </c>
      <c r="L1035" s="1">
        <v>9.24</v>
      </c>
      <c r="M1035" s="1">
        <v>102.1</v>
      </c>
      <c r="N1035" s="1">
        <v>3.4610000000000002E-2</v>
      </c>
      <c r="O1035" s="1">
        <v>1.9220000000000001E-4</v>
      </c>
      <c r="P103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3.0363526819074414E-2</v>
      </c>
      <c r="Q1035" s="1">
        <f>LN(Table1[[#This Row],[qe_mg_g]]-Table1[[#This Row],[qt]])</f>
        <v>0.82401598866687487</v>
      </c>
      <c r="R1035" s="1">
        <v>2</v>
      </c>
    </row>
    <row r="1036" spans="1:18" x14ac:dyDescent="0.3">
      <c r="A1036" s="1">
        <v>1035</v>
      </c>
      <c r="B1036" s="1" t="s">
        <v>17</v>
      </c>
      <c r="C1036" s="1">
        <v>4</v>
      </c>
      <c r="D1036" s="1">
        <v>30</v>
      </c>
      <c r="E1036" s="1">
        <v>100</v>
      </c>
      <c r="F1036" s="1">
        <v>11</v>
      </c>
      <c r="G1036" s="1">
        <v>25</v>
      </c>
      <c r="H1036" s="1">
        <v>150</v>
      </c>
      <c r="I1036" s="1">
        <v>100</v>
      </c>
      <c r="J1036" s="1">
        <v>2.0750000000000002</v>
      </c>
      <c r="K1036" s="1">
        <v>91.698999999999998</v>
      </c>
      <c r="L1036" s="1">
        <v>8.3000000000000007</v>
      </c>
      <c r="M1036" s="1">
        <v>90.1</v>
      </c>
      <c r="N1036" s="1">
        <v>3.8120000000000001E-2</v>
      </c>
      <c r="O1036" s="1">
        <v>2.0010000000000001E-4</v>
      </c>
      <c r="P103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2.5528675943495737E-2</v>
      </c>
      <c r="Q1036" s="1">
        <f>LN(Table1[[#This Row],[qe_mg_g]]-Table1[[#This Row],[qt]])</f>
        <v>0.71758186918664657</v>
      </c>
      <c r="R1036" s="1">
        <v>3</v>
      </c>
    </row>
    <row r="1037" spans="1:18" x14ac:dyDescent="0.3">
      <c r="A1037" s="1">
        <v>1036</v>
      </c>
      <c r="B1037" s="1" t="s">
        <v>17</v>
      </c>
      <c r="C1037" s="1">
        <v>4</v>
      </c>
      <c r="D1037" s="1">
        <v>30</v>
      </c>
      <c r="E1037" s="1">
        <v>200</v>
      </c>
      <c r="F1037" s="1">
        <v>3</v>
      </c>
      <c r="G1037" s="1">
        <v>25</v>
      </c>
      <c r="H1037" s="1">
        <v>150</v>
      </c>
      <c r="I1037" s="1">
        <v>100</v>
      </c>
      <c r="J1037" s="1">
        <v>6.3250000000000002</v>
      </c>
      <c r="K1037" s="1">
        <v>174.70099999999999</v>
      </c>
      <c r="L1037" s="1">
        <v>12.65</v>
      </c>
      <c r="M1037" s="1">
        <v>106.8</v>
      </c>
      <c r="N1037" s="1">
        <v>3.6330000000000001E-2</v>
      </c>
      <c r="O1037" s="1">
        <v>2.062E-4</v>
      </c>
      <c r="P103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0.23815657492887415</v>
      </c>
      <c r="Q1037" s="1">
        <f>LN(Table1[[#This Row],[qe_mg_g]]-Table1[[#This Row],[qt]])</f>
        <v>1.8061296263406548</v>
      </c>
      <c r="R1037" s="1">
        <v>1</v>
      </c>
    </row>
    <row r="1038" spans="1:18" x14ac:dyDescent="0.3">
      <c r="A1038" s="1">
        <v>1037</v>
      </c>
      <c r="B1038" s="1" t="s">
        <v>17</v>
      </c>
      <c r="C1038" s="1">
        <v>4</v>
      </c>
      <c r="D1038" s="1">
        <v>30</v>
      </c>
      <c r="E1038" s="1">
        <v>200</v>
      </c>
      <c r="F1038" s="1">
        <v>3</v>
      </c>
      <c r="G1038" s="1">
        <v>25</v>
      </c>
      <c r="H1038" s="1">
        <v>150</v>
      </c>
      <c r="I1038" s="1">
        <v>100</v>
      </c>
      <c r="J1038" s="1">
        <v>5.0519999999999996</v>
      </c>
      <c r="K1038" s="1">
        <v>179.79400000000001</v>
      </c>
      <c r="L1038" s="1">
        <v>10.1</v>
      </c>
      <c r="M1038" s="1">
        <v>51.9</v>
      </c>
      <c r="N1038" s="1">
        <v>3.6360000000000003E-2</v>
      </c>
      <c r="O1038" s="1">
        <v>1.9809999999999999E-4</v>
      </c>
      <c r="P103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0.14726008769760396</v>
      </c>
      <c r="Q1038" s="1">
        <f>LN(Table1[[#This Row],[qe_mg_g]]-Table1[[#This Row],[qt]])</f>
        <v>1.5902020665966485</v>
      </c>
      <c r="R1038" s="1">
        <v>2</v>
      </c>
    </row>
    <row r="1039" spans="1:18" x14ac:dyDescent="0.3">
      <c r="A1039" s="1">
        <v>1038</v>
      </c>
      <c r="B1039" s="1" t="s">
        <v>17</v>
      </c>
      <c r="C1039" s="1">
        <v>4</v>
      </c>
      <c r="D1039" s="1">
        <v>30</v>
      </c>
      <c r="E1039" s="1">
        <v>200</v>
      </c>
      <c r="F1039" s="1">
        <v>3</v>
      </c>
      <c r="G1039" s="1">
        <v>25</v>
      </c>
      <c r="H1039" s="1">
        <v>150</v>
      </c>
      <c r="I1039" s="1">
        <v>100</v>
      </c>
      <c r="J1039" s="1">
        <v>5.65</v>
      </c>
      <c r="K1039" s="1">
        <v>177.40199999999999</v>
      </c>
      <c r="L1039" s="1">
        <v>11.3</v>
      </c>
      <c r="M1039" s="1">
        <v>88.8</v>
      </c>
      <c r="N1039" s="1">
        <v>3.4790000000000001E-2</v>
      </c>
      <c r="O1039" s="1">
        <v>2.2259999999999999E-4</v>
      </c>
      <c r="P103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0.20542753047587395</v>
      </c>
      <c r="Q1039" s="1">
        <f>LN(Table1[[#This Row],[qe_mg_g]]-Table1[[#This Row],[qt]])</f>
        <v>1.6946192353084921</v>
      </c>
      <c r="R1039" s="1">
        <v>3</v>
      </c>
    </row>
    <row r="1040" spans="1:18" x14ac:dyDescent="0.3">
      <c r="A1040" s="1">
        <v>1039</v>
      </c>
      <c r="B1040" s="1" t="s">
        <v>17</v>
      </c>
      <c r="C1040" s="1">
        <v>4</v>
      </c>
      <c r="D1040" s="1">
        <v>30</v>
      </c>
      <c r="E1040" s="1">
        <v>200</v>
      </c>
      <c r="F1040" s="1">
        <v>7</v>
      </c>
      <c r="G1040" s="1">
        <v>25</v>
      </c>
      <c r="H1040" s="1">
        <v>150</v>
      </c>
      <c r="I1040" s="1">
        <v>100</v>
      </c>
      <c r="J1040" s="1">
        <v>10.073</v>
      </c>
      <c r="K1040" s="1">
        <v>159.709</v>
      </c>
      <c r="L1040" s="1">
        <v>20.149999999999999</v>
      </c>
      <c r="M1040" s="1">
        <v>76.099999999999994</v>
      </c>
      <c r="N1040" s="1">
        <v>3.8469999999999997E-2</v>
      </c>
      <c r="O1040" s="1">
        <v>1.9570000000000001E-4</v>
      </c>
      <c r="P104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0.56244098375840224</v>
      </c>
      <c r="Q1040" s="1">
        <f>LN(Table1[[#This Row],[qe_mg_g]]-Table1[[#This Row],[qt]])</f>
        <v>2.2524026567688882</v>
      </c>
      <c r="R1040" s="1">
        <v>1</v>
      </c>
    </row>
    <row r="1041" spans="1:18" x14ac:dyDescent="0.3">
      <c r="A1041" s="1">
        <v>1040</v>
      </c>
      <c r="B1041" s="1" t="s">
        <v>17</v>
      </c>
      <c r="C1041" s="1">
        <v>4</v>
      </c>
      <c r="D1041" s="1">
        <v>30</v>
      </c>
      <c r="E1041" s="1">
        <v>200</v>
      </c>
      <c r="F1041" s="1">
        <v>7</v>
      </c>
      <c r="G1041" s="1">
        <v>25</v>
      </c>
      <c r="H1041" s="1">
        <v>150</v>
      </c>
      <c r="I1041" s="1">
        <v>100</v>
      </c>
      <c r="J1041" s="1">
        <v>10.513</v>
      </c>
      <c r="K1041" s="1">
        <v>157.94999999999999</v>
      </c>
      <c r="L1041" s="1">
        <v>21.03</v>
      </c>
      <c r="M1041" s="1">
        <v>79.599999999999994</v>
      </c>
      <c r="N1041" s="1">
        <v>3.2730000000000002E-2</v>
      </c>
      <c r="O1041" s="1">
        <v>2.017E-4</v>
      </c>
      <c r="P104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0.62877659858596668</v>
      </c>
      <c r="Q1041" s="1">
        <f>LN(Table1[[#This Row],[qe_mg_g]]-Table1[[#This Row],[qt]])</f>
        <v>2.2909398901993479</v>
      </c>
      <c r="R1041" s="1">
        <v>2</v>
      </c>
    </row>
    <row r="1042" spans="1:18" x14ac:dyDescent="0.3">
      <c r="A1042" s="1">
        <v>1041</v>
      </c>
      <c r="B1042" s="1" t="s">
        <v>17</v>
      </c>
      <c r="C1042" s="1">
        <v>4</v>
      </c>
      <c r="D1042" s="1">
        <v>30</v>
      </c>
      <c r="E1042" s="1">
        <v>200</v>
      </c>
      <c r="F1042" s="1">
        <v>7</v>
      </c>
      <c r="G1042" s="1">
        <v>25</v>
      </c>
      <c r="H1042" s="1">
        <v>150</v>
      </c>
      <c r="I1042" s="1">
        <v>100</v>
      </c>
      <c r="J1042" s="1">
        <v>10</v>
      </c>
      <c r="K1042" s="1">
        <v>160.00200000000001</v>
      </c>
      <c r="L1042" s="1">
        <v>20</v>
      </c>
      <c r="M1042" s="1">
        <v>91.9</v>
      </c>
      <c r="N1042" s="1">
        <v>3.406E-2</v>
      </c>
      <c r="O1042" s="1">
        <v>1.6330000000000001E-4</v>
      </c>
      <c r="P104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0.46702065796623421</v>
      </c>
      <c r="Q1042" s="1">
        <f>LN(Table1[[#This Row],[qe_mg_g]]-Table1[[#This Row],[qt]])</f>
        <v>2.2547572965137892</v>
      </c>
      <c r="R1042" s="1">
        <v>3</v>
      </c>
    </row>
    <row r="1043" spans="1:18" x14ac:dyDescent="0.3">
      <c r="A1043" s="1">
        <v>1042</v>
      </c>
      <c r="B1043" s="1" t="s">
        <v>17</v>
      </c>
      <c r="C1043" s="1">
        <v>4</v>
      </c>
      <c r="D1043" s="1">
        <v>30</v>
      </c>
      <c r="E1043" s="1">
        <v>200</v>
      </c>
      <c r="F1043" s="1">
        <v>11</v>
      </c>
      <c r="G1043" s="1">
        <v>25</v>
      </c>
      <c r="H1043" s="1">
        <v>150</v>
      </c>
      <c r="I1043" s="1">
        <v>100</v>
      </c>
      <c r="J1043" s="1">
        <v>7.1470000000000002</v>
      </c>
      <c r="K1043" s="1">
        <v>171.41200000000001</v>
      </c>
      <c r="L1043" s="1">
        <v>14.29</v>
      </c>
      <c r="M1043" s="1">
        <v>95.9</v>
      </c>
      <c r="N1043" s="1">
        <v>3.3959999999999997E-2</v>
      </c>
      <c r="O1043" s="1">
        <v>1.951E-4</v>
      </c>
      <c r="P104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0.28696481413372965</v>
      </c>
      <c r="Q1043" s="1">
        <f>LN(Table1[[#This Row],[qe_mg_g]]-Table1[[#This Row],[qt]])</f>
        <v>1.9257125708596647</v>
      </c>
      <c r="R1043" s="1">
        <v>1</v>
      </c>
    </row>
    <row r="1044" spans="1:18" x14ac:dyDescent="0.3">
      <c r="A1044" s="1">
        <v>1043</v>
      </c>
      <c r="B1044" s="1" t="s">
        <v>17</v>
      </c>
      <c r="C1044" s="1">
        <v>4</v>
      </c>
      <c r="D1044" s="1">
        <v>30</v>
      </c>
      <c r="E1044" s="1">
        <v>200</v>
      </c>
      <c r="F1044" s="1">
        <v>11</v>
      </c>
      <c r="G1044" s="1">
        <v>25</v>
      </c>
      <c r="H1044" s="1">
        <v>150</v>
      </c>
      <c r="I1044" s="1">
        <v>100</v>
      </c>
      <c r="J1044" s="1">
        <v>8.2070000000000007</v>
      </c>
      <c r="K1044" s="1">
        <v>167.17099999999999</v>
      </c>
      <c r="L1044" s="1">
        <v>16.41</v>
      </c>
      <c r="M1044" s="1">
        <v>76.599999999999994</v>
      </c>
      <c r="N1044" s="1">
        <v>2.9600000000000001E-2</v>
      </c>
      <c r="O1044" s="1">
        <v>1.9680000000000001E-4</v>
      </c>
      <c r="P104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0.37928509972541224</v>
      </c>
      <c r="Q1044" s="1">
        <f>LN(Table1[[#This Row],[qe_mg_g]]-Table1[[#This Row],[qt]])</f>
        <v>2.0576706283640194</v>
      </c>
      <c r="R1044" s="1">
        <v>2</v>
      </c>
    </row>
    <row r="1045" spans="1:18" x14ac:dyDescent="0.3">
      <c r="A1045" s="1">
        <v>1044</v>
      </c>
      <c r="B1045" s="1" t="s">
        <v>17</v>
      </c>
      <c r="C1045" s="1">
        <v>4</v>
      </c>
      <c r="D1045" s="1">
        <v>30</v>
      </c>
      <c r="E1045" s="1">
        <v>200</v>
      </c>
      <c r="F1045" s="1">
        <v>11</v>
      </c>
      <c r="G1045" s="1">
        <v>25</v>
      </c>
      <c r="H1045" s="1">
        <v>150</v>
      </c>
      <c r="I1045" s="1">
        <v>100</v>
      </c>
      <c r="J1045" s="1">
        <v>7.109</v>
      </c>
      <c r="K1045" s="1">
        <v>171.566</v>
      </c>
      <c r="L1045" s="1">
        <v>14.22</v>
      </c>
      <c r="M1045" s="1">
        <v>73.3</v>
      </c>
      <c r="N1045" s="1">
        <v>3.4389999999999997E-2</v>
      </c>
      <c r="O1045" s="1">
        <v>2.098E-4</v>
      </c>
      <c r="P104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0.30446253724235156</v>
      </c>
      <c r="Q1045" s="1">
        <f>LN(Table1[[#This Row],[qe_mg_g]]-Table1[[#This Row],[qt]])</f>
        <v>1.9175896635887431</v>
      </c>
      <c r="R1045" s="1">
        <v>3</v>
      </c>
    </row>
    <row r="1046" spans="1:18" x14ac:dyDescent="0.3">
      <c r="A1046" s="1">
        <v>1045</v>
      </c>
      <c r="B1046" s="1" t="s">
        <v>17</v>
      </c>
      <c r="C1046" s="1">
        <v>4</v>
      </c>
      <c r="D1046" s="1">
        <v>60</v>
      </c>
      <c r="E1046" s="1">
        <v>25</v>
      </c>
      <c r="F1046" s="1">
        <v>3</v>
      </c>
      <c r="G1046" s="1">
        <v>25</v>
      </c>
      <c r="H1046" s="1">
        <v>150</v>
      </c>
      <c r="I1046" s="1">
        <v>100</v>
      </c>
      <c r="J1046" s="1">
        <v>0.217</v>
      </c>
      <c r="K1046" s="1">
        <v>24.132000000000001</v>
      </c>
      <c r="L1046" s="1">
        <v>3.47</v>
      </c>
      <c r="M1046" s="1">
        <v>89.7</v>
      </c>
      <c r="N1046" s="1">
        <v>4.1349999999999998E-2</v>
      </c>
      <c r="O1046" s="1">
        <v>1.931E-4</v>
      </c>
      <c r="P1046" s="1">
        <f>(Table1[[#This Row],[Rate_Constant_k2_g_mg_min]]*Table1[[#This Row],[Contact_Time_min]]*Table1[[#This Row],[qe_mg_g]]^2)/(1+Table1[[#This Row],[Contact_Time_min]]*Table1[[#This Row],[qe_mg_g]]*Table1[[#This Row],[Rate_Constant_k2_g_mg_min]])</f>
        <v>5.44204934633133E-4</v>
      </c>
      <c r="Q1046" s="1">
        <f>LN(Table1[[#This Row],[qe_mg_g]]-Table1[[#This Row],[qt]])</f>
        <v>-1.5303689322237759</v>
      </c>
      <c r="R1046" s="1">
        <v>1</v>
      </c>
    </row>
    <row r="1047" spans="1:18" x14ac:dyDescent="0.3">
      <c r="A1047" s="1">
        <v>1046</v>
      </c>
      <c r="B1047" s="1" t="s">
        <v>17</v>
      </c>
      <c r="C1047" s="1">
        <v>4</v>
      </c>
      <c r="D1047" s="1">
        <v>60</v>
      </c>
      <c r="E1047" s="1">
        <v>25</v>
      </c>
      <c r="F1047" s="1">
        <v>3</v>
      </c>
      <c r="G1047" s="1">
        <v>25</v>
      </c>
      <c r="H1047" s="1">
        <v>150</v>
      </c>
      <c r="I1047" s="1">
        <v>100</v>
      </c>
      <c r="J1047" s="1">
        <v>0.223</v>
      </c>
      <c r="K1047" s="1">
        <v>24.106999999999999</v>
      </c>
      <c r="L1047" s="1">
        <v>3.57</v>
      </c>
      <c r="M1047" s="1">
        <v>79.2</v>
      </c>
      <c r="N1047" s="1">
        <v>3.2039999999999999E-2</v>
      </c>
      <c r="O1047" s="1">
        <v>1.883E-4</v>
      </c>
      <c r="P1047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5.6042627378281276E-4</v>
      </c>
      <c r="Q1047" s="1">
        <f>LN(Table1[[#This Row],[qe_mg_g]]-Table1[[#This Row],[qt]])</f>
        <v>-1.5030997930186056</v>
      </c>
      <c r="R1047" s="1">
        <v>2</v>
      </c>
    </row>
    <row r="1048" spans="1:18" x14ac:dyDescent="0.3">
      <c r="A1048" s="1">
        <v>1047</v>
      </c>
      <c r="B1048" s="1" t="s">
        <v>17</v>
      </c>
      <c r="C1048" s="1">
        <v>4</v>
      </c>
      <c r="D1048" s="1">
        <v>60</v>
      </c>
      <c r="E1048" s="1">
        <v>25</v>
      </c>
      <c r="F1048" s="1">
        <v>3</v>
      </c>
      <c r="G1048" s="1">
        <v>25</v>
      </c>
      <c r="H1048" s="1">
        <v>150</v>
      </c>
      <c r="I1048" s="1">
        <v>100</v>
      </c>
      <c r="J1048" s="1">
        <v>0.20699999999999999</v>
      </c>
      <c r="K1048" s="1">
        <v>24.172000000000001</v>
      </c>
      <c r="L1048" s="1">
        <v>3.31</v>
      </c>
      <c r="M1048" s="1">
        <v>90.3</v>
      </c>
      <c r="N1048" s="1">
        <v>4.3220000000000001E-2</v>
      </c>
      <c r="O1048" s="1">
        <v>1.8569999999999999E-4</v>
      </c>
      <c r="P104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4.7632496495876879E-4</v>
      </c>
      <c r="Q1048" s="1">
        <f>LN(Table1[[#This Row],[qe_mg_g]]-Table1[[#This Row],[qt]])</f>
        <v>-1.5773402240726504</v>
      </c>
      <c r="R1048" s="1">
        <v>3</v>
      </c>
    </row>
    <row r="1049" spans="1:18" x14ac:dyDescent="0.3">
      <c r="A1049" s="1">
        <v>1048</v>
      </c>
      <c r="B1049" s="1" t="s">
        <v>17</v>
      </c>
      <c r="C1049" s="1">
        <v>4</v>
      </c>
      <c r="D1049" s="1">
        <v>60</v>
      </c>
      <c r="E1049" s="1">
        <v>25</v>
      </c>
      <c r="F1049" s="1">
        <v>7</v>
      </c>
      <c r="G1049" s="1">
        <v>25</v>
      </c>
      <c r="H1049" s="1">
        <v>150</v>
      </c>
      <c r="I1049" s="1">
        <v>100</v>
      </c>
      <c r="J1049" s="1">
        <v>0.36399999999999999</v>
      </c>
      <c r="K1049" s="1">
        <v>23.545000000000002</v>
      </c>
      <c r="L1049" s="1">
        <v>5.82</v>
      </c>
      <c r="M1049" s="1">
        <v>84.9</v>
      </c>
      <c r="N1049" s="1">
        <v>3.6389999999999999E-2</v>
      </c>
      <c r="O1049" s="1">
        <v>2.053E-4</v>
      </c>
      <c r="P104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1.6248005253946605E-3</v>
      </c>
      <c r="Q1049" s="1">
        <f>LN(Table1[[#This Row],[qe_mg_g]]-Table1[[#This Row],[qt]])</f>
        <v>-1.0150751412758803</v>
      </c>
      <c r="R1049" s="1">
        <v>1</v>
      </c>
    </row>
    <row r="1050" spans="1:18" x14ac:dyDescent="0.3">
      <c r="A1050" s="1">
        <v>1049</v>
      </c>
      <c r="B1050" s="1" t="s">
        <v>17</v>
      </c>
      <c r="C1050" s="1">
        <v>4</v>
      </c>
      <c r="D1050" s="1">
        <v>60</v>
      </c>
      <c r="E1050" s="1">
        <v>25</v>
      </c>
      <c r="F1050" s="1">
        <v>7</v>
      </c>
      <c r="G1050" s="1">
        <v>25</v>
      </c>
      <c r="H1050" s="1">
        <v>150</v>
      </c>
      <c r="I1050" s="1">
        <v>100</v>
      </c>
      <c r="J1050" s="1">
        <v>0.42799999999999999</v>
      </c>
      <c r="K1050" s="1">
        <v>23.286000000000001</v>
      </c>
      <c r="L1050" s="1">
        <v>6.85</v>
      </c>
      <c r="M1050" s="1">
        <v>54.5</v>
      </c>
      <c r="N1050" s="1">
        <v>2.665E-2</v>
      </c>
      <c r="O1050" s="1">
        <v>1.9010000000000001E-4</v>
      </c>
      <c r="P105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2.0792463059196437E-3</v>
      </c>
      <c r="Q1050" s="1">
        <f>LN(Table1[[#This Row],[qe_mg_g]]-Table1[[#This Row],[qt]])</f>
        <v>-0.85350197420971241</v>
      </c>
      <c r="R1050" s="1">
        <v>2</v>
      </c>
    </row>
    <row r="1051" spans="1:18" x14ac:dyDescent="0.3">
      <c r="A1051" s="1">
        <v>1050</v>
      </c>
      <c r="B1051" s="1" t="s">
        <v>17</v>
      </c>
      <c r="C1051" s="1">
        <v>4</v>
      </c>
      <c r="D1051" s="1">
        <v>60</v>
      </c>
      <c r="E1051" s="1">
        <v>25</v>
      </c>
      <c r="F1051" s="1">
        <v>7</v>
      </c>
      <c r="G1051" s="1">
        <v>25</v>
      </c>
      <c r="H1051" s="1">
        <v>150</v>
      </c>
      <c r="I1051" s="1">
        <v>100</v>
      </c>
      <c r="J1051" s="1">
        <v>0.42099999999999999</v>
      </c>
      <c r="K1051" s="1">
        <v>23.315000000000001</v>
      </c>
      <c r="L1051" s="1">
        <v>6.74</v>
      </c>
      <c r="M1051" s="1">
        <v>65.599999999999994</v>
      </c>
      <c r="N1051" s="1">
        <v>2.4469999999999999E-2</v>
      </c>
      <c r="O1051" s="1">
        <v>2.1139999999999999E-4</v>
      </c>
      <c r="P105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2.236183703525785E-3</v>
      </c>
      <c r="Q1051" s="1">
        <f>LN(Table1[[#This Row],[qe_mg_g]]-Table1[[#This Row],[qt]])</f>
        <v>-0.87044820224632169</v>
      </c>
      <c r="R1051" s="1">
        <v>3</v>
      </c>
    </row>
    <row r="1052" spans="1:18" x14ac:dyDescent="0.3">
      <c r="A1052" s="1">
        <v>1051</v>
      </c>
      <c r="B1052" s="1" t="s">
        <v>17</v>
      </c>
      <c r="C1052" s="1">
        <v>4</v>
      </c>
      <c r="D1052" s="1">
        <v>60</v>
      </c>
      <c r="E1052" s="1">
        <v>25</v>
      </c>
      <c r="F1052" s="1">
        <v>11</v>
      </c>
      <c r="G1052" s="1">
        <v>25</v>
      </c>
      <c r="H1052" s="1">
        <v>150</v>
      </c>
      <c r="I1052" s="1">
        <v>100</v>
      </c>
      <c r="J1052" s="1">
        <v>0.28399999999999997</v>
      </c>
      <c r="K1052" s="1">
        <v>23.864000000000001</v>
      </c>
      <c r="L1052" s="1">
        <v>4.54</v>
      </c>
      <c r="M1052" s="1">
        <v>71.7</v>
      </c>
      <c r="N1052" s="1">
        <v>3.1550000000000002E-2</v>
      </c>
      <c r="O1052" s="1">
        <v>1.806E-4</v>
      </c>
      <c r="P1052" s="1">
        <f>(Table1[[#This Row],[Rate_Constant_k2_g_mg_min]]*Table1[[#This Row],[Contact_Time_min]]*Table1[[#This Row],[qe_mg_g]]^2)/(1+Table1[[#This Row],[Contact_Time_min]]*Table1[[#This Row],[qe_mg_g]]*Table1[[#This Row],[Rate_Constant_k2_g_mg_min]])</f>
        <v>8.7130703481967697E-4</v>
      </c>
      <c r="Q1052" s="1">
        <f>LN(Table1[[#This Row],[qe_mg_g]]-Table1[[#This Row],[qt]])</f>
        <v>-1.2618537392442797</v>
      </c>
      <c r="R1052" s="1">
        <v>1</v>
      </c>
    </row>
    <row r="1053" spans="1:18" x14ac:dyDescent="0.3">
      <c r="A1053" s="1">
        <v>1052</v>
      </c>
      <c r="B1053" s="1" t="s">
        <v>17</v>
      </c>
      <c r="C1053" s="1">
        <v>4</v>
      </c>
      <c r="D1053" s="1">
        <v>60</v>
      </c>
      <c r="E1053" s="1">
        <v>25</v>
      </c>
      <c r="F1053" s="1">
        <v>11</v>
      </c>
      <c r="G1053" s="1">
        <v>25</v>
      </c>
      <c r="H1053" s="1">
        <v>150</v>
      </c>
      <c r="I1053" s="1">
        <v>100</v>
      </c>
      <c r="J1053" s="1">
        <v>0.28000000000000003</v>
      </c>
      <c r="K1053" s="1">
        <v>23.879000000000001</v>
      </c>
      <c r="L1053" s="1">
        <v>4.4800000000000004</v>
      </c>
      <c r="M1053" s="1">
        <v>77.7</v>
      </c>
      <c r="N1053" s="1">
        <v>3.6729999999999999E-2</v>
      </c>
      <c r="O1053" s="1">
        <v>1.429E-4</v>
      </c>
      <c r="P1053" s="1">
        <f>(Table1[[#This Row],[Rate_Constant_k2_g_mg_min]]*Table1[[#This Row],[Contact_Time_min]]*Table1[[#This Row],[qe_mg_g]]^2)/(1+Table1[[#This Row],[Contact_Time_min]]*Table1[[#This Row],[qe_mg_g]]*Table1[[#This Row],[Rate_Constant_k2_g_mg_min]])</f>
        <v>6.705916971009359E-4</v>
      </c>
      <c r="Q1053" s="1">
        <f>LN(Table1[[#This Row],[qe_mg_g]]-Table1[[#This Row],[qt]])</f>
        <v>-1.2753635186884882</v>
      </c>
      <c r="R1053" s="1">
        <v>2</v>
      </c>
    </row>
    <row r="1054" spans="1:18" x14ac:dyDescent="0.3">
      <c r="A1054" s="1">
        <v>1053</v>
      </c>
      <c r="B1054" s="1" t="s">
        <v>17</v>
      </c>
      <c r="C1054" s="1">
        <v>4</v>
      </c>
      <c r="D1054" s="1">
        <v>60</v>
      </c>
      <c r="E1054" s="1">
        <v>25</v>
      </c>
      <c r="F1054" s="1">
        <v>11</v>
      </c>
      <c r="G1054" s="1">
        <v>25</v>
      </c>
      <c r="H1054" s="1">
        <v>150</v>
      </c>
      <c r="I1054" s="1">
        <v>100</v>
      </c>
      <c r="J1054" s="1">
        <v>0.253</v>
      </c>
      <c r="K1054" s="1">
        <v>23.986000000000001</v>
      </c>
      <c r="L1054" s="1">
        <v>4.05</v>
      </c>
      <c r="M1054" s="1">
        <v>71.2</v>
      </c>
      <c r="N1054" s="1">
        <v>3.4099999999999998E-2</v>
      </c>
      <c r="O1054" s="1">
        <v>1.8919999999999999E-4</v>
      </c>
      <c r="P1054" s="1">
        <f>(Table1[[#This Row],[Rate_Constant_k2_g_mg_min]]*Table1[[#This Row],[Contact_Time_min]]*Table1[[#This Row],[qe_mg_g]]^2)/(1+Table1[[#This Row],[Contact_Time_min]]*Table1[[#This Row],[qe_mg_g]]*Table1[[#This Row],[Rate_Constant_k2_g_mg_min]])</f>
        <v>7.2454922205948864E-4</v>
      </c>
      <c r="Q1054" s="1">
        <f>LN(Table1[[#This Row],[qe_mg_g]]-Table1[[#This Row],[qt]])</f>
        <v>-1.3772337297817268</v>
      </c>
      <c r="R1054" s="1">
        <v>3</v>
      </c>
    </row>
    <row r="1055" spans="1:18" x14ac:dyDescent="0.3">
      <c r="A1055" s="1">
        <v>1054</v>
      </c>
      <c r="B1055" s="1" t="s">
        <v>17</v>
      </c>
      <c r="C1055" s="1">
        <v>4</v>
      </c>
      <c r="D1055" s="1">
        <v>60</v>
      </c>
      <c r="E1055" s="1">
        <v>50</v>
      </c>
      <c r="F1055" s="1">
        <v>3</v>
      </c>
      <c r="G1055" s="1">
        <v>25</v>
      </c>
      <c r="H1055" s="1">
        <v>150</v>
      </c>
      <c r="I1055" s="1">
        <v>100</v>
      </c>
      <c r="J1055" s="1">
        <v>0.89100000000000001</v>
      </c>
      <c r="K1055" s="1">
        <v>46.436999999999998</v>
      </c>
      <c r="L1055" s="1">
        <v>7.13</v>
      </c>
      <c r="M1055" s="1">
        <v>61.8</v>
      </c>
      <c r="N1055" s="1">
        <v>3.5159999999999997E-2</v>
      </c>
      <c r="O1055" s="1">
        <v>2.1120000000000001E-4</v>
      </c>
      <c r="P1055" s="1">
        <f>(Table1[[#This Row],[Rate_Constant_k2_g_mg_min]]*Table1[[#This Row],[Contact_Time_min]]*Table1[[#This Row],[qe_mg_g]]^2)/(1+Table1[[#This Row],[Contact_Time_min]]*Table1[[#This Row],[qe_mg_g]]*Table1[[#This Row],[Rate_Constant_k2_g_mg_min]])</f>
        <v>9.9477425380431056E-3</v>
      </c>
      <c r="Q1055" s="1">
        <f>LN(Table1[[#This Row],[qe_mg_g]]-Table1[[#This Row],[qt]])</f>
        <v>-0.12663833873022037</v>
      </c>
      <c r="R1055" s="1">
        <v>1</v>
      </c>
    </row>
    <row r="1056" spans="1:18" x14ac:dyDescent="0.3">
      <c r="A1056" s="1">
        <v>1055</v>
      </c>
      <c r="B1056" s="1" t="s">
        <v>17</v>
      </c>
      <c r="C1056" s="1">
        <v>4</v>
      </c>
      <c r="D1056" s="1">
        <v>60</v>
      </c>
      <c r="E1056" s="1">
        <v>50</v>
      </c>
      <c r="F1056" s="1">
        <v>3</v>
      </c>
      <c r="G1056" s="1">
        <v>25</v>
      </c>
      <c r="H1056" s="1">
        <v>150</v>
      </c>
      <c r="I1056" s="1">
        <v>100</v>
      </c>
      <c r="J1056" s="1">
        <v>0.97799999999999998</v>
      </c>
      <c r="K1056" s="1">
        <v>46.087000000000003</v>
      </c>
      <c r="L1056" s="1">
        <v>7.83</v>
      </c>
      <c r="M1056" s="1">
        <v>79.5</v>
      </c>
      <c r="N1056" s="1">
        <v>3.6139999999999999E-2</v>
      </c>
      <c r="O1056" s="1">
        <v>1.639E-4</v>
      </c>
      <c r="P105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9.3164611745516508E-3</v>
      </c>
      <c r="Q1056" s="1">
        <f>LN(Table1[[#This Row],[qe_mg_g]]-Table1[[#This Row],[qt]])</f>
        <v>-3.181730575142485E-2</v>
      </c>
      <c r="R1056" s="1">
        <v>2</v>
      </c>
    </row>
    <row r="1057" spans="1:18" x14ac:dyDescent="0.3">
      <c r="A1057" s="1">
        <v>1056</v>
      </c>
      <c r="B1057" s="1" t="s">
        <v>17</v>
      </c>
      <c r="C1057" s="1">
        <v>4</v>
      </c>
      <c r="D1057" s="1">
        <v>60</v>
      </c>
      <c r="E1057" s="1">
        <v>50</v>
      </c>
      <c r="F1057" s="1">
        <v>3</v>
      </c>
      <c r="G1057" s="1">
        <v>25</v>
      </c>
      <c r="H1057" s="1">
        <v>150</v>
      </c>
      <c r="I1057" s="1">
        <v>100</v>
      </c>
      <c r="J1057" s="1">
        <v>0.628</v>
      </c>
      <c r="K1057" s="1">
        <v>47.488999999999997</v>
      </c>
      <c r="L1057" s="1">
        <v>5.0199999999999996</v>
      </c>
      <c r="M1057" s="1">
        <v>96.6</v>
      </c>
      <c r="N1057" s="1">
        <v>3.4979999999999997E-2</v>
      </c>
      <c r="O1057" s="1">
        <v>2.2359999999999999E-4</v>
      </c>
      <c r="P1057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5.2468497337742181E-3</v>
      </c>
      <c r="Q1057" s="1">
        <f>LN(Table1[[#This Row],[qe_mg_g]]-Table1[[#This Row],[qt]])</f>
        <v>-0.47360506621558746</v>
      </c>
      <c r="R1057" s="1">
        <v>3</v>
      </c>
    </row>
    <row r="1058" spans="1:18" x14ac:dyDescent="0.3">
      <c r="A1058" s="1">
        <v>1057</v>
      </c>
      <c r="B1058" s="1" t="s">
        <v>17</v>
      </c>
      <c r="C1058" s="1">
        <v>4</v>
      </c>
      <c r="D1058" s="1">
        <v>60</v>
      </c>
      <c r="E1058" s="1">
        <v>50</v>
      </c>
      <c r="F1058" s="1">
        <v>7</v>
      </c>
      <c r="G1058" s="1">
        <v>25</v>
      </c>
      <c r="H1058" s="1">
        <v>150</v>
      </c>
      <c r="I1058" s="1">
        <v>100</v>
      </c>
      <c r="J1058" s="1">
        <v>1.224</v>
      </c>
      <c r="K1058" s="1">
        <v>45.101999999999997</v>
      </c>
      <c r="L1058" s="1">
        <v>9.8000000000000007</v>
      </c>
      <c r="M1058" s="1">
        <v>92.4</v>
      </c>
      <c r="N1058" s="1">
        <v>4.1540000000000001E-2</v>
      </c>
      <c r="O1058" s="1">
        <v>2.084E-4</v>
      </c>
      <c r="P105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1.8450805051569454E-2</v>
      </c>
      <c r="Q1058" s="1">
        <f>LN(Table1[[#This Row],[qe_mg_g]]-Table1[[#This Row],[qt]])</f>
        <v>0.18693522655668771</v>
      </c>
      <c r="R1058" s="1">
        <v>1</v>
      </c>
    </row>
    <row r="1059" spans="1:18" x14ac:dyDescent="0.3">
      <c r="A1059" s="1">
        <v>1058</v>
      </c>
      <c r="B1059" s="1" t="s">
        <v>17</v>
      </c>
      <c r="C1059" s="1">
        <v>4</v>
      </c>
      <c r="D1059" s="1">
        <v>60</v>
      </c>
      <c r="E1059" s="1">
        <v>50</v>
      </c>
      <c r="F1059" s="1">
        <v>7</v>
      </c>
      <c r="G1059" s="1">
        <v>25</v>
      </c>
      <c r="H1059" s="1">
        <v>150</v>
      </c>
      <c r="I1059" s="1">
        <v>100</v>
      </c>
      <c r="J1059" s="1">
        <v>1.4590000000000001</v>
      </c>
      <c r="K1059" s="1">
        <v>44.164999999999999</v>
      </c>
      <c r="L1059" s="1">
        <v>11.67</v>
      </c>
      <c r="M1059" s="1">
        <v>85.8</v>
      </c>
      <c r="N1059" s="1">
        <v>2.9499999999999998E-2</v>
      </c>
      <c r="O1059" s="1">
        <v>2.2709999999999999E-4</v>
      </c>
      <c r="P105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2.8440010400278985E-2</v>
      </c>
      <c r="Q1059" s="1">
        <f>LN(Table1[[#This Row],[qe_mg_g]]-Table1[[#This Row],[qt]])</f>
        <v>0.35806596873479563</v>
      </c>
      <c r="R1059" s="1">
        <v>2</v>
      </c>
    </row>
    <row r="1060" spans="1:18" x14ac:dyDescent="0.3">
      <c r="A1060" s="1">
        <v>1059</v>
      </c>
      <c r="B1060" s="1" t="s">
        <v>17</v>
      </c>
      <c r="C1060" s="1">
        <v>4</v>
      </c>
      <c r="D1060" s="1">
        <v>60</v>
      </c>
      <c r="E1060" s="1">
        <v>50</v>
      </c>
      <c r="F1060" s="1">
        <v>7</v>
      </c>
      <c r="G1060" s="1">
        <v>25</v>
      </c>
      <c r="H1060" s="1">
        <v>150</v>
      </c>
      <c r="I1060" s="1">
        <v>100</v>
      </c>
      <c r="J1060" s="1">
        <v>1.333</v>
      </c>
      <c r="K1060" s="1">
        <v>44.668999999999997</v>
      </c>
      <c r="L1060" s="1">
        <v>10.66</v>
      </c>
      <c r="M1060" s="1">
        <v>92.2</v>
      </c>
      <c r="N1060" s="1">
        <v>2.9530000000000001E-2</v>
      </c>
      <c r="O1060" s="1">
        <v>1.7640000000000001E-4</v>
      </c>
      <c r="P106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1.8544952236628193E-2</v>
      </c>
      <c r="Q1060" s="1">
        <f>LN(Table1[[#This Row],[qe_mg_g]]-Table1[[#This Row],[qt]])</f>
        <v>0.27342216738995462</v>
      </c>
      <c r="R1060" s="1">
        <v>3</v>
      </c>
    </row>
    <row r="1061" spans="1:18" x14ac:dyDescent="0.3">
      <c r="A1061" s="1">
        <v>1060</v>
      </c>
      <c r="B1061" s="1" t="s">
        <v>17</v>
      </c>
      <c r="C1061" s="1">
        <v>4</v>
      </c>
      <c r="D1061" s="1">
        <v>60</v>
      </c>
      <c r="E1061" s="1">
        <v>50</v>
      </c>
      <c r="F1061" s="1">
        <v>11</v>
      </c>
      <c r="G1061" s="1">
        <v>25</v>
      </c>
      <c r="H1061" s="1">
        <v>150</v>
      </c>
      <c r="I1061" s="1">
        <v>100</v>
      </c>
      <c r="J1061" s="1">
        <v>1.196</v>
      </c>
      <c r="K1061" s="1">
        <v>45.216999999999999</v>
      </c>
      <c r="L1061" s="1">
        <v>9.57</v>
      </c>
      <c r="M1061" s="1">
        <v>81.2</v>
      </c>
      <c r="N1061" s="1">
        <v>4.0090000000000001E-2</v>
      </c>
      <c r="O1061" s="1">
        <v>1.984E-4</v>
      </c>
      <c r="P106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1.6788648979369304E-2</v>
      </c>
      <c r="Q1061" s="1">
        <f>LN(Table1[[#This Row],[qe_mg_g]]-Table1[[#This Row],[qt]])</f>
        <v>0.1648458684417396</v>
      </c>
      <c r="R1061" s="1">
        <v>1</v>
      </c>
    </row>
    <row r="1062" spans="1:18" x14ac:dyDescent="0.3">
      <c r="A1062" s="1">
        <v>1061</v>
      </c>
      <c r="B1062" s="1" t="s">
        <v>17</v>
      </c>
      <c r="C1062" s="1">
        <v>4</v>
      </c>
      <c r="D1062" s="1">
        <v>60</v>
      </c>
      <c r="E1062" s="1">
        <v>50</v>
      </c>
      <c r="F1062" s="1">
        <v>11</v>
      </c>
      <c r="G1062" s="1">
        <v>25</v>
      </c>
      <c r="H1062" s="1">
        <v>150</v>
      </c>
      <c r="I1062" s="1">
        <v>100</v>
      </c>
      <c r="J1062" s="1">
        <v>0.85299999999999998</v>
      </c>
      <c r="K1062" s="1">
        <v>46.588000000000001</v>
      </c>
      <c r="L1062" s="1">
        <v>6.82</v>
      </c>
      <c r="M1062" s="1">
        <v>97.2</v>
      </c>
      <c r="N1062" s="1">
        <v>3.2939999999999997E-2</v>
      </c>
      <c r="O1062" s="1">
        <v>2.14E-4</v>
      </c>
      <c r="P1062" s="1">
        <f>(Table1[[#This Row],[Rate_Constant_k2_g_mg_min]]*Table1[[#This Row],[Contact_Time_min]]*Table1[[#This Row],[qe_mg_g]]^2)/(1+Table1[[#This Row],[Contact_Time_min]]*Table1[[#This Row],[qe_mg_g]]*Table1[[#This Row],[Rate_Constant_k2_g_mg_min]])</f>
        <v>9.2412842098657608E-3</v>
      </c>
      <c r="Q1062" s="1">
        <f>LN(Table1[[#This Row],[qe_mg_g]]-Table1[[#This Row],[qt]])</f>
        <v>-0.16988870702340556</v>
      </c>
      <c r="R1062" s="1">
        <v>2</v>
      </c>
    </row>
    <row r="1063" spans="1:18" x14ac:dyDescent="0.3">
      <c r="A1063" s="1">
        <v>1062</v>
      </c>
      <c r="B1063" s="1" t="s">
        <v>17</v>
      </c>
      <c r="C1063" s="1">
        <v>4</v>
      </c>
      <c r="D1063" s="1">
        <v>60</v>
      </c>
      <c r="E1063" s="1">
        <v>50</v>
      </c>
      <c r="F1063" s="1">
        <v>11</v>
      </c>
      <c r="G1063" s="1">
        <v>25</v>
      </c>
      <c r="H1063" s="1">
        <v>150</v>
      </c>
      <c r="I1063" s="1">
        <v>100</v>
      </c>
      <c r="J1063" s="1">
        <v>1.048</v>
      </c>
      <c r="K1063" s="1">
        <v>45.807000000000002</v>
      </c>
      <c r="L1063" s="1">
        <v>8.39</v>
      </c>
      <c r="M1063" s="1">
        <v>65.900000000000006</v>
      </c>
      <c r="N1063" s="1">
        <v>3.5580000000000001E-2</v>
      </c>
      <c r="O1063" s="1">
        <v>2.4389999999999999E-4</v>
      </c>
      <c r="P106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1.5829807962608401E-2</v>
      </c>
      <c r="Q1063" s="1">
        <f>LN(Table1[[#This Row],[qe_mg_g]]-Table1[[#This Row],[qt]])</f>
        <v>3.1663568227340337E-2</v>
      </c>
      <c r="R1063" s="1">
        <v>3</v>
      </c>
    </row>
    <row r="1064" spans="1:18" x14ac:dyDescent="0.3">
      <c r="A1064" s="1">
        <v>1063</v>
      </c>
      <c r="B1064" s="1" t="s">
        <v>17</v>
      </c>
      <c r="C1064" s="1">
        <v>4</v>
      </c>
      <c r="D1064" s="1">
        <v>60</v>
      </c>
      <c r="E1064" s="1">
        <v>100</v>
      </c>
      <c r="F1064" s="1">
        <v>3</v>
      </c>
      <c r="G1064" s="1">
        <v>25</v>
      </c>
      <c r="H1064" s="1">
        <v>150</v>
      </c>
      <c r="I1064" s="1">
        <v>100</v>
      </c>
      <c r="J1064" s="1">
        <v>3.1419999999999999</v>
      </c>
      <c r="K1064" s="1">
        <v>87.433000000000007</v>
      </c>
      <c r="L1064" s="1">
        <v>12.57</v>
      </c>
      <c r="M1064" s="1">
        <v>85</v>
      </c>
      <c r="N1064" s="1">
        <v>3.8760000000000003E-2</v>
      </c>
      <c r="O1064" s="1">
        <v>2.042E-4</v>
      </c>
      <c r="P106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0.11647014382872065</v>
      </c>
      <c r="Q1064" s="1">
        <f>LN(Table1[[#This Row],[qe_mg_g]]-Table1[[#This Row],[qt]])</f>
        <v>1.1070862352091326</v>
      </c>
      <c r="R1064" s="1">
        <v>1</v>
      </c>
    </row>
    <row r="1065" spans="1:18" x14ac:dyDescent="0.3">
      <c r="A1065" s="1">
        <v>1064</v>
      </c>
      <c r="B1065" s="1" t="s">
        <v>17</v>
      </c>
      <c r="C1065" s="1">
        <v>4</v>
      </c>
      <c r="D1065" s="1">
        <v>60</v>
      </c>
      <c r="E1065" s="1">
        <v>100</v>
      </c>
      <c r="F1065" s="1">
        <v>3</v>
      </c>
      <c r="G1065" s="1">
        <v>25</v>
      </c>
      <c r="H1065" s="1">
        <v>150</v>
      </c>
      <c r="I1065" s="1">
        <v>100</v>
      </c>
      <c r="J1065" s="1">
        <v>3.0569999999999999</v>
      </c>
      <c r="K1065" s="1">
        <v>87.772000000000006</v>
      </c>
      <c r="L1065" s="1">
        <v>12.23</v>
      </c>
      <c r="M1065" s="1">
        <v>71.7</v>
      </c>
      <c r="N1065" s="1">
        <v>3.5819999999999998E-2</v>
      </c>
      <c r="O1065" s="1">
        <v>2.207E-4</v>
      </c>
      <c r="P106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0.11893519608589719</v>
      </c>
      <c r="Q1065" s="1">
        <f>LN(Table1[[#This Row],[qe_mg_g]]-Table1[[#This Row],[qt]])</f>
        <v>1.0777511346609498</v>
      </c>
      <c r="R1065" s="1">
        <v>2</v>
      </c>
    </row>
    <row r="1066" spans="1:18" x14ac:dyDescent="0.3">
      <c r="A1066" s="1">
        <v>1065</v>
      </c>
      <c r="B1066" s="1" t="s">
        <v>17</v>
      </c>
      <c r="C1066" s="1">
        <v>4</v>
      </c>
      <c r="D1066" s="1">
        <v>60</v>
      </c>
      <c r="E1066" s="1">
        <v>100</v>
      </c>
      <c r="F1066" s="1">
        <v>3</v>
      </c>
      <c r="G1066" s="1">
        <v>25</v>
      </c>
      <c r="H1066" s="1">
        <v>150</v>
      </c>
      <c r="I1066" s="1">
        <v>100</v>
      </c>
      <c r="J1066" s="1">
        <v>2.7440000000000002</v>
      </c>
      <c r="K1066" s="1">
        <v>89.025000000000006</v>
      </c>
      <c r="L1066" s="1">
        <v>10.98</v>
      </c>
      <c r="M1066" s="1">
        <v>104</v>
      </c>
      <c r="N1066" s="1">
        <v>3.4680000000000002E-2</v>
      </c>
      <c r="O1066" s="1">
        <v>1.8220000000000001E-4</v>
      </c>
      <c r="P1066" s="1">
        <f>(Table1[[#This Row],[Rate_Constant_k2_g_mg_min]]*Table1[[#This Row],[Contact_Time_min]]*Table1[[#This Row],[qe_mg_g]]^2)/(1+Table1[[#This Row],[Contact_Time_min]]*Table1[[#This Row],[qe_mg_g]]*Table1[[#This Row],[Rate_Constant_k2_g_mg_min]])</f>
        <v>7.9915625915827557E-2</v>
      </c>
      <c r="Q1066" s="1">
        <f>LN(Table1[[#This Row],[qe_mg_g]]-Table1[[#This Row],[qt]])</f>
        <v>0.97986042413011532</v>
      </c>
      <c r="R1066" s="1">
        <v>3</v>
      </c>
    </row>
    <row r="1067" spans="1:18" x14ac:dyDescent="0.3">
      <c r="A1067" s="1">
        <v>1066</v>
      </c>
      <c r="B1067" s="1" t="s">
        <v>17</v>
      </c>
      <c r="C1067" s="1">
        <v>4</v>
      </c>
      <c r="D1067" s="1">
        <v>60</v>
      </c>
      <c r="E1067" s="1">
        <v>100</v>
      </c>
      <c r="F1067" s="1">
        <v>7</v>
      </c>
      <c r="G1067" s="1">
        <v>25</v>
      </c>
      <c r="H1067" s="1">
        <v>150</v>
      </c>
      <c r="I1067" s="1">
        <v>100</v>
      </c>
      <c r="J1067" s="1">
        <v>5.52</v>
      </c>
      <c r="K1067" s="1">
        <v>77.918999999999997</v>
      </c>
      <c r="L1067" s="1">
        <v>22.08</v>
      </c>
      <c r="M1067" s="1">
        <v>82</v>
      </c>
      <c r="N1067" s="1">
        <v>3.7659999999999999E-2</v>
      </c>
      <c r="O1067" s="1">
        <v>1.942E-4</v>
      </c>
      <c r="P106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0.33358521971005983</v>
      </c>
      <c r="Q1067" s="1">
        <f>LN(Table1[[#This Row],[qe_mg_g]]-Table1[[#This Row],[qt]])</f>
        <v>1.646042664691405</v>
      </c>
      <c r="R1067" s="1">
        <v>1</v>
      </c>
    </row>
    <row r="1068" spans="1:18" x14ac:dyDescent="0.3">
      <c r="A1068" s="1">
        <v>1067</v>
      </c>
      <c r="B1068" s="1" t="s">
        <v>17</v>
      </c>
      <c r="C1068" s="1">
        <v>4</v>
      </c>
      <c r="D1068" s="1">
        <v>60</v>
      </c>
      <c r="E1068" s="1">
        <v>100</v>
      </c>
      <c r="F1068" s="1">
        <v>7</v>
      </c>
      <c r="G1068" s="1">
        <v>25</v>
      </c>
      <c r="H1068" s="1">
        <v>150</v>
      </c>
      <c r="I1068" s="1">
        <v>100</v>
      </c>
      <c r="J1068" s="1">
        <v>4.99</v>
      </c>
      <c r="K1068" s="1">
        <v>80.042000000000002</v>
      </c>
      <c r="L1068" s="1">
        <v>19.96</v>
      </c>
      <c r="M1068" s="1">
        <v>92.1</v>
      </c>
      <c r="N1068" s="1">
        <v>3.6020000000000003E-2</v>
      </c>
      <c r="O1068" s="1">
        <v>1.6009999999999999E-4</v>
      </c>
      <c r="P106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0.22824946446528871</v>
      </c>
      <c r="Q1068" s="1">
        <f>LN(Table1[[#This Row],[qe_mg_g]]-Table1[[#This Row],[qt]])</f>
        <v>1.5606153602024702</v>
      </c>
      <c r="R1068" s="1">
        <v>2</v>
      </c>
    </row>
    <row r="1069" spans="1:18" x14ac:dyDescent="0.3">
      <c r="A1069" s="1">
        <v>1068</v>
      </c>
      <c r="B1069" s="1" t="s">
        <v>17</v>
      </c>
      <c r="C1069" s="1">
        <v>4</v>
      </c>
      <c r="D1069" s="1">
        <v>60</v>
      </c>
      <c r="E1069" s="1">
        <v>100</v>
      </c>
      <c r="F1069" s="1">
        <v>7</v>
      </c>
      <c r="G1069" s="1">
        <v>25</v>
      </c>
      <c r="H1069" s="1">
        <v>150</v>
      </c>
      <c r="I1069" s="1">
        <v>100</v>
      </c>
      <c r="J1069" s="1">
        <v>4.4569999999999999</v>
      </c>
      <c r="K1069" s="1">
        <v>82.173000000000002</v>
      </c>
      <c r="L1069" s="1">
        <v>17.829999999999998</v>
      </c>
      <c r="M1069" s="1">
        <v>97.7</v>
      </c>
      <c r="N1069" s="1">
        <v>3.4540000000000001E-2</v>
      </c>
      <c r="O1069" s="1">
        <v>1.895E-4</v>
      </c>
      <c r="P106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0.21496951846501045</v>
      </c>
      <c r="Q1069" s="1">
        <f>LN(Table1[[#This Row],[qe_mg_g]]-Table1[[#This Row],[qt]])</f>
        <v>1.4450420417684866</v>
      </c>
      <c r="R1069" s="1">
        <v>3</v>
      </c>
    </row>
    <row r="1070" spans="1:18" x14ac:dyDescent="0.3">
      <c r="A1070" s="1">
        <v>1069</v>
      </c>
      <c r="B1070" s="1" t="s">
        <v>17</v>
      </c>
      <c r="C1070" s="1">
        <v>4</v>
      </c>
      <c r="D1070" s="1">
        <v>60</v>
      </c>
      <c r="E1070" s="1">
        <v>100</v>
      </c>
      <c r="F1070" s="1">
        <v>11</v>
      </c>
      <c r="G1070" s="1">
        <v>25</v>
      </c>
      <c r="H1070" s="1">
        <v>150</v>
      </c>
      <c r="I1070" s="1">
        <v>100</v>
      </c>
      <c r="J1070" s="1">
        <v>3.2450000000000001</v>
      </c>
      <c r="K1070" s="1">
        <v>87.02</v>
      </c>
      <c r="L1070" s="1">
        <v>12.98</v>
      </c>
      <c r="M1070" s="1">
        <v>71.8</v>
      </c>
      <c r="N1070" s="1">
        <v>2.792E-2</v>
      </c>
      <c r="O1070" s="1">
        <v>1.9799999999999999E-4</v>
      </c>
      <c r="P107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0.12045315558047918</v>
      </c>
      <c r="Q1070" s="1">
        <f>LN(Table1[[#This Row],[qe_mg_g]]-Table1[[#This Row],[qt]])</f>
        <v>1.1392892628876761</v>
      </c>
      <c r="R1070" s="1">
        <v>1</v>
      </c>
    </row>
    <row r="1071" spans="1:18" x14ac:dyDescent="0.3">
      <c r="A1071" s="1">
        <v>1070</v>
      </c>
      <c r="B1071" s="1" t="s">
        <v>17</v>
      </c>
      <c r="C1071" s="1">
        <v>4</v>
      </c>
      <c r="D1071" s="1">
        <v>60</v>
      </c>
      <c r="E1071" s="1">
        <v>100</v>
      </c>
      <c r="F1071" s="1">
        <v>11</v>
      </c>
      <c r="G1071" s="1">
        <v>25</v>
      </c>
      <c r="H1071" s="1">
        <v>150</v>
      </c>
      <c r="I1071" s="1">
        <v>100</v>
      </c>
      <c r="J1071" s="1">
        <v>3.53</v>
      </c>
      <c r="K1071" s="1">
        <v>85.879000000000005</v>
      </c>
      <c r="L1071" s="1">
        <v>14.12</v>
      </c>
      <c r="M1071" s="1">
        <v>73.3</v>
      </c>
      <c r="N1071" s="1">
        <v>3.4759999999999999E-2</v>
      </c>
      <c r="O1071" s="1">
        <v>2.073E-4</v>
      </c>
      <c r="P107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0.14846993255543067</v>
      </c>
      <c r="Q1071" s="1">
        <f>LN(Table1[[#This Row],[qe_mg_g]]-Table1[[#This Row],[qt]])</f>
        <v>1.218328289740944</v>
      </c>
      <c r="R1071" s="1">
        <v>2</v>
      </c>
    </row>
    <row r="1072" spans="1:18" x14ac:dyDescent="0.3">
      <c r="A1072" s="1">
        <v>1071</v>
      </c>
      <c r="B1072" s="1" t="s">
        <v>17</v>
      </c>
      <c r="C1072" s="1">
        <v>4</v>
      </c>
      <c r="D1072" s="1">
        <v>60</v>
      </c>
      <c r="E1072" s="1">
        <v>100</v>
      </c>
      <c r="F1072" s="1">
        <v>11</v>
      </c>
      <c r="G1072" s="1">
        <v>25</v>
      </c>
      <c r="H1072" s="1">
        <v>150</v>
      </c>
      <c r="I1072" s="1">
        <v>100</v>
      </c>
      <c r="J1072" s="1">
        <v>4.5410000000000004</v>
      </c>
      <c r="K1072" s="1">
        <v>81.835999999999999</v>
      </c>
      <c r="L1072" s="1">
        <v>18.16</v>
      </c>
      <c r="M1072" s="1">
        <v>66.3</v>
      </c>
      <c r="N1072" s="1">
        <v>3.9059999999999997E-2</v>
      </c>
      <c r="O1072" s="1">
        <v>2.195E-4</v>
      </c>
      <c r="P107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0.25624938215754928</v>
      </c>
      <c r="Q1072" s="1">
        <f>LN(Table1[[#This Row],[qe_mg_g]]-Table1[[#This Row],[qt]])</f>
        <v>1.4550623514862167</v>
      </c>
      <c r="R1072" s="1">
        <v>3</v>
      </c>
    </row>
    <row r="1073" spans="1:18" x14ac:dyDescent="0.3">
      <c r="A1073" s="1">
        <v>1072</v>
      </c>
      <c r="B1073" s="1" t="s">
        <v>17</v>
      </c>
      <c r="C1073" s="1">
        <v>4</v>
      </c>
      <c r="D1073" s="1">
        <v>60</v>
      </c>
      <c r="E1073" s="1">
        <v>200</v>
      </c>
      <c r="F1073" s="1">
        <v>3</v>
      </c>
      <c r="G1073" s="1">
        <v>25</v>
      </c>
      <c r="H1073" s="1">
        <v>150</v>
      </c>
      <c r="I1073" s="1">
        <v>100</v>
      </c>
      <c r="J1073" s="1">
        <v>9.3019999999999996</v>
      </c>
      <c r="K1073" s="1">
        <v>162.792</v>
      </c>
      <c r="L1073" s="1">
        <v>18.600000000000001</v>
      </c>
      <c r="M1073" s="1">
        <v>88.3</v>
      </c>
      <c r="N1073" s="1">
        <v>3.3399999999999999E-2</v>
      </c>
      <c r="O1073" s="1">
        <v>2.0369999999999999E-4</v>
      </c>
      <c r="P107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0.94957878322092937</v>
      </c>
      <c r="Q1073" s="1">
        <f>LN(Table1[[#This Row],[qe_mg_g]]-Table1[[#This Row],[qt]])</f>
        <v>2.122551462912051</v>
      </c>
      <c r="R1073" s="1">
        <v>1</v>
      </c>
    </row>
    <row r="1074" spans="1:18" x14ac:dyDescent="0.3">
      <c r="A1074" s="1">
        <v>1073</v>
      </c>
      <c r="B1074" s="1" t="s">
        <v>17</v>
      </c>
      <c r="C1074" s="1">
        <v>4</v>
      </c>
      <c r="D1074" s="1">
        <v>60</v>
      </c>
      <c r="E1074" s="1">
        <v>200</v>
      </c>
      <c r="F1074" s="1">
        <v>3</v>
      </c>
      <c r="G1074" s="1">
        <v>25</v>
      </c>
      <c r="H1074" s="1">
        <v>150</v>
      </c>
      <c r="I1074" s="1">
        <v>100</v>
      </c>
      <c r="J1074" s="1">
        <v>11.61</v>
      </c>
      <c r="K1074" s="1">
        <v>153.559</v>
      </c>
      <c r="L1074" s="1">
        <v>23.22</v>
      </c>
      <c r="M1074" s="1">
        <v>93.5</v>
      </c>
      <c r="N1074" s="1">
        <v>3.678E-2</v>
      </c>
      <c r="O1074" s="1">
        <v>1.9139999999999999E-4</v>
      </c>
      <c r="P107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1.3658453534649824</v>
      </c>
      <c r="Q1074" s="1">
        <f>LN(Table1[[#This Row],[qe_mg_g]]-Table1[[#This Row],[qt]])</f>
        <v>2.3267072645270224</v>
      </c>
      <c r="R1074" s="1">
        <v>2</v>
      </c>
    </row>
    <row r="1075" spans="1:18" x14ac:dyDescent="0.3">
      <c r="A1075" s="1">
        <v>1074</v>
      </c>
      <c r="B1075" s="1" t="s">
        <v>17</v>
      </c>
      <c r="C1075" s="1">
        <v>4</v>
      </c>
      <c r="D1075" s="1">
        <v>60</v>
      </c>
      <c r="E1075" s="1">
        <v>200</v>
      </c>
      <c r="F1075" s="1">
        <v>3</v>
      </c>
      <c r="G1075" s="1">
        <v>25</v>
      </c>
      <c r="H1075" s="1">
        <v>150</v>
      </c>
      <c r="I1075" s="1">
        <v>100</v>
      </c>
      <c r="J1075" s="1">
        <v>8.5909999999999993</v>
      </c>
      <c r="K1075" s="1">
        <v>165.637</v>
      </c>
      <c r="L1075" s="1">
        <v>17.18</v>
      </c>
      <c r="M1075" s="1">
        <v>83</v>
      </c>
      <c r="N1075" s="1">
        <v>3.9219999999999998E-2</v>
      </c>
      <c r="O1075" s="1">
        <v>1.695E-4</v>
      </c>
      <c r="P107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0.69028884679018365</v>
      </c>
      <c r="Q1075" s="1">
        <f>LN(Table1[[#This Row],[qe_mg_g]]-Table1[[#This Row],[qt]])</f>
        <v>2.0669527748151211</v>
      </c>
      <c r="R1075" s="1">
        <v>3</v>
      </c>
    </row>
    <row r="1076" spans="1:18" x14ac:dyDescent="0.3">
      <c r="A1076" s="1">
        <v>1075</v>
      </c>
      <c r="B1076" s="1" t="s">
        <v>17</v>
      </c>
      <c r="C1076" s="1">
        <v>4</v>
      </c>
      <c r="D1076" s="1">
        <v>60</v>
      </c>
      <c r="E1076" s="1">
        <v>200</v>
      </c>
      <c r="F1076" s="1">
        <v>7</v>
      </c>
      <c r="G1076" s="1">
        <v>25</v>
      </c>
      <c r="H1076" s="1">
        <v>150</v>
      </c>
      <c r="I1076" s="1">
        <v>100</v>
      </c>
      <c r="J1076" s="1">
        <v>14.555999999999999</v>
      </c>
      <c r="K1076" s="1">
        <v>141.77699999999999</v>
      </c>
      <c r="L1076" s="1">
        <v>29.11</v>
      </c>
      <c r="M1076" s="1">
        <v>87.3</v>
      </c>
      <c r="N1076" s="1">
        <v>3.1550000000000002E-2</v>
      </c>
      <c r="O1076" s="1">
        <v>1.841E-4</v>
      </c>
      <c r="P107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2.0162163388701515</v>
      </c>
      <c r="Q1076" s="1">
        <f>LN(Table1[[#This Row],[qe_mg_g]]-Table1[[#This Row],[qt]])</f>
        <v>2.528906283152438</v>
      </c>
      <c r="R1076" s="1">
        <v>1</v>
      </c>
    </row>
    <row r="1077" spans="1:18" x14ac:dyDescent="0.3">
      <c r="A1077" s="1">
        <v>1076</v>
      </c>
      <c r="B1077" s="1" t="s">
        <v>17</v>
      </c>
      <c r="C1077" s="1">
        <v>4</v>
      </c>
      <c r="D1077" s="1">
        <v>60</v>
      </c>
      <c r="E1077" s="1">
        <v>200</v>
      </c>
      <c r="F1077" s="1">
        <v>7</v>
      </c>
      <c r="G1077" s="1">
        <v>25</v>
      </c>
      <c r="H1077" s="1">
        <v>150</v>
      </c>
      <c r="I1077" s="1">
        <v>100</v>
      </c>
      <c r="J1077" s="1">
        <v>15.583</v>
      </c>
      <c r="K1077" s="1">
        <v>137.667</v>
      </c>
      <c r="L1077" s="1">
        <v>31.17</v>
      </c>
      <c r="M1077" s="1">
        <v>68.2</v>
      </c>
      <c r="N1077" s="1">
        <v>3.159E-2</v>
      </c>
      <c r="O1077" s="1">
        <v>2.141E-4</v>
      </c>
      <c r="P107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2.5991057896271625</v>
      </c>
      <c r="Q1077" s="1">
        <f>LN(Table1[[#This Row],[qe_mg_g]]-Table1[[#This Row],[qt]])</f>
        <v>2.5637096824875414</v>
      </c>
      <c r="R1077" s="1">
        <v>2</v>
      </c>
    </row>
    <row r="1078" spans="1:18" x14ac:dyDescent="0.3">
      <c r="A1078" s="1">
        <v>1077</v>
      </c>
      <c r="B1078" s="1" t="s">
        <v>17</v>
      </c>
      <c r="C1078" s="1">
        <v>4</v>
      </c>
      <c r="D1078" s="1">
        <v>60</v>
      </c>
      <c r="E1078" s="1">
        <v>200</v>
      </c>
      <c r="F1078" s="1">
        <v>7</v>
      </c>
      <c r="G1078" s="1">
        <v>25</v>
      </c>
      <c r="H1078" s="1">
        <v>150</v>
      </c>
      <c r="I1078" s="1">
        <v>100</v>
      </c>
      <c r="J1078" s="1">
        <v>14.145</v>
      </c>
      <c r="K1078" s="1">
        <v>143.41900000000001</v>
      </c>
      <c r="L1078" s="1">
        <v>28.29</v>
      </c>
      <c r="M1078" s="1">
        <v>65.2</v>
      </c>
      <c r="N1078" s="1">
        <v>3.279E-2</v>
      </c>
      <c r="O1078" s="1">
        <v>2.1460000000000001E-4</v>
      </c>
      <c r="P107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2.179321271765629</v>
      </c>
      <c r="Q1078" s="1">
        <f>LN(Table1[[#This Row],[qe_mg_g]]-Table1[[#This Row],[qt]])</f>
        <v>2.4820424458889021</v>
      </c>
      <c r="R1078" s="1">
        <v>3</v>
      </c>
    </row>
    <row r="1079" spans="1:18" x14ac:dyDescent="0.3">
      <c r="A1079" s="1">
        <v>1078</v>
      </c>
      <c r="B1079" s="1" t="s">
        <v>17</v>
      </c>
      <c r="C1079" s="1">
        <v>4</v>
      </c>
      <c r="D1079" s="1">
        <v>60</v>
      </c>
      <c r="E1079" s="1">
        <v>200</v>
      </c>
      <c r="F1079" s="1">
        <v>11</v>
      </c>
      <c r="G1079" s="1">
        <v>25</v>
      </c>
      <c r="H1079" s="1">
        <v>150</v>
      </c>
      <c r="I1079" s="1">
        <v>100</v>
      </c>
      <c r="J1079" s="1">
        <v>12.204000000000001</v>
      </c>
      <c r="K1079" s="1">
        <v>151.185</v>
      </c>
      <c r="L1079" s="1">
        <v>24.41</v>
      </c>
      <c r="M1079" s="1">
        <v>79.7</v>
      </c>
      <c r="N1079" s="1">
        <v>3.5159999999999997E-2</v>
      </c>
      <c r="O1079" s="1">
        <v>1.651E-4</v>
      </c>
      <c r="P107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1.3162507534226127</v>
      </c>
      <c r="Q1079" s="1">
        <f>LN(Table1[[#This Row],[qe_mg_g]]-Table1[[#This Row],[qt]])</f>
        <v>2.3876382348283975</v>
      </c>
      <c r="R1079" s="1">
        <v>1</v>
      </c>
    </row>
    <row r="1080" spans="1:18" x14ac:dyDescent="0.3">
      <c r="A1080" s="1">
        <v>1079</v>
      </c>
      <c r="B1080" s="1" t="s">
        <v>17</v>
      </c>
      <c r="C1080" s="1">
        <v>4</v>
      </c>
      <c r="D1080" s="1">
        <v>60</v>
      </c>
      <c r="E1080" s="1">
        <v>200</v>
      </c>
      <c r="F1080" s="1">
        <v>11</v>
      </c>
      <c r="G1080" s="1">
        <v>25</v>
      </c>
      <c r="H1080" s="1">
        <v>150</v>
      </c>
      <c r="I1080" s="1">
        <v>100</v>
      </c>
      <c r="J1080" s="1">
        <v>13.065</v>
      </c>
      <c r="K1080" s="1">
        <v>147.74100000000001</v>
      </c>
      <c r="L1080" s="1">
        <v>26.13</v>
      </c>
      <c r="M1080" s="1">
        <v>90.6</v>
      </c>
      <c r="N1080" s="1">
        <v>3.3570000000000003E-2</v>
      </c>
      <c r="O1080" s="1">
        <v>2.2010000000000001E-4</v>
      </c>
      <c r="P108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1.9224886788801496</v>
      </c>
      <c r="Q1080" s="1">
        <f>LN(Table1[[#This Row],[qe_mg_g]]-Table1[[#This Row],[qt]])</f>
        <v>2.4107676418685582</v>
      </c>
      <c r="R1080" s="1">
        <v>2</v>
      </c>
    </row>
    <row r="1081" spans="1:18" x14ac:dyDescent="0.3">
      <c r="A1081" s="1">
        <v>1080</v>
      </c>
      <c r="B1081" s="1" t="s">
        <v>17</v>
      </c>
      <c r="C1081" s="1">
        <v>4</v>
      </c>
      <c r="D1081" s="1">
        <v>60</v>
      </c>
      <c r="E1081" s="1">
        <v>200</v>
      </c>
      <c r="F1081" s="1">
        <v>11</v>
      </c>
      <c r="G1081" s="1">
        <v>25</v>
      </c>
      <c r="H1081" s="1">
        <v>150</v>
      </c>
      <c r="I1081" s="1">
        <v>100</v>
      </c>
      <c r="J1081" s="1">
        <v>11.045</v>
      </c>
      <c r="K1081" s="1">
        <v>155.81800000000001</v>
      </c>
      <c r="L1081" s="1">
        <v>22.09</v>
      </c>
      <c r="M1081" s="1">
        <v>100.2</v>
      </c>
      <c r="N1081" s="1">
        <v>3.5540000000000002E-2</v>
      </c>
      <c r="O1081" s="1">
        <v>1.9330000000000001E-4</v>
      </c>
      <c r="P108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1.2542005308288697</v>
      </c>
      <c r="Q1081" s="1">
        <f>LN(Table1[[#This Row],[qe_mg_g]]-Table1[[#This Row],[qt]])</f>
        <v>2.2814431150235075</v>
      </c>
      <c r="R1081" s="1">
        <v>3</v>
      </c>
    </row>
    <row r="1082" spans="1:18" x14ac:dyDescent="0.3">
      <c r="A1082" s="1">
        <v>1081</v>
      </c>
      <c r="B1082" s="1" t="s">
        <v>17</v>
      </c>
      <c r="C1082" s="1">
        <v>4</v>
      </c>
      <c r="D1082" s="1">
        <v>120</v>
      </c>
      <c r="E1082" s="1">
        <v>25</v>
      </c>
      <c r="F1082" s="1">
        <v>3</v>
      </c>
      <c r="G1082" s="1">
        <v>25</v>
      </c>
      <c r="H1082" s="1">
        <v>150</v>
      </c>
      <c r="I1082" s="1">
        <v>100</v>
      </c>
      <c r="J1082" s="1">
        <v>0.41199999999999998</v>
      </c>
      <c r="K1082" s="1">
        <v>23.352</v>
      </c>
      <c r="L1082" s="1">
        <v>6.59</v>
      </c>
      <c r="M1082" s="1">
        <v>84.3</v>
      </c>
      <c r="N1082" s="1">
        <v>3.9269999999999999E-2</v>
      </c>
      <c r="O1082" s="1">
        <v>1.785E-4</v>
      </c>
      <c r="P108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3.6041100645162411E-3</v>
      </c>
      <c r="Q1082" s="1">
        <f>LN(Table1[[#This Row],[qe_mg_g]]-Table1[[#This Row],[qt]])</f>
        <v>-0.89551825656331574</v>
      </c>
      <c r="R1082" s="1">
        <v>1</v>
      </c>
    </row>
    <row r="1083" spans="1:18" x14ac:dyDescent="0.3">
      <c r="A1083" s="1">
        <v>1082</v>
      </c>
      <c r="B1083" s="1" t="s">
        <v>17</v>
      </c>
      <c r="C1083" s="1">
        <v>4</v>
      </c>
      <c r="D1083" s="1">
        <v>120</v>
      </c>
      <c r="E1083" s="1">
        <v>25</v>
      </c>
      <c r="F1083" s="1">
        <v>3</v>
      </c>
      <c r="G1083" s="1">
        <v>25</v>
      </c>
      <c r="H1083" s="1">
        <v>150</v>
      </c>
      <c r="I1083" s="1">
        <v>100</v>
      </c>
      <c r="J1083" s="1">
        <v>0.38100000000000001</v>
      </c>
      <c r="K1083" s="1">
        <v>23.474</v>
      </c>
      <c r="L1083" s="1">
        <v>6.1</v>
      </c>
      <c r="M1083" s="1">
        <v>99</v>
      </c>
      <c r="N1083" s="1">
        <v>3.2919999999999998E-2</v>
      </c>
      <c r="O1083" s="1">
        <v>2.1800000000000001E-4</v>
      </c>
      <c r="P108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3.7599366220851427E-3</v>
      </c>
      <c r="Q1083" s="1">
        <f>LN(Table1[[#This Row],[qe_mg_g]]-Table1[[#This Row],[qt]])</f>
        <v>-0.97487352130223937</v>
      </c>
      <c r="R1083" s="1">
        <v>2</v>
      </c>
    </row>
    <row r="1084" spans="1:18" x14ac:dyDescent="0.3">
      <c r="A1084" s="1">
        <v>1083</v>
      </c>
      <c r="B1084" s="1" t="s">
        <v>17</v>
      </c>
      <c r="C1084" s="1">
        <v>4</v>
      </c>
      <c r="D1084" s="1">
        <v>120</v>
      </c>
      <c r="E1084" s="1">
        <v>25</v>
      </c>
      <c r="F1084" s="1">
        <v>3</v>
      </c>
      <c r="G1084" s="1">
        <v>25</v>
      </c>
      <c r="H1084" s="1">
        <v>150</v>
      </c>
      <c r="I1084" s="1">
        <v>100</v>
      </c>
      <c r="J1084" s="1">
        <v>0.48299999999999998</v>
      </c>
      <c r="K1084" s="1">
        <v>23.068000000000001</v>
      </c>
      <c r="L1084" s="1">
        <v>7.73</v>
      </c>
      <c r="M1084" s="1">
        <v>80.5</v>
      </c>
      <c r="N1084" s="1">
        <v>3.7379999999999997E-2</v>
      </c>
      <c r="O1084" s="1">
        <v>1.7689999999999999E-4</v>
      </c>
      <c r="P108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4.9019980976569601E-3</v>
      </c>
      <c r="Q1084" s="1">
        <f>LN(Table1[[#This Row],[qe_mg_g]]-Table1[[#This Row],[qt]])</f>
        <v>-0.73793954260511441</v>
      </c>
      <c r="R1084" s="1">
        <v>3</v>
      </c>
    </row>
    <row r="1085" spans="1:18" x14ac:dyDescent="0.3">
      <c r="A1085" s="1">
        <v>1084</v>
      </c>
      <c r="B1085" s="1" t="s">
        <v>17</v>
      </c>
      <c r="C1085" s="1">
        <v>4</v>
      </c>
      <c r="D1085" s="1">
        <v>120</v>
      </c>
      <c r="E1085" s="1">
        <v>25</v>
      </c>
      <c r="F1085" s="1">
        <v>7</v>
      </c>
      <c r="G1085" s="1">
        <v>25</v>
      </c>
      <c r="H1085" s="1">
        <v>150</v>
      </c>
      <c r="I1085" s="1">
        <v>100</v>
      </c>
      <c r="J1085" s="1">
        <v>0.76400000000000001</v>
      </c>
      <c r="K1085" s="1">
        <v>21.943999999999999</v>
      </c>
      <c r="L1085" s="1">
        <v>12.22</v>
      </c>
      <c r="M1085" s="1">
        <v>88.3</v>
      </c>
      <c r="N1085" s="1">
        <v>3.6659999999999998E-2</v>
      </c>
      <c r="O1085" s="1">
        <v>1.8709999999999999E-4</v>
      </c>
      <c r="P108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1.2884136768021271E-2</v>
      </c>
      <c r="Q1085" s="1">
        <f>LN(Table1[[#This Row],[qe_mg_g]]-Table1[[#This Row],[qt]])</f>
        <v>-0.28619536051322331</v>
      </c>
      <c r="R1085" s="1">
        <v>1</v>
      </c>
    </row>
    <row r="1086" spans="1:18" x14ac:dyDescent="0.3">
      <c r="A1086" s="1">
        <v>1085</v>
      </c>
      <c r="B1086" s="1" t="s">
        <v>17</v>
      </c>
      <c r="C1086" s="1">
        <v>4</v>
      </c>
      <c r="D1086" s="1">
        <v>120</v>
      </c>
      <c r="E1086" s="1">
        <v>25</v>
      </c>
      <c r="F1086" s="1">
        <v>7</v>
      </c>
      <c r="G1086" s="1">
        <v>25</v>
      </c>
      <c r="H1086" s="1">
        <v>150</v>
      </c>
      <c r="I1086" s="1">
        <v>100</v>
      </c>
      <c r="J1086" s="1">
        <v>0.59199999999999997</v>
      </c>
      <c r="K1086" s="1">
        <v>22.63</v>
      </c>
      <c r="L1086" s="1">
        <v>9.48</v>
      </c>
      <c r="M1086" s="1">
        <v>92.2</v>
      </c>
      <c r="N1086" s="1">
        <v>2.7779999999999999E-2</v>
      </c>
      <c r="O1086" s="1">
        <v>1.9369999999999999E-4</v>
      </c>
      <c r="P1086" s="1">
        <f>(Table1[[#This Row],[Rate_Constant_k2_g_mg_min]]*Table1[[#This Row],[Contact_Time_min]]*Table1[[#This Row],[qe_mg_g]]^2)/(1+Table1[[#This Row],[Contact_Time_min]]*Table1[[#This Row],[qe_mg_g]]*Table1[[#This Row],[Rate_Constant_k2_g_mg_min]])</f>
        <v>8.0356116004241668E-3</v>
      </c>
      <c r="Q1086" s="1">
        <f>LN(Table1[[#This Row],[qe_mg_g]]-Table1[[#This Row],[qt]])</f>
        <v>-0.53791527678104034</v>
      </c>
      <c r="R1086" s="1">
        <v>2</v>
      </c>
    </row>
    <row r="1087" spans="1:18" x14ac:dyDescent="0.3">
      <c r="A1087" s="1">
        <v>1086</v>
      </c>
      <c r="B1087" s="1" t="s">
        <v>17</v>
      </c>
      <c r="C1087" s="1">
        <v>4</v>
      </c>
      <c r="D1087" s="1">
        <v>120</v>
      </c>
      <c r="E1087" s="1">
        <v>25</v>
      </c>
      <c r="F1087" s="1">
        <v>7</v>
      </c>
      <c r="G1087" s="1">
        <v>25</v>
      </c>
      <c r="H1087" s="1">
        <v>150</v>
      </c>
      <c r="I1087" s="1">
        <v>100</v>
      </c>
      <c r="J1087" s="1">
        <v>0.77700000000000002</v>
      </c>
      <c r="K1087" s="1">
        <v>21.890999999999998</v>
      </c>
      <c r="L1087" s="1">
        <v>12.44</v>
      </c>
      <c r="M1087" s="1">
        <v>88.2</v>
      </c>
      <c r="N1087" s="1">
        <v>4.1820000000000003E-2</v>
      </c>
      <c r="O1087" s="1">
        <v>2.2049999999999999E-4</v>
      </c>
      <c r="P108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1.5652855705354227E-2</v>
      </c>
      <c r="Q1087" s="1">
        <f>LN(Table1[[#This Row],[qe_mg_g]]-Table1[[#This Row],[qt]])</f>
        <v>-0.27266585654679099</v>
      </c>
      <c r="R1087" s="1">
        <v>3</v>
      </c>
    </row>
    <row r="1088" spans="1:18" x14ac:dyDescent="0.3">
      <c r="A1088" s="1">
        <v>1087</v>
      </c>
      <c r="B1088" s="1" t="s">
        <v>17</v>
      </c>
      <c r="C1088" s="1">
        <v>4</v>
      </c>
      <c r="D1088" s="1">
        <v>120</v>
      </c>
      <c r="E1088" s="1">
        <v>25</v>
      </c>
      <c r="F1088" s="1">
        <v>11</v>
      </c>
      <c r="G1088" s="1">
        <v>25</v>
      </c>
      <c r="H1088" s="1">
        <v>150</v>
      </c>
      <c r="I1088" s="1">
        <v>100</v>
      </c>
      <c r="J1088" s="1">
        <v>0.48899999999999999</v>
      </c>
      <c r="K1088" s="1">
        <v>23.042999999999999</v>
      </c>
      <c r="L1088" s="1">
        <v>7.83</v>
      </c>
      <c r="M1088" s="1">
        <v>86.1</v>
      </c>
      <c r="N1088" s="1">
        <v>3.483E-2</v>
      </c>
      <c r="O1088" s="1">
        <v>1.684E-4</v>
      </c>
      <c r="P108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4.7848744170544992E-3</v>
      </c>
      <c r="Q1088" s="1">
        <f>LN(Table1[[#This Row],[qe_mg_g]]-Table1[[#This Row],[qt]])</f>
        <v>-0.72522599667003829</v>
      </c>
      <c r="R1088" s="1">
        <v>1</v>
      </c>
    </row>
    <row r="1089" spans="1:18" x14ac:dyDescent="0.3">
      <c r="A1089" s="1">
        <v>1088</v>
      </c>
      <c r="B1089" s="1" t="s">
        <v>17</v>
      </c>
      <c r="C1089" s="1">
        <v>4</v>
      </c>
      <c r="D1089" s="1">
        <v>120</v>
      </c>
      <c r="E1089" s="1">
        <v>25</v>
      </c>
      <c r="F1089" s="1">
        <v>11</v>
      </c>
      <c r="G1089" s="1">
        <v>25</v>
      </c>
      <c r="H1089" s="1">
        <v>150</v>
      </c>
      <c r="I1089" s="1">
        <v>100</v>
      </c>
      <c r="J1089" s="1">
        <v>0.47399999999999998</v>
      </c>
      <c r="K1089" s="1">
        <v>23.103000000000002</v>
      </c>
      <c r="L1089" s="1">
        <v>7.59</v>
      </c>
      <c r="M1089" s="1">
        <v>78.5</v>
      </c>
      <c r="N1089" s="1">
        <v>2.7869999999999999E-2</v>
      </c>
      <c r="O1089" s="1">
        <v>2.009E-4</v>
      </c>
      <c r="P1089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5.3552930461454318E-3</v>
      </c>
      <c r="Q1089" s="1">
        <f>LN(Table1[[#This Row],[qe_mg_g]]-Table1[[#This Row],[qt]])</f>
        <v>-0.75791035209463786</v>
      </c>
      <c r="R1089" s="1">
        <v>2</v>
      </c>
    </row>
    <row r="1090" spans="1:18" x14ac:dyDescent="0.3">
      <c r="A1090" s="1">
        <v>1089</v>
      </c>
      <c r="B1090" s="1" t="s">
        <v>17</v>
      </c>
      <c r="C1090" s="1">
        <v>4</v>
      </c>
      <c r="D1090" s="1">
        <v>120</v>
      </c>
      <c r="E1090" s="1">
        <v>25</v>
      </c>
      <c r="F1090" s="1">
        <v>11</v>
      </c>
      <c r="G1090" s="1">
        <v>25</v>
      </c>
      <c r="H1090" s="1">
        <v>150</v>
      </c>
      <c r="I1090" s="1">
        <v>100</v>
      </c>
      <c r="J1090" s="1">
        <v>0.51</v>
      </c>
      <c r="K1090" s="1">
        <v>22.959</v>
      </c>
      <c r="L1090" s="1">
        <v>8.17</v>
      </c>
      <c r="M1090" s="1">
        <v>64.2</v>
      </c>
      <c r="N1090" s="1">
        <v>3.6409999999999998E-2</v>
      </c>
      <c r="O1090" s="1">
        <v>2.143E-4</v>
      </c>
      <c r="P1090" s="1">
        <f>(Table1[[#This Row],[Rate_Constant_k2_g_mg_min]]*Table1[[#This Row],[Contact_Time_min]]*Table1[[#This Row],[qe_mg_g]]^2)/(1+Table1[[#This Row],[Contact_Time_min]]*Table1[[#This Row],[qe_mg_g]]*Table1[[#This Row],[Rate_Constant_k2_g_mg_min]])</f>
        <v>6.6021434325392982E-3</v>
      </c>
      <c r="Q1090" s="1">
        <f>LN(Table1[[#This Row],[qe_mg_g]]-Table1[[#This Row],[qt]])</f>
        <v>-0.6863744542012683</v>
      </c>
      <c r="R1090" s="1">
        <v>3</v>
      </c>
    </row>
    <row r="1091" spans="1:18" x14ac:dyDescent="0.3">
      <c r="A1091" s="1">
        <v>1090</v>
      </c>
      <c r="B1091" s="1" t="s">
        <v>17</v>
      </c>
      <c r="C1091" s="1">
        <v>4</v>
      </c>
      <c r="D1091" s="1">
        <v>120</v>
      </c>
      <c r="E1091" s="1">
        <v>50</v>
      </c>
      <c r="F1091" s="1">
        <v>3</v>
      </c>
      <c r="G1091" s="1">
        <v>25</v>
      </c>
      <c r="H1091" s="1">
        <v>150</v>
      </c>
      <c r="I1091" s="1">
        <v>100</v>
      </c>
      <c r="J1091" s="1">
        <v>1.534</v>
      </c>
      <c r="K1091" s="1">
        <v>43.863</v>
      </c>
      <c r="L1091" s="1">
        <v>12.27</v>
      </c>
      <c r="M1091" s="1">
        <v>81.5</v>
      </c>
      <c r="N1091" s="1">
        <v>3.7069999999999999E-2</v>
      </c>
      <c r="O1091" s="1">
        <v>2.1359999999999999E-4</v>
      </c>
      <c r="P1091" s="1">
        <f>(Table1[[#This Row],[Rate_Constant_k2_g_mg_min]]*Table1[[#This Row],[Contact_Time_min]]*Table1[[#This Row],[qe_mg_g]]^2)/(1+Table1[[#This Row],[Contact_Time_min]]*Table1[[#This Row],[qe_mg_g]]*Table1[[#This Row],[Rate_Constant_k2_g_mg_min]])</f>
        <v>5.8034218821460225E-2</v>
      </c>
      <c r="Q1091" s="1">
        <f>LN(Table1[[#This Row],[qe_mg_g]]-Table1[[#This Row],[qt]])</f>
        <v>0.38931254242616553</v>
      </c>
      <c r="R1091" s="1">
        <v>1</v>
      </c>
    </row>
    <row r="1092" spans="1:18" x14ac:dyDescent="0.3">
      <c r="A1092" s="1">
        <v>1091</v>
      </c>
      <c r="B1092" s="1" t="s">
        <v>17</v>
      </c>
      <c r="C1092" s="1">
        <v>4</v>
      </c>
      <c r="D1092" s="1">
        <v>120</v>
      </c>
      <c r="E1092" s="1">
        <v>50</v>
      </c>
      <c r="F1092" s="1">
        <v>3</v>
      </c>
      <c r="G1092" s="1">
        <v>25</v>
      </c>
      <c r="H1092" s="1">
        <v>150</v>
      </c>
      <c r="I1092" s="1">
        <v>100</v>
      </c>
      <c r="J1092" s="1">
        <v>1.546</v>
      </c>
      <c r="K1092" s="1">
        <v>43.814999999999998</v>
      </c>
      <c r="L1092" s="1">
        <v>12.37</v>
      </c>
      <c r="M1092" s="1">
        <v>75.099999999999994</v>
      </c>
      <c r="N1092" s="1">
        <v>3.5970000000000002E-2</v>
      </c>
      <c r="O1092" s="1">
        <v>2.2389999999999999E-4</v>
      </c>
      <c r="P1092" s="1">
        <f>(Table1[[#This Row],[Rate_Constant_k2_g_mg_min]]*Table1[[#This Row],[Contact_Time_min]]*Table1[[#This Row],[qe_mg_g]]^2)/(1+Table1[[#This Row],[Contact_Time_min]]*Table1[[#This Row],[qe_mg_g]]*Table1[[#This Row],[Rate_Constant_k2_g_mg_min]])</f>
        <v>6.165655129939733E-2</v>
      </c>
      <c r="Q1092" s="1">
        <f>LN(Table1[[#This Row],[qe_mg_g]]-Table1[[#This Row],[qt]])</f>
        <v>0.39497255240273965</v>
      </c>
      <c r="R1092" s="1">
        <v>2</v>
      </c>
    </row>
    <row r="1093" spans="1:18" x14ac:dyDescent="0.3">
      <c r="A1093" s="1">
        <v>1092</v>
      </c>
      <c r="B1093" s="1" t="s">
        <v>17</v>
      </c>
      <c r="C1093" s="1">
        <v>4</v>
      </c>
      <c r="D1093" s="1">
        <v>120</v>
      </c>
      <c r="E1093" s="1">
        <v>50</v>
      </c>
      <c r="F1093" s="1">
        <v>3</v>
      </c>
      <c r="G1093" s="1">
        <v>25</v>
      </c>
      <c r="H1093" s="1">
        <v>150</v>
      </c>
      <c r="I1093" s="1">
        <v>100</v>
      </c>
      <c r="J1093" s="1">
        <v>1.411</v>
      </c>
      <c r="K1093" s="1">
        <v>44.356999999999999</v>
      </c>
      <c r="L1093" s="1">
        <v>11.29</v>
      </c>
      <c r="M1093" s="1">
        <v>112.7</v>
      </c>
      <c r="N1093" s="1">
        <v>3.3160000000000002E-2</v>
      </c>
      <c r="O1093" s="1">
        <v>2.006E-4</v>
      </c>
      <c r="P109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4.6351107505712828E-2</v>
      </c>
      <c r="Q1093" s="1">
        <f>LN(Table1[[#This Row],[qe_mg_g]]-Table1[[#This Row],[qt]])</f>
        <v>0.31089717393386246</v>
      </c>
      <c r="R1093" s="1">
        <v>3</v>
      </c>
    </row>
    <row r="1094" spans="1:18" x14ac:dyDescent="0.3">
      <c r="A1094" s="1">
        <v>1093</v>
      </c>
      <c r="B1094" s="1" t="s">
        <v>17</v>
      </c>
      <c r="C1094" s="1">
        <v>4</v>
      </c>
      <c r="D1094" s="1">
        <v>120</v>
      </c>
      <c r="E1094" s="1">
        <v>50</v>
      </c>
      <c r="F1094" s="1">
        <v>7</v>
      </c>
      <c r="G1094" s="1">
        <v>25</v>
      </c>
      <c r="H1094" s="1">
        <v>150</v>
      </c>
      <c r="I1094" s="1">
        <v>100</v>
      </c>
      <c r="J1094" s="1">
        <v>2.3460000000000001</v>
      </c>
      <c r="K1094" s="1">
        <v>40.616999999999997</v>
      </c>
      <c r="L1094" s="1">
        <v>18.77</v>
      </c>
      <c r="M1094" s="1">
        <v>88.6</v>
      </c>
      <c r="N1094" s="1">
        <v>2.8899999999999999E-2</v>
      </c>
      <c r="O1094" s="1">
        <v>1.8909999999999999E-4</v>
      </c>
      <c r="P109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0.11857778391944568</v>
      </c>
      <c r="Q1094" s="1">
        <f>LN(Table1[[#This Row],[qe_mg_g]]-Table1[[#This Row],[qt]])</f>
        <v>0.80084495992395965</v>
      </c>
      <c r="R1094" s="1">
        <v>1</v>
      </c>
    </row>
    <row r="1095" spans="1:18" x14ac:dyDescent="0.3">
      <c r="A1095" s="1">
        <v>1094</v>
      </c>
      <c r="B1095" s="1" t="s">
        <v>17</v>
      </c>
      <c r="C1095" s="1">
        <v>4</v>
      </c>
      <c r="D1095" s="1">
        <v>120</v>
      </c>
      <c r="E1095" s="1">
        <v>50</v>
      </c>
      <c r="F1095" s="1">
        <v>7</v>
      </c>
      <c r="G1095" s="1">
        <v>25</v>
      </c>
      <c r="H1095" s="1">
        <v>150</v>
      </c>
      <c r="I1095" s="1">
        <v>100</v>
      </c>
      <c r="J1095" s="1">
        <v>2.2400000000000002</v>
      </c>
      <c r="K1095" s="1">
        <v>41.039000000000001</v>
      </c>
      <c r="L1095" s="1">
        <v>17.920000000000002</v>
      </c>
      <c r="M1095" s="1">
        <v>87.5</v>
      </c>
      <c r="N1095" s="1">
        <v>3.848E-2</v>
      </c>
      <c r="O1095" s="1">
        <v>2.129E-4</v>
      </c>
      <c r="P109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0.12125076426311719</v>
      </c>
      <c r="Q1095" s="1">
        <f>LN(Table1[[#This Row],[qe_mg_g]]-Table1[[#This Row],[qt]])</f>
        <v>0.75082593143240284</v>
      </c>
      <c r="R1095" s="1">
        <v>2</v>
      </c>
    </row>
    <row r="1096" spans="1:18" x14ac:dyDescent="0.3">
      <c r="A1096" s="1">
        <v>1095</v>
      </c>
      <c r="B1096" s="1" t="s">
        <v>17</v>
      </c>
      <c r="C1096" s="1">
        <v>4</v>
      </c>
      <c r="D1096" s="1">
        <v>120</v>
      </c>
      <c r="E1096" s="1">
        <v>50</v>
      </c>
      <c r="F1096" s="1">
        <v>7</v>
      </c>
      <c r="G1096" s="1">
        <v>25</v>
      </c>
      <c r="H1096" s="1">
        <v>150</v>
      </c>
      <c r="I1096" s="1">
        <v>100</v>
      </c>
      <c r="J1096" s="1">
        <v>1.9179999999999999</v>
      </c>
      <c r="K1096" s="1">
        <v>42.326000000000001</v>
      </c>
      <c r="L1096" s="1">
        <v>15.35</v>
      </c>
      <c r="M1096" s="1">
        <v>112</v>
      </c>
      <c r="N1096" s="1">
        <v>3.603E-2</v>
      </c>
      <c r="O1096" s="1">
        <v>1.8450000000000001E-4</v>
      </c>
      <c r="P1096" s="1">
        <f>(Table1[[#This Row],[Rate_Constant_k2_g_mg_min]]*Table1[[#This Row],[Contact_Time_min]]*Table1[[#This Row],[qe_mg_g]]^2)/(1+Table1[[#This Row],[Contact_Time_min]]*Table1[[#This Row],[qe_mg_g]]*Table1[[#This Row],[Rate_Constant_k2_g_mg_min]])</f>
        <v>7.8129229146331039E-2</v>
      </c>
      <c r="Q1096" s="1">
        <f>LN(Table1[[#This Row],[qe_mg_g]]-Table1[[#This Row],[qt]])</f>
        <v>0.60969533592272362</v>
      </c>
      <c r="R1096" s="1">
        <v>3</v>
      </c>
    </row>
    <row r="1097" spans="1:18" x14ac:dyDescent="0.3">
      <c r="A1097" s="1">
        <v>1096</v>
      </c>
      <c r="B1097" s="1" t="s">
        <v>17</v>
      </c>
      <c r="C1097" s="1">
        <v>4</v>
      </c>
      <c r="D1097" s="1">
        <v>120</v>
      </c>
      <c r="E1097" s="1">
        <v>50</v>
      </c>
      <c r="F1097" s="1">
        <v>11</v>
      </c>
      <c r="G1097" s="1">
        <v>25</v>
      </c>
      <c r="H1097" s="1">
        <v>150</v>
      </c>
      <c r="I1097" s="1">
        <v>100</v>
      </c>
      <c r="J1097" s="1">
        <v>1.911</v>
      </c>
      <c r="K1097" s="1">
        <v>42.356000000000002</v>
      </c>
      <c r="L1097" s="1">
        <v>15.29</v>
      </c>
      <c r="M1097" s="1">
        <v>88</v>
      </c>
      <c r="N1097" s="1">
        <v>3.2669999999999998E-2</v>
      </c>
      <c r="O1097" s="1">
        <v>2.04E-4</v>
      </c>
      <c r="P1097" s="1">
        <f>(Table1[[#This Row],[Rate_Constant_k2_g_mg_min]]*Table1[[#This Row],[Contact_Time_min]]*Table1[[#This Row],[qe_mg_g]]^2)/(1+Table1[[#This Row],[Contact_Time_min]]*Table1[[#This Row],[qe_mg_g]]*Table1[[#This Row],[Rate_Constant_k2_g_mg_min]])</f>
        <v>8.5403730261588165E-2</v>
      </c>
      <c r="Q1097" s="1">
        <f>LN(Table1[[#This Row],[qe_mg_g]]-Table1[[#This Row],[qt]])</f>
        <v>0.60190665681640643</v>
      </c>
      <c r="R1097" s="1">
        <v>1</v>
      </c>
    </row>
    <row r="1098" spans="1:18" x14ac:dyDescent="0.3">
      <c r="A1098" s="1">
        <v>1097</v>
      </c>
      <c r="B1098" s="1" t="s">
        <v>17</v>
      </c>
      <c r="C1098" s="1">
        <v>4</v>
      </c>
      <c r="D1098" s="1">
        <v>120</v>
      </c>
      <c r="E1098" s="1">
        <v>50</v>
      </c>
      <c r="F1098" s="1">
        <v>11</v>
      </c>
      <c r="G1098" s="1">
        <v>25</v>
      </c>
      <c r="H1098" s="1">
        <v>150</v>
      </c>
      <c r="I1098" s="1">
        <v>100</v>
      </c>
      <c r="J1098" s="1">
        <v>1.7669999999999999</v>
      </c>
      <c r="K1098" s="1">
        <v>42.930999999999997</v>
      </c>
      <c r="L1098" s="1">
        <v>14.14</v>
      </c>
      <c r="M1098" s="1">
        <v>80.5</v>
      </c>
      <c r="N1098" s="1">
        <v>3.2599999999999997E-2</v>
      </c>
      <c r="O1098" s="1">
        <v>1.7129999999999999E-4</v>
      </c>
      <c r="P1098" s="1">
        <f>(Table1[[#This Row],[Rate_Constant_k2_g_mg_min]]*Table1[[#This Row],[Contact_Time_min]]*Table1[[#This Row],[qe_mg_g]]^2)/(1+Table1[[#This Row],[Contact_Time_min]]*Table1[[#This Row],[qe_mg_g]]*Table1[[#This Row],[Rate_Constant_k2_g_mg_min]])</f>
        <v>6.1932241803828052E-2</v>
      </c>
      <c r="Q1098" s="1">
        <f>LN(Table1[[#This Row],[qe_mg_g]]-Table1[[#This Row],[qt]])</f>
        <v>0.53360485082335252</v>
      </c>
      <c r="R1098" s="1">
        <v>2</v>
      </c>
    </row>
    <row r="1099" spans="1:18" x14ac:dyDescent="0.3">
      <c r="A1099" s="1">
        <v>1098</v>
      </c>
      <c r="B1099" s="1" t="s">
        <v>17</v>
      </c>
      <c r="C1099" s="1">
        <v>4</v>
      </c>
      <c r="D1099" s="1">
        <v>120</v>
      </c>
      <c r="E1099" s="1">
        <v>50</v>
      </c>
      <c r="F1099" s="1">
        <v>11</v>
      </c>
      <c r="G1099" s="1">
        <v>25</v>
      </c>
      <c r="H1099" s="1">
        <v>150</v>
      </c>
      <c r="I1099" s="1">
        <v>100</v>
      </c>
      <c r="J1099" s="1">
        <v>1.909</v>
      </c>
      <c r="K1099" s="1">
        <v>42.363999999999997</v>
      </c>
      <c r="L1099" s="1">
        <v>15.27</v>
      </c>
      <c r="M1099" s="1">
        <v>93.2</v>
      </c>
      <c r="N1099" s="1">
        <v>3.6799999999999999E-2</v>
      </c>
      <c r="O1099" s="1">
        <v>2.164E-4</v>
      </c>
      <c r="P1099" s="1">
        <f>(Table1[[#This Row],[Rate_Constant_k2_g_mg_min]]*Table1[[#This Row],[Contact_Time_min]]*Table1[[#This Row],[qe_mg_g]]^2)/(1+Table1[[#This Row],[Contact_Time_min]]*Table1[[#This Row],[qe_mg_g]]*Table1[[#This Row],[Rate_Constant_k2_g_mg_min]])</f>
        <v>9.0164949882014497E-2</v>
      </c>
      <c r="Q1099" s="1">
        <f>LN(Table1[[#This Row],[qe_mg_g]]-Table1[[#This Row],[qt]])</f>
        <v>0.59819621379578258</v>
      </c>
      <c r="R1099" s="1">
        <v>3</v>
      </c>
    </row>
    <row r="1100" spans="1:18" x14ac:dyDescent="0.3">
      <c r="A1100" s="1">
        <v>1099</v>
      </c>
      <c r="B1100" s="1" t="s">
        <v>17</v>
      </c>
      <c r="C1100" s="1">
        <v>4</v>
      </c>
      <c r="D1100" s="1">
        <v>120</v>
      </c>
      <c r="E1100" s="1">
        <v>100</v>
      </c>
      <c r="F1100" s="1">
        <v>3</v>
      </c>
      <c r="G1100" s="1">
        <v>25</v>
      </c>
      <c r="H1100" s="1">
        <v>150</v>
      </c>
      <c r="I1100" s="1">
        <v>100</v>
      </c>
      <c r="J1100" s="1">
        <v>5.234</v>
      </c>
      <c r="K1100" s="1">
        <v>79.064999999999998</v>
      </c>
      <c r="L1100" s="1">
        <v>20.93</v>
      </c>
      <c r="M1100" s="1">
        <v>78.900000000000006</v>
      </c>
      <c r="N1100" s="1">
        <v>3.7940000000000002E-2</v>
      </c>
      <c r="O1100" s="1">
        <v>1.728E-4</v>
      </c>
      <c r="P110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0.51244126974156423</v>
      </c>
      <c r="Q1100" s="1">
        <f>LN(Table1[[#This Row],[qe_mg_g]]-Table1[[#This Row],[qt]])</f>
        <v>1.5521389845419482</v>
      </c>
      <c r="R1100" s="1">
        <v>1</v>
      </c>
    </row>
    <row r="1101" spans="1:18" x14ac:dyDescent="0.3">
      <c r="A1101" s="1">
        <v>1100</v>
      </c>
      <c r="B1101" s="1" t="s">
        <v>17</v>
      </c>
      <c r="C1101" s="1">
        <v>4</v>
      </c>
      <c r="D1101" s="1">
        <v>120</v>
      </c>
      <c r="E1101" s="1">
        <v>100</v>
      </c>
      <c r="F1101" s="1">
        <v>3</v>
      </c>
      <c r="G1101" s="1">
        <v>25</v>
      </c>
      <c r="H1101" s="1">
        <v>150</v>
      </c>
      <c r="I1101" s="1">
        <v>100</v>
      </c>
      <c r="J1101" s="1">
        <v>4.6130000000000004</v>
      </c>
      <c r="K1101" s="1">
        <v>81.549000000000007</v>
      </c>
      <c r="L1101" s="1">
        <v>18.45</v>
      </c>
      <c r="M1101" s="1">
        <v>73.3</v>
      </c>
      <c r="N1101" s="1">
        <v>3.8780000000000002E-2</v>
      </c>
      <c r="O1101" s="1">
        <v>2.1890000000000001E-4</v>
      </c>
      <c r="P110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0.49856385404929615</v>
      </c>
      <c r="Q1101" s="1">
        <f>LN(Table1[[#This Row],[qe_mg_g]]-Table1[[#This Row],[qt]])</f>
        <v>1.4145018006700749</v>
      </c>
      <c r="R1101" s="1">
        <v>2</v>
      </c>
    </row>
    <row r="1102" spans="1:18" x14ac:dyDescent="0.3">
      <c r="A1102" s="1">
        <v>1101</v>
      </c>
      <c r="B1102" s="1" t="s">
        <v>17</v>
      </c>
      <c r="C1102" s="1">
        <v>4</v>
      </c>
      <c r="D1102" s="1">
        <v>120</v>
      </c>
      <c r="E1102" s="1">
        <v>100</v>
      </c>
      <c r="F1102" s="1">
        <v>3</v>
      </c>
      <c r="G1102" s="1">
        <v>25</v>
      </c>
      <c r="H1102" s="1">
        <v>150</v>
      </c>
      <c r="I1102" s="1">
        <v>100</v>
      </c>
      <c r="J1102" s="1">
        <v>5.3159999999999998</v>
      </c>
      <c r="K1102" s="1">
        <v>78.734999999999999</v>
      </c>
      <c r="L1102" s="1">
        <v>21.27</v>
      </c>
      <c r="M1102" s="1">
        <v>99.5</v>
      </c>
      <c r="N1102" s="1">
        <v>3.1919999999999997E-2</v>
      </c>
      <c r="O1102" s="1">
        <v>2.0699999999999999E-4</v>
      </c>
      <c r="P110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0.6200920191612832</v>
      </c>
      <c r="Q1102" s="1">
        <f>LN(Table1[[#This Row],[qe_mg_g]]-Table1[[#This Row],[qt]])</f>
        <v>1.5466914871120681</v>
      </c>
      <c r="R1102" s="1">
        <v>3</v>
      </c>
    </row>
    <row r="1103" spans="1:18" x14ac:dyDescent="0.3">
      <c r="A1103" s="1">
        <v>1102</v>
      </c>
      <c r="B1103" s="1" t="s">
        <v>17</v>
      </c>
      <c r="C1103" s="1">
        <v>4</v>
      </c>
      <c r="D1103" s="1">
        <v>120</v>
      </c>
      <c r="E1103" s="1">
        <v>100</v>
      </c>
      <c r="F1103" s="1">
        <v>7</v>
      </c>
      <c r="G1103" s="1">
        <v>25</v>
      </c>
      <c r="H1103" s="1">
        <v>150</v>
      </c>
      <c r="I1103" s="1">
        <v>100</v>
      </c>
      <c r="J1103" s="1">
        <v>8.0730000000000004</v>
      </c>
      <c r="K1103" s="1">
        <v>67.706999999999994</v>
      </c>
      <c r="L1103" s="1">
        <v>32.29</v>
      </c>
      <c r="M1103" s="1">
        <v>96.6</v>
      </c>
      <c r="N1103" s="1">
        <v>3.4599999999999999E-2</v>
      </c>
      <c r="O1103" s="1">
        <v>1.9230000000000001E-4</v>
      </c>
      <c r="P110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1.2677646357464942</v>
      </c>
      <c r="Q1103" s="1">
        <f>LN(Table1[[#This Row],[qe_mg_g]]-Table1[[#This Row],[qt]])</f>
        <v>1.9176922224639485</v>
      </c>
      <c r="R1103" s="1">
        <v>1</v>
      </c>
    </row>
    <row r="1104" spans="1:18" x14ac:dyDescent="0.3">
      <c r="A1104" s="1">
        <v>1103</v>
      </c>
      <c r="B1104" s="1" t="s">
        <v>17</v>
      </c>
      <c r="C1104" s="1">
        <v>4</v>
      </c>
      <c r="D1104" s="1">
        <v>120</v>
      </c>
      <c r="E1104" s="1">
        <v>100</v>
      </c>
      <c r="F1104" s="1">
        <v>7</v>
      </c>
      <c r="G1104" s="1">
        <v>25</v>
      </c>
      <c r="H1104" s="1">
        <v>150</v>
      </c>
      <c r="I1104" s="1">
        <v>100</v>
      </c>
      <c r="J1104" s="1">
        <v>8.6180000000000003</v>
      </c>
      <c r="K1104" s="1">
        <v>65.528999999999996</v>
      </c>
      <c r="L1104" s="1">
        <v>34.47</v>
      </c>
      <c r="M1104" s="1">
        <v>97</v>
      </c>
      <c r="N1104" s="1">
        <v>3.2660000000000002E-2</v>
      </c>
      <c r="O1104" s="1">
        <v>1.9880000000000001E-4</v>
      </c>
      <c r="P110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1.4696387872727068</v>
      </c>
      <c r="Q1104" s="1">
        <f>LN(Table1[[#This Row],[qe_mg_g]]-Table1[[#This Row],[qt]])</f>
        <v>1.9668831294181872</v>
      </c>
      <c r="R1104" s="1">
        <v>2</v>
      </c>
    </row>
    <row r="1105" spans="1:18" x14ac:dyDescent="0.3">
      <c r="A1105" s="1">
        <v>1104</v>
      </c>
      <c r="B1105" s="1" t="s">
        <v>17</v>
      </c>
      <c r="C1105" s="1">
        <v>4</v>
      </c>
      <c r="D1105" s="1">
        <v>120</v>
      </c>
      <c r="E1105" s="1">
        <v>100</v>
      </c>
      <c r="F1105" s="1">
        <v>7</v>
      </c>
      <c r="G1105" s="1">
        <v>25</v>
      </c>
      <c r="H1105" s="1">
        <v>150</v>
      </c>
      <c r="I1105" s="1">
        <v>100</v>
      </c>
      <c r="J1105" s="1">
        <v>7.31</v>
      </c>
      <c r="K1105" s="1">
        <v>70.759</v>
      </c>
      <c r="L1105" s="1">
        <v>29.24</v>
      </c>
      <c r="M1105" s="1">
        <v>53.6</v>
      </c>
      <c r="N1105" s="1">
        <v>3.5700000000000003E-2</v>
      </c>
      <c r="O1105" s="1">
        <v>2.1220000000000001E-4</v>
      </c>
      <c r="P110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1.1471620041663819</v>
      </c>
      <c r="Q1105" s="1">
        <f>LN(Table1[[#This Row],[qe_mg_g]]-Table1[[#This Row],[qt]])</f>
        <v>1.8185373850588524</v>
      </c>
      <c r="R1105" s="1">
        <v>3</v>
      </c>
    </row>
    <row r="1106" spans="1:18" x14ac:dyDescent="0.3">
      <c r="A1106" s="1">
        <v>1105</v>
      </c>
      <c r="B1106" s="1" t="s">
        <v>17</v>
      </c>
      <c r="C1106" s="1">
        <v>4</v>
      </c>
      <c r="D1106" s="1">
        <v>120</v>
      </c>
      <c r="E1106" s="1">
        <v>100</v>
      </c>
      <c r="F1106" s="1">
        <v>11</v>
      </c>
      <c r="G1106" s="1">
        <v>25</v>
      </c>
      <c r="H1106" s="1">
        <v>150</v>
      </c>
      <c r="I1106" s="1">
        <v>100</v>
      </c>
      <c r="J1106" s="1">
        <v>6.4189999999999996</v>
      </c>
      <c r="K1106" s="1">
        <v>74.322999999999993</v>
      </c>
      <c r="L1106" s="1">
        <v>25.68</v>
      </c>
      <c r="M1106" s="1">
        <v>60.6</v>
      </c>
      <c r="N1106" s="1">
        <v>3.3770000000000001E-2</v>
      </c>
      <c r="O1106" s="1">
        <v>1.5559999999999999E-4</v>
      </c>
      <c r="P110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0.68701081905233674</v>
      </c>
      <c r="Q1106" s="1">
        <f>LN(Table1[[#This Row],[qe_mg_g]]-Table1[[#This Row],[qt]])</f>
        <v>1.7460626224811822</v>
      </c>
      <c r="R1106" s="1">
        <v>1</v>
      </c>
    </row>
    <row r="1107" spans="1:18" x14ac:dyDescent="0.3">
      <c r="A1107" s="1">
        <v>1106</v>
      </c>
      <c r="B1107" s="1" t="s">
        <v>17</v>
      </c>
      <c r="C1107" s="1">
        <v>4</v>
      </c>
      <c r="D1107" s="1">
        <v>120</v>
      </c>
      <c r="E1107" s="1">
        <v>100</v>
      </c>
      <c r="F1107" s="1">
        <v>11</v>
      </c>
      <c r="G1107" s="1">
        <v>25</v>
      </c>
      <c r="H1107" s="1">
        <v>150</v>
      </c>
      <c r="I1107" s="1">
        <v>100</v>
      </c>
      <c r="J1107" s="1">
        <v>7.1120000000000001</v>
      </c>
      <c r="K1107" s="1">
        <v>71.552000000000007</v>
      </c>
      <c r="L1107" s="1">
        <v>28.45</v>
      </c>
      <c r="M1107" s="1">
        <v>71.8</v>
      </c>
      <c r="N1107" s="1">
        <v>3.9390000000000001E-2</v>
      </c>
      <c r="O1107" s="1">
        <v>2.1890000000000001E-4</v>
      </c>
      <c r="P110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1.1195058651620604</v>
      </c>
      <c r="Q1107" s="1">
        <f>LN(Table1[[#This Row],[qe_mg_g]]-Table1[[#This Row],[qt]])</f>
        <v>1.7905077085754753</v>
      </c>
      <c r="R1107" s="1">
        <v>2</v>
      </c>
    </row>
    <row r="1108" spans="1:18" x14ac:dyDescent="0.3">
      <c r="A1108" s="1">
        <v>1107</v>
      </c>
      <c r="B1108" s="1" t="s">
        <v>17</v>
      </c>
      <c r="C1108" s="1">
        <v>4</v>
      </c>
      <c r="D1108" s="1">
        <v>120</v>
      </c>
      <c r="E1108" s="1">
        <v>100</v>
      </c>
      <c r="F1108" s="1">
        <v>11</v>
      </c>
      <c r="G1108" s="1">
        <v>25</v>
      </c>
      <c r="H1108" s="1">
        <v>150</v>
      </c>
      <c r="I1108" s="1">
        <v>100</v>
      </c>
      <c r="J1108" s="1">
        <v>5.6920000000000002</v>
      </c>
      <c r="K1108" s="1">
        <v>77.233000000000004</v>
      </c>
      <c r="L1108" s="1">
        <v>22.77</v>
      </c>
      <c r="M1108" s="1">
        <v>71.099999999999994</v>
      </c>
      <c r="N1108" s="1">
        <v>3.6229999999999998E-2</v>
      </c>
      <c r="O1108" s="1">
        <v>1.8310000000000001E-4</v>
      </c>
      <c r="P110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0.63273506661071599</v>
      </c>
      <c r="Q1108" s="1">
        <f>LN(Table1[[#This Row],[qe_mg_g]]-Table1[[#This Row],[qt]])</f>
        <v>1.6212212026654846</v>
      </c>
      <c r="R1108" s="1">
        <v>3</v>
      </c>
    </row>
    <row r="1109" spans="1:18" x14ac:dyDescent="0.3">
      <c r="A1109" s="1">
        <v>1108</v>
      </c>
      <c r="B1109" s="1" t="s">
        <v>17</v>
      </c>
      <c r="C1109" s="1">
        <v>4</v>
      </c>
      <c r="D1109" s="1">
        <v>120</v>
      </c>
      <c r="E1109" s="1">
        <v>200</v>
      </c>
      <c r="F1109" s="1">
        <v>3</v>
      </c>
      <c r="G1109" s="1">
        <v>25</v>
      </c>
      <c r="H1109" s="1">
        <v>150</v>
      </c>
      <c r="I1109" s="1">
        <v>100</v>
      </c>
      <c r="J1109" s="1">
        <v>15.603</v>
      </c>
      <c r="K1109" s="1">
        <v>137.58699999999999</v>
      </c>
      <c r="L1109" s="1">
        <v>31.21</v>
      </c>
      <c r="M1109" s="1">
        <v>79.5</v>
      </c>
      <c r="N1109" s="1">
        <v>2.877E-2</v>
      </c>
      <c r="O1109" s="1">
        <v>1.5540000000000001E-4</v>
      </c>
      <c r="P110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3.5166900736307021</v>
      </c>
      <c r="Q1109" s="1">
        <f>LN(Table1[[#This Row],[qe_mg_g]]-Table1[[#This Row],[qt]])</f>
        <v>2.492073401030181</v>
      </c>
      <c r="R1109" s="1">
        <v>1</v>
      </c>
    </row>
    <row r="1110" spans="1:18" x14ac:dyDescent="0.3">
      <c r="A1110" s="1">
        <v>1109</v>
      </c>
      <c r="B1110" s="1" t="s">
        <v>17</v>
      </c>
      <c r="C1110" s="1">
        <v>4</v>
      </c>
      <c r="D1110" s="1">
        <v>120</v>
      </c>
      <c r="E1110" s="1">
        <v>200</v>
      </c>
      <c r="F1110" s="1">
        <v>3</v>
      </c>
      <c r="G1110" s="1">
        <v>25</v>
      </c>
      <c r="H1110" s="1">
        <v>150</v>
      </c>
      <c r="I1110" s="1">
        <v>100</v>
      </c>
      <c r="J1110" s="1">
        <v>15.795</v>
      </c>
      <c r="K1110" s="1">
        <v>136.82</v>
      </c>
      <c r="L1110" s="1">
        <v>31.59</v>
      </c>
      <c r="M1110" s="1">
        <v>78.5</v>
      </c>
      <c r="N1110" s="1">
        <v>3.3059999999999999E-2</v>
      </c>
      <c r="O1110" s="1">
        <v>2.139E-4</v>
      </c>
      <c r="P111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4.5564151682942322</v>
      </c>
      <c r="Q1110" s="1">
        <f>LN(Table1[[#This Row],[qe_mg_g]]-Table1[[#This Row],[qt]])</f>
        <v>2.4193529318863773</v>
      </c>
      <c r="R1110" s="1">
        <v>2</v>
      </c>
    </row>
    <row r="1111" spans="1:18" x14ac:dyDescent="0.3">
      <c r="A1111" s="1">
        <v>1110</v>
      </c>
      <c r="B1111" s="1" t="s">
        <v>17</v>
      </c>
      <c r="C1111" s="1">
        <v>4</v>
      </c>
      <c r="D1111" s="1">
        <v>120</v>
      </c>
      <c r="E1111" s="1">
        <v>200</v>
      </c>
      <c r="F1111" s="1">
        <v>3</v>
      </c>
      <c r="G1111" s="1">
        <v>25</v>
      </c>
      <c r="H1111" s="1">
        <v>150</v>
      </c>
      <c r="I1111" s="1">
        <v>100</v>
      </c>
      <c r="J1111" s="1">
        <v>17.257000000000001</v>
      </c>
      <c r="K1111" s="1">
        <v>130.971</v>
      </c>
      <c r="L1111" s="1">
        <v>34.51</v>
      </c>
      <c r="M1111" s="1">
        <v>82.2</v>
      </c>
      <c r="N1111" s="1">
        <v>3.381E-2</v>
      </c>
      <c r="O1111" s="1">
        <v>2.1000000000000001E-4</v>
      </c>
      <c r="P1111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5.2301801289644194</v>
      </c>
      <c r="Q1111" s="1">
        <f>LN(Table1[[#This Row],[qe_mg_g]]-Table1[[#This Row],[qt]])</f>
        <v>2.4871391451676472</v>
      </c>
      <c r="R1111" s="1">
        <v>3</v>
      </c>
    </row>
    <row r="1112" spans="1:18" x14ac:dyDescent="0.3">
      <c r="A1112" s="1">
        <v>1111</v>
      </c>
      <c r="B1112" s="1" t="s">
        <v>17</v>
      </c>
      <c r="C1112" s="1">
        <v>4</v>
      </c>
      <c r="D1112" s="1">
        <v>120</v>
      </c>
      <c r="E1112" s="1">
        <v>200</v>
      </c>
      <c r="F1112" s="1">
        <v>7</v>
      </c>
      <c r="G1112" s="1">
        <v>25</v>
      </c>
      <c r="H1112" s="1">
        <v>150</v>
      </c>
      <c r="I1112" s="1">
        <v>100</v>
      </c>
      <c r="J1112" s="1">
        <v>20.524000000000001</v>
      </c>
      <c r="K1112" s="1">
        <v>117.90600000000001</v>
      </c>
      <c r="L1112" s="1">
        <v>41.05</v>
      </c>
      <c r="M1112" s="1">
        <v>88.6</v>
      </c>
      <c r="N1112" s="1">
        <v>3.6929999999999998E-2</v>
      </c>
      <c r="O1112" s="1">
        <v>2.1359999999999999E-4</v>
      </c>
      <c r="P1112" s="1">
        <f>(Table1[[#This Row],[Rate_Constant_k2_g_mg_min]]*Table1[[#This Row],[Contact_Time_min]]*Table1[[#This Row],[qe_mg_g]]^2)/(1+Table1[[#This Row],[Contact_Time_min]]*Table1[[#This Row],[qe_mg_g]]*Table1[[#This Row],[Rate_Constant_k2_g_mg_min]])</f>
        <v>7.0750859320553001</v>
      </c>
      <c r="Q1112" s="1">
        <f>LN(Table1[[#This Row],[qe_mg_g]]-Table1[[#This Row],[qt]])</f>
        <v>2.5988983643455512</v>
      </c>
      <c r="R1112" s="1">
        <v>1</v>
      </c>
    </row>
    <row r="1113" spans="1:18" x14ac:dyDescent="0.3">
      <c r="A1113" s="1">
        <v>1112</v>
      </c>
      <c r="B1113" s="1" t="s">
        <v>17</v>
      </c>
      <c r="C1113" s="1">
        <v>4</v>
      </c>
      <c r="D1113" s="1">
        <v>120</v>
      </c>
      <c r="E1113" s="1">
        <v>200</v>
      </c>
      <c r="F1113" s="1">
        <v>7</v>
      </c>
      <c r="G1113" s="1">
        <v>25</v>
      </c>
      <c r="H1113" s="1">
        <v>150</v>
      </c>
      <c r="I1113" s="1">
        <v>100</v>
      </c>
      <c r="J1113" s="1">
        <v>19.146999999999998</v>
      </c>
      <c r="K1113" s="1">
        <v>123.413</v>
      </c>
      <c r="L1113" s="1">
        <v>38.29</v>
      </c>
      <c r="M1113" s="1">
        <v>75.900000000000006</v>
      </c>
      <c r="N1113" s="1">
        <v>3.193E-2</v>
      </c>
      <c r="O1113" s="1">
        <v>2.02E-4</v>
      </c>
      <c r="P1113" s="1">
        <f>(Table1[[#This Row],[Rate_Constant_k2_g_mg_min]]*Table1[[#This Row],[Contact_Time_min]]*Table1[[#This Row],[qe_mg_g]]^2)/(1+Table1[[#This Row],[Contact_Time_min]]*Table1[[#This Row],[qe_mg_g]]*Table1[[#This Row],[Rate_Constant_k2_g_mg_min]])</f>
        <v>6.0695493088259616</v>
      </c>
      <c r="Q1113" s="1">
        <f>LN(Table1[[#This Row],[qe_mg_g]]-Table1[[#This Row],[qt]])</f>
        <v>2.5708894257469401</v>
      </c>
      <c r="R1113" s="1">
        <v>2</v>
      </c>
    </row>
    <row r="1114" spans="1:18" x14ac:dyDescent="0.3">
      <c r="A1114" s="1">
        <v>1113</v>
      </c>
      <c r="B1114" s="1" t="s">
        <v>17</v>
      </c>
      <c r="C1114" s="1">
        <v>4</v>
      </c>
      <c r="D1114" s="1">
        <v>120</v>
      </c>
      <c r="E1114" s="1">
        <v>200</v>
      </c>
      <c r="F1114" s="1">
        <v>7</v>
      </c>
      <c r="G1114" s="1">
        <v>25</v>
      </c>
      <c r="H1114" s="1">
        <v>150</v>
      </c>
      <c r="I1114" s="1">
        <v>100</v>
      </c>
      <c r="J1114" s="1">
        <v>24.887</v>
      </c>
      <c r="K1114" s="1">
        <v>100.45099999999999</v>
      </c>
      <c r="L1114" s="1">
        <v>49.77</v>
      </c>
      <c r="M1114" s="1">
        <v>105</v>
      </c>
      <c r="N1114" s="1">
        <v>3.3270000000000001E-2</v>
      </c>
      <c r="O1114" s="1">
        <v>1.9000000000000001E-4</v>
      </c>
      <c r="P1114" s="1">
        <f>(Table1[[#This Row],[Rate_Constant_k2_g_mg_min]]*Table1[[#This Row],[Contact_Time_min]]*Table1[[#This Row],[qe_mg_g]]^2)/(1+Table1[[#This Row],[Contact_Time_min]]*Table1[[#This Row],[qe_mg_g]]*Table1[[#This Row],[Rate_Constant_k2_g_mg_min]])</f>
        <v>9.00935211974606</v>
      </c>
      <c r="Q1114" s="1">
        <f>LN(Table1[[#This Row],[qe_mg_g]]-Table1[[#This Row],[qt]])</f>
        <v>2.7649123264764621</v>
      </c>
      <c r="R1114" s="1">
        <v>3</v>
      </c>
    </row>
    <row r="1115" spans="1:18" x14ac:dyDescent="0.3">
      <c r="A1115" s="1">
        <v>1114</v>
      </c>
      <c r="B1115" s="1" t="s">
        <v>17</v>
      </c>
      <c r="C1115" s="1">
        <v>4</v>
      </c>
      <c r="D1115" s="1">
        <v>120</v>
      </c>
      <c r="E1115" s="1">
        <v>200</v>
      </c>
      <c r="F1115" s="1">
        <v>11</v>
      </c>
      <c r="G1115" s="1">
        <v>25</v>
      </c>
      <c r="H1115" s="1">
        <v>150</v>
      </c>
      <c r="I1115" s="1">
        <v>100</v>
      </c>
      <c r="J1115" s="1">
        <v>20.817</v>
      </c>
      <c r="K1115" s="1">
        <v>116.73099999999999</v>
      </c>
      <c r="L1115" s="1">
        <v>41.63</v>
      </c>
      <c r="M1115" s="1">
        <v>89.5</v>
      </c>
      <c r="N1115" s="1">
        <v>3.9440000000000003E-2</v>
      </c>
      <c r="O1115" s="1">
        <v>2.0579999999999999E-4</v>
      </c>
      <c r="P1115" s="1">
        <f>(Table1[[#This Row],[Rate_Constant_k2_g_mg_min]]*Table1[[#This Row],[Contact_Time_min]]*Table1[[#This Row],[qe_mg_g]]^2)/(1+Table1[[#This Row],[Contact_Time_min]]*Table1[[#This Row],[qe_mg_g]]*Table1[[#This Row],[Rate_Constant_k2_g_mg_min]])</f>
        <v>7.068207776281481</v>
      </c>
      <c r="Q1115" s="1">
        <f>LN(Table1[[#This Row],[qe_mg_g]]-Table1[[#This Row],[qt]])</f>
        <v>2.6209509819795564</v>
      </c>
      <c r="R1115" s="1">
        <v>1</v>
      </c>
    </row>
    <row r="1116" spans="1:18" x14ac:dyDescent="0.3">
      <c r="A1116" s="1">
        <v>1115</v>
      </c>
      <c r="B1116" s="1" t="s">
        <v>17</v>
      </c>
      <c r="C1116" s="1">
        <v>4</v>
      </c>
      <c r="D1116" s="1">
        <v>120</v>
      </c>
      <c r="E1116" s="1">
        <v>200</v>
      </c>
      <c r="F1116" s="1">
        <v>11</v>
      </c>
      <c r="G1116" s="1">
        <v>25</v>
      </c>
      <c r="H1116" s="1">
        <v>150</v>
      </c>
      <c r="I1116" s="1">
        <v>100</v>
      </c>
      <c r="J1116" s="1">
        <v>16.510000000000002</v>
      </c>
      <c r="K1116" s="1">
        <v>133.959</v>
      </c>
      <c r="L1116" s="1">
        <v>33.020000000000003</v>
      </c>
      <c r="M1116" s="1">
        <v>68.599999999999994</v>
      </c>
      <c r="N1116" s="1">
        <v>2.9569999999999999E-2</v>
      </c>
      <c r="O1116" s="1">
        <v>2.1320000000000001E-4</v>
      </c>
      <c r="P111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4.9027905548164581</v>
      </c>
      <c r="Q1116" s="1">
        <f>LN(Table1[[#This Row],[qe_mg_g]]-Table1[[#This Row],[qt]])</f>
        <v>2.4516264089538908</v>
      </c>
      <c r="R1116" s="1">
        <v>2</v>
      </c>
    </row>
    <row r="1117" spans="1:18" x14ac:dyDescent="0.3">
      <c r="A1117" s="1">
        <v>1116</v>
      </c>
      <c r="B1117" s="1" t="s">
        <v>17</v>
      </c>
      <c r="C1117" s="1">
        <v>4</v>
      </c>
      <c r="D1117" s="1">
        <v>120</v>
      </c>
      <c r="E1117" s="1">
        <v>200</v>
      </c>
      <c r="F1117" s="1">
        <v>11</v>
      </c>
      <c r="G1117" s="1">
        <v>25</v>
      </c>
      <c r="H1117" s="1">
        <v>150</v>
      </c>
      <c r="I1117" s="1">
        <v>100</v>
      </c>
      <c r="J1117" s="1">
        <v>20.89</v>
      </c>
      <c r="K1117" s="1">
        <v>116.44</v>
      </c>
      <c r="L1117" s="1">
        <v>41.78</v>
      </c>
      <c r="M1117" s="1">
        <v>109.5</v>
      </c>
      <c r="N1117" s="1">
        <v>3.7949999999999998E-2</v>
      </c>
      <c r="O1117" s="1">
        <v>2.2330000000000001E-4</v>
      </c>
      <c r="P1117" s="1">
        <f>(Table1[[#This Row],[Rate_Constant_k2_g_mg_min]]*Table1[[#This Row],[Contact_Time_min]]*Table1[[#This Row],[qe_mg_g]]^2)/(1+Table1[[#This Row],[Contact_Time_min]]*Table1[[#This Row],[qe_mg_g]]*Table1[[#This Row],[Rate_Constant_k2_g_mg_min]])</f>
        <v>7.4969863549745881</v>
      </c>
      <c r="Q1117" s="1">
        <f>LN(Table1[[#This Row],[qe_mg_g]]-Table1[[#This Row],[qt]])</f>
        <v>2.5947332012221627</v>
      </c>
      <c r="R1117" s="1">
        <v>3</v>
      </c>
    </row>
    <row r="1118" spans="1:18" x14ac:dyDescent="0.3">
      <c r="A1118" s="1">
        <v>1117</v>
      </c>
      <c r="B1118" s="1" t="s">
        <v>17</v>
      </c>
      <c r="C1118" s="1">
        <v>4</v>
      </c>
      <c r="D1118" s="1">
        <v>240</v>
      </c>
      <c r="E1118" s="1">
        <v>25</v>
      </c>
      <c r="F1118" s="1">
        <v>3</v>
      </c>
      <c r="G1118" s="1">
        <v>25</v>
      </c>
      <c r="H1118" s="1">
        <v>150</v>
      </c>
      <c r="I1118" s="1">
        <v>100</v>
      </c>
      <c r="J1118" s="1">
        <v>0.70699999999999996</v>
      </c>
      <c r="K1118" s="1">
        <v>22.170999999999999</v>
      </c>
      <c r="L1118" s="1">
        <v>11.32</v>
      </c>
      <c r="M1118" s="1">
        <v>70.8</v>
      </c>
      <c r="N1118" s="1">
        <v>3.798E-2</v>
      </c>
      <c r="O1118" s="1">
        <v>2.084E-4</v>
      </c>
      <c r="P111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2.4146592396529488E-2</v>
      </c>
      <c r="Q1118" s="1">
        <f>LN(Table1[[#This Row],[qe_mg_g]]-Table1[[#This Row],[qt]])</f>
        <v>-0.38147507260366814</v>
      </c>
      <c r="R1118" s="1">
        <v>1</v>
      </c>
    </row>
    <row r="1119" spans="1:18" x14ac:dyDescent="0.3">
      <c r="A1119" s="1">
        <v>1118</v>
      </c>
      <c r="B1119" s="1" t="s">
        <v>17</v>
      </c>
      <c r="C1119" s="1">
        <v>4</v>
      </c>
      <c r="D1119" s="1">
        <v>240</v>
      </c>
      <c r="E1119" s="1">
        <v>25</v>
      </c>
      <c r="F1119" s="1">
        <v>3</v>
      </c>
      <c r="G1119" s="1">
        <v>25</v>
      </c>
      <c r="H1119" s="1">
        <v>150</v>
      </c>
      <c r="I1119" s="1">
        <v>100</v>
      </c>
      <c r="J1119" s="1">
        <v>0.75900000000000001</v>
      </c>
      <c r="K1119" s="1">
        <v>21.963999999999999</v>
      </c>
      <c r="L1119" s="1">
        <v>12.14</v>
      </c>
      <c r="M1119" s="1">
        <v>90.7</v>
      </c>
      <c r="N1119" s="1">
        <v>3.6130000000000002E-2</v>
      </c>
      <c r="O1119" s="1">
        <v>2.2570000000000001E-4</v>
      </c>
      <c r="P111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2.9972865829062455E-2</v>
      </c>
      <c r="Q1119" s="1">
        <f>LN(Table1[[#This Row],[qe_mg_g]]-Table1[[#This Row],[qt]])</f>
        <v>-0.31604432658120396</v>
      </c>
      <c r="R1119" s="1">
        <v>2</v>
      </c>
    </row>
    <row r="1120" spans="1:18" x14ac:dyDescent="0.3">
      <c r="A1120" s="1">
        <v>1119</v>
      </c>
      <c r="B1120" s="1" t="s">
        <v>17</v>
      </c>
      <c r="C1120" s="1">
        <v>4</v>
      </c>
      <c r="D1120" s="1">
        <v>240</v>
      </c>
      <c r="E1120" s="1">
        <v>25</v>
      </c>
      <c r="F1120" s="1">
        <v>3</v>
      </c>
      <c r="G1120" s="1">
        <v>25</v>
      </c>
      <c r="H1120" s="1">
        <v>150</v>
      </c>
      <c r="I1120" s="1">
        <v>100</v>
      </c>
      <c r="J1120" s="1">
        <v>0.84799999999999998</v>
      </c>
      <c r="K1120" s="1">
        <v>21.608000000000001</v>
      </c>
      <c r="L1120" s="1">
        <v>13.57</v>
      </c>
      <c r="M1120" s="1">
        <v>92.7</v>
      </c>
      <c r="N1120" s="1">
        <v>3.7960000000000001E-2</v>
      </c>
      <c r="O1120" s="1">
        <v>2.1029999999999999E-4</v>
      </c>
      <c r="P112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3.4804956058622216E-2</v>
      </c>
      <c r="Q1120" s="1">
        <f>LN(Table1[[#This Row],[qe_mg_g]]-Table1[[#This Row],[qt]])</f>
        <v>-0.20678429176031721</v>
      </c>
      <c r="R1120" s="1">
        <v>3</v>
      </c>
    </row>
    <row r="1121" spans="1:18" x14ac:dyDescent="0.3">
      <c r="A1121" s="1">
        <v>1120</v>
      </c>
      <c r="B1121" s="1" t="s">
        <v>17</v>
      </c>
      <c r="C1121" s="1">
        <v>4</v>
      </c>
      <c r="D1121" s="1">
        <v>240</v>
      </c>
      <c r="E1121" s="1">
        <v>25</v>
      </c>
      <c r="F1121" s="1">
        <v>7</v>
      </c>
      <c r="G1121" s="1">
        <v>25</v>
      </c>
      <c r="H1121" s="1">
        <v>150</v>
      </c>
      <c r="I1121" s="1">
        <v>100</v>
      </c>
      <c r="J1121" s="1">
        <v>1.2010000000000001</v>
      </c>
      <c r="K1121" s="1">
        <v>20.198</v>
      </c>
      <c r="L1121" s="1">
        <v>19.21</v>
      </c>
      <c r="M1121" s="1">
        <v>95.4</v>
      </c>
      <c r="N1121" s="1">
        <v>3.0120000000000001E-2</v>
      </c>
      <c r="O1121" s="1">
        <v>2.2110000000000001E-4</v>
      </c>
      <c r="P1121" s="1">
        <f>(Table1[[#This Row],[Rate_Constant_k2_g_mg_min]]*Table1[[#This Row],[Contact_Time_min]]*Table1[[#This Row],[qe_mg_g]]^2)/(1+Table1[[#This Row],[Contact_Time_min]]*Table1[[#This Row],[qe_mg_g]]*Table1[[#This Row],[Rate_Constant_k2_g_mg_min]])</f>
        <v>7.1953951143370373E-2</v>
      </c>
      <c r="Q1121" s="1">
        <f>LN(Table1[[#This Row],[qe_mg_g]]-Table1[[#This Row],[qt]])</f>
        <v>0.12137307163125481</v>
      </c>
      <c r="R1121" s="1">
        <v>1</v>
      </c>
    </row>
    <row r="1122" spans="1:18" x14ac:dyDescent="0.3">
      <c r="A1122" s="1">
        <v>1121</v>
      </c>
      <c r="B1122" s="1" t="s">
        <v>17</v>
      </c>
      <c r="C1122" s="1">
        <v>4</v>
      </c>
      <c r="D1122" s="1">
        <v>240</v>
      </c>
      <c r="E1122" s="1">
        <v>25</v>
      </c>
      <c r="F1122" s="1">
        <v>7</v>
      </c>
      <c r="G1122" s="1">
        <v>25</v>
      </c>
      <c r="H1122" s="1">
        <v>150</v>
      </c>
      <c r="I1122" s="1">
        <v>100</v>
      </c>
      <c r="J1122" s="1">
        <v>1.1080000000000001</v>
      </c>
      <c r="K1122" s="1">
        <v>20.567</v>
      </c>
      <c r="L1122" s="1">
        <v>17.73</v>
      </c>
      <c r="M1122" s="1">
        <v>89.4</v>
      </c>
      <c r="N1122" s="1">
        <v>3.2039999999999999E-2</v>
      </c>
      <c r="O1122" s="1">
        <v>2.1110000000000001E-4</v>
      </c>
      <c r="P112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5.8892401979491069E-2</v>
      </c>
      <c r="Q1122" s="1">
        <f>LN(Table1[[#This Row],[qe_mg_g]]-Table1[[#This Row],[qt]])</f>
        <v>4.7939896146871989E-2</v>
      </c>
      <c r="R1122" s="1">
        <v>2</v>
      </c>
    </row>
    <row r="1123" spans="1:18" x14ac:dyDescent="0.3">
      <c r="A1123" s="1">
        <v>1122</v>
      </c>
      <c r="B1123" s="1" t="s">
        <v>17</v>
      </c>
      <c r="C1123" s="1">
        <v>4</v>
      </c>
      <c r="D1123" s="1">
        <v>240</v>
      </c>
      <c r="E1123" s="1">
        <v>25</v>
      </c>
      <c r="F1123" s="1">
        <v>7</v>
      </c>
      <c r="G1123" s="1">
        <v>25</v>
      </c>
      <c r="H1123" s="1">
        <v>150</v>
      </c>
      <c r="I1123" s="1">
        <v>100</v>
      </c>
      <c r="J1123" s="1">
        <v>1.254</v>
      </c>
      <c r="K1123" s="1">
        <v>19.983000000000001</v>
      </c>
      <c r="L1123" s="1">
        <v>20.07</v>
      </c>
      <c r="M1123" s="1">
        <v>65.2</v>
      </c>
      <c r="N1123" s="1">
        <v>3.6470000000000002E-2</v>
      </c>
      <c r="O1123" s="1">
        <v>1.884E-4</v>
      </c>
      <c r="P1123" s="1">
        <f>(Table1[[#This Row],[Rate_Constant_k2_g_mg_min]]*Table1[[#This Row],[Contact_Time_min]]*Table1[[#This Row],[qe_mg_g]]^2)/(1+Table1[[#This Row],[Contact_Time_min]]*Table1[[#This Row],[qe_mg_g]]*Table1[[#This Row],[Rate_Constant_k2_g_mg_min]])</f>
        <v>6.7287617412225373E-2</v>
      </c>
      <c r="Q1123" s="1">
        <f>LN(Table1[[#This Row],[qe_mg_g]]-Table1[[#This Row],[qt]])</f>
        <v>0.17118678010639304</v>
      </c>
      <c r="R1123" s="1">
        <v>3</v>
      </c>
    </row>
    <row r="1124" spans="1:18" x14ac:dyDescent="0.3">
      <c r="A1124" s="1">
        <v>1123</v>
      </c>
      <c r="B1124" s="1" t="s">
        <v>17</v>
      </c>
      <c r="C1124" s="1">
        <v>4</v>
      </c>
      <c r="D1124" s="1">
        <v>240</v>
      </c>
      <c r="E1124" s="1">
        <v>25</v>
      </c>
      <c r="F1124" s="1">
        <v>11</v>
      </c>
      <c r="G1124" s="1">
        <v>25</v>
      </c>
      <c r="H1124" s="1">
        <v>150</v>
      </c>
      <c r="I1124" s="1">
        <v>100</v>
      </c>
      <c r="J1124" s="1">
        <v>1.0249999999999999</v>
      </c>
      <c r="K1124" s="1">
        <v>20.902000000000001</v>
      </c>
      <c r="L1124" s="1">
        <v>16.39</v>
      </c>
      <c r="M1124" s="1">
        <v>85.7</v>
      </c>
      <c r="N1124" s="1">
        <v>3.6380000000000003E-2</v>
      </c>
      <c r="O1124" s="1">
        <v>1.808E-4</v>
      </c>
      <c r="P112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4.3647422326661543E-2</v>
      </c>
      <c r="Q1124" s="1">
        <f>LN(Table1[[#This Row],[qe_mg_g]]-Table1[[#This Row],[qt]])</f>
        <v>-1.8823477592940913E-2</v>
      </c>
      <c r="R1124" s="1">
        <v>1</v>
      </c>
    </row>
    <row r="1125" spans="1:18" x14ac:dyDescent="0.3">
      <c r="A1125" s="1">
        <v>1124</v>
      </c>
      <c r="B1125" s="1" t="s">
        <v>17</v>
      </c>
      <c r="C1125" s="1">
        <v>4</v>
      </c>
      <c r="D1125" s="1">
        <v>240</v>
      </c>
      <c r="E1125" s="1">
        <v>25</v>
      </c>
      <c r="F1125" s="1">
        <v>11</v>
      </c>
      <c r="G1125" s="1">
        <v>25</v>
      </c>
      <c r="H1125" s="1">
        <v>150</v>
      </c>
      <c r="I1125" s="1">
        <v>100</v>
      </c>
      <c r="J1125" s="1">
        <v>0.88600000000000001</v>
      </c>
      <c r="K1125" s="1">
        <v>21.456</v>
      </c>
      <c r="L1125" s="1">
        <v>14.18</v>
      </c>
      <c r="M1125" s="1">
        <v>79.8</v>
      </c>
      <c r="N1125" s="1">
        <v>3.7999999999999999E-2</v>
      </c>
      <c r="O1125" s="1">
        <v>2.3350000000000001E-4</v>
      </c>
      <c r="P1125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4.1910270556100027E-2</v>
      </c>
      <c r="Q1125" s="1">
        <f>LN(Table1[[#This Row],[qe_mg_g]]-Table1[[#This Row],[qt]])</f>
        <v>-0.16949647553017605</v>
      </c>
      <c r="R1125" s="1">
        <v>2</v>
      </c>
    </row>
    <row r="1126" spans="1:18" x14ac:dyDescent="0.3">
      <c r="A1126" s="1">
        <v>1125</v>
      </c>
      <c r="B1126" s="1" t="s">
        <v>17</v>
      </c>
      <c r="C1126" s="1">
        <v>4</v>
      </c>
      <c r="D1126" s="1">
        <v>240</v>
      </c>
      <c r="E1126" s="1">
        <v>25</v>
      </c>
      <c r="F1126" s="1">
        <v>11</v>
      </c>
      <c r="G1126" s="1">
        <v>25</v>
      </c>
      <c r="H1126" s="1">
        <v>150</v>
      </c>
      <c r="I1126" s="1">
        <v>100</v>
      </c>
      <c r="J1126" s="1">
        <v>0.86599999999999999</v>
      </c>
      <c r="K1126" s="1">
        <v>21.536999999999999</v>
      </c>
      <c r="L1126" s="1">
        <v>13.85</v>
      </c>
      <c r="M1126" s="1">
        <v>99.6</v>
      </c>
      <c r="N1126" s="1">
        <v>2.741E-2</v>
      </c>
      <c r="O1126" s="1">
        <v>1.761E-4</v>
      </c>
      <c r="P112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3.0577002994356672E-2</v>
      </c>
      <c r="Q1126" s="1">
        <f>LN(Table1[[#This Row],[qe_mg_g]]-Table1[[#This Row],[qt]])</f>
        <v>-0.17981709916096211</v>
      </c>
      <c r="R1126" s="1">
        <v>3</v>
      </c>
    </row>
    <row r="1127" spans="1:18" x14ac:dyDescent="0.3">
      <c r="A1127" s="1">
        <v>1126</v>
      </c>
      <c r="B1127" s="1" t="s">
        <v>17</v>
      </c>
      <c r="C1127" s="1">
        <v>4</v>
      </c>
      <c r="D1127" s="1">
        <v>240</v>
      </c>
      <c r="E1127" s="1">
        <v>50</v>
      </c>
      <c r="F1127" s="1">
        <v>3</v>
      </c>
      <c r="G1127" s="1">
        <v>25</v>
      </c>
      <c r="H1127" s="1">
        <v>150</v>
      </c>
      <c r="I1127" s="1">
        <v>100</v>
      </c>
      <c r="J1127" s="1">
        <v>2.2959999999999998</v>
      </c>
      <c r="K1127" s="1">
        <v>40.814999999999998</v>
      </c>
      <c r="L1127" s="1">
        <v>18.37</v>
      </c>
      <c r="M1127" s="1">
        <v>68.3</v>
      </c>
      <c r="N1127" s="1">
        <v>2.946E-2</v>
      </c>
      <c r="O1127" s="1">
        <v>2.0829999999999999E-4</v>
      </c>
      <c r="P112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0.23640381174848776</v>
      </c>
      <c r="Q1127" s="1">
        <f>LN(Table1[[#This Row],[qe_mg_g]]-Table1[[#This Row],[qt]])</f>
        <v>0.72250993846542944</v>
      </c>
      <c r="R1127" s="1">
        <v>1</v>
      </c>
    </row>
    <row r="1128" spans="1:18" x14ac:dyDescent="0.3">
      <c r="A1128" s="1">
        <v>1127</v>
      </c>
      <c r="B1128" s="1" t="s">
        <v>17</v>
      </c>
      <c r="C1128" s="1">
        <v>4</v>
      </c>
      <c r="D1128" s="1">
        <v>240</v>
      </c>
      <c r="E1128" s="1">
        <v>50</v>
      </c>
      <c r="F1128" s="1">
        <v>3</v>
      </c>
      <c r="G1128" s="1">
        <v>25</v>
      </c>
      <c r="H1128" s="1">
        <v>150</v>
      </c>
      <c r="I1128" s="1">
        <v>100</v>
      </c>
      <c r="J1128" s="1">
        <v>2.4849999999999999</v>
      </c>
      <c r="K1128" s="1">
        <v>40.058999999999997</v>
      </c>
      <c r="L1128" s="1">
        <v>19.88</v>
      </c>
      <c r="M1128" s="1">
        <v>90.6</v>
      </c>
      <c r="N1128" s="1">
        <v>3.7420000000000002E-2</v>
      </c>
      <c r="O1128" s="1">
        <v>2.053E-4</v>
      </c>
      <c r="P112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0.27107501230443376</v>
      </c>
      <c r="Q1128" s="1">
        <f>LN(Table1[[#This Row],[qe_mg_g]]-Table1[[#This Row],[qt]])</f>
        <v>0.79476695281616305</v>
      </c>
      <c r="R1128" s="1">
        <v>2</v>
      </c>
    </row>
    <row r="1129" spans="1:18" x14ac:dyDescent="0.3">
      <c r="A1129" s="1">
        <v>1128</v>
      </c>
      <c r="B1129" s="1" t="s">
        <v>17</v>
      </c>
      <c r="C1129" s="1">
        <v>4</v>
      </c>
      <c r="D1129" s="1">
        <v>240</v>
      </c>
      <c r="E1129" s="1">
        <v>50</v>
      </c>
      <c r="F1129" s="1">
        <v>3</v>
      </c>
      <c r="G1129" s="1">
        <v>25</v>
      </c>
      <c r="H1129" s="1">
        <v>150</v>
      </c>
      <c r="I1129" s="1">
        <v>100</v>
      </c>
      <c r="J1129" s="1">
        <v>2.7069999999999999</v>
      </c>
      <c r="K1129" s="1">
        <v>39.173000000000002</v>
      </c>
      <c r="L1129" s="1">
        <v>21.65</v>
      </c>
      <c r="M1129" s="1">
        <v>84.8</v>
      </c>
      <c r="N1129" s="1">
        <v>3.0849999999999999E-2</v>
      </c>
      <c r="O1129" s="1">
        <v>2.2120000000000001E-4</v>
      </c>
      <c r="P112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0.34013964587306433</v>
      </c>
      <c r="Q1129" s="1">
        <f>LN(Table1[[#This Row],[qe_mg_g]]-Table1[[#This Row],[qt]])</f>
        <v>0.86156433180241332</v>
      </c>
      <c r="R1129" s="1">
        <v>3</v>
      </c>
    </row>
    <row r="1130" spans="1:18" x14ac:dyDescent="0.3">
      <c r="A1130" s="1">
        <v>1129</v>
      </c>
      <c r="B1130" s="1" t="s">
        <v>17</v>
      </c>
      <c r="C1130" s="1">
        <v>4</v>
      </c>
      <c r="D1130" s="1">
        <v>240</v>
      </c>
      <c r="E1130" s="1">
        <v>50</v>
      </c>
      <c r="F1130" s="1">
        <v>7</v>
      </c>
      <c r="G1130" s="1">
        <v>25</v>
      </c>
      <c r="H1130" s="1">
        <v>150</v>
      </c>
      <c r="I1130" s="1">
        <v>100</v>
      </c>
      <c r="J1130" s="1">
        <v>3.8540000000000001</v>
      </c>
      <c r="K1130" s="1">
        <v>34.582999999999998</v>
      </c>
      <c r="L1130" s="1">
        <v>30.83</v>
      </c>
      <c r="M1130" s="1">
        <v>73.7</v>
      </c>
      <c r="N1130" s="1">
        <v>3.4380000000000001E-2</v>
      </c>
      <c r="O1130" s="1">
        <v>1.817E-4</v>
      </c>
      <c r="P113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0.55452673907513417</v>
      </c>
      <c r="Q1130" s="1">
        <f>LN(Table1[[#This Row],[qe_mg_g]]-Table1[[#This Row],[qt]])</f>
        <v>1.1937628378305858</v>
      </c>
      <c r="R1130" s="1">
        <v>1</v>
      </c>
    </row>
    <row r="1131" spans="1:18" x14ac:dyDescent="0.3">
      <c r="A1131" s="1">
        <v>1130</v>
      </c>
      <c r="B1131" s="1" t="s">
        <v>17</v>
      </c>
      <c r="C1131" s="1">
        <v>4</v>
      </c>
      <c r="D1131" s="1">
        <v>240</v>
      </c>
      <c r="E1131" s="1">
        <v>50</v>
      </c>
      <c r="F1131" s="1">
        <v>7</v>
      </c>
      <c r="G1131" s="1">
        <v>25</v>
      </c>
      <c r="H1131" s="1">
        <v>150</v>
      </c>
      <c r="I1131" s="1">
        <v>100</v>
      </c>
      <c r="J1131" s="1">
        <v>3.9249999999999998</v>
      </c>
      <c r="K1131" s="1">
        <v>34.302</v>
      </c>
      <c r="L1131" s="1">
        <v>31.4</v>
      </c>
      <c r="M1131" s="1">
        <v>90.1</v>
      </c>
      <c r="N1131" s="1">
        <v>3.6220000000000002E-2</v>
      </c>
      <c r="O1131" s="1">
        <v>1.8200000000000001E-4</v>
      </c>
      <c r="P113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0.57443437330337599</v>
      </c>
      <c r="Q1131" s="1">
        <f>LN(Table1[[#This Row],[qe_mg_g]]-Table1[[#This Row],[qt]])</f>
        <v>1.2091291753745037</v>
      </c>
      <c r="R1131" s="1">
        <v>2</v>
      </c>
    </row>
    <row r="1132" spans="1:18" x14ac:dyDescent="0.3">
      <c r="A1132" s="1">
        <v>1131</v>
      </c>
      <c r="B1132" s="1" t="s">
        <v>17</v>
      </c>
      <c r="C1132" s="1">
        <v>4</v>
      </c>
      <c r="D1132" s="1">
        <v>240</v>
      </c>
      <c r="E1132" s="1">
        <v>50</v>
      </c>
      <c r="F1132" s="1">
        <v>7</v>
      </c>
      <c r="G1132" s="1">
        <v>25</v>
      </c>
      <c r="H1132" s="1">
        <v>150</v>
      </c>
      <c r="I1132" s="1">
        <v>100</v>
      </c>
      <c r="J1132" s="1">
        <v>3.8959999999999999</v>
      </c>
      <c r="K1132" s="1">
        <v>34.417000000000002</v>
      </c>
      <c r="L1132" s="1">
        <v>31.17</v>
      </c>
      <c r="M1132" s="1">
        <v>99.5</v>
      </c>
      <c r="N1132" s="1">
        <v>3.6740000000000002E-2</v>
      </c>
      <c r="O1132" s="1">
        <v>2.4149999999999999E-4</v>
      </c>
      <c r="P113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0.71769901137218273</v>
      </c>
      <c r="Q1132" s="1">
        <f>LN(Table1[[#This Row],[qe_mg_g]]-Table1[[#This Row],[qt]])</f>
        <v>1.1563467737077868</v>
      </c>
      <c r="R1132" s="1">
        <v>3</v>
      </c>
    </row>
    <row r="1133" spans="1:18" x14ac:dyDescent="0.3">
      <c r="A1133" s="1">
        <v>1132</v>
      </c>
      <c r="B1133" s="1" t="s">
        <v>17</v>
      </c>
      <c r="C1133" s="1">
        <v>4</v>
      </c>
      <c r="D1133" s="1">
        <v>240</v>
      </c>
      <c r="E1133" s="1">
        <v>50</v>
      </c>
      <c r="F1133" s="1">
        <v>11</v>
      </c>
      <c r="G1133" s="1">
        <v>25</v>
      </c>
      <c r="H1133" s="1">
        <v>150</v>
      </c>
      <c r="I1133" s="1">
        <v>100</v>
      </c>
      <c r="J1133" s="1">
        <v>3.5030000000000001</v>
      </c>
      <c r="K1133" s="1">
        <v>35.985999999999997</v>
      </c>
      <c r="L1133" s="1">
        <v>28.03</v>
      </c>
      <c r="M1133" s="1">
        <v>100.4</v>
      </c>
      <c r="N1133" s="1">
        <v>3.014E-2</v>
      </c>
      <c r="O1133" s="1">
        <v>2.153E-4</v>
      </c>
      <c r="P113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0.53688722290198487</v>
      </c>
      <c r="Q1133" s="1">
        <f>LN(Table1[[#This Row],[qe_mg_g]]-Table1[[#This Row],[qt]])</f>
        <v>1.0872522662895741</v>
      </c>
      <c r="R1133" s="1">
        <v>1</v>
      </c>
    </row>
    <row r="1134" spans="1:18" x14ac:dyDescent="0.3">
      <c r="A1134" s="1">
        <v>1133</v>
      </c>
      <c r="B1134" s="1" t="s">
        <v>17</v>
      </c>
      <c r="C1134" s="1">
        <v>4</v>
      </c>
      <c r="D1134" s="1">
        <v>240</v>
      </c>
      <c r="E1134" s="1">
        <v>50</v>
      </c>
      <c r="F1134" s="1">
        <v>11</v>
      </c>
      <c r="G1134" s="1">
        <v>25</v>
      </c>
      <c r="H1134" s="1">
        <v>150</v>
      </c>
      <c r="I1134" s="1">
        <v>100</v>
      </c>
      <c r="J1134" s="1">
        <v>3.117</v>
      </c>
      <c r="K1134" s="1">
        <v>37.531999999999996</v>
      </c>
      <c r="L1134" s="1">
        <v>24.94</v>
      </c>
      <c r="M1134" s="1">
        <v>78.599999999999994</v>
      </c>
      <c r="N1134" s="1">
        <v>3.5589999999999997E-2</v>
      </c>
      <c r="O1134" s="1">
        <v>2.1890000000000001E-4</v>
      </c>
      <c r="P113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0.43860053329176119</v>
      </c>
      <c r="Q1134" s="1">
        <f>LN(Table1[[#This Row],[qe_mg_g]]-Table1[[#This Row],[qt]])</f>
        <v>0.98521940220466553</v>
      </c>
      <c r="R1134" s="1">
        <v>2</v>
      </c>
    </row>
    <row r="1135" spans="1:18" x14ac:dyDescent="0.3">
      <c r="A1135" s="1">
        <v>1134</v>
      </c>
      <c r="B1135" s="1" t="s">
        <v>17</v>
      </c>
      <c r="C1135" s="1">
        <v>4</v>
      </c>
      <c r="D1135" s="1">
        <v>240</v>
      </c>
      <c r="E1135" s="1">
        <v>50</v>
      </c>
      <c r="F1135" s="1">
        <v>11</v>
      </c>
      <c r="G1135" s="1">
        <v>25</v>
      </c>
      <c r="H1135" s="1">
        <v>150</v>
      </c>
      <c r="I1135" s="1">
        <v>100</v>
      </c>
      <c r="J1135" s="1">
        <v>3.2909999999999999</v>
      </c>
      <c r="K1135" s="1">
        <v>36.838000000000001</v>
      </c>
      <c r="L1135" s="1">
        <v>26.32</v>
      </c>
      <c r="M1135" s="1">
        <v>74.400000000000006</v>
      </c>
      <c r="N1135" s="1">
        <v>3.7600000000000001E-2</v>
      </c>
      <c r="O1135" s="1">
        <v>1.872E-4</v>
      </c>
      <c r="P113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0.42392074247842881</v>
      </c>
      <c r="Q1135" s="1">
        <f>LN(Table1[[#This Row],[qe_mg_g]]-Table1[[#This Row],[qt]])</f>
        <v>1.0532938312772577</v>
      </c>
      <c r="R1135" s="1">
        <v>3</v>
      </c>
    </row>
    <row r="1136" spans="1:18" x14ac:dyDescent="0.3">
      <c r="A1136" s="1">
        <v>1135</v>
      </c>
      <c r="B1136" s="1" t="s">
        <v>17</v>
      </c>
      <c r="C1136" s="1">
        <v>4</v>
      </c>
      <c r="D1136" s="1">
        <v>240</v>
      </c>
      <c r="E1136" s="1">
        <v>100</v>
      </c>
      <c r="F1136" s="1">
        <v>3</v>
      </c>
      <c r="G1136" s="1">
        <v>25</v>
      </c>
      <c r="H1136" s="1">
        <v>150</v>
      </c>
      <c r="I1136" s="1">
        <v>100</v>
      </c>
      <c r="J1136" s="1">
        <v>7.9260000000000002</v>
      </c>
      <c r="K1136" s="1">
        <v>68.298000000000002</v>
      </c>
      <c r="L1136" s="1">
        <v>31.7</v>
      </c>
      <c r="M1136" s="1">
        <v>81.8</v>
      </c>
      <c r="N1136" s="1">
        <v>3.4229999999999997E-2</v>
      </c>
      <c r="O1136" s="1">
        <v>2.153E-4</v>
      </c>
      <c r="P113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2.3029378706659274</v>
      </c>
      <c r="Q1136" s="1">
        <f>LN(Table1[[#This Row],[qe_mg_g]]-Table1[[#This Row],[qt]])</f>
        <v>1.726876378392554</v>
      </c>
      <c r="R1136" s="1">
        <v>1</v>
      </c>
    </row>
    <row r="1137" spans="1:18" x14ac:dyDescent="0.3">
      <c r="A1137" s="1">
        <v>1136</v>
      </c>
      <c r="B1137" s="1" t="s">
        <v>17</v>
      </c>
      <c r="C1137" s="1">
        <v>4</v>
      </c>
      <c r="D1137" s="1">
        <v>240</v>
      </c>
      <c r="E1137" s="1">
        <v>100</v>
      </c>
      <c r="F1137" s="1">
        <v>3</v>
      </c>
      <c r="G1137" s="1">
        <v>25</v>
      </c>
      <c r="H1137" s="1">
        <v>150</v>
      </c>
      <c r="I1137" s="1">
        <v>100</v>
      </c>
      <c r="J1137" s="1">
        <v>6.9509999999999996</v>
      </c>
      <c r="K1137" s="1">
        <v>72.197999999999993</v>
      </c>
      <c r="L1137" s="1">
        <v>27.8</v>
      </c>
      <c r="M1137" s="1">
        <v>110.7</v>
      </c>
      <c r="N1137" s="1">
        <v>2.8629999999999999E-2</v>
      </c>
      <c r="O1137" s="1">
        <v>1.8799999999999999E-4</v>
      </c>
      <c r="P113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1.6595521368466617</v>
      </c>
      <c r="Q1137" s="1">
        <f>LN(Table1[[#This Row],[qe_mg_g]]-Table1[[#This Row],[qt]])</f>
        <v>1.6660919065603326</v>
      </c>
      <c r="R1137" s="1">
        <v>2</v>
      </c>
    </row>
    <row r="1138" spans="1:18" x14ac:dyDescent="0.3">
      <c r="A1138" s="1">
        <v>1137</v>
      </c>
      <c r="B1138" s="1" t="s">
        <v>17</v>
      </c>
      <c r="C1138" s="1">
        <v>4</v>
      </c>
      <c r="D1138" s="1">
        <v>240</v>
      </c>
      <c r="E1138" s="1">
        <v>100</v>
      </c>
      <c r="F1138" s="1">
        <v>3</v>
      </c>
      <c r="G1138" s="1">
        <v>25</v>
      </c>
      <c r="H1138" s="1">
        <v>150</v>
      </c>
      <c r="I1138" s="1">
        <v>100</v>
      </c>
      <c r="J1138" s="1">
        <v>8.0449999999999999</v>
      </c>
      <c r="K1138" s="1">
        <v>67.820999999999998</v>
      </c>
      <c r="L1138" s="1">
        <v>32.18</v>
      </c>
      <c r="M1138" s="1">
        <v>93.2</v>
      </c>
      <c r="N1138" s="1">
        <v>3.465E-2</v>
      </c>
      <c r="O1138" s="1">
        <v>1.9890000000000001E-4</v>
      </c>
      <c r="P113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2.2322904299636344</v>
      </c>
      <c r="Q1138" s="1">
        <f>LN(Table1[[#This Row],[qe_mg_g]]-Table1[[#This Row],[qt]])</f>
        <v>1.7600468253235266</v>
      </c>
      <c r="R1138" s="1">
        <v>3</v>
      </c>
    </row>
    <row r="1139" spans="1:18" x14ac:dyDescent="0.3">
      <c r="A1139" s="1">
        <v>1138</v>
      </c>
      <c r="B1139" s="1" t="s">
        <v>17</v>
      </c>
      <c r="C1139" s="1">
        <v>4</v>
      </c>
      <c r="D1139" s="1">
        <v>240</v>
      </c>
      <c r="E1139" s="1">
        <v>100</v>
      </c>
      <c r="F1139" s="1">
        <v>7</v>
      </c>
      <c r="G1139" s="1">
        <v>25</v>
      </c>
      <c r="H1139" s="1">
        <v>150</v>
      </c>
      <c r="I1139" s="1">
        <v>100</v>
      </c>
      <c r="J1139" s="1">
        <v>12.414</v>
      </c>
      <c r="K1139" s="1">
        <v>50.344999999999999</v>
      </c>
      <c r="L1139" s="1">
        <v>49.65</v>
      </c>
      <c r="M1139" s="1">
        <v>82.7</v>
      </c>
      <c r="N1139" s="1">
        <v>3.9879999999999999E-2</v>
      </c>
      <c r="O1139" s="1">
        <v>2.1680000000000001E-4</v>
      </c>
      <c r="P1139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4.8717376675614368</v>
      </c>
      <c r="Q1139" s="1">
        <f>LN(Table1[[#This Row],[qe_mg_g]]-Table1[[#This Row],[qt]])</f>
        <v>2.0205221811056338</v>
      </c>
      <c r="R1139" s="1">
        <v>1</v>
      </c>
    </row>
    <row r="1140" spans="1:18" x14ac:dyDescent="0.3">
      <c r="A1140" s="1">
        <v>1139</v>
      </c>
      <c r="B1140" s="1" t="s">
        <v>17</v>
      </c>
      <c r="C1140" s="1">
        <v>4</v>
      </c>
      <c r="D1140" s="1">
        <v>240</v>
      </c>
      <c r="E1140" s="1">
        <v>100</v>
      </c>
      <c r="F1140" s="1">
        <v>7</v>
      </c>
      <c r="G1140" s="1">
        <v>25</v>
      </c>
      <c r="H1140" s="1">
        <v>150</v>
      </c>
      <c r="I1140" s="1">
        <v>100</v>
      </c>
      <c r="J1140" s="1">
        <v>12.965</v>
      </c>
      <c r="K1140" s="1">
        <v>48.14</v>
      </c>
      <c r="L1140" s="1">
        <v>51.86</v>
      </c>
      <c r="M1140" s="1">
        <v>73.3</v>
      </c>
      <c r="N1140" s="1">
        <v>3.4720000000000001E-2</v>
      </c>
      <c r="O1140" s="1">
        <v>1.94E-4</v>
      </c>
      <c r="P114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4.8803201969706116</v>
      </c>
      <c r="Q1140" s="1">
        <f>LN(Table1[[#This Row],[qe_mg_g]]-Table1[[#This Row],[qt]])</f>
        <v>2.0899708884141917</v>
      </c>
      <c r="R1140" s="1">
        <v>2</v>
      </c>
    </row>
    <row r="1141" spans="1:18" x14ac:dyDescent="0.3">
      <c r="A1141" s="1">
        <v>1140</v>
      </c>
      <c r="B1141" s="1" t="s">
        <v>17</v>
      </c>
      <c r="C1141" s="1">
        <v>4</v>
      </c>
      <c r="D1141" s="1">
        <v>240</v>
      </c>
      <c r="E1141" s="1">
        <v>100</v>
      </c>
      <c r="F1141" s="1">
        <v>7</v>
      </c>
      <c r="G1141" s="1">
        <v>25</v>
      </c>
      <c r="H1141" s="1">
        <v>150</v>
      </c>
      <c r="I1141" s="1">
        <v>100</v>
      </c>
      <c r="J1141" s="1">
        <v>10.725</v>
      </c>
      <c r="K1141" s="1">
        <v>57.1</v>
      </c>
      <c r="L1141" s="1">
        <v>42.9</v>
      </c>
      <c r="M1141" s="1">
        <v>90.3</v>
      </c>
      <c r="N1141" s="1">
        <v>3.3119999999999997E-2</v>
      </c>
      <c r="O1141" s="1">
        <v>2.131E-4</v>
      </c>
      <c r="P114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3.7990292953385021</v>
      </c>
      <c r="Q1141" s="1">
        <f>LN(Table1[[#This Row],[qe_mg_g]]-Table1[[#This Row],[qt]])</f>
        <v>1.9352782162082898</v>
      </c>
      <c r="R1141" s="1">
        <v>3</v>
      </c>
    </row>
    <row r="1142" spans="1:18" x14ac:dyDescent="0.3">
      <c r="A1142" s="1">
        <v>1141</v>
      </c>
      <c r="B1142" s="1" t="s">
        <v>17</v>
      </c>
      <c r="C1142" s="1">
        <v>4</v>
      </c>
      <c r="D1142" s="1">
        <v>240</v>
      </c>
      <c r="E1142" s="1">
        <v>100</v>
      </c>
      <c r="F1142" s="1">
        <v>11</v>
      </c>
      <c r="G1142" s="1">
        <v>25</v>
      </c>
      <c r="H1142" s="1">
        <v>150</v>
      </c>
      <c r="I1142" s="1">
        <v>100</v>
      </c>
      <c r="J1142" s="1">
        <v>8.3729999999999993</v>
      </c>
      <c r="K1142" s="1">
        <v>66.507000000000005</v>
      </c>
      <c r="L1142" s="1">
        <v>33.49</v>
      </c>
      <c r="M1142" s="1">
        <v>107.8</v>
      </c>
      <c r="N1142" s="1">
        <v>3.1859999999999999E-2</v>
      </c>
      <c r="O1142" s="1">
        <v>2.0440000000000001E-4</v>
      </c>
      <c r="P114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2.4378418179192307</v>
      </c>
      <c r="Q1142" s="1">
        <f>LN(Table1[[#This Row],[qe_mg_g]]-Table1[[#This Row],[qt]])</f>
        <v>1.780893680121082</v>
      </c>
      <c r="R1142" s="1">
        <v>1</v>
      </c>
    </row>
    <row r="1143" spans="1:18" x14ac:dyDescent="0.3">
      <c r="A1143" s="1">
        <v>1142</v>
      </c>
      <c r="B1143" s="1" t="s">
        <v>17</v>
      </c>
      <c r="C1143" s="1">
        <v>4</v>
      </c>
      <c r="D1143" s="1">
        <v>240</v>
      </c>
      <c r="E1143" s="1">
        <v>100</v>
      </c>
      <c r="F1143" s="1">
        <v>11</v>
      </c>
      <c r="G1143" s="1">
        <v>25</v>
      </c>
      <c r="H1143" s="1">
        <v>150</v>
      </c>
      <c r="I1143" s="1">
        <v>100</v>
      </c>
      <c r="J1143" s="1">
        <v>10.119</v>
      </c>
      <c r="K1143" s="1">
        <v>59.523000000000003</v>
      </c>
      <c r="L1143" s="1">
        <v>40.479999999999997</v>
      </c>
      <c r="M1143" s="1">
        <v>78.400000000000006</v>
      </c>
      <c r="N1143" s="1">
        <v>3.798E-2</v>
      </c>
      <c r="O1143" s="1">
        <v>1.7540000000000001E-4</v>
      </c>
      <c r="P114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3.0227749129184689</v>
      </c>
      <c r="Q1143" s="1">
        <f>LN(Table1[[#This Row],[qe_mg_g]]-Table1[[#This Row],[qt]])</f>
        <v>1.9595629647806287</v>
      </c>
      <c r="R1143" s="1">
        <v>2</v>
      </c>
    </row>
    <row r="1144" spans="1:18" x14ac:dyDescent="0.3">
      <c r="A1144" s="1">
        <v>1143</v>
      </c>
      <c r="B1144" s="1" t="s">
        <v>17</v>
      </c>
      <c r="C1144" s="1">
        <v>4</v>
      </c>
      <c r="D1144" s="1">
        <v>240</v>
      </c>
      <c r="E1144" s="1">
        <v>100</v>
      </c>
      <c r="F1144" s="1">
        <v>11</v>
      </c>
      <c r="G1144" s="1">
        <v>25</v>
      </c>
      <c r="H1144" s="1">
        <v>150</v>
      </c>
      <c r="I1144" s="1">
        <v>100</v>
      </c>
      <c r="J1144" s="1">
        <v>10.738</v>
      </c>
      <c r="K1144" s="1">
        <v>57.045999999999999</v>
      </c>
      <c r="L1144" s="1">
        <v>42.95</v>
      </c>
      <c r="M1144" s="1">
        <v>85.9</v>
      </c>
      <c r="N1144" s="1">
        <v>3.2910000000000002E-2</v>
      </c>
      <c r="O1144" s="1">
        <v>1.94E-4</v>
      </c>
      <c r="P114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3.5791485395142995</v>
      </c>
      <c r="Q1144" s="1">
        <f>LN(Table1[[#This Row],[qe_mg_g]]-Table1[[#This Row],[qt]])</f>
        <v>1.9683495575587164</v>
      </c>
      <c r="R1144" s="1">
        <v>3</v>
      </c>
    </row>
    <row r="1145" spans="1:18" x14ac:dyDescent="0.3">
      <c r="A1145" s="1">
        <v>1144</v>
      </c>
      <c r="B1145" s="1" t="s">
        <v>17</v>
      </c>
      <c r="C1145" s="1">
        <v>4</v>
      </c>
      <c r="D1145" s="1">
        <v>240</v>
      </c>
      <c r="E1145" s="1">
        <v>200</v>
      </c>
      <c r="F1145" s="1">
        <v>3</v>
      </c>
      <c r="G1145" s="1">
        <v>25</v>
      </c>
      <c r="H1145" s="1">
        <v>150</v>
      </c>
      <c r="I1145" s="1">
        <v>100</v>
      </c>
      <c r="J1145" s="1">
        <v>22.728999999999999</v>
      </c>
      <c r="K1145" s="1">
        <v>109.083</v>
      </c>
      <c r="L1145" s="1">
        <v>45.46</v>
      </c>
      <c r="M1145" s="1">
        <v>78.2</v>
      </c>
      <c r="N1145" s="1">
        <v>3.2379999999999999E-2</v>
      </c>
      <c r="O1145" s="1">
        <v>1.9560000000000001E-4</v>
      </c>
      <c r="P1145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11.732818081039587</v>
      </c>
      <c r="Q1145" s="1">
        <f>LN(Table1[[#This Row],[qe_mg_g]]-Table1[[#This Row],[qt]])</f>
        <v>2.3975481142694948</v>
      </c>
      <c r="R1145" s="1">
        <v>1</v>
      </c>
    </row>
    <row r="1146" spans="1:18" x14ac:dyDescent="0.3">
      <c r="A1146" s="1">
        <v>1145</v>
      </c>
      <c r="B1146" s="1" t="s">
        <v>17</v>
      </c>
      <c r="C1146" s="1">
        <v>4</v>
      </c>
      <c r="D1146" s="1">
        <v>240</v>
      </c>
      <c r="E1146" s="1">
        <v>200</v>
      </c>
      <c r="F1146" s="1">
        <v>3</v>
      </c>
      <c r="G1146" s="1">
        <v>25</v>
      </c>
      <c r="H1146" s="1">
        <v>150</v>
      </c>
      <c r="I1146" s="1">
        <v>100</v>
      </c>
      <c r="J1146" s="1">
        <v>18.553000000000001</v>
      </c>
      <c r="K1146" s="1">
        <v>125.78700000000001</v>
      </c>
      <c r="L1146" s="1">
        <v>37.11</v>
      </c>
      <c r="M1146" s="1">
        <v>109.1</v>
      </c>
      <c r="N1146" s="1">
        <v>3.3020000000000001E-2</v>
      </c>
      <c r="O1146" s="1">
        <v>2.1660000000000001E-4</v>
      </c>
      <c r="P114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9.1086702560542729</v>
      </c>
      <c r="Q1146" s="1">
        <f>LN(Table1[[#This Row],[qe_mg_g]]-Table1[[#This Row],[qt]])</f>
        <v>2.2454145343216614</v>
      </c>
      <c r="R1146" s="1">
        <v>2</v>
      </c>
    </row>
    <row r="1147" spans="1:18" x14ac:dyDescent="0.3">
      <c r="A1147" s="1">
        <v>1146</v>
      </c>
      <c r="B1147" s="1" t="s">
        <v>17</v>
      </c>
      <c r="C1147" s="1">
        <v>4</v>
      </c>
      <c r="D1147" s="1">
        <v>240</v>
      </c>
      <c r="E1147" s="1">
        <v>200</v>
      </c>
      <c r="F1147" s="1">
        <v>3</v>
      </c>
      <c r="G1147" s="1">
        <v>25</v>
      </c>
      <c r="H1147" s="1">
        <v>150</v>
      </c>
      <c r="I1147" s="1">
        <v>100</v>
      </c>
      <c r="J1147" s="1">
        <v>21.469000000000001</v>
      </c>
      <c r="K1147" s="1">
        <v>114.125</v>
      </c>
      <c r="L1147" s="1">
        <v>42.94</v>
      </c>
      <c r="M1147" s="1">
        <v>73.099999999999994</v>
      </c>
      <c r="N1147" s="1">
        <v>3.4979999999999997E-2</v>
      </c>
      <c r="O1147" s="1">
        <v>2.1570000000000001E-4</v>
      </c>
      <c r="P1147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11.30089974849721</v>
      </c>
      <c r="Q1147" s="1">
        <f>LN(Table1[[#This Row],[qe_mg_g]]-Table1[[#This Row],[qt]])</f>
        <v>2.3192553933490507</v>
      </c>
      <c r="R1147" s="1">
        <v>3</v>
      </c>
    </row>
    <row r="1148" spans="1:18" x14ac:dyDescent="0.3">
      <c r="A1148" s="1">
        <v>1147</v>
      </c>
      <c r="B1148" s="1" t="s">
        <v>17</v>
      </c>
      <c r="C1148" s="1">
        <v>4</v>
      </c>
      <c r="D1148" s="1">
        <v>240</v>
      </c>
      <c r="E1148" s="1">
        <v>200</v>
      </c>
      <c r="F1148" s="1">
        <v>7</v>
      </c>
      <c r="G1148" s="1">
        <v>25</v>
      </c>
      <c r="H1148" s="1">
        <v>150</v>
      </c>
      <c r="I1148" s="1">
        <v>100</v>
      </c>
      <c r="J1148" s="1">
        <v>30.242999999999999</v>
      </c>
      <c r="K1148" s="1">
        <v>79.028000000000006</v>
      </c>
      <c r="L1148" s="1">
        <v>60.49</v>
      </c>
      <c r="M1148" s="1">
        <v>101.1</v>
      </c>
      <c r="N1148" s="1">
        <v>3.8580000000000003E-2</v>
      </c>
      <c r="O1148" s="1">
        <v>2.184E-4</v>
      </c>
      <c r="P1148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18.544562704199485</v>
      </c>
      <c r="Q1148" s="1">
        <f>LN(Table1[[#This Row],[qe_mg_g]]-Table1[[#This Row],[qt]])</f>
        <v>2.459455268421689</v>
      </c>
      <c r="R1148" s="1">
        <v>1</v>
      </c>
    </row>
    <row r="1149" spans="1:18" x14ac:dyDescent="0.3">
      <c r="A1149" s="1">
        <v>1148</v>
      </c>
      <c r="B1149" s="1" t="s">
        <v>17</v>
      </c>
      <c r="C1149" s="1">
        <v>4</v>
      </c>
      <c r="D1149" s="1">
        <v>240</v>
      </c>
      <c r="E1149" s="1">
        <v>200</v>
      </c>
      <c r="F1149" s="1">
        <v>7</v>
      </c>
      <c r="G1149" s="1">
        <v>25</v>
      </c>
      <c r="H1149" s="1">
        <v>150</v>
      </c>
      <c r="I1149" s="1">
        <v>100</v>
      </c>
      <c r="J1149" s="1">
        <v>29.407</v>
      </c>
      <c r="K1149" s="1">
        <v>82.373999999999995</v>
      </c>
      <c r="L1149" s="1">
        <v>58.81</v>
      </c>
      <c r="M1149" s="1">
        <v>71.8</v>
      </c>
      <c r="N1149" s="1">
        <v>3.2849999999999997E-2</v>
      </c>
      <c r="O1149" s="1">
        <v>2.039E-4</v>
      </c>
      <c r="P1149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17.350310733630245</v>
      </c>
      <c r="Q1149" s="1">
        <f>LN(Table1[[#This Row],[qe_mg_g]]-Table1[[#This Row],[qt]])</f>
        <v>2.4896196317511285</v>
      </c>
      <c r="R1149" s="1">
        <v>2</v>
      </c>
    </row>
    <row r="1150" spans="1:18" x14ac:dyDescent="0.3">
      <c r="A1150" s="1">
        <v>1149</v>
      </c>
      <c r="B1150" s="1" t="s">
        <v>17</v>
      </c>
      <c r="C1150" s="1">
        <v>4</v>
      </c>
      <c r="D1150" s="1">
        <v>240</v>
      </c>
      <c r="E1150" s="1">
        <v>200</v>
      </c>
      <c r="F1150" s="1">
        <v>7</v>
      </c>
      <c r="G1150" s="1">
        <v>25</v>
      </c>
      <c r="H1150" s="1">
        <v>150</v>
      </c>
      <c r="I1150" s="1">
        <v>100</v>
      </c>
      <c r="J1150" s="1">
        <v>32.506</v>
      </c>
      <c r="K1150" s="1">
        <v>69.977999999999994</v>
      </c>
      <c r="L1150" s="1">
        <v>65.010000000000005</v>
      </c>
      <c r="M1150" s="1">
        <v>57.8</v>
      </c>
      <c r="N1150" s="1">
        <v>3.4970000000000001E-2</v>
      </c>
      <c r="O1150" s="1">
        <v>2.0320000000000001E-4</v>
      </c>
      <c r="P1150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19.932373771208663</v>
      </c>
      <c r="Q1150" s="1">
        <f>LN(Table1[[#This Row],[qe_mg_g]]-Table1[[#This Row],[qt]])</f>
        <v>2.5316014637986233</v>
      </c>
      <c r="R1150" s="1">
        <v>3</v>
      </c>
    </row>
    <row r="1151" spans="1:18" x14ac:dyDescent="0.3">
      <c r="A1151" s="1">
        <v>1150</v>
      </c>
      <c r="B1151" s="1" t="s">
        <v>17</v>
      </c>
      <c r="C1151" s="1">
        <v>4</v>
      </c>
      <c r="D1151" s="1">
        <v>240</v>
      </c>
      <c r="E1151" s="1">
        <v>200</v>
      </c>
      <c r="F1151" s="1">
        <v>11</v>
      </c>
      <c r="G1151" s="1">
        <v>25</v>
      </c>
      <c r="H1151" s="1">
        <v>150</v>
      </c>
      <c r="I1151" s="1">
        <v>100</v>
      </c>
      <c r="J1151" s="1">
        <v>24.2</v>
      </c>
      <c r="K1151" s="1">
        <v>103.20099999999999</v>
      </c>
      <c r="L1151" s="1">
        <v>48.4</v>
      </c>
      <c r="M1151" s="1">
        <v>102.3</v>
      </c>
      <c r="N1151" s="1">
        <v>3.6479999999999999E-2</v>
      </c>
      <c r="O1151" s="1">
        <v>2.262E-4</v>
      </c>
      <c r="P1151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13.740877363070204</v>
      </c>
      <c r="Q1151" s="1">
        <f>LN(Table1[[#This Row],[qe_mg_g]]-Table1[[#This Row],[qt]])</f>
        <v>2.3474745771962455</v>
      </c>
      <c r="R1151" s="1">
        <v>1</v>
      </c>
    </row>
    <row r="1152" spans="1:18" x14ac:dyDescent="0.3">
      <c r="A1152" s="1">
        <v>1151</v>
      </c>
      <c r="B1152" s="1" t="s">
        <v>17</v>
      </c>
      <c r="C1152" s="1">
        <v>4</v>
      </c>
      <c r="D1152" s="1">
        <v>240</v>
      </c>
      <c r="E1152" s="1">
        <v>200</v>
      </c>
      <c r="F1152" s="1">
        <v>11</v>
      </c>
      <c r="G1152" s="1">
        <v>25</v>
      </c>
      <c r="H1152" s="1">
        <v>150</v>
      </c>
      <c r="I1152" s="1">
        <v>100</v>
      </c>
      <c r="J1152" s="1">
        <v>24.353000000000002</v>
      </c>
      <c r="K1152" s="1">
        <v>102.58799999999999</v>
      </c>
      <c r="L1152" s="1">
        <v>48.71</v>
      </c>
      <c r="M1152" s="1">
        <v>97.8</v>
      </c>
      <c r="N1152" s="1">
        <v>4.0719999999999999E-2</v>
      </c>
      <c r="O1152" s="1">
        <v>2.262E-4</v>
      </c>
      <c r="P1152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13.865400315995906</v>
      </c>
      <c r="Q1152" s="1">
        <f>LN(Table1[[#This Row],[qe_mg_g]]-Table1[[#This Row],[qt]])</f>
        <v>2.3501935767783397</v>
      </c>
      <c r="R1152" s="1">
        <v>2</v>
      </c>
    </row>
    <row r="1153" spans="1:18" x14ac:dyDescent="0.3">
      <c r="A1153" s="1">
        <v>1152</v>
      </c>
      <c r="B1153" s="1" t="s">
        <v>17</v>
      </c>
      <c r="C1153" s="1">
        <v>4</v>
      </c>
      <c r="D1153" s="1">
        <v>240</v>
      </c>
      <c r="E1153" s="1">
        <v>200</v>
      </c>
      <c r="F1153" s="1">
        <v>11</v>
      </c>
      <c r="G1153" s="1">
        <v>25</v>
      </c>
      <c r="H1153" s="1">
        <v>150</v>
      </c>
      <c r="I1153" s="1">
        <v>100</v>
      </c>
      <c r="J1153" s="1">
        <v>22.172000000000001</v>
      </c>
      <c r="K1153" s="1">
        <v>111.31100000000001</v>
      </c>
      <c r="L1153" s="1">
        <v>44.34</v>
      </c>
      <c r="M1153" s="1">
        <v>82.5</v>
      </c>
      <c r="N1153" s="1">
        <v>3.3790000000000001E-2</v>
      </c>
      <c r="O1153" s="1">
        <v>2.098E-4</v>
      </c>
      <c r="P1153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11.69574201668696</v>
      </c>
      <c r="Q1153" s="1">
        <f>LN(Table1[[#This Row],[qe_mg_g]]-Table1[[#This Row],[qt]])</f>
        <v>2.3491115524698762</v>
      </c>
      <c r="R1153" s="1">
        <v>3</v>
      </c>
    </row>
    <row r="1154" spans="1:18" x14ac:dyDescent="0.3">
      <c r="A1154" s="1">
        <v>1153</v>
      </c>
      <c r="B1154" s="1" t="s">
        <v>18</v>
      </c>
      <c r="C1154" s="1">
        <v>0.5</v>
      </c>
      <c r="D1154" s="1">
        <v>30</v>
      </c>
      <c r="E1154" s="1">
        <v>25</v>
      </c>
      <c r="F1154" s="1">
        <v>3</v>
      </c>
      <c r="G1154" s="1">
        <v>25</v>
      </c>
      <c r="H1154" s="1">
        <v>150</v>
      </c>
      <c r="I1154" s="1">
        <v>100</v>
      </c>
      <c r="J1154" s="1">
        <v>5.4029999999999996</v>
      </c>
      <c r="K1154" s="1">
        <v>22.298999999999999</v>
      </c>
      <c r="L1154" s="1">
        <v>10.81</v>
      </c>
      <c r="M1154" s="1">
        <v>87.4</v>
      </c>
      <c r="N1154" s="1">
        <v>3.0200000000000001E-2</v>
      </c>
      <c r="O1154" s="1">
        <v>1.995E-4</v>
      </c>
      <c r="P115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0.16924374063989597</v>
      </c>
      <c r="Q1154" s="1">
        <f>LN(Table1[[#This Row],[qe_mg_g]]-Table1[[#This Row],[qt]])</f>
        <v>1.6551292343113517</v>
      </c>
      <c r="R1154" s="1">
        <v>1</v>
      </c>
    </row>
    <row r="1155" spans="1:18" x14ac:dyDescent="0.3">
      <c r="A1155" s="1">
        <v>1154</v>
      </c>
      <c r="B1155" s="1" t="s">
        <v>18</v>
      </c>
      <c r="C1155" s="1">
        <v>0.5</v>
      </c>
      <c r="D1155" s="1">
        <v>30</v>
      </c>
      <c r="E1155" s="1">
        <v>25</v>
      </c>
      <c r="F1155" s="1">
        <v>3</v>
      </c>
      <c r="G1155" s="1">
        <v>25</v>
      </c>
      <c r="H1155" s="1">
        <v>150</v>
      </c>
      <c r="I1155" s="1">
        <v>100</v>
      </c>
      <c r="J1155" s="1">
        <v>5.7489999999999997</v>
      </c>
      <c r="K1155" s="1">
        <v>22.126000000000001</v>
      </c>
      <c r="L1155" s="1">
        <v>11.5</v>
      </c>
      <c r="M1155" s="1">
        <v>92.3</v>
      </c>
      <c r="N1155" s="1">
        <v>3.0169999999999999E-2</v>
      </c>
      <c r="O1155" s="1">
        <v>2.4230000000000001E-4</v>
      </c>
      <c r="P115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0.23061062781934544</v>
      </c>
      <c r="Q1155" s="1">
        <f>LN(Table1[[#This Row],[qe_mg_g]]-Table1[[#This Row],[qt]])</f>
        <v>1.7080860373107649</v>
      </c>
      <c r="R1155" s="1">
        <v>2</v>
      </c>
    </row>
    <row r="1156" spans="1:18" x14ac:dyDescent="0.3">
      <c r="A1156" s="1">
        <v>1155</v>
      </c>
      <c r="B1156" s="1" t="s">
        <v>18</v>
      </c>
      <c r="C1156" s="1">
        <v>0.5</v>
      </c>
      <c r="D1156" s="1">
        <v>30</v>
      </c>
      <c r="E1156" s="1">
        <v>25</v>
      </c>
      <c r="F1156" s="1">
        <v>3</v>
      </c>
      <c r="G1156" s="1">
        <v>25</v>
      </c>
      <c r="H1156" s="1">
        <v>150</v>
      </c>
      <c r="I1156" s="1">
        <v>100</v>
      </c>
      <c r="J1156" s="1">
        <v>5.6130000000000004</v>
      </c>
      <c r="K1156" s="1">
        <v>22.193000000000001</v>
      </c>
      <c r="L1156" s="1">
        <v>11.23</v>
      </c>
      <c r="M1156" s="1">
        <v>57.4</v>
      </c>
      <c r="N1156" s="1">
        <v>2.9950000000000001E-2</v>
      </c>
      <c r="O1156" s="1">
        <v>2.474E-4</v>
      </c>
      <c r="P115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0.22448388918259435</v>
      </c>
      <c r="Q1156" s="1">
        <f>LN(Table1[[#This Row],[qe_mg_g]]-Table1[[#This Row],[qt]])</f>
        <v>1.6842700429022619</v>
      </c>
      <c r="R1156" s="1">
        <v>3</v>
      </c>
    </row>
    <row r="1157" spans="1:18" x14ac:dyDescent="0.3">
      <c r="A1157" s="1">
        <v>1156</v>
      </c>
      <c r="B1157" s="1" t="s">
        <v>18</v>
      </c>
      <c r="C1157" s="1">
        <v>0.5</v>
      </c>
      <c r="D1157" s="1">
        <v>30</v>
      </c>
      <c r="E1157" s="1">
        <v>25</v>
      </c>
      <c r="F1157" s="1">
        <v>7</v>
      </c>
      <c r="G1157" s="1">
        <v>25</v>
      </c>
      <c r="H1157" s="1">
        <v>150</v>
      </c>
      <c r="I1157" s="1">
        <v>100</v>
      </c>
      <c r="J1157" s="1">
        <v>8.1929999999999996</v>
      </c>
      <c r="K1157" s="1">
        <v>20.904</v>
      </c>
      <c r="L1157" s="1">
        <v>16.39</v>
      </c>
      <c r="M1157" s="1">
        <v>125.9</v>
      </c>
      <c r="N1157" s="1">
        <v>2.734E-2</v>
      </c>
      <c r="O1157" s="1">
        <v>2.6929999999999999E-4</v>
      </c>
      <c r="P115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0.50863753402301193</v>
      </c>
      <c r="Q1157" s="1">
        <f>LN(Table1[[#This Row],[qe_mg_g]]-Table1[[#This Row],[qt]])</f>
        <v>2.0391874153160212</v>
      </c>
      <c r="R1157" s="1">
        <v>1</v>
      </c>
    </row>
    <row r="1158" spans="1:18" x14ac:dyDescent="0.3">
      <c r="A1158" s="1">
        <v>1157</v>
      </c>
      <c r="B1158" s="1" t="s">
        <v>18</v>
      </c>
      <c r="C1158" s="1">
        <v>0.5</v>
      </c>
      <c r="D1158" s="1">
        <v>30</v>
      </c>
      <c r="E1158" s="1">
        <v>25</v>
      </c>
      <c r="F1158" s="1">
        <v>7</v>
      </c>
      <c r="G1158" s="1">
        <v>25</v>
      </c>
      <c r="H1158" s="1">
        <v>150</v>
      </c>
      <c r="I1158" s="1">
        <v>100</v>
      </c>
      <c r="J1158" s="1">
        <v>8.8149999999999995</v>
      </c>
      <c r="K1158" s="1">
        <v>20.591999999999999</v>
      </c>
      <c r="L1158" s="1">
        <v>17.63</v>
      </c>
      <c r="M1158" s="1">
        <v>118.9</v>
      </c>
      <c r="N1158" s="1">
        <v>2.8000000000000001E-2</v>
      </c>
      <c r="O1158" s="1">
        <v>2.3169999999999999E-4</v>
      </c>
      <c r="P115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0.50893788393187944</v>
      </c>
      <c r="Q1158" s="1">
        <f>LN(Table1[[#This Row],[qe_mg_g]]-Table1[[#This Row],[qt]])</f>
        <v>2.1169856236381133</v>
      </c>
      <c r="R1158" s="1">
        <v>2</v>
      </c>
    </row>
    <row r="1159" spans="1:18" x14ac:dyDescent="0.3">
      <c r="A1159" s="1">
        <v>1158</v>
      </c>
      <c r="B1159" s="1" t="s">
        <v>18</v>
      </c>
      <c r="C1159" s="1">
        <v>0.5</v>
      </c>
      <c r="D1159" s="1">
        <v>30</v>
      </c>
      <c r="E1159" s="1">
        <v>25</v>
      </c>
      <c r="F1159" s="1">
        <v>7</v>
      </c>
      <c r="G1159" s="1">
        <v>25</v>
      </c>
      <c r="H1159" s="1">
        <v>150</v>
      </c>
      <c r="I1159" s="1">
        <v>100</v>
      </c>
      <c r="J1159" s="1">
        <v>9.3840000000000003</v>
      </c>
      <c r="K1159" s="1">
        <v>20.308</v>
      </c>
      <c r="L1159" s="1">
        <v>18.77</v>
      </c>
      <c r="M1159" s="1">
        <v>106.4</v>
      </c>
      <c r="N1159" s="1">
        <v>2.537E-2</v>
      </c>
      <c r="O1159" s="1">
        <v>2.365E-4</v>
      </c>
      <c r="P115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0.58578085556268167</v>
      </c>
      <c r="Q1159" s="1">
        <f>LN(Table1[[#This Row],[qe_mg_g]]-Table1[[#This Row],[qt]])</f>
        <v>2.1745493310542945</v>
      </c>
      <c r="R1159" s="1">
        <v>3</v>
      </c>
    </row>
    <row r="1160" spans="1:18" x14ac:dyDescent="0.3">
      <c r="A1160" s="1">
        <v>1159</v>
      </c>
      <c r="B1160" s="1" t="s">
        <v>18</v>
      </c>
      <c r="C1160" s="1">
        <v>0.5</v>
      </c>
      <c r="D1160" s="1">
        <v>30</v>
      </c>
      <c r="E1160" s="1">
        <v>25</v>
      </c>
      <c r="F1160" s="1">
        <v>11</v>
      </c>
      <c r="G1160" s="1">
        <v>25</v>
      </c>
      <c r="H1160" s="1">
        <v>150</v>
      </c>
      <c r="I1160" s="1">
        <v>100</v>
      </c>
      <c r="J1160" s="1">
        <v>6.6070000000000002</v>
      </c>
      <c r="K1160" s="1">
        <v>21.696999999999999</v>
      </c>
      <c r="L1160" s="1">
        <v>13.21</v>
      </c>
      <c r="M1160" s="1">
        <v>112.6</v>
      </c>
      <c r="N1160" s="1">
        <v>2.7959999999999999E-2</v>
      </c>
      <c r="O1160" s="1">
        <v>1.771E-4</v>
      </c>
      <c r="P116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0.22406027569579307</v>
      </c>
      <c r="Q1160" s="1">
        <f>LN(Table1[[#This Row],[qe_mg_g]]-Table1[[#This Row],[qt]])</f>
        <v>1.8536287630684696</v>
      </c>
      <c r="R1160" s="1">
        <v>1</v>
      </c>
    </row>
    <row r="1161" spans="1:18" x14ac:dyDescent="0.3">
      <c r="A1161" s="1">
        <v>1160</v>
      </c>
      <c r="B1161" s="1" t="s">
        <v>18</v>
      </c>
      <c r="C1161" s="1">
        <v>0.5</v>
      </c>
      <c r="D1161" s="1">
        <v>30</v>
      </c>
      <c r="E1161" s="1">
        <v>25</v>
      </c>
      <c r="F1161" s="1">
        <v>11</v>
      </c>
      <c r="G1161" s="1">
        <v>25</v>
      </c>
      <c r="H1161" s="1">
        <v>150</v>
      </c>
      <c r="I1161" s="1">
        <v>100</v>
      </c>
      <c r="J1161" s="1">
        <v>6.6849999999999996</v>
      </c>
      <c r="K1161" s="1">
        <v>21.657</v>
      </c>
      <c r="L1161" s="1">
        <v>13.37</v>
      </c>
      <c r="M1161" s="1">
        <v>81.7</v>
      </c>
      <c r="N1161" s="1">
        <v>2.3949999999999999E-2</v>
      </c>
      <c r="O1161" s="1">
        <v>1.7919999999999999E-4</v>
      </c>
      <c r="P116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0.23191459694289202</v>
      </c>
      <c r="Q1161" s="1">
        <f>LN(Table1[[#This Row],[qe_mg_g]]-Table1[[#This Row],[qt]])</f>
        <v>1.8645583734945324</v>
      </c>
      <c r="R1161" s="1">
        <v>2</v>
      </c>
    </row>
    <row r="1162" spans="1:18" x14ac:dyDescent="0.3">
      <c r="A1162" s="1">
        <v>1161</v>
      </c>
      <c r="B1162" s="1" t="s">
        <v>18</v>
      </c>
      <c r="C1162" s="1">
        <v>0.5</v>
      </c>
      <c r="D1162" s="1">
        <v>30</v>
      </c>
      <c r="E1162" s="1">
        <v>25</v>
      </c>
      <c r="F1162" s="1">
        <v>11</v>
      </c>
      <c r="G1162" s="1">
        <v>25</v>
      </c>
      <c r="H1162" s="1">
        <v>150</v>
      </c>
      <c r="I1162" s="1">
        <v>100</v>
      </c>
      <c r="J1162" s="1">
        <v>6.8520000000000003</v>
      </c>
      <c r="K1162" s="1">
        <v>21.574000000000002</v>
      </c>
      <c r="L1162" s="1">
        <v>13.7</v>
      </c>
      <c r="M1162" s="1">
        <v>101.9</v>
      </c>
      <c r="N1162" s="1">
        <v>2.9319999999999999E-2</v>
      </c>
      <c r="O1162" s="1">
        <v>2.8469999999999998E-4</v>
      </c>
      <c r="P116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0.37882894922865967</v>
      </c>
      <c r="Q1162" s="1">
        <f>LN(Table1[[#This Row],[qe_mg_g]]-Table1[[#This Row],[qt]])</f>
        <v>1.8676661044840204</v>
      </c>
      <c r="R1162" s="1">
        <v>3</v>
      </c>
    </row>
    <row r="1163" spans="1:18" x14ac:dyDescent="0.3">
      <c r="A1163" s="1">
        <v>1162</v>
      </c>
      <c r="B1163" s="1" t="s">
        <v>18</v>
      </c>
      <c r="C1163" s="1">
        <v>0.5</v>
      </c>
      <c r="D1163" s="1">
        <v>30</v>
      </c>
      <c r="E1163" s="1">
        <v>50</v>
      </c>
      <c r="F1163" s="1">
        <v>3</v>
      </c>
      <c r="G1163" s="1">
        <v>25</v>
      </c>
      <c r="H1163" s="1">
        <v>150</v>
      </c>
      <c r="I1163" s="1">
        <v>100</v>
      </c>
      <c r="J1163" s="1">
        <v>14.795</v>
      </c>
      <c r="K1163" s="1">
        <v>42.601999999999997</v>
      </c>
      <c r="L1163" s="1">
        <v>14.8</v>
      </c>
      <c r="M1163" s="1">
        <v>124.2</v>
      </c>
      <c r="N1163" s="1">
        <v>2.5819999999999999E-2</v>
      </c>
      <c r="O1163" s="1">
        <v>2.4909999999999998E-4</v>
      </c>
      <c r="P116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1.4729286418442695</v>
      </c>
      <c r="Q1163" s="1">
        <f>LN(Table1[[#This Row],[qe_mg_g]]-Table1[[#This Row],[qt]])</f>
        <v>2.5894221603912744</v>
      </c>
      <c r="R1163" s="1">
        <v>1</v>
      </c>
    </row>
    <row r="1164" spans="1:18" x14ac:dyDescent="0.3">
      <c r="A1164" s="1">
        <v>1163</v>
      </c>
      <c r="B1164" s="1" t="s">
        <v>18</v>
      </c>
      <c r="C1164" s="1">
        <v>0.5</v>
      </c>
      <c r="D1164" s="1">
        <v>30</v>
      </c>
      <c r="E1164" s="1">
        <v>50</v>
      </c>
      <c r="F1164" s="1">
        <v>3</v>
      </c>
      <c r="G1164" s="1">
        <v>25</v>
      </c>
      <c r="H1164" s="1">
        <v>150</v>
      </c>
      <c r="I1164" s="1">
        <v>100</v>
      </c>
      <c r="J1164" s="1">
        <v>11.957000000000001</v>
      </c>
      <c r="K1164" s="1">
        <v>44.021999999999998</v>
      </c>
      <c r="L1164" s="1">
        <v>11.96</v>
      </c>
      <c r="M1164" s="1">
        <v>96.6</v>
      </c>
      <c r="N1164" s="1">
        <v>2.9250000000000002E-2</v>
      </c>
      <c r="O1164" s="1">
        <v>2.6570000000000001E-4</v>
      </c>
      <c r="P116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1.0404483204175854</v>
      </c>
      <c r="Q1164" s="1">
        <f>LN(Table1[[#This Row],[qe_mg_g]]-Table1[[#This Row],[qt]])</f>
        <v>2.3902801401896538</v>
      </c>
      <c r="R1164" s="1">
        <v>2</v>
      </c>
    </row>
    <row r="1165" spans="1:18" x14ac:dyDescent="0.3">
      <c r="A1165" s="1">
        <v>1164</v>
      </c>
      <c r="B1165" s="1" t="s">
        <v>18</v>
      </c>
      <c r="C1165" s="1">
        <v>0.5</v>
      </c>
      <c r="D1165" s="1">
        <v>30</v>
      </c>
      <c r="E1165" s="1">
        <v>50</v>
      </c>
      <c r="F1165" s="1">
        <v>3</v>
      </c>
      <c r="G1165" s="1">
        <v>25</v>
      </c>
      <c r="H1165" s="1">
        <v>150</v>
      </c>
      <c r="I1165" s="1">
        <v>100</v>
      </c>
      <c r="J1165" s="1">
        <v>14.05</v>
      </c>
      <c r="K1165" s="1">
        <v>42.975000000000001</v>
      </c>
      <c r="L1165" s="1">
        <v>14.05</v>
      </c>
      <c r="M1165" s="1">
        <v>109.4</v>
      </c>
      <c r="N1165" s="1">
        <v>3.211E-2</v>
      </c>
      <c r="O1165" s="1">
        <v>3.0390000000000001E-4</v>
      </c>
      <c r="P116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1.5953624713936703</v>
      </c>
      <c r="Q1165" s="1">
        <f>LN(Table1[[#This Row],[qe_mg_g]]-Table1[[#This Row],[qt]])</f>
        <v>2.5220930458102351</v>
      </c>
      <c r="R1165" s="1">
        <v>3</v>
      </c>
    </row>
    <row r="1166" spans="1:18" x14ac:dyDescent="0.3">
      <c r="A1166" s="1">
        <v>1165</v>
      </c>
      <c r="B1166" s="1" t="s">
        <v>18</v>
      </c>
      <c r="C1166" s="1">
        <v>0.5</v>
      </c>
      <c r="D1166" s="1">
        <v>30</v>
      </c>
      <c r="E1166" s="1">
        <v>50</v>
      </c>
      <c r="F1166" s="1">
        <v>7</v>
      </c>
      <c r="G1166" s="1">
        <v>25</v>
      </c>
      <c r="H1166" s="1">
        <v>150</v>
      </c>
      <c r="I1166" s="1">
        <v>100</v>
      </c>
      <c r="J1166" s="1">
        <v>22.135999999999999</v>
      </c>
      <c r="K1166" s="1">
        <v>38.932000000000002</v>
      </c>
      <c r="L1166" s="1">
        <v>22.14</v>
      </c>
      <c r="M1166" s="1">
        <v>85.9</v>
      </c>
      <c r="N1166" s="1">
        <v>3.074E-2</v>
      </c>
      <c r="O1166" s="1">
        <v>2.299E-4</v>
      </c>
      <c r="P116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2.9319244662552713</v>
      </c>
      <c r="Q1166" s="1">
        <f>LN(Table1[[#This Row],[qe_mg_g]]-Table1[[#This Row],[qt]])</f>
        <v>2.9551225238907404</v>
      </c>
      <c r="R1166" s="1">
        <v>1</v>
      </c>
    </row>
    <row r="1167" spans="1:18" x14ac:dyDescent="0.3">
      <c r="A1167" s="1">
        <v>1166</v>
      </c>
      <c r="B1167" s="1" t="s">
        <v>18</v>
      </c>
      <c r="C1167" s="1">
        <v>0.5</v>
      </c>
      <c r="D1167" s="1">
        <v>30</v>
      </c>
      <c r="E1167" s="1">
        <v>50</v>
      </c>
      <c r="F1167" s="1">
        <v>7</v>
      </c>
      <c r="G1167" s="1">
        <v>25</v>
      </c>
      <c r="H1167" s="1">
        <v>150</v>
      </c>
      <c r="I1167" s="1">
        <v>100</v>
      </c>
      <c r="J1167" s="1">
        <v>25.821000000000002</v>
      </c>
      <c r="K1167" s="1">
        <v>37.090000000000003</v>
      </c>
      <c r="L1167" s="1">
        <v>25.82</v>
      </c>
      <c r="M1167" s="1">
        <v>95.8</v>
      </c>
      <c r="N1167" s="1">
        <v>2.8299999999999999E-2</v>
      </c>
      <c r="O1167" s="1">
        <v>2.3819999999999999E-4</v>
      </c>
      <c r="P116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4.0222390526822602</v>
      </c>
      <c r="Q1167" s="1">
        <f>LN(Table1[[#This Row],[qe_mg_g]]-Table1[[#This Row],[qt]])</f>
        <v>3.0818531309007415</v>
      </c>
      <c r="R1167" s="1">
        <v>2</v>
      </c>
    </row>
    <row r="1168" spans="1:18" x14ac:dyDescent="0.3">
      <c r="A1168" s="1">
        <v>1167</v>
      </c>
      <c r="B1168" s="1" t="s">
        <v>18</v>
      </c>
      <c r="C1168" s="1">
        <v>0.5</v>
      </c>
      <c r="D1168" s="1">
        <v>30</v>
      </c>
      <c r="E1168" s="1">
        <v>50</v>
      </c>
      <c r="F1168" s="1">
        <v>7</v>
      </c>
      <c r="G1168" s="1">
        <v>25</v>
      </c>
      <c r="H1168" s="1">
        <v>150</v>
      </c>
      <c r="I1168" s="1">
        <v>100</v>
      </c>
      <c r="J1168" s="1">
        <v>24.254999999999999</v>
      </c>
      <c r="K1168" s="1">
        <v>37.872</v>
      </c>
      <c r="L1168" s="1">
        <v>24.26</v>
      </c>
      <c r="M1168" s="1">
        <v>97.6</v>
      </c>
      <c r="N1168" s="1">
        <v>2.8070000000000001E-2</v>
      </c>
      <c r="O1168" s="1">
        <v>2.9159999999999999E-4</v>
      </c>
      <c r="P116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4.2456406850835036</v>
      </c>
      <c r="Q1168" s="1">
        <f>LN(Table1[[#This Row],[qe_mg_g]]-Table1[[#This Row],[qt]])</f>
        <v>2.9962001298379946</v>
      </c>
      <c r="R1168" s="1">
        <v>3</v>
      </c>
    </row>
    <row r="1169" spans="1:18" x14ac:dyDescent="0.3">
      <c r="A1169" s="1">
        <v>1168</v>
      </c>
      <c r="B1169" s="1" t="s">
        <v>18</v>
      </c>
      <c r="C1169" s="1">
        <v>0.5</v>
      </c>
      <c r="D1169" s="1">
        <v>30</v>
      </c>
      <c r="E1169" s="1">
        <v>50</v>
      </c>
      <c r="F1169" s="1">
        <v>11</v>
      </c>
      <c r="G1169" s="1">
        <v>25</v>
      </c>
      <c r="H1169" s="1">
        <v>150</v>
      </c>
      <c r="I1169" s="1">
        <v>100</v>
      </c>
      <c r="J1169" s="1">
        <v>16</v>
      </c>
      <c r="K1169" s="1">
        <v>42</v>
      </c>
      <c r="L1169" s="1">
        <v>16</v>
      </c>
      <c r="M1169" s="1">
        <v>100.5</v>
      </c>
      <c r="N1169" s="1">
        <v>3.1960000000000002E-2</v>
      </c>
      <c r="O1169" s="1">
        <v>2.0919999999999999E-4</v>
      </c>
      <c r="P116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1.4600442014656274</v>
      </c>
      <c r="Q1169" s="1">
        <f>LN(Table1[[#This Row],[qe_mg_g]]-Table1[[#This Row],[qt]])</f>
        <v>2.6769004321099938</v>
      </c>
      <c r="R1169" s="1">
        <v>1</v>
      </c>
    </row>
    <row r="1170" spans="1:18" x14ac:dyDescent="0.3">
      <c r="A1170" s="1">
        <v>1169</v>
      </c>
      <c r="B1170" s="1" t="s">
        <v>18</v>
      </c>
      <c r="C1170" s="1">
        <v>0.5</v>
      </c>
      <c r="D1170" s="1">
        <v>30</v>
      </c>
      <c r="E1170" s="1">
        <v>50</v>
      </c>
      <c r="F1170" s="1">
        <v>11</v>
      </c>
      <c r="G1170" s="1">
        <v>25</v>
      </c>
      <c r="H1170" s="1">
        <v>150</v>
      </c>
      <c r="I1170" s="1">
        <v>100</v>
      </c>
      <c r="J1170" s="1">
        <v>18.085000000000001</v>
      </c>
      <c r="K1170" s="1">
        <v>40.957999999999998</v>
      </c>
      <c r="L1170" s="1">
        <v>18.079999999999998</v>
      </c>
      <c r="M1170" s="1">
        <v>84.2</v>
      </c>
      <c r="N1170" s="1">
        <v>3.2469999999999999E-2</v>
      </c>
      <c r="O1170" s="1">
        <v>2.2589999999999999E-4</v>
      </c>
      <c r="P117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1.9745319144698146</v>
      </c>
      <c r="Q1170" s="1">
        <f>LN(Table1[[#This Row],[qe_mg_g]]-Table1[[#This Row],[qt]])</f>
        <v>2.7794692523552436</v>
      </c>
      <c r="R1170" s="1">
        <v>2</v>
      </c>
    </row>
    <row r="1171" spans="1:18" x14ac:dyDescent="0.3">
      <c r="A1171" s="1">
        <v>1170</v>
      </c>
      <c r="B1171" s="1" t="s">
        <v>18</v>
      </c>
      <c r="C1171" s="1">
        <v>0.5</v>
      </c>
      <c r="D1171" s="1">
        <v>30</v>
      </c>
      <c r="E1171" s="1">
        <v>50</v>
      </c>
      <c r="F1171" s="1">
        <v>11</v>
      </c>
      <c r="G1171" s="1">
        <v>25</v>
      </c>
      <c r="H1171" s="1">
        <v>150</v>
      </c>
      <c r="I1171" s="1">
        <v>100</v>
      </c>
      <c r="J1171" s="1">
        <v>18.416</v>
      </c>
      <c r="K1171" s="1">
        <v>40.792000000000002</v>
      </c>
      <c r="L1171" s="1">
        <v>18.420000000000002</v>
      </c>
      <c r="M1171" s="1">
        <v>116.6</v>
      </c>
      <c r="N1171" s="1">
        <v>3.2579999999999998E-2</v>
      </c>
      <c r="O1171" s="1">
        <v>2.563E-4</v>
      </c>
      <c r="P117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2.2842638982159489</v>
      </c>
      <c r="Q1171" s="1">
        <f>LN(Table1[[#This Row],[qe_mg_g]]-Table1[[#This Row],[qt]])</f>
        <v>2.7807885181979253</v>
      </c>
      <c r="R1171" s="1">
        <v>3</v>
      </c>
    </row>
    <row r="1172" spans="1:18" x14ac:dyDescent="0.3">
      <c r="A1172" s="1">
        <v>1171</v>
      </c>
      <c r="B1172" s="1" t="s">
        <v>18</v>
      </c>
      <c r="C1172" s="1">
        <v>0.5</v>
      </c>
      <c r="D1172" s="1">
        <v>30</v>
      </c>
      <c r="E1172" s="1">
        <v>100</v>
      </c>
      <c r="F1172" s="1">
        <v>3</v>
      </c>
      <c r="G1172" s="1">
        <v>25</v>
      </c>
      <c r="H1172" s="1">
        <v>150</v>
      </c>
      <c r="I1172" s="1">
        <v>100</v>
      </c>
      <c r="J1172" s="1">
        <v>24.989000000000001</v>
      </c>
      <c r="K1172" s="1">
        <v>87.504999999999995</v>
      </c>
      <c r="L1172" s="1">
        <v>12.49</v>
      </c>
      <c r="M1172" s="1">
        <v>91.4</v>
      </c>
      <c r="N1172" s="1">
        <v>3.4410000000000003E-2</v>
      </c>
      <c r="O1172" s="1">
        <v>2.3250000000000001E-4</v>
      </c>
      <c r="P117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3.7090573040099213</v>
      </c>
      <c r="Q1172" s="1">
        <f>LN(Table1[[#This Row],[qe_mg_g]]-Table1[[#This Row],[qt]])</f>
        <v>3.0577649716122091</v>
      </c>
      <c r="R1172" s="1">
        <v>1</v>
      </c>
    </row>
    <row r="1173" spans="1:18" x14ac:dyDescent="0.3">
      <c r="A1173" s="1">
        <v>1172</v>
      </c>
      <c r="B1173" s="1" t="s">
        <v>18</v>
      </c>
      <c r="C1173" s="1">
        <v>0.5</v>
      </c>
      <c r="D1173" s="1">
        <v>30</v>
      </c>
      <c r="E1173" s="1">
        <v>100</v>
      </c>
      <c r="F1173" s="1">
        <v>3</v>
      </c>
      <c r="G1173" s="1">
        <v>25</v>
      </c>
      <c r="H1173" s="1">
        <v>150</v>
      </c>
      <c r="I1173" s="1">
        <v>100</v>
      </c>
      <c r="J1173" s="1">
        <v>23.138999999999999</v>
      </c>
      <c r="K1173" s="1">
        <v>88.430999999999997</v>
      </c>
      <c r="L1173" s="1">
        <v>11.57</v>
      </c>
      <c r="M1173" s="1">
        <v>110</v>
      </c>
      <c r="N1173" s="1">
        <v>2.7609999999999999E-2</v>
      </c>
      <c r="O1173" s="1">
        <v>2.262E-4</v>
      </c>
      <c r="P117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3.1402316800534762</v>
      </c>
      <c r="Q1173" s="1">
        <f>LN(Table1[[#This Row],[qe_mg_g]]-Table1[[#This Row],[qt]])</f>
        <v>2.9956706876549446</v>
      </c>
      <c r="R1173" s="1">
        <v>2</v>
      </c>
    </row>
    <row r="1174" spans="1:18" x14ac:dyDescent="0.3">
      <c r="A1174" s="1">
        <v>1173</v>
      </c>
      <c r="B1174" s="1" t="s">
        <v>18</v>
      </c>
      <c r="C1174" s="1">
        <v>0.5</v>
      </c>
      <c r="D1174" s="1">
        <v>30</v>
      </c>
      <c r="E1174" s="1">
        <v>100</v>
      </c>
      <c r="F1174" s="1">
        <v>3</v>
      </c>
      <c r="G1174" s="1">
        <v>25</v>
      </c>
      <c r="H1174" s="1">
        <v>150</v>
      </c>
      <c r="I1174" s="1">
        <v>100</v>
      </c>
      <c r="J1174" s="1">
        <v>22.204999999999998</v>
      </c>
      <c r="K1174" s="1">
        <v>88.897999999999996</v>
      </c>
      <c r="L1174" s="1">
        <v>11.1</v>
      </c>
      <c r="M1174" s="1">
        <v>92.8</v>
      </c>
      <c r="N1174" s="1">
        <v>2.9749999999999999E-2</v>
      </c>
      <c r="O1174" s="1">
        <v>2.5609999999999999E-4</v>
      </c>
      <c r="P117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3.2361116123541032</v>
      </c>
      <c r="Q1174" s="1">
        <f>LN(Table1[[#This Row],[qe_mg_g]]-Table1[[#This Row],[qt]])</f>
        <v>2.9428001837927451</v>
      </c>
      <c r="R1174" s="1">
        <v>3</v>
      </c>
    </row>
    <row r="1175" spans="1:18" x14ac:dyDescent="0.3">
      <c r="A1175" s="1">
        <v>1174</v>
      </c>
      <c r="B1175" s="1" t="s">
        <v>18</v>
      </c>
      <c r="C1175" s="1">
        <v>0.5</v>
      </c>
      <c r="D1175" s="1">
        <v>30</v>
      </c>
      <c r="E1175" s="1">
        <v>100</v>
      </c>
      <c r="F1175" s="1">
        <v>7</v>
      </c>
      <c r="G1175" s="1">
        <v>25</v>
      </c>
      <c r="H1175" s="1">
        <v>150</v>
      </c>
      <c r="I1175" s="1">
        <v>100</v>
      </c>
      <c r="J1175" s="1">
        <v>44.08</v>
      </c>
      <c r="K1175" s="1">
        <v>77.959999999999994</v>
      </c>
      <c r="L1175" s="1">
        <v>22.04</v>
      </c>
      <c r="M1175" s="1">
        <v>107.9</v>
      </c>
      <c r="N1175" s="1">
        <v>2.9430000000000001E-2</v>
      </c>
      <c r="O1175" s="1">
        <v>2.4499999999999999E-4</v>
      </c>
      <c r="P1175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10.786646888038259</v>
      </c>
      <c r="Q1175" s="1">
        <f>LN(Table1[[#This Row],[qe_mg_g]]-Table1[[#This Row],[qt]])</f>
        <v>3.5053577708150243</v>
      </c>
      <c r="R1175" s="1">
        <v>1</v>
      </c>
    </row>
    <row r="1176" spans="1:18" x14ac:dyDescent="0.3">
      <c r="A1176" s="1">
        <v>1175</v>
      </c>
      <c r="B1176" s="1" t="s">
        <v>18</v>
      </c>
      <c r="C1176" s="1">
        <v>0.5</v>
      </c>
      <c r="D1176" s="1">
        <v>30</v>
      </c>
      <c r="E1176" s="1">
        <v>100</v>
      </c>
      <c r="F1176" s="1">
        <v>7</v>
      </c>
      <c r="G1176" s="1">
        <v>25</v>
      </c>
      <c r="H1176" s="1">
        <v>150</v>
      </c>
      <c r="I1176" s="1">
        <v>100</v>
      </c>
      <c r="J1176" s="1">
        <v>42.468000000000004</v>
      </c>
      <c r="K1176" s="1">
        <v>78.766000000000005</v>
      </c>
      <c r="L1176" s="1">
        <v>21.23</v>
      </c>
      <c r="M1176" s="1">
        <v>119.1</v>
      </c>
      <c r="N1176" s="1">
        <v>3.0380000000000001E-2</v>
      </c>
      <c r="O1176" s="1">
        <v>2.3829999999999999E-4</v>
      </c>
      <c r="P117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9.8906155099715551</v>
      </c>
      <c r="Q1176" s="1">
        <f>LN(Table1[[#This Row],[qe_mg_g]]-Table1[[#This Row],[qt]])</f>
        <v>3.4836183203327931</v>
      </c>
      <c r="R1176" s="1">
        <v>2</v>
      </c>
    </row>
    <row r="1177" spans="1:18" x14ac:dyDescent="0.3">
      <c r="A1177" s="1">
        <v>1176</v>
      </c>
      <c r="B1177" s="1" t="s">
        <v>18</v>
      </c>
      <c r="C1177" s="1">
        <v>0.5</v>
      </c>
      <c r="D1177" s="1">
        <v>30</v>
      </c>
      <c r="E1177" s="1">
        <v>100</v>
      </c>
      <c r="F1177" s="1">
        <v>7</v>
      </c>
      <c r="G1177" s="1">
        <v>25</v>
      </c>
      <c r="H1177" s="1">
        <v>150</v>
      </c>
      <c r="I1177" s="1">
        <v>100</v>
      </c>
      <c r="J1177" s="1">
        <v>36.975000000000001</v>
      </c>
      <c r="K1177" s="1">
        <v>81.512</v>
      </c>
      <c r="L1177" s="1">
        <v>18.489999999999998</v>
      </c>
      <c r="M1177" s="1">
        <v>78.3</v>
      </c>
      <c r="N1177" s="1">
        <v>3.2000000000000001E-2</v>
      </c>
      <c r="O1177" s="1">
        <v>2.6439999999999998E-4</v>
      </c>
      <c r="P1177" s="1">
        <f>(Table1[[#This Row],[Rate_Constant_k2_g_mg_min]]*Table1[[#This Row],[Contact_Time_min]]*Table1[[#This Row],[qe_mg_g]]^2)/(1+Table1[[#This Row],[Contact_Time_min]]*Table1[[#This Row],[qe_mg_g]]*Table1[[#This Row],[Rate_Constant_k2_g_mg_min]])</f>
        <v>8.3850295085610256</v>
      </c>
      <c r="Q1177" s="1">
        <f>LN(Table1[[#This Row],[qe_mg_g]]-Table1[[#This Row],[qt]])</f>
        <v>3.3530559742049357</v>
      </c>
      <c r="R1177" s="1">
        <v>3</v>
      </c>
    </row>
    <row r="1178" spans="1:18" x14ac:dyDescent="0.3">
      <c r="A1178" s="1">
        <v>1177</v>
      </c>
      <c r="B1178" s="1" t="s">
        <v>18</v>
      </c>
      <c r="C1178" s="1">
        <v>0.5</v>
      </c>
      <c r="D1178" s="1">
        <v>30</v>
      </c>
      <c r="E1178" s="1">
        <v>100</v>
      </c>
      <c r="F1178" s="1">
        <v>11</v>
      </c>
      <c r="G1178" s="1">
        <v>25</v>
      </c>
      <c r="H1178" s="1">
        <v>150</v>
      </c>
      <c r="I1178" s="1">
        <v>100</v>
      </c>
      <c r="J1178" s="1">
        <v>32.936999999999998</v>
      </c>
      <c r="K1178" s="1">
        <v>83.531999999999996</v>
      </c>
      <c r="L1178" s="1">
        <v>16.47</v>
      </c>
      <c r="M1178" s="1">
        <v>98.1</v>
      </c>
      <c r="N1178" s="1">
        <v>3.422E-2</v>
      </c>
      <c r="O1178" s="1">
        <v>2.3790000000000001E-4</v>
      </c>
      <c r="P1178" s="1">
        <f>(Table1[[#This Row],[Rate_Constant_k2_g_mg_min]]*Table1[[#This Row],[Contact_Time_min]]*Table1[[#This Row],[qe_mg_g]]^2)/(1+Table1[[#This Row],[Contact_Time_min]]*Table1[[#This Row],[qe_mg_g]]*Table1[[#This Row],[Rate_Constant_k2_g_mg_min]])</f>
        <v>6.2689054860221596</v>
      </c>
      <c r="Q1178" s="1">
        <f>LN(Table1[[#This Row],[qe_mg_g]]-Table1[[#This Row],[qt]])</f>
        <v>3.2834678888464972</v>
      </c>
      <c r="R1178" s="1">
        <v>1</v>
      </c>
    </row>
    <row r="1179" spans="1:18" x14ac:dyDescent="0.3">
      <c r="A1179" s="1">
        <v>1178</v>
      </c>
      <c r="B1179" s="1" t="s">
        <v>18</v>
      </c>
      <c r="C1179" s="1">
        <v>0.5</v>
      </c>
      <c r="D1179" s="1">
        <v>30</v>
      </c>
      <c r="E1179" s="1">
        <v>100</v>
      </c>
      <c r="F1179" s="1">
        <v>11</v>
      </c>
      <c r="G1179" s="1">
        <v>25</v>
      </c>
      <c r="H1179" s="1">
        <v>150</v>
      </c>
      <c r="I1179" s="1">
        <v>100</v>
      </c>
      <c r="J1179" s="1">
        <v>34.000999999999998</v>
      </c>
      <c r="K1179" s="1">
        <v>82.998999999999995</v>
      </c>
      <c r="L1179" s="1">
        <v>17</v>
      </c>
      <c r="M1179" s="1">
        <v>99.4</v>
      </c>
      <c r="N1179" s="1">
        <v>2.8170000000000001E-2</v>
      </c>
      <c r="O1179" s="1">
        <v>2.6479999999999999E-4</v>
      </c>
      <c r="P117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7.2307500841395704</v>
      </c>
      <c r="Q1179" s="1">
        <f>LN(Table1[[#This Row],[qe_mg_g]]-Table1[[#This Row],[qt]])</f>
        <v>3.2872911931577327</v>
      </c>
      <c r="R1179" s="1">
        <v>2</v>
      </c>
    </row>
    <row r="1180" spans="1:18" x14ac:dyDescent="0.3">
      <c r="A1180" s="1">
        <v>1179</v>
      </c>
      <c r="B1180" s="1" t="s">
        <v>18</v>
      </c>
      <c r="C1180" s="1">
        <v>0.5</v>
      </c>
      <c r="D1180" s="1">
        <v>30</v>
      </c>
      <c r="E1180" s="1">
        <v>100</v>
      </c>
      <c r="F1180" s="1">
        <v>11</v>
      </c>
      <c r="G1180" s="1">
        <v>25</v>
      </c>
      <c r="H1180" s="1">
        <v>150</v>
      </c>
      <c r="I1180" s="1">
        <v>100</v>
      </c>
      <c r="J1180" s="1">
        <v>32.463999999999999</v>
      </c>
      <c r="K1180" s="1">
        <v>83.768000000000001</v>
      </c>
      <c r="L1180" s="1">
        <v>16.23</v>
      </c>
      <c r="M1180" s="1">
        <v>105.4</v>
      </c>
      <c r="N1180" s="1">
        <v>3.024E-2</v>
      </c>
      <c r="O1180" s="1">
        <v>2.4909999999999998E-4</v>
      </c>
      <c r="P1180" s="1">
        <f>(Table1[[#This Row],[Rate_Constant_k2_g_mg_min]]*Table1[[#This Row],[Contact_Time_min]]*Table1[[#This Row],[qe_mg_g]]^2)/(1+Table1[[#This Row],[Contact_Time_min]]*Table1[[#This Row],[qe_mg_g]]*Table1[[#This Row],[Rate_Constant_k2_g_mg_min]])</f>
        <v>6.3382078776358037</v>
      </c>
      <c r="Q1180" s="1">
        <f>LN(Table1[[#This Row],[qe_mg_g]]-Table1[[#This Row],[qt]])</f>
        <v>3.2629230302985897</v>
      </c>
      <c r="R1180" s="1">
        <v>3</v>
      </c>
    </row>
    <row r="1181" spans="1:18" x14ac:dyDescent="0.3">
      <c r="A1181" s="1">
        <v>1180</v>
      </c>
      <c r="B1181" s="1" t="s">
        <v>18</v>
      </c>
      <c r="C1181" s="1">
        <v>0.5</v>
      </c>
      <c r="D1181" s="1">
        <v>30</v>
      </c>
      <c r="E1181" s="1">
        <v>200</v>
      </c>
      <c r="F1181" s="1">
        <v>3</v>
      </c>
      <c r="G1181" s="1">
        <v>25</v>
      </c>
      <c r="H1181" s="1">
        <v>150</v>
      </c>
      <c r="I1181" s="1">
        <v>100</v>
      </c>
      <c r="J1181" s="1">
        <v>38.573999999999998</v>
      </c>
      <c r="K1181" s="1">
        <v>180.71299999999999</v>
      </c>
      <c r="L1181" s="1">
        <v>9.64</v>
      </c>
      <c r="M1181" s="1">
        <v>117.8</v>
      </c>
      <c r="N1181" s="1">
        <v>3.2169999999999997E-2</v>
      </c>
      <c r="O1181" s="1">
        <v>2.5280000000000002E-4</v>
      </c>
      <c r="P1181" s="1">
        <f>(Table1[[#This Row],[Rate_Constant_k2_g_mg_min]]*Table1[[#This Row],[Contact_Time_min]]*Table1[[#This Row],[qe_mg_g]]^2)/(1+Table1[[#This Row],[Contact_Time_min]]*Table1[[#This Row],[qe_mg_g]]*Table1[[#This Row],[Rate_Constant_k2_g_mg_min]])</f>
        <v>8.7305565966243144</v>
      </c>
      <c r="Q1181" s="1">
        <f>LN(Table1[[#This Row],[qe_mg_g]]-Table1[[#This Row],[qt]])</f>
        <v>3.3959651642334907</v>
      </c>
      <c r="R1181" s="1">
        <v>1</v>
      </c>
    </row>
    <row r="1182" spans="1:18" x14ac:dyDescent="0.3">
      <c r="A1182" s="1">
        <v>1181</v>
      </c>
      <c r="B1182" s="1" t="s">
        <v>18</v>
      </c>
      <c r="C1182" s="1">
        <v>0.5</v>
      </c>
      <c r="D1182" s="1">
        <v>30</v>
      </c>
      <c r="E1182" s="1">
        <v>200</v>
      </c>
      <c r="F1182" s="1">
        <v>3</v>
      </c>
      <c r="G1182" s="1">
        <v>25</v>
      </c>
      <c r="H1182" s="1">
        <v>150</v>
      </c>
      <c r="I1182" s="1">
        <v>100</v>
      </c>
      <c r="J1182" s="1">
        <v>34.627000000000002</v>
      </c>
      <c r="K1182" s="1">
        <v>182.68600000000001</v>
      </c>
      <c r="L1182" s="1">
        <v>8.66</v>
      </c>
      <c r="M1182" s="1">
        <v>107.8</v>
      </c>
      <c r="N1182" s="1">
        <v>3.0079999999999999E-2</v>
      </c>
      <c r="O1182" s="1">
        <v>2.4240000000000001E-4</v>
      </c>
      <c r="P1182" s="1">
        <f>(Table1[[#This Row],[Rate_Constant_k2_g_mg_min]]*Table1[[#This Row],[Contact_Time_min]]*Table1[[#This Row],[qe_mg_g]]^2)/(1+Table1[[#This Row],[Contact_Time_min]]*Table1[[#This Row],[qe_mg_g]]*Table1[[#This Row],[Rate_Constant_k2_g_mg_min]])</f>
        <v>6.9653996477976188</v>
      </c>
      <c r="Q1182" s="1">
        <f>LN(Table1[[#This Row],[qe_mg_g]]-Table1[[#This Row],[qt]])</f>
        <v>3.3200451825600967</v>
      </c>
      <c r="R1182" s="1">
        <v>2</v>
      </c>
    </row>
    <row r="1183" spans="1:18" x14ac:dyDescent="0.3">
      <c r="A1183" s="1">
        <v>1182</v>
      </c>
      <c r="B1183" s="1" t="s">
        <v>18</v>
      </c>
      <c r="C1183" s="1">
        <v>0.5</v>
      </c>
      <c r="D1183" s="1">
        <v>30</v>
      </c>
      <c r="E1183" s="1">
        <v>200</v>
      </c>
      <c r="F1183" s="1">
        <v>3</v>
      </c>
      <c r="G1183" s="1">
        <v>25</v>
      </c>
      <c r="H1183" s="1">
        <v>150</v>
      </c>
      <c r="I1183" s="1">
        <v>100</v>
      </c>
      <c r="J1183" s="1">
        <v>31.518000000000001</v>
      </c>
      <c r="K1183" s="1">
        <v>184.24100000000001</v>
      </c>
      <c r="L1183" s="1">
        <v>7.88</v>
      </c>
      <c r="M1183" s="1">
        <v>52.4</v>
      </c>
      <c r="N1183" s="1">
        <v>3.0630000000000001E-2</v>
      </c>
      <c r="O1183" s="1">
        <v>2.3780000000000001E-4</v>
      </c>
      <c r="P118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5.7858571821039506</v>
      </c>
      <c r="Q1183" s="1">
        <f>LN(Table1[[#This Row],[qe_mg_g]]-Table1[[#This Row],[qt]])</f>
        <v>3.2477409037391674</v>
      </c>
      <c r="R1183" s="1">
        <v>3</v>
      </c>
    </row>
    <row r="1184" spans="1:18" x14ac:dyDescent="0.3">
      <c r="A1184" s="1">
        <v>1183</v>
      </c>
      <c r="B1184" s="1" t="s">
        <v>18</v>
      </c>
      <c r="C1184" s="1">
        <v>0.5</v>
      </c>
      <c r="D1184" s="1">
        <v>30</v>
      </c>
      <c r="E1184" s="1">
        <v>200</v>
      </c>
      <c r="F1184" s="1">
        <v>7</v>
      </c>
      <c r="G1184" s="1">
        <v>25</v>
      </c>
      <c r="H1184" s="1">
        <v>150</v>
      </c>
      <c r="I1184" s="1">
        <v>100</v>
      </c>
      <c r="J1184" s="1">
        <v>57.223999999999997</v>
      </c>
      <c r="K1184" s="1">
        <v>171.38800000000001</v>
      </c>
      <c r="L1184" s="1">
        <v>14.31</v>
      </c>
      <c r="M1184" s="1">
        <v>100.3</v>
      </c>
      <c r="N1184" s="1">
        <v>2.6429999999999999E-2</v>
      </c>
      <c r="O1184" s="1">
        <v>2.4879999999999998E-4</v>
      </c>
      <c r="P1184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17.126459102077877</v>
      </c>
      <c r="Q1184" s="1">
        <f>LN(Table1[[#This Row],[qe_mg_g]]-Table1[[#This Row],[qt]])</f>
        <v>3.6913150081907715</v>
      </c>
      <c r="R1184" s="1">
        <v>1</v>
      </c>
    </row>
    <row r="1185" spans="1:18" x14ac:dyDescent="0.3">
      <c r="A1185" s="1">
        <v>1184</v>
      </c>
      <c r="B1185" s="1" t="s">
        <v>18</v>
      </c>
      <c r="C1185" s="1">
        <v>0.5</v>
      </c>
      <c r="D1185" s="1">
        <v>30</v>
      </c>
      <c r="E1185" s="1">
        <v>200</v>
      </c>
      <c r="F1185" s="1">
        <v>7</v>
      </c>
      <c r="G1185" s="1">
        <v>25</v>
      </c>
      <c r="H1185" s="1">
        <v>150</v>
      </c>
      <c r="I1185" s="1">
        <v>100</v>
      </c>
      <c r="J1185" s="1">
        <v>45.337000000000003</v>
      </c>
      <c r="K1185" s="1">
        <v>177.33099999999999</v>
      </c>
      <c r="L1185" s="1">
        <v>11.33</v>
      </c>
      <c r="M1185" s="1">
        <v>107.1</v>
      </c>
      <c r="N1185" s="1">
        <v>3.0870000000000002E-2</v>
      </c>
      <c r="O1185" s="1">
        <v>2.7389999999999999E-4</v>
      </c>
      <c r="P1185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12.30539878726251</v>
      </c>
      <c r="Q1185" s="1">
        <f>LN(Table1[[#This Row],[qe_mg_g]]-Table1[[#This Row],[qt]])</f>
        <v>3.4974647157553269</v>
      </c>
      <c r="R1185" s="1">
        <v>2</v>
      </c>
    </row>
    <row r="1186" spans="1:18" x14ac:dyDescent="0.3">
      <c r="A1186" s="1">
        <v>1185</v>
      </c>
      <c r="B1186" s="1" t="s">
        <v>18</v>
      </c>
      <c r="C1186" s="1">
        <v>0.5</v>
      </c>
      <c r="D1186" s="1">
        <v>30</v>
      </c>
      <c r="E1186" s="1">
        <v>200</v>
      </c>
      <c r="F1186" s="1">
        <v>7</v>
      </c>
      <c r="G1186" s="1">
        <v>25</v>
      </c>
      <c r="H1186" s="1">
        <v>150</v>
      </c>
      <c r="I1186" s="1">
        <v>100</v>
      </c>
      <c r="J1186" s="1">
        <v>46.487000000000002</v>
      </c>
      <c r="K1186" s="1">
        <v>176.756</v>
      </c>
      <c r="L1186" s="1">
        <v>11.62</v>
      </c>
      <c r="M1186" s="1">
        <v>100.5</v>
      </c>
      <c r="N1186" s="1">
        <v>2.5899999999999999E-2</v>
      </c>
      <c r="O1186" s="1">
        <v>2.675E-4</v>
      </c>
      <c r="P1186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12.630459289334187</v>
      </c>
      <c r="Q1186" s="1">
        <f>LN(Table1[[#This Row],[qe_mg_g]]-Table1[[#This Row],[qt]])</f>
        <v>3.522132207004621</v>
      </c>
      <c r="R1186" s="1">
        <v>3</v>
      </c>
    </row>
    <row r="1187" spans="1:18" x14ac:dyDescent="0.3">
      <c r="A1187" s="1">
        <v>1186</v>
      </c>
      <c r="B1187" s="1" t="s">
        <v>18</v>
      </c>
      <c r="C1187" s="1">
        <v>0.5</v>
      </c>
      <c r="D1187" s="1">
        <v>30</v>
      </c>
      <c r="E1187" s="1">
        <v>200</v>
      </c>
      <c r="F1187" s="1">
        <v>11</v>
      </c>
      <c r="G1187" s="1">
        <v>25</v>
      </c>
      <c r="H1187" s="1">
        <v>150</v>
      </c>
      <c r="I1187" s="1">
        <v>100</v>
      </c>
      <c r="J1187" s="1">
        <v>40.61</v>
      </c>
      <c r="K1187" s="1">
        <v>179.69499999999999</v>
      </c>
      <c r="L1187" s="1">
        <v>10.15</v>
      </c>
      <c r="M1187" s="1">
        <v>107.4</v>
      </c>
      <c r="N1187" s="1">
        <v>0.03</v>
      </c>
      <c r="O1187" s="1">
        <v>2.6039999999999999E-4</v>
      </c>
      <c r="P1187" s="1">
        <f>(Table1[[#This Row],[Rate_Constant_k2_g_mg_min]]*Table1[[#This Row],[Contact_Time_min]]*Table1[[#This Row],[qe_mg_g]]^2)/(1+Table1[[#This Row],[Contact_Time_min]]*Table1[[#This Row],[qe_mg_g]]*Table1[[#This Row],[Rate_Constant_k2_g_mg_min]])</f>
        <v>9.7805110783768043</v>
      </c>
      <c r="Q1187" s="1">
        <f>LN(Table1[[#This Row],[qe_mg_g]]-Table1[[#This Row],[qt]])</f>
        <v>3.4284716644535891</v>
      </c>
      <c r="R1187" s="1">
        <v>1</v>
      </c>
    </row>
    <row r="1188" spans="1:18" x14ac:dyDescent="0.3">
      <c r="A1188" s="1">
        <v>1187</v>
      </c>
      <c r="B1188" s="1" t="s">
        <v>18</v>
      </c>
      <c r="C1188" s="1">
        <v>0.5</v>
      </c>
      <c r="D1188" s="1">
        <v>30</v>
      </c>
      <c r="E1188" s="1">
        <v>200</v>
      </c>
      <c r="F1188" s="1">
        <v>11</v>
      </c>
      <c r="G1188" s="1">
        <v>25</v>
      </c>
      <c r="H1188" s="1">
        <v>150</v>
      </c>
      <c r="I1188" s="1">
        <v>100</v>
      </c>
      <c r="J1188" s="1">
        <v>44.4</v>
      </c>
      <c r="K1188" s="1">
        <v>177.8</v>
      </c>
      <c r="L1188" s="1">
        <v>11.1</v>
      </c>
      <c r="M1188" s="1">
        <v>95.7</v>
      </c>
      <c r="N1188" s="1">
        <v>3.0419999999999999E-2</v>
      </c>
      <c r="O1188" s="1">
        <v>2.2279999999999999E-4</v>
      </c>
      <c r="P1188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10.161072745690522</v>
      </c>
      <c r="Q1188" s="1">
        <f>LN(Table1[[#This Row],[qe_mg_g]]-Table1[[#This Row],[qt]])</f>
        <v>3.5333632205931811</v>
      </c>
      <c r="R1188" s="1">
        <v>2</v>
      </c>
    </row>
    <row r="1189" spans="1:18" x14ac:dyDescent="0.3">
      <c r="A1189" s="1">
        <v>1188</v>
      </c>
      <c r="B1189" s="1" t="s">
        <v>18</v>
      </c>
      <c r="C1189" s="1">
        <v>0.5</v>
      </c>
      <c r="D1189" s="1">
        <v>30</v>
      </c>
      <c r="E1189" s="1">
        <v>200</v>
      </c>
      <c r="F1189" s="1">
        <v>11</v>
      </c>
      <c r="G1189" s="1">
        <v>25</v>
      </c>
      <c r="H1189" s="1">
        <v>150</v>
      </c>
      <c r="I1189" s="1">
        <v>100</v>
      </c>
      <c r="J1189" s="1">
        <v>35.765999999999998</v>
      </c>
      <c r="K1189" s="1">
        <v>182.11699999999999</v>
      </c>
      <c r="L1189" s="1">
        <v>8.94</v>
      </c>
      <c r="M1189" s="1">
        <v>101.5</v>
      </c>
      <c r="N1189" s="1">
        <v>3.3309999999999999E-2</v>
      </c>
      <c r="O1189" s="1">
        <v>2.4360000000000001E-4</v>
      </c>
      <c r="P118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7.4112942404744535</v>
      </c>
      <c r="Q1189" s="1">
        <f>LN(Table1[[#This Row],[qe_mg_g]]-Table1[[#This Row],[qt]])</f>
        <v>3.3447930043895977</v>
      </c>
      <c r="R1189" s="1">
        <v>3</v>
      </c>
    </row>
    <row r="1190" spans="1:18" x14ac:dyDescent="0.3">
      <c r="A1190" s="1">
        <v>1189</v>
      </c>
      <c r="B1190" s="1" t="s">
        <v>18</v>
      </c>
      <c r="C1190" s="1">
        <v>0.5</v>
      </c>
      <c r="D1190" s="1">
        <v>60</v>
      </c>
      <c r="E1190" s="1">
        <v>25</v>
      </c>
      <c r="F1190" s="1">
        <v>3</v>
      </c>
      <c r="G1190" s="1">
        <v>25</v>
      </c>
      <c r="H1190" s="1">
        <v>150</v>
      </c>
      <c r="I1190" s="1">
        <v>100</v>
      </c>
      <c r="J1190" s="1">
        <v>8.4610000000000003</v>
      </c>
      <c r="K1190" s="1">
        <v>20.768999999999998</v>
      </c>
      <c r="L1190" s="1">
        <v>16.920000000000002</v>
      </c>
      <c r="M1190" s="1">
        <v>93.9</v>
      </c>
      <c r="N1190" s="1">
        <v>2.8400000000000002E-2</v>
      </c>
      <c r="O1190" s="1">
        <v>2.5740000000000002E-4</v>
      </c>
      <c r="P119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0.97783745181682657</v>
      </c>
      <c r="Q1190" s="1">
        <f>LN(Table1[[#This Row],[qe_mg_g]]-Table1[[#This Row],[qt]])</f>
        <v>2.0126555031906626</v>
      </c>
      <c r="R1190" s="1">
        <v>1</v>
      </c>
    </row>
    <row r="1191" spans="1:18" x14ac:dyDescent="0.3">
      <c r="A1191" s="1">
        <v>1190</v>
      </c>
      <c r="B1191" s="1" t="s">
        <v>18</v>
      </c>
      <c r="C1191" s="1">
        <v>0.5</v>
      </c>
      <c r="D1191" s="1">
        <v>60</v>
      </c>
      <c r="E1191" s="1">
        <v>25</v>
      </c>
      <c r="F1191" s="1">
        <v>3</v>
      </c>
      <c r="G1191" s="1">
        <v>25</v>
      </c>
      <c r="H1191" s="1">
        <v>150</v>
      </c>
      <c r="I1191" s="1">
        <v>100</v>
      </c>
      <c r="J1191" s="1">
        <v>7.48</v>
      </c>
      <c r="K1191" s="1">
        <v>21.26</v>
      </c>
      <c r="L1191" s="1">
        <v>14.96</v>
      </c>
      <c r="M1191" s="1">
        <v>119.2</v>
      </c>
      <c r="N1191" s="1">
        <v>2.8000000000000001E-2</v>
      </c>
      <c r="O1191" s="1">
        <v>2.6800000000000001E-4</v>
      </c>
      <c r="P119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0.80308826091800045</v>
      </c>
      <c r="Q1191" s="1">
        <f>LN(Table1[[#This Row],[qe_mg_g]]-Table1[[#This Row],[qt]])</f>
        <v>1.8986555661395703</v>
      </c>
      <c r="R1191" s="1">
        <v>2</v>
      </c>
    </row>
    <row r="1192" spans="1:18" x14ac:dyDescent="0.3">
      <c r="A1192" s="1">
        <v>1191</v>
      </c>
      <c r="B1192" s="1" t="s">
        <v>18</v>
      </c>
      <c r="C1192" s="1">
        <v>0.5</v>
      </c>
      <c r="D1192" s="1">
        <v>60</v>
      </c>
      <c r="E1192" s="1">
        <v>25</v>
      </c>
      <c r="F1192" s="1">
        <v>3</v>
      </c>
      <c r="G1192" s="1">
        <v>25</v>
      </c>
      <c r="H1192" s="1">
        <v>150</v>
      </c>
      <c r="I1192" s="1">
        <v>100</v>
      </c>
      <c r="J1192" s="1">
        <v>7.657</v>
      </c>
      <c r="K1192" s="1">
        <v>21.172000000000001</v>
      </c>
      <c r="L1192" s="1">
        <v>15.31</v>
      </c>
      <c r="M1192" s="1">
        <v>110</v>
      </c>
      <c r="N1192" s="1">
        <v>3.202E-2</v>
      </c>
      <c r="O1192" s="1">
        <v>2.5960000000000002E-4</v>
      </c>
      <c r="P119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0.81590602793136213</v>
      </c>
      <c r="Q1192" s="1">
        <f>LN(Table1[[#This Row],[qe_mg_g]]-Table1[[#This Row],[qt]])</f>
        <v>1.9229476562827661</v>
      </c>
      <c r="R1192" s="1">
        <v>3</v>
      </c>
    </row>
    <row r="1193" spans="1:18" x14ac:dyDescent="0.3">
      <c r="A1193" s="1">
        <v>1192</v>
      </c>
      <c r="B1193" s="1" t="s">
        <v>18</v>
      </c>
      <c r="C1193" s="1">
        <v>0.5</v>
      </c>
      <c r="D1193" s="1">
        <v>60</v>
      </c>
      <c r="E1193" s="1">
        <v>25</v>
      </c>
      <c r="F1193" s="1">
        <v>7</v>
      </c>
      <c r="G1193" s="1">
        <v>25</v>
      </c>
      <c r="H1193" s="1">
        <v>150</v>
      </c>
      <c r="I1193" s="1">
        <v>100</v>
      </c>
      <c r="J1193" s="1">
        <v>12.717000000000001</v>
      </c>
      <c r="K1193" s="1">
        <v>18.641999999999999</v>
      </c>
      <c r="L1193" s="1">
        <v>25.43</v>
      </c>
      <c r="M1193" s="1">
        <v>103.7</v>
      </c>
      <c r="N1193" s="1">
        <v>2.6450000000000001E-2</v>
      </c>
      <c r="O1193" s="1">
        <v>2.4369999999999999E-4</v>
      </c>
      <c r="P119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1.9939326489865061</v>
      </c>
      <c r="Q1193" s="1">
        <f>LN(Table1[[#This Row],[qe_mg_g]]-Table1[[#This Row],[qt]])</f>
        <v>2.3723972482043409</v>
      </c>
      <c r="R1193" s="1">
        <v>1</v>
      </c>
    </row>
    <row r="1194" spans="1:18" x14ac:dyDescent="0.3">
      <c r="A1194" s="1">
        <v>1193</v>
      </c>
      <c r="B1194" s="1" t="s">
        <v>18</v>
      </c>
      <c r="C1194" s="1">
        <v>0.5</v>
      </c>
      <c r="D1194" s="1">
        <v>60</v>
      </c>
      <c r="E1194" s="1">
        <v>25</v>
      </c>
      <c r="F1194" s="1">
        <v>7</v>
      </c>
      <c r="G1194" s="1">
        <v>25</v>
      </c>
      <c r="H1194" s="1">
        <v>150</v>
      </c>
      <c r="I1194" s="1">
        <v>100</v>
      </c>
      <c r="J1194" s="1">
        <v>15.260999999999999</v>
      </c>
      <c r="K1194" s="1">
        <v>17.37</v>
      </c>
      <c r="L1194" s="1">
        <v>30.52</v>
      </c>
      <c r="M1194" s="1">
        <v>112</v>
      </c>
      <c r="N1194" s="1">
        <v>3.005E-2</v>
      </c>
      <c r="O1194" s="1">
        <v>2.2560000000000001E-4</v>
      </c>
      <c r="P119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2.612779531437444</v>
      </c>
      <c r="Q1194" s="1">
        <f>LN(Table1[[#This Row],[qe_mg_g]]-Table1[[#This Row],[qt]])</f>
        <v>2.5375165308560224</v>
      </c>
      <c r="R1194" s="1">
        <v>2</v>
      </c>
    </row>
    <row r="1195" spans="1:18" x14ac:dyDescent="0.3">
      <c r="A1195" s="1">
        <v>1194</v>
      </c>
      <c r="B1195" s="1" t="s">
        <v>18</v>
      </c>
      <c r="C1195" s="1">
        <v>0.5</v>
      </c>
      <c r="D1195" s="1">
        <v>60</v>
      </c>
      <c r="E1195" s="1">
        <v>25</v>
      </c>
      <c r="F1195" s="1">
        <v>7</v>
      </c>
      <c r="G1195" s="1">
        <v>25</v>
      </c>
      <c r="H1195" s="1">
        <v>150</v>
      </c>
      <c r="I1195" s="1">
        <v>100</v>
      </c>
      <c r="J1195" s="1">
        <v>14.778</v>
      </c>
      <c r="K1195" s="1">
        <v>17.611000000000001</v>
      </c>
      <c r="L1195" s="1">
        <v>29.56</v>
      </c>
      <c r="M1195" s="1">
        <v>100.3</v>
      </c>
      <c r="N1195" s="1">
        <v>2.3040000000000001E-2</v>
      </c>
      <c r="O1195" s="1">
        <v>2.6959999999999999E-4</v>
      </c>
      <c r="P119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2.8511102170002438</v>
      </c>
      <c r="Q1195" s="1">
        <f>LN(Table1[[#This Row],[qe_mg_g]]-Table1[[#This Row],[qt]])</f>
        <v>2.4787954965879377</v>
      </c>
      <c r="R1195" s="1">
        <v>3</v>
      </c>
    </row>
    <row r="1196" spans="1:18" x14ac:dyDescent="0.3">
      <c r="A1196" s="1">
        <v>1195</v>
      </c>
      <c r="B1196" s="1" t="s">
        <v>18</v>
      </c>
      <c r="C1196" s="1">
        <v>0.5</v>
      </c>
      <c r="D1196" s="1">
        <v>60</v>
      </c>
      <c r="E1196" s="1">
        <v>25</v>
      </c>
      <c r="F1196" s="1">
        <v>11</v>
      </c>
      <c r="G1196" s="1">
        <v>25</v>
      </c>
      <c r="H1196" s="1">
        <v>150</v>
      </c>
      <c r="I1196" s="1">
        <v>100</v>
      </c>
      <c r="J1196" s="1">
        <v>10.651999999999999</v>
      </c>
      <c r="K1196" s="1">
        <v>19.673999999999999</v>
      </c>
      <c r="L1196" s="1">
        <v>21.3</v>
      </c>
      <c r="M1196" s="1">
        <v>118</v>
      </c>
      <c r="N1196" s="1">
        <v>2.6710000000000001E-2</v>
      </c>
      <c r="O1196" s="1">
        <v>1.706E-4</v>
      </c>
      <c r="P119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1.0472437622211777</v>
      </c>
      <c r="Q1196" s="1">
        <f>LN(Table1[[#This Row],[qe_mg_g]]-Table1[[#This Row],[qt]])</f>
        <v>2.262258417218499</v>
      </c>
      <c r="R1196" s="1">
        <v>1</v>
      </c>
    </row>
    <row r="1197" spans="1:18" x14ac:dyDescent="0.3">
      <c r="A1197" s="1">
        <v>1196</v>
      </c>
      <c r="B1197" s="1" t="s">
        <v>18</v>
      </c>
      <c r="C1197" s="1">
        <v>0.5</v>
      </c>
      <c r="D1197" s="1">
        <v>60</v>
      </c>
      <c r="E1197" s="1">
        <v>25</v>
      </c>
      <c r="F1197" s="1">
        <v>11</v>
      </c>
      <c r="G1197" s="1">
        <v>25</v>
      </c>
      <c r="H1197" s="1">
        <v>150</v>
      </c>
      <c r="I1197" s="1">
        <v>100</v>
      </c>
      <c r="J1197" s="1">
        <v>10.943</v>
      </c>
      <c r="K1197" s="1">
        <v>19.527999999999999</v>
      </c>
      <c r="L1197" s="1">
        <v>21.89</v>
      </c>
      <c r="M1197" s="1">
        <v>104.4</v>
      </c>
      <c r="N1197" s="1">
        <v>2.4930000000000001E-2</v>
      </c>
      <c r="O1197" s="1">
        <v>2.2550000000000001E-4</v>
      </c>
      <c r="P119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1.4112581629813576</v>
      </c>
      <c r="Q1197" s="1">
        <f>LN(Table1[[#This Row],[qe_mg_g]]-Table1[[#This Row],[qt]])</f>
        <v>2.2546274750487658</v>
      </c>
      <c r="R1197" s="1">
        <v>2</v>
      </c>
    </row>
    <row r="1198" spans="1:18" x14ac:dyDescent="0.3">
      <c r="A1198" s="1">
        <v>1197</v>
      </c>
      <c r="B1198" s="1" t="s">
        <v>18</v>
      </c>
      <c r="C1198" s="1">
        <v>0.5</v>
      </c>
      <c r="D1198" s="1">
        <v>60</v>
      </c>
      <c r="E1198" s="1">
        <v>25</v>
      </c>
      <c r="F1198" s="1">
        <v>11</v>
      </c>
      <c r="G1198" s="1">
        <v>25</v>
      </c>
      <c r="H1198" s="1">
        <v>150</v>
      </c>
      <c r="I1198" s="1">
        <v>100</v>
      </c>
      <c r="J1198" s="1">
        <v>13.321999999999999</v>
      </c>
      <c r="K1198" s="1">
        <v>18.338999999999999</v>
      </c>
      <c r="L1198" s="1">
        <v>26.64</v>
      </c>
      <c r="M1198" s="1">
        <v>95.4</v>
      </c>
      <c r="N1198" s="1">
        <v>3.2190000000000003E-2</v>
      </c>
      <c r="O1198" s="1">
        <v>2.3369999999999999E-4</v>
      </c>
      <c r="P119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2.0968670104854734</v>
      </c>
      <c r="Q1198" s="1">
        <f>LN(Table1[[#This Row],[qe_mg_g]]-Table1[[#This Row],[qt]])</f>
        <v>2.418155281176356</v>
      </c>
      <c r="R1198" s="1">
        <v>3</v>
      </c>
    </row>
    <row r="1199" spans="1:18" x14ac:dyDescent="0.3">
      <c r="A1199" s="1">
        <v>1198</v>
      </c>
      <c r="B1199" s="1" t="s">
        <v>18</v>
      </c>
      <c r="C1199" s="1">
        <v>0.5</v>
      </c>
      <c r="D1199" s="1">
        <v>60</v>
      </c>
      <c r="E1199" s="1">
        <v>50</v>
      </c>
      <c r="F1199" s="1">
        <v>3</v>
      </c>
      <c r="G1199" s="1">
        <v>25</v>
      </c>
      <c r="H1199" s="1">
        <v>150</v>
      </c>
      <c r="I1199" s="1">
        <v>100</v>
      </c>
      <c r="J1199" s="1">
        <v>17.809999999999999</v>
      </c>
      <c r="K1199" s="1">
        <v>41.094999999999999</v>
      </c>
      <c r="L1199" s="1">
        <v>17.809999999999999</v>
      </c>
      <c r="M1199" s="1">
        <v>97.4</v>
      </c>
      <c r="N1199" s="1">
        <v>2.92E-2</v>
      </c>
      <c r="O1199" s="1">
        <v>2.4000000000000001E-4</v>
      </c>
      <c r="P119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3.6353002075666301</v>
      </c>
      <c r="Q1199" s="1">
        <f>LN(Table1[[#This Row],[qe_mg_g]]-Table1[[#This Row],[qt]])</f>
        <v>2.6514586707252321</v>
      </c>
      <c r="R1199" s="1">
        <v>1</v>
      </c>
    </row>
    <row r="1200" spans="1:18" x14ac:dyDescent="0.3">
      <c r="A1200" s="1">
        <v>1199</v>
      </c>
      <c r="B1200" s="1" t="s">
        <v>18</v>
      </c>
      <c r="C1200" s="1">
        <v>0.5</v>
      </c>
      <c r="D1200" s="1">
        <v>60</v>
      </c>
      <c r="E1200" s="1">
        <v>50</v>
      </c>
      <c r="F1200" s="1">
        <v>3</v>
      </c>
      <c r="G1200" s="1">
        <v>25</v>
      </c>
      <c r="H1200" s="1">
        <v>150</v>
      </c>
      <c r="I1200" s="1">
        <v>100</v>
      </c>
      <c r="J1200" s="1">
        <v>21.710999999999999</v>
      </c>
      <c r="K1200" s="1">
        <v>39.145000000000003</v>
      </c>
      <c r="L1200" s="1">
        <v>21.71</v>
      </c>
      <c r="M1200" s="1">
        <v>104</v>
      </c>
      <c r="N1200" s="1">
        <v>2.955E-2</v>
      </c>
      <c r="O1200" s="1">
        <v>2.184E-4</v>
      </c>
      <c r="P120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4.8087158082960499</v>
      </c>
      <c r="Q1200" s="1">
        <f>LN(Table1[[#This Row],[qe_mg_g]]-Table1[[#This Row],[qt]])</f>
        <v>2.8274487720682591</v>
      </c>
      <c r="R1200" s="1">
        <v>2</v>
      </c>
    </row>
    <row r="1201" spans="1:18" x14ac:dyDescent="0.3">
      <c r="A1201" s="1">
        <v>1200</v>
      </c>
      <c r="B1201" s="1" t="s">
        <v>18</v>
      </c>
      <c r="C1201" s="1">
        <v>0.5</v>
      </c>
      <c r="D1201" s="1">
        <v>60</v>
      </c>
      <c r="E1201" s="1">
        <v>50</v>
      </c>
      <c r="F1201" s="1">
        <v>3</v>
      </c>
      <c r="G1201" s="1">
        <v>25</v>
      </c>
      <c r="H1201" s="1">
        <v>150</v>
      </c>
      <c r="I1201" s="1">
        <v>100</v>
      </c>
      <c r="J1201" s="1">
        <v>22.896999999999998</v>
      </c>
      <c r="K1201" s="1">
        <v>38.551000000000002</v>
      </c>
      <c r="L1201" s="1">
        <v>22.9</v>
      </c>
      <c r="M1201" s="1">
        <v>70.8</v>
      </c>
      <c r="N1201" s="1">
        <v>2.385E-2</v>
      </c>
      <c r="O1201" s="1">
        <v>2.6850000000000002E-4</v>
      </c>
      <c r="P1201" s="1">
        <f>(Table1[[#This Row],[Rate_Constant_k2_g_mg_min]]*Table1[[#This Row],[Contact_Time_min]]*Table1[[#This Row],[qe_mg_g]]^2)/(1+Table1[[#This Row],[Contact_Time_min]]*Table1[[#This Row],[qe_mg_g]]*Table1[[#This Row],[Rate_Constant_k2_g_mg_min]])</f>
        <v>6.1700728316357303</v>
      </c>
      <c r="Q1201" s="1">
        <f>LN(Table1[[#This Row],[qe_mg_g]]-Table1[[#This Row],[qt]])</f>
        <v>2.8170198261842216</v>
      </c>
      <c r="R1201" s="1">
        <v>3</v>
      </c>
    </row>
    <row r="1202" spans="1:18" x14ac:dyDescent="0.3">
      <c r="A1202" s="1">
        <v>1201</v>
      </c>
      <c r="B1202" s="1" t="s">
        <v>18</v>
      </c>
      <c r="C1202" s="1">
        <v>0.5</v>
      </c>
      <c r="D1202" s="1">
        <v>60</v>
      </c>
      <c r="E1202" s="1">
        <v>50</v>
      </c>
      <c r="F1202" s="1">
        <v>7</v>
      </c>
      <c r="G1202" s="1">
        <v>25</v>
      </c>
      <c r="H1202" s="1">
        <v>150</v>
      </c>
      <c r="I1202" s="1">
        <v>100</v>
      </c>
      <c r="J1202" s="1">
        <v>35.643999999999998</v>
      </c>
      <c r="K1202" s="1">
        <v>32.177999999999997</v>
      </c>
      <c r="L1202" s="1">
        <v>35.64</v>
      </c>
      <c r="M1202" s="1">
        <v>99.1</v>
      </c>
      <c r="N1202" s="1">
        <v>2.581E-2</v>
      </c>
      <c r="O1202" s="1">
        <v>2.3230000000000001E-4</v>
      </c>
      <c r="P1202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11.830627869318262</v>
      </c>
      <c r="Q1202" s="1">
        <f>LN(Table1[[#This Row],[qe_mg_g]]-Table1[[#This Row],[qt]])</f>
        <v>3.1702472771267631</v>
      </c>
      <c r="R1202" s="1">
        <v>1</v>
      </c>
    </row>
    <row r="1203" spans="1:18" x14ac:dyDescent="0.3">
      <c r="A1203" s="1">
        <v>1202</v>
      </c>
      <c r="B1203" s="1" t="s">
        <v>18</v>
      </c>
      <c r="C1203" s="1">
        <v>0.5</v>
      </c>
      <c r="D1203" s="1">
        <v>60</v>
      </c>
      <c r="E1203" s="1">
        <v>50</v>
      </c>
      <c r="F1203" s="1">
        <v>7</v>
      </c>
      <c r="G1203" s="1">
        <v>25</v>
      </c>
      <c r="H1203" s="1">
        <v>150</v>
      </c>
      <c r="I1203" s="1">
        <v>100</v>
      </c>
      <c r="J1203" s="1">
        <v>33.281999999999996</v>
      </c>
      <c r="K1203" s="1">
        <v>33.359000000000002</v>
      </c>
      <c r="L1203" s="1">
        <v>33.28</v>
      </c>
      <c r="M1203" s="1">
        <v>76.099999999999994</v>
      </c>
      <c r="N1203" s="1">
        <v>2.7779999999999999E-2</v>
      </c>
      <c r="O1203" s="1">
        <v>2.6630000000000002E-4</v>
      </c>
      <c r="P1203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11.554333864886674</v>
      </c>
      <c r="Q1203" s="1">
        <f>LN(Table1[[#This Row],[qe_mg_g]]-Table1[[#This Row],[qt]])</f>
        <v>3.0785863856062319</v>
      </c>
      <c r="R1203" s="1">
        <v>2</v>
      </c>
    </row>
    <row r="1204" spans="1:18" x14ac:dyDescent="0.3">
      <c r="A1204" s="1">
        <v>1203</v>
      </c>
      <c r="B1204" s="1" t="s">
        <v>18</v>
      </c>
      <c r="C1204" s="1">
        <v>0.5</v>
      </c>
      <c r="D1204" s="1">
        <v>60</v>
      </c>
      <c r="E1204" s="1">
        <v>50</v>
      </c>
      <c r="F1204" s="1">
        <v>7</v>
      </c>
      <c r="G1204" s="1">
        <v>25</v>
      </c>
      <c r="H1204" s="1">
        <v>150</v>
      </c>
      <c r="I1204" s="1">
        <v>100</v>
      </c>
      <c r="J1204" s="1">
        <v>38.466999999999999</v>
      </c>
      <c r="K1204" s="1">
        <v>30.765999999999998</v>
      </c>
      <c r="L1204" s="1">
        <v>38.47</v>
      </c>
      <c r="M1204" s="1">
        <v>93.7</v>
      </c>
      <c r="N1204" s="1">
        <v>3.227E-2</v>
      </c>
      <c r="O1204" s="1">
        <v>2.0210000000000001E-4</v>
      </c>
      <c r="P1204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12.235639971908448</v>
      </c>
      <c r="Q1204" s="1">
        <f>LN(Table1[[#This Row],[qe_mg_g]]-Table1[[#This Row],[qt]])</f>
        <v>3.2669556426334134</v>
      </c>
      <c r="R1204" s="1">
        <v>3</v>
      </c>
    </row>
    <row r="1205" spans="1:18" x14ac:dyDescent="0.3">
      <c r="A1205" s="1">
        <v>1204</v>
      </c>
      <c r="B1205" s="1" t="s">
        <v>18</v>
      </c>
      <c r="C1205" s="1">
        <v>0.5</v>
      </c>
      <c r="D1205" s="1">
        <v>60</v>
      </c>
      <c r="E1205" s="1">
        <v>50</v>
      </c>
      <c r="F1205" s="1">
        <v>11</v>
      </c>
      <c r="G1205" s="1">
        <v>25</v>
      </c>
      <c r="H1205" s="1">
        <v>150</v>
      </c>
      <c r="I1205" s="1">
        <v>100</v>
      </c>
      <c r="J1205" s="1">
        <v>28.222999999999999</v>
      </c>
      <c r="K1205" s="1">
        <v>35.887999999999998</v>
      </c>
      <c r="L1205" s="1">
        <v>28.22</v>
      </c>
      <c r="M1205" s="1">
        <v>87.9</v>
      </c>
      <c r="N1205" s="1">
        <v>3.092E-2</v>
      </c>
      <c r="O1205" s="1">
        <v>2.4379999999999999E-4</v>
      </c>
      <c r="P1205" s="1">
        <f>(Table1[[#This Row],[Rate_Constant_k2_g_mg_min]]*Table1[[#This Row],[Contact_Time_min]]*Table1[[#This Row],[qe_mg_g]]^2)/(1+Table1[[#This Row],[Contact_Time_min]]*Table1[[#This Row],[qe_mg_g]]*Table1[[#This Row],[Rate_Constant_k2_g_mg_min]])</f>
        <v>8.2470089004347287</v>
      </c>
      <c r="Q1205" s="1">
        <f>LN(Table1[[#This Row],[qe_mg_g]]-Table1[[#This Row],[qt]])</f>
        <v>2.9945311074209688</v>
      </c>
      <c r="R1205" s="1">
        <v>1</v>
      </c>
    </row>
    <row r="1206" spans="1:18" x14ac:dyDescent="0.3">
      <c r="A1206" s="1">
        <v>1205</v>
      </c>
      <c r="B1206" s="1" t="s">
        <v>18</v>
      </c>
      <c r="C1206" s="1">
        <v>0.5</v>
      </c>
      <c r="D1206" s="1">
        <v>60</v>
      </c>
      <c r="E1206" s="1">
        <v>50</v>
      </c>
      <c r="F1206" s="1">
        <v>11</v>
      </c>
      <c r="G1206" s="1">
        <v>25</v>
      </c>
      <c r="H1206" s="1">
        <v>150</v>
      </c>
      <c r="I1206" s="1">
        <v>100</v>
      </c>
      <c r="J1206" s="1">
        <v>29.808</v>
      </c>
      <c r="K1206" s="1">
        <v>35.095999999999997</v>
      </c>
      <c r="L1206" s="1">
        <v>29.81</v>
      </c>
      <c r="M1206" s="1">
        <v>86.9</v>
      </c>
      <c r="N1206" s="1">
        <v>3.1879999999999999E-2</v>
      </c>
      <c r="O1206" s="1">
        <v>2.43E-4</v>
      </c>
      <c r="P120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9.0300920799254616</v>
      </c>
      <c r="Q1206" s="1">
        <f>LN(Table1[[#This Row],[qe_mg_g]]-Table1[[#This Row],[qt]])</f>
        <v>3.0338903030317508</v>
      </c>
      <c r="R1206" s="1">
        <v>2</v>
      </c>
    </row>
    <row r="1207" spans="1:18" x14ac:dyDescent="0.3">
      <c r="A1207" s="1">
        <v>1206</v>
      </c>
      <c r="B1207" s="1" t="s">
        <v>18</v>
      </c>
      <c r="C1207" s="1">
        <v>0.5</v>
      </c>
      <c r="D1207" s="1">
        <v>60</v>
      </c>
      <c r="E1207" s="1">
        <v>50</v>
      </c>
      <c r="F1207" s="1">
        <v>11</v>
      </c>
      <c r="G1207" s="1">
        <v>25</v>
      </c>
      <c r="H1207" s="1">
        <v>150</v>
      </c>
      <c r="I1207" s="1">
        <v>100</v>
      </c>
      <c r="J1207" s="1">
        <v>26.262</v>
      </c>
      <c r="K1207" s="1">
        <v>36.869</v>
      </c>
      <c r="L1207" s="1">
        <v>26.26</v>
      </c>
      <c r="M1207" s="1">
        <v>97.2</v>
      </c>
      <c r="N1207" s="1">
        <v>2.7459999999999998E-2</v>
      </c>
      <c r="O1207" s="1">
        <v>2.496E-4</v>
      </c>
      <c r="P1207" s="1">
        <f>(Table1[[#This Row],[Rate_Constant_k2_g_mg_min]]*Table1[[#This Row],[Contact_Time_min]]*Table1[[#This Row],[qe_mg_g]]^2)/(1+Table1[[#This Row],[Contact_Time_min]]*Table1[[#This Row],[qe_mg_g]]*Table1[[#This Row],[Rate_Constant_k2_g_mg_min]])</f>
        <v>7.4132198173769517</v>
      </c>
      <c r="Q1207" s="1">
        <f>LN(Table1[[#This Row],[qe_mg_g]]-Table1[[#This Row],[qt]])</f>
        <v>2.9364482000029355</v>
      </c>
      <c r="R1207" s="1">
        <v>3</v>
      </c>
    </row>
    <row r="1208" spans="1:18" x14ac:dyDescent="0.3">
      <c r="A1208" s="1">
        <v>1207</v>
      </c>
      <c r="B1208" s="1" t="s">
        <v>18</v>
      </c>
      <c r="C1208" s="1">
        <v>0.5</v>
      </c>
      <c r="D1208" s="1">
        <v>60</v>
      </c>
      <c r="E1208" s="1">
        <v>100</v>
      </c>
      <c r="F1208" s="1">
        <v>3</v>
      </c>
      <c r="G1208" s="1">
        <v>25</v>
      </c>
      <c r="H1208" s="1">
        <v>150</v>
      </c>
      <c r="I1208" s="1">
        <v>100</v>
      </c>
      <c r="J1208" s="1">
        <v>37.534999999999997</v>
      </c>
      <c r="K1208" s="1">
        <v>81.231999999999999</v>
      </c>
      <c r="L1208" s="1">
        <v>18.77</v>
      </c>
      <c r="M1208" s="1">
        <v>103.6</v>
      </c>
      <c r="N1208" s="1">
        <v>3.0249999999999999E-2</v>
      </c>
      <c r="O1208" s="1">
        <v>2.699E-4</v>
      </c>
      <c r="P1208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14.190041414242627</v>
      </c>
      <c r="Q1208" s="1">
        <f>LN(Table1[[#This Row],[qe_mg_g]]-Table1[[#This Row],[qt]])</f>
        <v>3.1503810544122186</v>
      </c>
      <c r="R1208" s="1">
        <v>1</v>
      </c>
    </row>
    <row r="1209" spans="1:18" x14ac:dyDescent="0.3">
      <c r="A1209" s="1">
        <v>1208</v>
      </c>
      <c r="B1209" s="1" t="s">
        <v>18</v>
      </c>
      <c r="C1209" s="1">
        <v>0.5</v>
      </c>
      <c r="D1209" s="1">
        <v>60</v>
      </c>
      <c r="E1209" s="1">
        <v>100</v>
      </c>
      <c r="F1209" s="1">
        <v>3</v>
      </c>
      <c r="G1209" s="1">
        <v>25</v>
      </c>
      <c r="H1209" s="1">
        <v>150</v>
      </c>
      <c r="I1209" s="1">
        <v>100</v>
      </c>
      <c r="J1209" s="1">
        <v>40.886000000000003</v>
      </c>
      <c r="K1209" s="1">
        <v>79.557000000000002</v>
      </c>
      <c r="L1209" s="1">
        <v>20.440000000000001</v>
      </c>
      <c r="M1209" s="1">
        <v>84.2</v>
      </c>
      <c r="N1209" s="1">
        <v>3.261E-2</v>
      </c>
      <c r="O1209" s="1">
        <v>2.2029999999999999E-4</v>
      </c>
      <c r="P1209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14.344080191974928</v>
      </c>
      <c r="Q1209" s="1">
        <f>LN(Table1[[#This Row],[qe_mg_g]]-Table1[[#This Row],[qt]])</f>
        <v>3.2787253626867452</v>
      </c>
      <c r="R1209" s="1">
        <v>2</v>
      </c>
    </row>
    <row r="1210" spans="1:18" x14ac:dyDescent="0.3">
      <c r="A1210" s="1">
        <v>1209</v>
      </c>
      <c r="B1210" s="1" t="s">
        <v>18</v>
      </c>
      <c r="C1210" s="1">
        <v>0.5</v>
      </c>
      <c r="D1210" s="1">
        <v>60</v>
      </c>
      <c r="E1210" s="1">
        <v>100</v>
      </c>
      <c r="F1210" s="1">
        <v>3</v>
      </c>
      <c r="G1210" s="1">
        <v>25</v>
      </c>
      <c r="H1210" s="1">
        <v>150</v>
      </c>
      <c r="I1210" s="1">
        <v>100</v>
      </c>
      <c r="J1210" s="1">
        <v>39.744999999999997</v>
      </c>
      <c r="K1210" s="1">
        <v>80.126999999999995</v>
      </c>
      <c r="L1210" s="1">
        <v>19.87</v>
      </c>
      <c r="M1210" s="1">
        <v>109.3</v>
      </c>
      <c r="N1210" s="1">
        <v>2.427E-2</v>
      </c>
      <c r="O1210" s="1">
        <v>2.5230000000000001E-4</v>
      </c>
      <c r="P1210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14.930117493832848</v>
      </c>
      <c r="Q1210" s="1">
        <f>LN(Table1[[#This Row],[qe_mg_g]]-Table1[[#This Row],[qt]])</f>
        <v>3.2114435742374292</v>
      </c>
      <c r="R1210" s="1">
        <v>3</v>
      </c>
    </row>
    <row r="1211" spans="1:18" x14ac:dyDescent="0.3">
      <c r="A1211" s="1">
        <v>1210</v>
      </c>
      <c r="B1211" s="1" t="s">
        <v>18</v>
      </c>
      <c r="C1211" s="1">
        <v>0.5</v>
      </c>
      <c r="D1211" s="1">
        <v>60</v>
      </c>
      <c r="E1211" s="1">
        <v>100</v>
      </c>
      <c r="F1211" s="1">
        <v>7</v>
      </c>
      <c r="G1211" s="1">
        <v>25</v>
      </c>
      <c r="H1211" s="1">
        <v>150</v>
      </c>
      <c r="I1211" s="1">
        <v>100</v>
      </c>
      <c r="J1211" s="1">
        <v>54.768999999999998</v>
      </c>
      <c r="K1211" s="1">
        <v>72.614999999999995</v>
      </c>
      <c r="L1211" s="1">
        <v>27.38</v>
      </c>
      <c r="M1211" s="1">
        <v>88.6</v>
      </c>
      <c r="N1211" s="1">
        <v>3.4049999999999997E-2</v>
      </c>
      <c r="O1211" s="1">
        <v>2.3369999999999999E-4</v>
      </c>
      <c r="P1211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23.790549256049466</v>
      </c>
      <c r="Q1211" s="1">
        <f>LN(Table1[[#This Row],[qe_mg_g]]-Table1[[#This Row],[qt]])</f>
        <v>3.4332918254732752</v>
      </c>
      <c r="R1211" s="1">
        <v>1</v>
      </c>
    </row>
    <row r="1212" spans="1:18" x14ac:dyDescent="0.3">
      <c r="A1212" s="1">
        <v>1211</v>
      </c>
      <c r="B1212" s="1" t="s">
        <v>18</v>
      </c>
      <c r="C1212" s="1">
        <v>0.5</v>
      </c>
      <c r="D1212" s="1">
        <v>60</v>
      </c>
      <c r="E1212" s="1">
        <v>100</v>
      </c>
      <c r="F1212" s="1">
        <v>7</v>
      </c>
      <c r="G1212" s="1">
        <v>25</v>
      </c>
      <c r="H1212" s="1">
        <v>150</v>
      </c>
      <c r="I1212" s="1">
        <v>100</v>
      </c>
      <c r="J1212" s="1">
        <v>53.030999999999999</v>
      </c>
      <c r="K1212" s="1">
        <v>73.484999999999999</v>
      </c>
      <c r="L1212" s="1">
        <v>26.52</v>
      </c>
      <c r="M1212" s="1">
        <v>101.1</v>
      </c>
      <c r="N1212" s="1">
        <v>3.2059999999999998E-2</v>
      </c>
      <c r="O1212" s="1">
        <v>2.4649999999999997E-4</v>
      </c>
      <c r="P1212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23.310575595410679</v>
      </c>
      <c r="Q1212" s="1">
        <f>LN(Table1[[#This Row],[qe_mg_g]]-Table1[[#This Row],[qt]])</f>
        <v>3.3918344998481813</v>
      </c>
      <c r="R1212" s="1">
        <v>2</v>
      </c>
    </row>
    <row r="1213" spans="1:18" x14ac:dyDescent="0.3">
      <c r="A1213" s="1">
        <v>1212</v>
      </c>
      <c r="B1213" s="1" t="s">
        <v>18</v>
      </c>
      <c r="C1213" s="1">
        <v>0.5</v>
      </c>
      <c r="D1213" s="1">
        <v>60</v>
      </c>
      <c r="E1213" s="1">
        <v>100</v>
      </c>
      <c r="F1213" s="1">
        <v>7</v>
      </c>
      <c r="G1213" s="1">
        <v>25</v>
      </c>
      <c r="H1213" s="1">
        <v>150</v>
      </c>
      <c r="I1213" s="1">
        <v>100</v>
      </c>
      <c r="J1213" s="1">
        <v>63.183</v>
      </c>
      <c r="K1213" s="1">
        <v>68.409000000000006</v>
      </c>
      <c r="L1213" s="1">
        <v>31.59</v>
      </c>
      <c r="M1213" s="1">
        <v>108</v>
      </c>
      <c r="N1213" s="1">
        <v>2.3470000000000001E-2</v>
      </c>
      <c r="O1213" s="1">
        <v>2.3680000000000001E-4</v>
      </c>
      <c r="P1213" s="1">
        <f>(Table1[[#This Row],[Rate_Constant_k2_g_mg_min]]*Table1[[#This Row],[Contact_Time_min]]*Table1[[#This Row],[qe_mg_g]]^2)/(1+Table1[[#This Row],[Contact_Time_min]]*Table1[[#This Row],[qe_mg_g]]*Table1[[#This Row],[Rate_Constant_k2_g_mg_min]])</f>
        <v>29.888556889190497</v>
      </c>
      <c r="Q1213" s="1">
        <f>LN(Table1[[#This Row],[qe_mg_g]]-Table1[[#This Row],[qt]])</f>
        <v>3.505390509512194</v>
      </c>
      <c r="R1213" s="1">
        <v>3</v>
      </c>
    </row>
    <row r="1214" spans="1:18" x14ac:dyDescent="0.3">
      <c r="A1214" s="1">
        <v>1213</v>
      </c>
      <c r="B1214" s="1" t="s">
        <v>18</v>
      </c>
      <c r="C1214" s="1">
        <v>0.5</v>
      </c>
      <c r="D1214" s="1">
        <v>60</v>
      </c>
      <c r="E1214" s="1">
        <v>100</v>
      </c>
      <c r="F1214" s="1">
        <v>11</v>
      </c>
      <c r="G1214" s="1">
        <v>25</v>
      </c>
      <c r="H1214" s="1">
        <v>150</v>
      </c>
      <c r="I1214" s="1">
        <v>100</v>
      </c>
      <c r="J1214" s="1">
        <v>43.045000000000002</v>
      </c>
      <c r="K1214" s="1">
        <v>78.477999999999994</v>
      </c>
      <c r="L1214" s="1">
        <v>21.52</v>
      </c>
      <c r="M1214" s="1">
        <v>107.2</v>
      </c>
      <c r="N1214" s="1">
        <v>2.213E-2</v>
      </c>
      <c r="O1214" s="1">
        <v>3.1369999999999998E-4</v>
      </c>
      <c r="P1214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19.265767488443316</v>
      </c>
      <c r="Q1214" s="1">
        <f>LN(Table1[[#This Row],[qe_mg_g]]-Table1[[#This Row],[qt]])</f>
        <v>3.1688126162067589</v>
      </c>
      <c r="R1214" s="1">
        <v>1</v>
      </c>
    </row>
    <row r="1215" spans="1:18" x14ac:dyDescent="0.3">
      <c r="A1215" s="1">
        <v>1214</v>
      </c>
      <c r="B1215" s="1" t="s">
        <v>18</v>
      </c>
      <c r="C1215" s="1">
        <v>0.5</v>
      </c>
      <c r="D1215" s="1">
        <v>60</v>
      </c>
      <c r="E1215" s="1">
        <v>100</v>
      </c>
      <c r="F1215" s="1">
        <v>11</v>
      </c>
      <c r="G1215" s="1">
        <v>25</v>
      </c>
      <c r="H1215" s="1">
        <v>150</v>
      </c>
      <c r="I1215" s="1">
        <v>100</v>
      </c>
      <c r="J1215" s="1">
        <v>47.503999999999998</v>
      </c>
      <c r="K1215" s="1">
        <v>76.248000000000005</v>
      </c>
      <c r="L1215" s="1">
        <v>23.75</v>
      </c>
      <c r="M1215" s="1">
        <v>102.2</v>
      </c>
      <c r="N1215" s="1">
        <v>3.354E-2</v>
      </c>
      <c r="O1215" s="1">
        <v>3.0860000000000002E-4</v>
      </c>
      <c r="P1215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22.230323280851138</v>
      </c>
      <c r="Q1215" s="1">
        <f>LN(Table1[[#This Row],[qe_mg_g]]-Table1[[#This Row],[qt]])</f>
        <v>3.2297634082104816</v>
      </c>
      <c r="R1215" s="1">
        <v>2</v>
      </c>
    </row>
    <row r="1216" spans="1:18" x14ac:dyDescent="0.3">
      <c r="A1216" s="1">
        <v>1215</v>
      </c>
      <c r="B1216" s="1" t="s">
        <v>18</v>
      </c>
      <c r="C1216" s="1">
        <v>0.5</v>
      </c>
      <c r="D1216" s="1">
        <v>60</v>
      </c>
      <c r="E1216" s="1">
        <v>100</v>
      </c>
      <c r="F1216" s="1">
        <v>11</v>
      </c>
      <c r="G1216" s="1">
        <v>25</v>
      </c>
      <c r="H1216" s="1">
        <v>150</v>
      </c>
      <c r="I1216" s="1">
        <v>100</v>
      </c>
      <c r="J1216" s="1">
        <v>48.89</v>
      </c>
      <c r="K1216" s="1">
        <v>75.555000000000007</v>
      </c>
      <c r="L1216" s="1">
        <v>24.44</v>
      </c>
      <c r="M1216" s="1">
        <v>114.2</v>
      </c>
      <c r="N1216" s="1">
        <v>3.039E-2</v>
      </c>
      <c r="O1216" s="1">
        <v>2.4649999999999997E-4</v>
      </c>
      <c r="P1216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20.516440999856592</v>
      </c>
      <c r="Q1216" s="1">
        <f>LN(Table1[[#This Row],[qe_mg_g]]-Table1[[#This Row],[qt]])</f>
        <v>3.3454576903760938</v>
      </c>
      <c r="R1216" s="1">
        <v>3</v>
      </c>
    </row>
    <row r="1217" spans="1:18" x14ac:dyDescent="0.3">
      <c r="A1217" s="1">
        <v>1216</v>
      </c>
      <c r="B1217" s="1" t="s">
        <v>18</v>
      </c>
      <c r="C1217" s="1">
        <v>0.5</v>
      </c>
      <c r="D1217" s="1">
        <v>60</v>
      </c>
      <c r="E1217" s="1">
        <v>200</v>
      </c>
      <c r="F1217" s="1">
        <v>3</v>
      </c>
      <c r="G1217" s="1">
        <v>25</v>
      </c>
      <c r="H1217" s="1">
        <v>150</v>
      </c>
      <c r="I1217" s="1">
        <v>100</v>
      </c>
      <c r="J1217" s="1">
        <v>43.94</v>
      </c>
      <c r="K1217" s="1">
        <v>178.03</v>
      </c>
      <c r="L1217" s="1">
        <v>10.99</v>
      </c>
      <c r="M1217" s="1">
        <v>87.6</v>
      </c>
      <c r="N1217" s="1">
        <v>2.794E-2</v>
      </c>
      <c r="O1217" s="1">
        <v>2.162E-4</v>
      </c>
      <c r="P1217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15.952554885074148</v>
      </c>
      <c r="Q1217" s="1">
        <f>LN(Table1[[#This Row],[qe_mg_g]]-Table1[[#This Row],[qt]])</f>
        <v>3.3317560208662589</v>
      </c>
      <c r="R1217" s="1">
        <v>1</v>
      </c>
    </row>
    <row r="1218" spans="1:18" x14ac:dyDescent="0.3">
      <c r="A1218" s="1">
        <v>1217</v>
      </c>
      <c r="B1218" s="1" t="s">
        <v>18</v>
      </c>
      <c r="C1218" s="1">
        <v>0.5</v>
      </c>
      <c r="D1218" s="1">
        <v>60</v>
      </c>
      <c r="E1218" s="1">
        <v>200</v>
      </c>
      <c r="F1218" s="1">
        <v>3</v>
      </c>
      <c r="G1218" s="1">
        <v>25</v>
      </c>
      <c r="H1218" s="1">
        <v>150</v>
      </c>
      <c r="I1218" s="1">
        <v>100</v>
      </c>
      <c r="J1218" s="1">
        <v>45.593000000000004</v>
      </c>
      <c r="K1218" s="1">
        <v>177.20400000000001</v>
      </c>
      <c r="L1218" s="1">
        <v>11.4</v>
      </c>
      <c r="M1218" s="1">
        <v>74.7</v>
      </c>
      <c r="N1218" s="1">
        <v>3.057E-2</v>
      </c>
      <c r="O1218" s="1">
        <v>2.4909999999999998E-4</v>
      </c>
      <c r="P1218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18.477438097419071</v>
      </c>
      <c r="Q1218" s="1">
        <f>LN(Table1[[#This Row],[qe_mg_g]]-Table1[[#This Row],[qt]])</f>
        <v>3.3001078030206239</v>
      </c>
      <c r="R1218" s="1">
        <v>2</v>
      </c>
    </row>
    <row r="1219" spans="1:18" x14ac:dyDescent="0.3">
      <c r="A1219" s="1">
        <v>1218</v>
      </c>
      <c r="B1219" s="1" t="s">
        <v>18</v>
      </c>
      <c r="C1219" s="1">
        <v>0.5</v>
      </c>
      <c r="D1219" s="1">
        <v>60</v>
      </c>
      <c r="E1219" s="1">
        <v>200</v>
      </c>
      <c r="F1219" s="1">
        <v>3</v>
      </c>
      <c r="G1219" s="1">
        <v>25</v>
      </c>
      <c r="H1219" s="1">
        <v>150</v>
      </c>
      <c r="I1219" s="1">
        <v>100</v>
      </c>
      <c r="J1219" s="1">
        <v>46.512999999999998</v>
      </c>
      <c r="K1219" s="1">
        <v>176.74299999999999</v>
      </c>
      <c r="L1219" s="1">
        <v>11.63</v>
      </c>
      <c r="M1219" s="1">
        <v>92.2</v>
      </c>
      <c r="N1219" s="1">
        <v>3.9230000000000001E-2</v>
      </c>
      <c r="O1219" s="1">
        <v>2.8400000000000002E-4</v>
      </c>
      <c r="P1219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20.565505015225188</v>
      </c>
      <c r="Q1219" s="1">
        <f>LN(Table1[[#This Row],[qe_mg_g]]-Table1[[#This Row],[qt]])</f>
        <v>3.2560750725737275</v>
      </c>
      <c r="R1219" s="1">
        <v>3</v>
      </c>
    </row>
    <row r="1220" spans="1:18" x14ac:dyDescent="0.3">
      <c r="A1220" s="1">
        <v>1219</v>
      </c>
      <c r="B1220" s="1" t="s">
        <v>18</v>
      </c>
      <c r="C1220" s="1">
        <v>0.5</v>
      </c>
      <c r="D1220" s="1">
        <v>60</v>
      </c>
      <c r="E1220" s="1">
        <v>200</v>
      </c>
      <c r="F1220" s="1">
        <v>7</v>
      </c>
      <c r="G1220" s="1">
        <v>25</v>
      </c>
      <c r="H1220" s="1">
        <v>150</v>
      </c>
      <c r="I1220" s="1">
        <v>100</v>
      </c>
      <c r="J1220" s="1">
        <v>61.170999999999999</v>
      </c>
      <c r="K1220" s="1">
        <v>169.41399999999999</v>
      </c>
      <c r="L1220" s="1">
        <v>15.29</v>
      </c>
      <c r="M1220" s="1">
        <v>103.5</v>
      </c>
      <c r="N1220" s="1">
        <v>2.818E-2</v>
      </c>
      <c r="O1220" s="1">
        <v>2.2460000000000001E-4</v>
      </c>
      <c r="P1220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27.640525021688987</v>
      </c>
      <c r="Q1220" s="1">
        <f>LN(Table1[[#This Row],[qe_mg_g]]-Table1[[#This Row],[qt]])</f>
        <v>3.5124547261490835</v>
      </c>
      <c r="R1220" s="1">
        <v>1</v>
      </c>
    </row>
    <row r="1221" spans="1:18" x14ac:dyDescent="0.3">
      <c r="A1221" s="1">
        <v>1220</v>
      </c>
      <c r="B1221" s="1" t="s">
        <v>18</v>
      </c>
      <c r="C1221" s="1">
        <v>0.5</v>
      </c>
      <c r="D1221" s="1">
        <v>60</v>
      </c>
      <c r="E1221" s="1">
        <v>200</v>
      </c>
      <c r="F1221" s="1">
        <v>7</v>
      </c>
      <c r="G1221" s="1">
        <v>25</v>
      </c>
      <c r="H1221" s="1">
        <v>150</v>
      </c>
      <c r="I1221" s="1">
        <v>100</v>
      </c>
      <c r="J1221" s="1">
        <v>60.579000000000001</v>
      </c>
      <c r="K1221" s="1">
        <v>169.71100000000001</v>
      </c>
      <c r="L1221" s="1">
        <v>15.14</v>
      </c>
      <c r="M1221" s="1">
        <v>106.5</v>
      </c>
      <c r="N1221" s="1">
        <v>2.7959999999999999E-2</v>
      </c>
      <c r="O1221" s="1">
        <v>2.742E-4</v>
      </c>
      <c r="P1221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30.238614744229832</v>
      </c>
      <c r="Q1221" s="1">
        <f>LN(Table1[[#This Row],[qe_mg_g]]-Table1[[#This Row],[qt]])</f>
        <v>3.4124796717886858</v>
      </c>
      <c r="R1221" s="1">
        <v>2</v>
      </c>
    </row>
    <row r="1222" spans="1:18" x14ac:dyDescent="0.3">
      <c r="A1222" s="1">
        <v>1221</v>
      </c>
      <c r="B1222" s="1" t="s">
        <v>18</v>
      </c>
      <c r="C1222" s="1">
        <v>0.5</v>
      </c>
      <c r="D1222" s="1">
        <v>60</v>
      </c>
      <c r="E1222" s="1">
        <v>200</v>
      </c>
      <c r="F1222" s="1">
        <v>7</v>
      </c>
      <c r="G1222" s="1">
        <v>25</v>
      </c>
      <c r="H1222" s="1">
        <v>150</v>
      </c>
      <c r="I1222" s="1">
        <v>100</v>
      </c>
      <c r="J1222" s="1">
        <v>75.048000000000002</v>
      </c>
      <c r="K1222" s="1">
        <v>162.476</v>
      </c>
      <c r="L1222" s="1">
        <v>18.760000000000002</v>
      </c>
      <c r="M1222" s="1">
        <v>120.6</v>
      </c>
      <c r="N1222" s="1">
        <v>2.7439999999999999E-2</v>
      </c>
      <c r="O1222" s="1">
        <v>2.6190000000000002E-4</v>
      </c>
      <c r="P1222" s="1">
        <f>(Table1[[#This Row],[Rate_Constant_k2_g_mg_min]]*Table1[[#This Row],[Contact_Time_min]]*Table1[[#This Row],[qe_mg_g]]^2)/(1+Table1[[#This Row],[Contact_Time_min]]*Table1[[#This Row],[qe_mg_g]]*Table1[[#This Row],[Rate_Constant_k2_g_mg_min]])</f>
        <v>40.611321760881673</v>
      </c>
      <c r="Q1222" s="1">
        <f>LN(Table1[[#This Row],[qe_mg_g]]-Table1[[#This Row],[qt]])</f>
        <v>3.5391222242434734</v>
      </c>
      <c r="R1222" s="1">
        <v>3</v>
      </c>
    </row>
    <row r="1223" spans="1:18" x14ac:dyDescent="0.3">
      <c r="A1223" s="1">
        <v>1222</v>
      </c>
      <c r="B1223" s="1" t="s">
        <v>18</v>
      </c>
      <c r="C1223" s="1">
        <v>0.5</v>
      </c>
      <c r="D1223" s="1">
        <v>60</v>
      </c>
      <c r="E1223" s="1">
        <v>200</v>
      </c>
      <c r="F1223" s="1">
        <v>11</v>
      </c>
      <c r="G1223" s="1">
        <v>25</v>
      </c>
      <c r="H1223" s="1">
        <v>150</v>
      </c>
      <c r="I1223" s="1">
        <v>100</v>
      </c>
      <c r="J1223" s="1">
        <v>58.033000000000001</v>
      </c>
      <c r="K1223" s="1">
        <v>170.98400000000001</v>
      </c>
      <c r="L1223" s="1">
        <v>14.51</v>
      </c>
      <c r="M1223" s="1">
        <v>92.9</v>
      </c>
      <c r="N1223" s="1">
        <v>2.768E-2</v>
      </c>
      <c r="O1223" s="1">
        <v>2.9020000000000001E-4</v>
      </c>
      <c r="P1223" s="1">
        <f>(Table1[[#This Row],[Rate_Constant_k2_g_mg_min]]*Table1[[#This Row],[Contact_Time_min]]*Table1[[#This Row],[qe_mg_g]]^2)/(1+Table1[[#This Row],[Contact_Time_min]]*Table1[[#This Row],[qe_mg_g]]*Table1[[#This Row],[Rate_Constant_k2_g_mg_min]])</f>
        <v>29.167618872088195</v>
      </c>
      <c r="Q1223" s="1">
        <f>LN(Table1[[#This Row],[qe_mg_g]]-Table1[[#This Row],[qt]])</f>
        <v>3.3626429922335155</v>
      </c>
      <c r="R1223" s="1">
        <v>1</v>
      </c>
    </row>
    <row r="1224" spans="1:18" x14ac:dyDescent="0.3">
      <c r="A1224" s="1">
        <v>1223</v>
      </c>
      <c r="B1224" s="1" t="s">
        <v>18</v>
      </c>
      <c r="C1224" s="1">
        <v>0.5</v>
      </c>
      <c r="D1224" s="1">
        <v>60</v>
      </c>
      <c r="E1224" s="1">
        <v>200</v>
      </c>
      <c r="F1224" s="1">
        <v>11</v>
      </c>
      <c r="G1224" s="1">
        <v>25</v>
      </c>
      <c r="H1224" s="1">
        <v>150</v>
      </c>
      <c r="I1224" s="1">
        <v>100</v>
      </c>
      <c r="J1224" s="1">
        <v>56.030999999999999</v>
      </c>
      <c r="K1224" s="1">
        <v>171.98400000000001</v>
      </c>
      <c r="L1224" s="1">
        <v>14.01</v>
      </c>
      <c r="M1224" s="1">
        <v>109.5</v>
      </c>
      <c r="N1224" s="1">
        <v>2.7529999999999999E-2</v>
      </c>
      <c r="O1224" s="1">
        <v>2.195E-4</v>
      </c>
      <c r="P1224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23.790889192665006</v>
      </c>
      <c r="Q1224" s="1">
        <f>LN(Table1[[#This Row],[qe_mg_g]]-Table1[[#This Row],[qt]])</f>
        <v>3.4732113545845991</v>
      </c>
      <c r="R1224" s="1">
        <v>2</v>
      </c>
    </row>
    <row r="1225" spans="1:18" x14ac:dyDescent="0.3">
      <c r="A1225" s="1">
        <v>1224</v>
      </c>
      <c r="B1225" s="1" t="s">
        <v>18</v>
      </c>
      <c r="C1225" s="1">
        <v>0.5</v>
      </c>
      <c r="D1225" s="1">
        <v>60</v>
      </c>
      <c r="E1225" s="1">
        <v>200</v>
      </c>
      <c r="F1225" s="1">
        <v>11</v>
      </c>
      <c r="G1225" s="1">
        <v>25</v>
      </c>
      <c r="H1225" s="1">
        <v>150</v>
      </c>
      <c r="I1225" s="1">
        <v>100</v>
      </c>
      <c r="J1225" s="1">
        <v>52.093000000000004</v>
      </c>
      <c r="K1225" s="1">
        <v>173.953</v>
      </c>
      <c r="L1225" s="1">
        <v>13.02</v>
      </c>
      <c r="M1225" s="1">
        <v>98.1</v>
      </c>
      <c r="N1225" s="1">
        <v>2.681E-2</v>
      </c>
      <c r="O1225" s="1">
        <v>2.498E-4</v>
      </c>
      <c r="P1225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22.839922177846084</v>
      </c>
      <c r="Q1225" s="1">
        <f>LN(Table1[[#This Row],[qe_mg_g]]-Table1[[#This Row],[qt]])</f>
        <v>3.3759847928311593</v>
      </c>
      <c r="R1225" s="1">
        <v>3</v>
      </c>
    </row>
    <row r="1226" spans="1:18" x14ac:dyDescent="0.3">
      <c r="A1226" s="1">
        <v>1225</v>
      </c>
      <c r="B1226" s="1" t="s">
        <v>18</v>
      </c>
      <c r="C1226" s="1">
        <v>0.5</v>
      </c>
      <c r="D1226" s="1">
        <v>120</v>
      </c>
      <c r="E1226" s="1">
        <v>25</v>
      </c>
      <c r="F1226" s="1">
        <v>3</v>
      </c>
      <c r="G1226" s="1">
        <v>25</v>
      </c>
      <c r="H1226" s="1">
        <v>150</v>
      </c>
      <c r="I1226" s="1">
        <v>100</v>
      </c>
      <c r="J1226" s="1">
        <v>11.269</v>
      </c>
      <c r="K1226" s="1">
        <v>19.364999999999998</v>
      </c>
      <c r="L1226" s="1">
        <v>22.54</v>
      </c>
      <c r="M1226" s="1">
        <v>83.2</v>
      </c>
      <c r="N1226" s="1">
        <v>3.2009999999999997E-2</v>
      </c>
      <c r="O1226" s="1">
        <v>2.6509999999999999E-4</v>
      </c>
      <c r="P122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2.973756939779439</v>
      </c>
      <c r="Q1226" s="1">
        <f>LN(Table1[[#This Row],[qe_mg_g]]-Table1[[#This Row],[qt]])</f>
        <v>2.1156822252288516</v>
      </c>
      <c r="R1226" s="1">
        <v>1</v>
      </c>
    </row>
    <row r="1227" spans="1:18" x14ac:dyDescent="0.3">
      <c r="A1227" s="1">
        <v>1226</v>
      </c>
      <c r="B1227" s="1" t="s">
        <v>18</v>
      </c>
      <c r="C1227" s="1">
        <v>0.5</v>
      </c>
      <c r="D1227" s="1">
        <v>120</v>
      </c>
      <c r="E1227" s="1">
        <v>25</v>
      </c>
      <c r="F1227" s="1">
        <v>3</v>
      </c>
      <c r="G1227" s="1">
        <v>25</v>
      </c>
      <c r="H1227" s="1">
        <v>150</v>
      </c>
      <c r="I1227" s="1">
        <v>100</v>
      </c>
      <c r="J1227" s="1">
        <v>12.82</v>
      </c>
      <c r="K1227" s="1">
        <v>18.59</v>
      </c>
      <c r="L1227" s="1">
        <v>25.64</v>
      </c>
      <c r="M1227" s="1">
        <v>84.7</v>
      </c>
      <c r="N1227" s="1">
        <v>2.6919999999999999E-2</v>
      </c>
      <c r="O1227" s="1">
        <v>2.407E-4</v>
      </c>
      <c r="P122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3.4643358298701807</v>
      </c>
      <c r="Q1227" s="1">
        <f>LN(Table1[[#This Row],[qe_mg_g]]-Table1[[#This Row],[qt]])</f>
        <v>2.235981953478499</v>
      </c>
      <c r="R1227" s="1">
        <v>2</v>
      </c>
    </row>
    <row r="1228" spans="1:18" x14ac:dyDescent="0.3">
      <c r="A1228" s="1">
        <v>1227</v>
      </c>
      <c r="B1228" s="1" t="s">
        <v>18</v>
      </c>
      <c r="C1228" s="1">
        <v>0.5</v>
      </c>
      <c r="D1228" s="1">
        <v>120</v>
      </c>
      <c r="E1228" s="1">
        <v>25</v>
      </c>
      <c r="F1228" s="1">
        <v>3</v>
      </c>
      <c r="G1228" s="1">
        <v>25</v>
      </c>
      <c r="H1228" s="1">
        <v>150</v>
      </c>
      <c r="I1228" s="1">
        <v>100</v>
      </c>
      <c r="J1228" s="1">
        <v>14.06</v>
      </c>
      <c r="K1228" s="1">
        <v>17.97</v>
      </c>
      <c r="L1228" s="1">
        <v>28.12</v>
      </c>
      <c r="M1228" s="1">
        <v>113.9</v>
      </c>
      <c r="N1228" s="1">
        <v>2.8510000000000001E-2</v>
      </c>
      <c r="O1228" s="1">
        <v>2.2120000000000001E-4</v>
      </c>
      <c r="P1228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3.8212062796225927</v>
      </c>
      <c r="Q1228" s="1">
        <f>LN(Table1[[#This Row],[qe_mg_g]]-Table1[[#This Row],[qt]])</f>
        <v>2.3261838119279155</v>
      </c>
      <c r="R1228" s="1">
        <v>3</v>
      </c>
    </row>
    <row r="1229" spans="1:18" x14ac:dyDescent="0.3">
      <c r="A1229" s="1">
        <v>1228</v>
      </c>
      <c r="B1229" s="1" t="s">
        <v>18</v>
      </c>
      <c r="C1229" s="1">
        <v>0.5</v>
      </c>
      <c r="D1229" s="1">
        <v>120</v>
      </c>
      <c r="E1229" s="1">
        <v>25</v>
      </c>
      <c r="F1229" s="1">
        <v>7</v>
      </c>
      <c r="G1229" s="1">
        <v>25</v>
      </c>
      <c r="H1229" s="1">
        <v>150</v>
      </c>
      <c r="I1229" s="1">
        <v>100</v>
      </c>
      <c r="J1229" s="1">
        <v>20.96</v>
      </c>
      <c r="K1229" s="1">
        <v>14.52</v>
      </c>
      <c r="L1229" s="1">
        <v>41.92</v>
      </c>
      <c r="M1229" s="1">
        <v>87.6</v>
      </c>
      <c r="N1229" s="1">
        <v>2.845E-2</v>
      </c>
      <c r="O1229" s="1">
        <v>2.831E-4</v>
      </c>
      <c r="P122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8.7173892099796539</v>
      </c>
      <c r="Q1229" s="1">
        <f>LN(Table1[[#This Row],[qe_mg_g]]-Table1[[#This Row],[qt]])</f>
        <v>2.5049225541772673</v>
      </c>
      <c r="R1229" s="1">
        <v>1</v>
      </c>
    </row>
    <row r="1230" spans="1:18" x14ac:dyDescent="0.3">
      <c r="A1230" s="1">
        <v>1229</v>
      </c>
      <c r="B1230" s="1" t="s">
        <v>18</v>
      </c>
      <c r="C1230" s="1">
        <v>0.5</v>
      </c>
      <c r="D1230" s="1">
        <v>120</v>
      </c>
      <c r="E1230" s="1">
        <v>25</v>
      </c>
      <c r="F1230" s="1">
        <v>7</v>
      </c>
      <c r="G1230" s="1">
        <v>25</v>
      </c>
      <c r="H1230" s="1">
        <v>150</v>
      </c>
      <c r="I1230" s="1">
        <v>100</v>
      </c>
      <c r="J1230" s="1">
        <v>21.991</v>
      </c>
      <c r="K1230" s="1">
        <v>14.005000000000001</v>
      </c>
      <c r="L1230" s="1">
        <v>43.98</v>
      </c>
      <c r="M1230" s="1">
        <v>102.4</v>
      </c>
      <c r="N1230" s="1">
        <v>2.6179999999999998E-2</v>
      </c>
      <c r="O1230" s="1">
        <v>2.5530000000000003E-4</v>
      </c>
      <c r="P1230" s="1">
        <f>(Table1[[#This Row],[Rate_Constant_k2_g_mg_min]]*Table1[[#This Row],[Contact_Time_min]]*Table1[[#This Row],[qe_mg_g]]^2)/(1+Table1[[#This Row],[Contact_Time_min]]*Table1[[#This Row],[qe_mg_g]]*Table1[[#This Row],[Rate_Constant_k2_g_mg_min]])</f>
        <v>8.851974995979548</v>
      </c>
      <c r="Q1230" s="1">
        <f>LN(Table1[[#This Row],[qe_mg_g]]-Table1[[#This Row],[qt]])</f>
        <v>2.5755868096961918</v>
      </c>
      <c r="R1230" s="1">
        <v>2</v>
      </c>
    </row>
    <row r="1231" spans="1:18" x14ac:dyDescent="0.3">
      <c r="A1231" s="1">
        <v>1230</v>
      </c>
      <c r="B1231" s="1" t="s">
        <v>18</v>
      </c>
      <c r="C1231" s="1">
        <v>0.5</v>
      </c>
      <c r="D1231" s="1">
        <v>120</v>
      </c>
      <c r="E1231" s="1">
        <v>25</v>
      </c>
      <c r="F1231" s="1">
        <v>7</v>
      </c>
      <c r="G1231" s="1">
        <v>25</v>
      </c>
      <c r="H1231" s="1">
        <v>150</v>
      </c>
      <c r="I1231" s="1">
        <v>100</v>
      </c>
      <c r="J1231" s="1">
        <v>22.425000000000001</v>
      </c>
      <c r="K1231" s="1">
        <v>13.788</v>
      </c>
      <c r="L1231" s="1">
        <v>44.85</v>
      </c>
      <c r="M1231" s="1">
        <v>94.4</v>
      </c>
      <c r="N1231" s="1">
        <v>3.4049999999999997E-2</v>
      </c>
      <c r="O1231" s="1">
        <v>2.8229999999999998E-4</v>
      </c>
      <c r="P1231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9.6811281827216042</v>
      </c>
      <c r="Q1231" s="1">
        <f>LN(Table1[[#This Row],[qe_mg_g]]-Table1[[#This Row],[qt]])</f>
        <v>2.5450505142770616</v>
      </c>
      <c r="R1231" s="1">
        <v>3</v>
      </c>
    </row>
    <row r="1232" spans="1:18" x14ac:dyDescent="0.3">
      <c r="A1232" s="1">
        <v>1231</v>
      </c>
      <c r="B1232" s="1" t="s">
        <v>18</v>
      </c>
      <c r="C1232" s="1">
        <v>0.5</v>
      </c>
      <c r="D1232" s="1">
        <v>120</v>
      </c>
      <c r="E1232" s="1">
        <v>25</v>
      </c>
      <c r="F1232" s="1">
        <v>11</v>
      </c>
      <c r="G1232" s="1">
        <v>25</v>
      </c>
      <c r="H1232" s="1">
        <v>150</v>
      </c>
      <c r="I1232" s="1">
        <v>100</v>
      </c>
      <c r="J1232" s="1">
        <v>18.484000000000002</v>
      </c>
      <c r="K1232" s="1">
        <v>15.757999999999999</v>
      </c>
      <c r="L1232" s="1">
        <v>36.97</v>
      </c>
      <c r="M1232" s="1">
        <v>104.6</v>
      </c>
      <c r="N1232" s="1">
        <v>3.1759999999999997E-2</v>
      </c>
      <c r="O1232" s="1">
        <v>2.854E-4</v>
      </c>
      <c r="P1232" s="1">
        <f>(Table1[[#This Row],[Rate_Constant_k2_g_mg_min]]*Table1[[#This Row],[Contact_Time_min]]*Table1[[#This Row],[qe_mg_g]]^2)/(1+Table1[[#This Row],[Contact_Time_min]]*Table1[[#This Row],[qe_mg_g]]*Table1[[#This Row],[Rate_Constant_k2_g_mg_min]])</f>
        <v>7.1652327696814231</v>
      </c>
      <c r="Q1232" s="1">
        <f>LN(Table1[[#This Row],[qe_mg_g]]-Table1[[#This Row],[qt]])</f>
        <v>2.4264621649294726</v>
      </c>
      <c r="R1232" s="1">
        <v>1</v>
      </c>
    </row>
    <row r="1233" spans="1:18" x14ac:dyDescent="0.3">
      <c r="A1233" s="1">
        <v>1232</v>
      </c>
      <c r="B1233" s="1" t="s">
        <v>18</v>
      </c>
      <c r="C1233" s="1">
        <v>0.5</v>
      </c>
      <c r="D1233" s="1">
        <v>120</v>
      </c>
      <c r="E1233" s="1">
        <v>25</v>
      </c>
      <c r="F1233" s="1">
        <v>11</v>
      </c>
      <c r="G1233" s="1">
        <v>25</v>
      </c>
      <c r="H1233" s="1">
        <v>150</v>
      </c>
      <c r="I1233" s="1">
        <v>100</v>
      </c>
      <c r="J1233" s="1">
        <v>16.724</v>
      </c>
      <c r="K1233" s="1">
        <v>16.638000000000002</v>
      </c>
      <c r="L1233" s="1">
        <v>33.450000000000003</v>
      </c>
      <c r="M1233" s="1">
        <v>92.5</v>
      </c>
      <c r="N1233" s="1">
        <v>2.8649999999999998E-2</v>
      </c>
      <c r="O1233" s="1">
        <v>2.5599999999999999E-4</v>
      </c>
      <c r="P123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5.6760228711359302</v>
      </c>
      <c r="Q1233" s="1">
        <f>LN(Table1[[#This Row],[qe_mg_g]]-Table1[[#This Row],[qt]])</f>
        <v>2.4022473459441014</v>
      </c>
      <c r="R1233" s="1">
        <v>2</v>
      </c>
    </row>
    <row r="1234" spans="1:18" x14ac:dyDescent="0.3">
      <c r="A1234" s="1">
        <v>1233</v>
      </c>
      <c r="B1234" s="1" t="s">
        <v>18</v>
      </c>
      <c r="C1234" s="1">
        <v>0.5</v>
      </c>
      <c r="D1234" s="1">
        <v>120</v>
      </c>
      <c r="E1234" s="1">
        <v>25</v>
      </c>
      <c r="F1234" s="1">
        <v>11</v>
      </c>
      <c r="G1234" s="1">
        <v>25</v>
      </c>
      <c r="H1234" s="1">
        <v>150</v>
      </c>
      <c r="I1234" s="1">
        <v>100</v>
      </c>
      <c r="J1234" s="1">
        <v>14.209</v>
      </c>
      <c r="K1234" s="1">
        <v>17.895</v>
      </c>
      <c r="L1234" s="1">
        <v>28.42</v>
      </c>
      <c r="M1234" s="1">
        <v>97.9</v>
      </c>
      <c r="N1234" s="1">
        <v>3.329E-2</v>
      </c>
      <c r="O1234" s="1">
        <v>1.952E-4</v>
      </c>
      <c r="P123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3.5482384833704304</v>
      </c>
      <c r="Q1234" s="1">
        <f>LN(Table1[[#This Row],[qe_mg_g]]-Table1[[#This Row],[qt]])</f>
        <v>2.3665698530182517</v>
      </c>
      <c r="R1234" s="1">
        <v>3</v>
      </c>
    </row>
    <row r="1235" spans="1:18" x14ac:dyDescent="0.3">
      <c r="A1235" s="1">
        <v>1234</v>
      </c>
      <c r="B1235" s="1" t="s">
        <v>18</v>
      </c>
      <c r="C1235" s="1">
        <v>0.5</v>
      </c>
      <c r="D1235" s="1">
        <v>120</v>
      </c>
      <c r="E1235" s="1">
        <v>50</v>
      </c>
      <c r="F1235" s="1">
        <v>3</v>
      </c>
      <c r="G1235" s="1">
        <v>25</v>
      </c>
      <c r="H1235" s="1">
        <v>150</v>
      </c>
      <c r="I1235" s="1">
        <v>100</v>
      </c>
      <c r="J1235" s="1">
        <v>34.863999999999997</v>
      </c>
      <c r="K1235" s="1">
        <v>32.567999999999998</v>
      </c>
      <c r="L1235" s="1">
        <v>34.86</v>
      </c>
      <c r="M1235" s="1">
        <v>116.8</v>
      </c>
      <c r="N1235" s="1">
        <v>2.862E-2</v>
      </c>
      <c r="O1235" s="1">
        <v>2.6360000000000001E-4</v>
      </c>
      <c r="P1235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18.284343936481186</v>
      </c>
      <c r="Q1235" s="1">
        <f>LN(Table1[[#This Row],[qe_mg_g]]-Table1[[#This Row],[qt]])</f>
        <v>2.8081764054340153</v>
      </c>
      <c r="R1235" s="1">
        <v>1</v>
      </c>
    </row>
    <row r="1236" spans="1:18" x14ac:dyDescent="0.3">
      <c r="A1236" s="1">
        <v>1235</v>
      </c>
      <c r="B1236" s="1" t="s">
        <v>18</v>
      </c>
      <c r="C1236" s="1">
        <v>0.5</v>
      </c>
      <c r="D1236" s="1">
        <v>120</v>
      </c>
      <c r="E1236" s="1">
        <v>50</v>
      </c>
      <c r="F1236" s="1">
        <v>3</v>
      </c>
      <c r="G1236" s="1">
        <v>25</v>
      </c>
      <c r="H1236" s="1">
        <v>150</v>
      </c>
      <c r="I1236" s="1">
        <v>100</v>
      </c>
      <c r="J1236" s="1">
        <v>30.641999999999999</v>
      </c>
      <c r="K1236" s="1">
        <v>34.679000000000002</v>
      </c>
      <c r="L1236" s="1">
        <v>30.64</v>
      </c>
      <c r="M1236" s="1">
        <v>118.4</v>
      </c>
      <c r="N1236" s="1">
        <v>3.295E-2</v>
      </c>
      <c r="O1236" s="1">
        <v>2.1499999999999999E-4</v>
      </c>
      <c r="P1236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13.528952465692923</v>
      </c>
      <c r="Q1236" s="1">
        <f>LN(Table1[[#This Row],[qe_mg_g]]-Table1[[#This Row],[qt]])</f>
        <v>2.8398411862638158</v>
      </c>
      <c r="R1236" s="1">
        <v>2</v>
      </c>
    </row>
    <row r="1237" spans="1:18" x14ac:dyDescent="0.3">
      <c r="A1237" s="1">
        <v>1236</v>
      </c>
      <c r="B1237" s="1" t="s">
        <v>18</v>
      </c>
      <c r="C1237" s="1">
        <v>0.5</v>
      </c>
      <c r="D1237" s="1">
        <v>120</v>
      </c>
      <c r="E1237" s="1">
        <v>50</v>
      </c>
      <c r="F1237" s="1">
        <v>3</v>
      </c>
      <c r="G1237" s="1">
        <v>25</v>
      </c>
      <c r="H1237" s="1">
        <v>150</v>
      </c>
      <c r="I1237" s="1">
        <v>100</v>
      </c>
      <c r="J1237" s="1">
        <v>32.253</v>
      </c>
      <c r="K1237" s="1">
        <v>33.874000000000002</v>
      </c>
      <c r="L1237" s="1">
        <v>32.25</v>
      </c>
      <c r="M1237" s="1">
        <v>96.9</v>
      </c>
      <c r="N1237" s="1">
        <v>3.0249999999999999E-2</v>
      </c>
      <c r="O1237" s="1">
        <v>2.318E-4</v>
      </c>
      <c r="P1237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15.252230749057993</v>
      </c>
      <c r="Q1237" s="1">
        <f>LN(Table1[[#This Row],[qe_mg_g]]-Table1[[#This Row],[qt]])</f>
        <v>2.8332585930878755</v>
      </c>
      <c r="R1237" s="1">
        <v>3</v>
      </c>
    </row>
    <row r="1238" spans="1:18" x14ac:dyDescent="0.3">
      <c r="A1238" s="1">
        <v>1237</v>
      </c>
      <c r="B1238" s="1" t="s">
        <v>18</v>
      </c>
      <c r="C1238" s="1">
        <v>0.5</v>
      </c>
      <c r="D1238" s="1">
        <v>120</v>
      </c>
      <c r="E1238" s="1">
        <v>50</v>
      </c>
      <c r="F1238" s="1">
        <v>7</v>
      </c>
      <c r="G1238" s="1">
        <v>25</v>
      </c>
      <c r="H1238" s="1">
        <v>150</v>
      </c>
      <c r="I1238" s="1">
        <v>100</v>
      </c>
      <c r="J1238" s="1">
        <v>52.470999999999997</v>
      </c>
      <c r="K1238" s="1">
        <v>23.763999999999999</v>
      </c>
      <c r="L1238" s="1">
        <v>52.47</v>
      </c>
      <c r="M1238" s="1">
        <v>115.6</v>
      </c>
      <c r="N1238" s="1">
        <v>2.7779999999999999E-2</v>
      </c>
      <c r="O1238" s="1">
        <v>2.1660000000000001E-4</v>
      </c>
      <c r="P1238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30.273513869386651</v>
      </c>
      <c r="Q1238" s="1">
        <f>LN(Table1[[#This Row],[qe_mg_g]]-Table1[[#This Row],[qt]])</f>
        <v>3.0999790451066405</v>
      </c>
      <c r="R1238" s="1">
        <v>1</v>
      </c>
    </row>
    <row r="1239" spans="1:18" x14ac:dyDescent="0.3">
      <c r="A1239" s="1">
        <v>1238</v>
      </c>
      <c r="B1239" s="1" t="s">
        <v>18</v>
      </c>
      <c r="C1239" s="1">
        <v>0.5</v>
      </c>
      <c r="D1239" s="1">
        <v>120</v>
      </c>
      <c r="E1239" s="1">
        <v>50</v>
      </c>
      <c r="F1239" s="1">
        <v>7</v>
      </c>
      <c r="G1239" s="1">
        <v>25</v>
      </c>
      <c r="H1239" s="1">
        <v>150</v>
      </c>
      <c r="I1239" s="1">
        <v>100</v>
      </c>
      <c r="J1239" s="1">
        <v>43.764000000000003</v>
      </c>
      <c r="K1239" s="1">
        <v>28.117999999999999</v>
      </c>
      <c r="L1239" s="1">
        <v>43.76</v>
      </c>
      <c r="M1239" s="1">
        <v>106.5</v>
      </c>
      <c r="N1239" s="1">
        <v>3.0720000000000001E-2</v>
      </c>
      <c r="O1239" s="1">
        <v>2.8130000000000001E-4</v>
      </c>
      <c r="P1239" s="1">
        <f>(Table1[[#This Row],[Rate_Constant_k2_g_mg_min]]*Table1[[#This Row],[Contact_Time_min]]*Table1[[#This Row],[qe_mg_g]]^2)/(1+Table1[[#This Row],[Contact_Time_min]]*Table1[[#This Row],[qe_mg_g]]*Table1[[#This Row],[Rate_Constant_k2_g_mg_min]])</f>
        <v>26.097975424407473</v>
      </c>
      <c r="Q1239" s="1">
        <f>LN(Table1[[#This Row],[qe_mg_g]]-Table1[[#This Row],[qt]])</f>
        <v>2.8716432794457436</v>
      </c>
      <c r="R1239" s="1">
        <v>2</v>
      </c>
    </row>
    <row r="1240" spans="1:18" x14ac:dyDescent="0.3">
      <c r="A1240" s="1">
        <v>1239</v>
      </c>
      <c r="B1240" s="1" t="s">
        <v>18</v>
      </c>
      <c r="C1240" s="1">
        <v>0.5</v>
      </c>
      <c r="D1240" s="1">
        <v>120</v>
      </c>
      <c r="E1240" s="1">
        <v>50</v>
      </c>
      <c r="F1240" s="1">
        <v>7</v>
      </c>
      <c r="G1240" s="1">
        <v>25</v>
      </c>
      <c r="H1240" s="1">
        <v>150</v>
      </c>
      <c r="I1240" s="1">
        <v>100</v>
      </c>
      <c r="J1240" s="1">
        <v>48.561</v>
      </c>
      <c r="K1240" s="1">
        <v>25.719000000000001</v>
      </c>
      <c r="L1240" s="1">
        <v>48.56</v>
      </c>
      <c r="M1240" s="1">
        <v>114.5</v>
      </c>
      <c r="N1240" s="1">
        <v>3.0980000000000001E-2</v>
      </c>
      <c r="O1240" s="1">
        <v>2.153E-4</v>
      </c>
      <c r="P1240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27.022578000146506</v>
      </c>
      <c r="Q1240" s="1">
        <f>LN(Table1[[#This Row],[qe_mg_g]]-Table1[[#This Row],[qt]])</f>
        <v>3.0698384099849401</v>
      </c>
      <c r="R1240" s="1">
        <v>3</v>
      </c>
    </row>
    <row r="1241" spans="1:18" x14ac:dyDescent="0.3">
      <c r="A1241" s="1">
        <v>1240</v>
      </c>
      <c r="B1241" s="1" t="s">
        <v>18</v>
      </c>
      <c r="C1241" s="1">
        <v>0.5</v>
      </c>
      <c r="D1241" s="1">
        <v>120</v>
      </c>
      <c r="E1241" s="1">
        <v>50</v>
      </c>
      <c r="F1241" s="1">
        <v>11</v>
      </c>
      <c r="G1241" s="1">
        <v>25</v>
      </c>
      <c r="H1241" s="1">
        <v>150</v>
      </c>
      <c r="I1241" s="1">
        <v>100</v>
      </c>
      <c r="J1241" s="1">
        <v>35.774999999999999</v>
      </c>
      <c r="K1241" s="1">
        <v>32.112000000000002</v>
      </c>
      <c r="L1241" s="1">
        <v>35.78</v>
      </c>
      <c r="M1241" s="1">
        <v>115.9</v>
      </c>
      <c r="N1241" s="1">
        <v>2.9850000000000002E-2</v>
      </c>
      <c r="O1241" s="1">
        <v>2.6259999999999999E-4</v>
      </c>
      <c r="P1241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18.95823834938043</v>
      </c>
      <c r="Q1241" s="1">
        <f>LN(Table1[[#This Row],[qe_mg_g]]-Table1[[#This Row],[qt]])</f>
        <v>2.8223761063189015</v>
      </c>
      <c r="R1241" s="1">
        <v>1</v>
      </c>
    </row>
    <row r="1242" spans="1:18" x14ac:dyDescent="0.3">
      <c r="A1242" s="1">
        <v>1241</v>
      </c>
      <c r="B1242" s="1" t="s">
        <v>18</v>
      </c>
      <c r="C1242" s="1">
        <v>0.5</v>
      </c>
      <c r="D1242" s="1">
        <v>120</v>
      </c>
      <c r="E1242" s="1">
        <v>50</v>
      </c>
      <c r="F1242" s="1">
        <v>11</v>
      </c>
      <c r="G1242" s="1">
        <v>25</v>
      </c>
      <c r="H1242" s="1">
        <v>150</v>
      </c>
      <c r="I1242" s="1">
        <v>100</v>
      </c>
      <c r="J1242" s="1">
        <v>35.372</v>
      </c>
      <c r="K1242" s="1">
        <v>32.314</v>
      </c>
      <c r="L1242" s="1">
        <v>35.369999999999997</v>
      </c>
      <c r="M1242" s="1">
        <v>84.6</v>
      </c>
      <c r="N1242" s="1">
        <v>2.963E-2</v>
      </c>
      <c r="O1242" s="1">
        <v>2.5769999999999998E-4</v>
      </c>
      <c r="P1242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18.478666688164608</v>
      </c>
      <c r="Q1242" s="1">
        <f>LN(Table1[[#This Row],[qe_mg_g]]-Table1[[#This Row],[qt]])</f>
        <v>2.8269190655122589</v>
      </c>
      <c r="R1242" s="1">
        <v>2</v>
      </c>
    </row>
    <row r="1243" spans="1:18" x14ac:dyDescent="0.3">
      <c r="A1243" s="1">
        <v>1242</v>
      </c>
      <c r="B1243" s="1" t="s">
        <v>18</v>
      </c>
      <c r="C1243" s="1">
        <v>0.5</v>
      </c>
      <c r="D1243" s="1">
        <v>120</v>
      </c>
      <c r="E1243" s="1">
        <v>50</v>
      </c>
      <c r="F1243" s="1">
        <v>11</v>
      </c>
      <c r="G1243" s="1">
        <v>25</v>
      </c>
      <c r="H1243" s="1">
        <v>150</v>
      </c>
      <c r="I1243" s="1">
        <v>100</v>
      </c>
      <c r="J1243" s="1">
        <v>34.267000000000003</v>
      </c>
      <c r="K1243" s="1">
        <v>32.866</v>
      </c>
      <c r="L1243" s="1">
        <v>34.270000000000003</v>
      </c>
      <c r="M1243" s="1">
        <v>96.5</v>
      </c>
      <c r="N1243" s="1">
        <v>2.7179999999999999E-2</v>
      </c>
      <c r="O1243" s="1">
        <v>2.7799999999999998E-4</v>
      </c>
      <c r="P1243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18.277897021386011</v>
      </c>
      <c r="Q1243" s="1">
        <f>LN(Table1[[#This Row],[qe_mg_g]]-Table1[[#This Row],[qt]])</f>
        <v>2.7719074263738239</v>
      </c>
      <c r="R1243" s="1">
        <v>3</v>
      </c>
    </row>
    <row r="1244" spans="1:18" x14ac:dyDescent="0.3">
      <c r="A1244" s="1">
        <v>1243</v>
      </c>
      <c r="B1244" s="1" t="s">
        <v>18</v>
      </c>
      <c r="C1244" s="1">
        <v>0.5</v>
      </c>
      <c r="D1244" s="1">
        <v>120</v>
      </c>
      <c r="E1244" s="1">
        <v>100</v>
      </c>
      <c r="F1244" s="1">
        <v>3</v>
      </c>
      <c r="G1244" s="1">
        <v>25</v>
      </c>
      <c r="H1244" s="1">
        <v>150</v>
      </c>
      <c r="I1244" s="1">
        <v>100</v>
      </c>
      <c r="J1244" s="1">
        <v>48.325000000000003</v>
      </c>
      <c r="K1244" s="1">
        <v>75.837000000000003</v>
      </c>
      <c r="L1244" s="1">
        <v>24.16</v>
      </c>
      <c r="M1244" s="1">
        <v>121.8</v>
      </c>
      <c r="N1244" s="1">
        <v>3.4590000000000003E-2</v>
      </c>
      <c r="O1244" s="1">
        <v>2.4800000000000001E-4</v>
      </c>
      <c r="P1244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28.504660661025241</v>
      </c>
      <c r="Q1244" s="1">
        <f>LN(Table1[[#This Row],[qe_mg_g]]-Table1[[#This Row],[qt]])</f>
        <v>2.9867086497933593</v>
      </c>
      <c r="R1244" s="1">
        <v>1</v>
      </c>
    </row>
    <row r="1245" spans="1:18" x14ac:dyDescent="0.3">
      <c r="A1245" s="1">
        <v>1244</v>
      </c>
      <c r="B1245" s="1" t="s">
        <v>18</v>
      </c>
      <c r="C1245" s="1">
        <v>0.5</v>
      </c>
      <c r="D1245" s="1">
        <v>120</v>
      </c>
      <c r="E1245" s="1">
        <v>100</v>
      </c>
      <c r="F1245" s="1">
        <v>3</v>
      </c>
      <c r="G1245" s="1">
        <v>25</v>
      </c>
      <c r="H1245" s="1">
        <v>150</v>
      </c>
      <c r="I1245" s="1">
        <v>100</v>
      </c>
      <c r="J1245" s="1">
        <v>45.134999999999998</v>
      </c>
      <c r="K1245" s="1">
        <v>77.432000000000002</v>
      </c>
      <c r="L1245" s="1">
        <v>22.57</v>
      </c>
      <c r="M1245" s="1">
        <v>68.7</v>
      </c>
      <c r="N1245" s="1">
        <v>2.5579999999999999E-2</v>
      </c>
      <c r="O1245" s="1">
        <v>2.1570000000000001E-4</v>
      </c>
      <c r="P1245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24.318907143410645</v>
      </c>
      <c r="Q1245" s="1">
        <f>LN(Table1[[#This Row],[qe_mg_g]]-Table1[[#This Row],[qt]])</f>
        <v>3.0357263825878977</v>
      </c>
      <c r="R1245" s="1">
        <v>2</v>
      </c>
    </row>
    <row r="1246" spans="1:18" x14ac:dyDescent="0.3">
      <c r="A1246" s="1">
        <v>1245</v>
      </c>
      <c r="B1246" s="1" t="s">
        <v>18</v>
      </c>
      <c r="C1246" s="1">
        <v>0.5</v>
      </c>
      <c r="D1246" s="1">
        <v>120</v>
      </c>
      <c r="E1246" s="1">
        <v>100</v>
      </c>
      <c r="F1246" s="1">
        <v>3</v>
      </c>
      <c r="G1246" s="1">
        <v>25</v>
      </c>
      <c r="H1246" s="1">
        <v>150</v>
      </c>
      <c r="I1246" s="1">
        <v>100</v>
      </c>
      <c r="J1246" s="1">
        <v>55.798999999999999</v>
      </c>
      <c r="K1246" s="1">
        <v>72.099999999999994</v>
      </c>
      <c r="L1246" s="1">
        <v>27.9</v>
      </c>
      <c r="M1246" s="1">
        <v>101.7</v>
      </c>
      <c r="N1246" s="1">
        <v>3.117E-2</v>
      </c>
      <c r="O1246" s="1">
        <v>1.9450000000000001E-4</v>
      </c>
      <c r="P1246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31.563313646569934</v>
      </c>
      <c r="Q1246" s="1">
        <f>LN(Table1[[#This Row],[qe_mg_g]]-Table1[[#This Row],[qt]])</f>
        <v>3.1878261896485349</v>
      </c>
      <c r="R1246" s="1">
        <v>3</v>
      </c>
    </row>
    <row r="1247" spans="1:18" x14ac:dyDescent="0.3">
      <c r="A1247" s="1">
        <v>1246</v>
      </c>
      <c r="B1247" s="1" t="s">
        <v>18</v>
      </c>
      <c r="C1247" s="1">
        <v>0.5</v>
      </c>
      <c r="D1247" s="1">
        <v>120</v>
      </c>
      <c r="E1247" s="1">
        <v>100</v>
      </c>
      <c r="F1247" s="1">
        <v>7</v>
      </c>
      <c r="G1247" s="1">
        <v>25</v>
      </c>
      <c r="H1247" s="1">
        <v>150</v>
      </c>
      <c r="I1247" s="1">
        <v>100</v>
      </c>
      <c r="J1247" s="1">
        <v>64.099999999999994</v>
      </c>
      <c r="K1247" s="1">
        <v>67.95</v>
      </c>
      <c r="L1247" s="1">
        <v>32.049999999999997</v>
      </c>
      <c r="M1247" s="1">
        <v>113.3</v>
      </c>
      <c r="N1247" s="1">
        <v>3.0859999999999999E-2</v>
      </c>
      <c r="O1247" s="1">
        <v>2.4630000000000002E-4</v>
      </c>
      <c r="P1247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41.954854706427234</v>
      </c>
      <c r="Q1247" s="1">
        <f>LN(Table1[[#This Row],[qe_mg_g]]-Table1[[#This Row],[qt]])</f>
        <v>3.0976182983639231</v>
      </c>
      <c r="R1247" s="1">
        <v>1</v>
      </c>
    </row>
    <row r="1248" spans="1:18" x14ac:dyDescent="0.3">
      <c r="A1248" s="1">
        <v>1247</v>
      </c>
      <c r="B1248" s="1" t="s">
        <v>18</v>
      </c>
      <c r="C1248" s="1">
        <v>0.5</v>
      </c>
      <c r="D1248" s="1">
        <v>120</v>
      </c>
      <c r="E1248" s="1">
        <v>100</v>
      </c>
      <c r="F1248" s="1">
        <v>7</v>
      </c>
      <c r="G1248" s="1">
        <v>25</v>
      </c>
      <c r="H1248" s="1">
        <v>150</v>
      </c>
      <c r="I1248" s="1">
        <v>100</v>
      </c>
      <c r="J1248" s="1">
        <v>75.498000000000005</v>
      </c>
      <c r="K1248" s="1">
        <v>62.250999999999998</v>
      </c>
      <c r="L1248" s="1">
        <v>37.75</v>
      </c>
      <c r="M1248" s="1">
        <v>124.5</v>
      </c>
      <c r="N1248" s="1">
        <v>2.9340000000000001E-2</v>
      </c>
      <c r="O1248" s="1">
        <v>2.5169999999999999E-4</v>
      </c>
      <c r="P1248" s="1">
        <f>(Table1[[#This Row],[Rate_Constant_k2_g_mg_min]]*Table1[[#This Row],[Contact_Time_min]]*Table1[[#This Row],[qe_mg_g]]^2)/(1+Table1[[#This Row],[Contact_Time_min]]*Table1[[#This Row],[qe_mg_g]]*Table1[[#This Row],[Rate_Constant_k2_g_mg_min]])</f>
        <v>52.482713974873143</v>
      </c>
      <c r="Q1248" s="1">
        <f>LN(Table1[[#This Row],[qe_mg_g]]-Table1[[#This Row],[qt]])</f>
        <v>3.1361586049619943</v>
      </c>
      <c r="R1248" s="1">
        <v>2</v>
      </c>
    </row>
    <row r="1249" spans="1:18" x14ac:dyDescent="0.3">
      <c r="A1249" s="1">
        <v>1248</v>
      </c>
      <c r="B1249" s="1" t="s">
        <v>18</v>
      </c>
      <c r="C1249" s="1">
        <v>0.5</v>
      </c>
      <c r="D1249" s="1">
        <v>120</v>
      </c>
      <c r="E1249" s="1">
        <v>100</v>
      </c>
      <c r="F1249" s="1">
        <v>7</v>
      </c>
      <c r="G1249" s="1">
        <v>25</v>
      </c>
      <c r="H1249" s="1">
        <v>150</v>
      </c>
      <c r="I1249" s="1">
        <v>100</v>
      </c>
      <c r="J1249" s="1">
        <v>73.090999999999994</v>
      </c>
      <c r="K1249" s="1">
        <v>63.454000000000001</v>
      </c>
      <c r="L1249" s="1">
        <v>36.549999999999997</v>
      </c>
      <c r="M1249" s="1">
        <v>135.9</v>
      </c>
      <c r="N1249" s="1">
        <v>2.3699999999999999E-2</v>
      </c>
      <c r="O1249" s="1">
        <v>2.6709999999999999E-4</v>
      </c>
      <c r="P1249" s="1">
        <f>(Table1[[#This Row],[Rate_Constant_k2_g_mg_min]]*Table1[[#This Row],[Contact_Time_min]]*Table1[[#This Row],[qe_mg_g]]^2)/(1+Table1[[#This Row],[Contact_Time_min]]*Table1[[#This Row],[qe_mg_g]]*Table1[[#This Row],[Rate_Constant_k2_g_mg_min]])</f>
        <v>51.225226342486671</v>
      </c>
      <c r="Q1249" s="1">
        <f>LN(Table1[[#This Row],[qe_mg_g]]-Table1[[#This Row],[qt]])</f>
        <v>3.0849225676147736</v>
      </c>
      <c r="R1249" s="1">
        <v>3</v>
      </c>
    </row>
    <row r="1250" spans="1:18" x14ac:dyDescent="0.3">
      <c r="A1250" s="1">
        <v>1249</v>
      </c>
      <c r="B1250" s="1" t="s">
        <v>18</v>
      </c>
      <c r="C1250" s="1">
        <v>0.5</v>
      </c>
      <c r="D1250" s="1">
        <v>120</v>
      </c>
      <c r="E1250" s="1">
        <v>100</v>
      </c>
      <c r="F1250" s="1">
        <v>11</v>
      </c>
      <c r="G1250" s="1">
        <v>25</v>
      </c>
      <c r="H1250" s="1">
        <v>150</v>
      </c>
      <c r="I1250" s="1">
        <v>100</v>
      </c>
      <c r="J1250" s="1">
        <v>57.820999999999998</v>
      </c>
      <c r="K1250" s="1">
        <v>71.088999999999999</v>
      </c>
      <c r="L1250" s="1">
        <v>28.91</v>
      </c>
      <c r="M1250" s="1">
        <v>108.5</v>
      </c>
      <c r="N1250" s="1">
        <v>2.8029999999999999E-2</v>
      </c>
      <c r="O1250" s="1">
        <v>2.4879999999999998E-4</v>
      </c>
      <c r="P1250" s="1">
        <f>(Table1[[#This Row],[Rate_Constant_k2_g_mg_min]]*Table1[[#This Row],[Contact_Time_min]]*Table1[[#This Row],[qe_mg_g]]^2)/(1+Table1[[#This Row],[Contact_Time_min]]*Table1[[#This Row],[qe_mg_g]]*Table1[[#This Row],[Rate_Constant_k2_g_mg_min]])</f>
        <v>36.61243164125522</v>
      </c>
      <c r="Q1250" s="1">
        <f>LN(Table1[[#This Row],[qe_mg_g]]-Table1[[#This Row],[qt]])</f>
        <v>3.0544052678894551</v>
      </c>
      <c r="R1250" s="1">
        <v>1</v>
      </c>
    </row>
    <row r="1251" spans="1:18" x14ac:dyDescent="0.3">
      <c r="A1251" s="1">
        <v>1250</v>
      </c>
      <c r="B1251" s="1" t="s">
        <v>18</v>
      </c>
      <c r="C1251" s="1">
        <v>0.5</v>
      </c>
      <c r="D1251" s="1">
        <v>120</v>
      </c>
      <c r="E1251" s="1">
        <v>100</v>
      </c>
      <c r="F1251" s="1">
        <v>11</v>
      </c>
      <c r="G1251" s="1">
        <v>25</v>
      </c>
      <c r="H1251" s="1">
        <v>150</v>
      </c>
      <c r="I1251" s="1">
        <v>100</v>
      </c>
      <c r="J1251" s="1">
        <v>62.165999999999997</v>
      </c>
      <c r="K1251" s="1">
        <v>68.917000000000002</v>
      </c>
      <c r="L1251" s="1">
        <v>31.08</v>
      </c>
      <c r="M1251" s="1">
        <v>146.69999999999999</v>
      </c>
      <c r="N1251" s="1">
        <v>3.2419999999999997E-2</v>
      </c>
      <c r="O1251" s="1">
        <v>2.288E-4</v>
      </c>
      <c r="P1251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39.199649330851727</v>
      </c>
      <c r="Q1251" s="1">
        <f>LN(Table1[[#This Row],[qe_mg_g]]-Table1[[#This Row],[qt]])</f>
        <v>3.1340301302937825</v>
      </c>
      <c r="R1251" s="1">
        <v>2</v>
      </c>
    </row>
    <row r="1252" spans="1:18" x14ac:dyDescent="0.3">
      <c r="A1252" s="1">
        <v>1251</v>
      </c>
      <c r="B1252" s="1" t="s">
        <v>18</v>
      </c>
      <c r="C1252" s="1">
        <v>0.5</v>
      </c>
      <c r="D1252" s="1">
        <v>120</v>
      </c>
      <c r="E1252" s="1">
        <v>100</v>
      </c>
      <c r="F1252" s="1">
        <v>11</v>
      </c>
      <c r="G1252" s="1">
        <v>25</v>
      </c>
      <c r="H1252" s="1">
        <v>150</v>
      </c>
      <c r="I1252" s="1">
        <v>100</v>
      </c>
      <c r="J1252" s="1">
        <v>56.197000000000003</v>
      </c>
      <c r="K1252" s="1">
        <v>71.902000000000001</v>
      </c>
      <c r="L1252" s="1">
        <v>28.1</v>
      </c>
      <c r="M1252" s="1">
        <v>93.2</v>
      </c>
      <c r="N1252" s="1">
        <v>2.461E-2</v>
      </c>
      <c r="O1252" s="1">
        <v>2.4169999999999999E-4</v>
      </c>
      <c r="P1252" s="1">
        <f>(Table1[[#This Row],[Rate_Constant_k2_g_mg_min]]*Table1[[#This Row],[Contact_Time_min]]*Table1[[#This Row],[qe_mg_g]]^2)/(1+Table1[[#This Row],[Contact_Time_min]]*Table1[[#This Row],[qe_mg_g]]*Table1[[#This Row],[Rate_Constant_k2_g_mg_min]])</f>
        <v>34.828813932474667</v>
      </c>
      <c r="Q1252" s="1">
        <f>LN(Table1[[#This Row],[qe_mg_g]]-Table1[[#This Row],[qt]])</f>
        <v>3.0619031835348793</v>
      </c>
      <c r="R1252" s="1">
        <v>3</v>
      </c>
    </row>
    <row r="1253" spans="1:18" x14ac:dyDescent="0.3">
      <c r="A1253" s="1">
        <v>1252</v>
      </c>
      <c r="B1253" s="1" t="s">
        <v>18</v>
      </c>
      <c r="C1253" s="1">
        <v>0.5</v>
      </c>
      <c r="D1253" s="1">
        <v>120</v>
      </c>
      <c r="E1253" s="1">
        <v>200</v>
      </c>
      <c r="F1253" s="1">
        <v>3</v>
      </c>
      <c r="G1253" s="1">
        <v>25</v>
      </c>
      <c r="H1253" s="1">
        <v>150</v>
      </c>
      <c r="I1253" s="1">
        <v>100</v>
      </c>
      <c r="J1253" s="1">
        <v>62.972999999999999</v>
      </c>
      <c r="K1253" s="1">
        <v>168.51300000000001</v>
      </c>
      <c r="L1253" s="1">
        <v>15.74</v>
      </c>
      <c r="M1253" s="1">
        <v>80.900000000000006</v>
      </c>
      <c r="N1253" s="1">
        <v>3.3149999999999999E-2</v>
      </c>
      <c r="O1253" s="1">
        <v>2.6219999999999998E-4</v>
      </c>
      <c r="P1253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41.850919692820945</v>
      </c>
      <c r="Q1253" s="1">
        <f>LN(Table1[[#This Row],[qe_mg_g]]-Table1[[#This Row],[qt]])</f>
        <v>3.0503189533802617</v>
      </c>
      <c r="R1253" s="1">
        <v>1</v>
      </c>
    </row>
    <row r="1254" spans="1:18" x14ac:dyDescent="0.3">
      <c r="A1254" s="1">
        <v>1253</v>
      </c>
      <c r="B1254" s="1" t="s">
        <v>18</v>
      </c>
      <c r="C1254" s="1">
        <v>0.5</v>
      </c>
      <c r="D1254" s="1">
        <v>120</v>
      </c>
      <c r="E1254" s="1">
        <v>200</v>
      </c>
      <c r="F1254" s="1">
        <v>3</v>
      </c>
      <c r="G1254" s="1">
        <v>25</v>
      </c>
      <c r="H1254" s="1">
        <v>150</v>
      </c>
      <c r="I1254" s="1">
        <v>100</v>
      </c>
      <c r="J1254" s="1">
        <v>55.173000000000002</v>
      </c>
      <c r="K1254" s="1">
        <v>172.41300000000001</v>
      </c>
      <c r="L1254" s="1">
        <v>13.79</v>
      </c>
      <c r="M1254" s="1">
        <v>97.9</v>
      </c>
      <c r="N1254" s="1">
        <v>3.4790000000000001E-2</v>
      </c>
      <c r="O1254" s="1">
        <v>2.6830000000000002E-4</v>
      </c>
      <c r="P1254" s="1">
        <f>(Table1[[#This Row],[Rate_Constant_k2_g_mg_min]]*Table1[[#This Row],[Contact_Time_min]]*Table1[[#This Row],[qe_mg_g]]^2)/(1+Table1[[#This Row],[Contact_Time_min]]*Table1[[#This Row],[qe_mg_g]]*Table1[[#This Row],[Rate_Constant_k2_g_mg_min]])</f>
        <v>35.300504879330937</v>
      </c>
      <c r="Q1254" s="1">
        <f>LN(Table1[[#This Row],[qe_mg_g]]-Table1[[#This Row],[qt]])</f>
        <v>2.9893366209332886</v>
      </c>
      <c r="R1254" s="1">
        <v>2</v>
      </c>
    </row>
    <row r="1255" spans="1:18" x14ac:dyDescent="0.3">
      <c r="A1255" s="1">
        <v>1254</v>
      </c>
      <c r="B1255" s="1" t="s">
        <v>18</v>
      </c>
      <c r="C1255" s="1">
        <v>0.5</v>
      </c>
      <c r="D1255" s="1">
        <v>120</v>
      </c>
      <c r="E1255" s="1">
        <v>200</v>
      </c>
      <c r="F1255" s="1">
        <v>3</v>
      </c>
      <c r="G1255" s="1">
        <v>25</v>
      </c>
      <c r="H1255" s="1">
        <v>150</v>
      </c>
      <c r="I1255" s="1">
        <v>100</v>
      </c>
      <c r="J1255" s="1">
        <v>59.124000000000002</v>
      </c>
      <c r="K1255" s="1">
        <v>170.43799999999999</v>
      </c>
      <c r="L1255" s="1">
        <v>14.78</v>
      </c>
      <c r="M1255" s="1">
        <v>96.4</v>
      </c>
      <c r="N1255" s="1">
        <v>3.023E-2</v>
      </c>
      <c r="O1255" s="1">
        <v>2.3719999999999999E-4</v>
      </c>
      <c r="P1255" s="1">
        <f>(Table1[[#This Row],[Rate_Constant_k2_g_mg_min]]*Table1[[#This Row],[Contact_Time_min]]*Table1[[#This Row],[qe_mg_g]]^2)/(1+Table1[[#This Row],[Contact_Time_min]]*Table1[[#This Row],[qe_mg_g]]*Table1[[#This Row],[Rate_Constant_k2_g_mg_min]])</f>
        <v>37.086697826420981</v>
      </c>
      <c r="Q1255" s="1">
        <f>LN(Table1[[#This Row],[qe_mg_g]]-Table1[[#This Row],[qt]])</f>
        <v>3.0927365708750307</v>
      </c>
      <c r="R1255" s="1">
        <v>3</v>
      </c>
    </row>
    <row r="1256" spans="1:18" x14ac:dyDescent="0.3">
      <c r="A1256" s="1">
        <v>1255</v>
      </c>
      <c r="B1256" s="1" t="s">
        <v>18</v>
      </c>
      <c r="C1256" s="1">
        <v>0.5</v>
      </c>
      <c r="D1256" s="1">
        <v>120</v>
      </c>
      <c r="E1256" s="1">
        <v>200</v>
      </c>
      <c r="F1256" s="1">
        <v>7</v>
      </c>
      <c r="G1256" s="1">
        <v>25</v>
      </c>
      <c r="H1256" s="1">
        <v>150</v>
      </c>
      <c r="I1256" s="1">
        <v>100</v>
      </c>
      <c r="J1256" s="1">
        <v>68.781999999999996</v>
      </c>
      <c r="K1256" s="1">
        <v>165.60900000000001</v>
      </c>
      <c r="L1256" s="1">
        <v>17.2</v>
      </c>
      <c r="M1256" s="1">
        <v>130.6</v>
      </c>
      <c r="N1256" s="1">
        <v>3.0470000000000001E-2</v>
      </c>
      <c r="O1256" s="1">
        <v>2.5999999999999998E-4</v>
      </c>
      <c r="P1256" s="1">
        <f>(Table1[[#This Row],[Rate_Constant_k2_g_mg_min]]*Table1[[#This Row],[Contact_Time_min]]*Table1[[#This Row],[qe_mg_g]]^2)/(1+Table1[[#This Row],[Contact_Time_min]]*Table1[[#This Row],[qe_mg_g]]*Table1[[#This Row],[Rate_Constant_k2_g_mg_min]])</f>
        <v>46.918670381014813</v>
      </c>
      <c r="Q1256" s="1">
        <f>LN(Table1[[#This Row],[qe_mg_g]]-Table1[[#This Row],[qt]])</f>
        <v>3.0848107867481396</v>
      </c>
      <c r="R1256" s="1">
        <v>1</v>
      </c>
    </row>
    <row r="1257" spans="1:18" x14ac:dyDescent="0.3">
      <c r="A1257" s="1">
        <v>1256</v>
      </c>
      <c r="B1257" s="1" t="s">
        <v>18</v>
      </c>
      <c r="C1257" s="1">
        <v>0.5</v>
      </c>
      <c r="D1257" s="1">
        <v>120</v>
      </c>
      <c r="E1257" s="1">
        <v>200</v>
      </c>
      <c r="F1257" s="1">
        <v>7</v>
      </c>
      <c r="G1257" s="1">
        <v>25</v>
      </c>
      <c r="H1257" s="1">
        <v>150</v>
      </c>
      <c r="I1257" s="1">
        <v>100</v>
      </c>
      <c r="J1257" s="1">
        <v>84.414000000000001</v>
      </c>
      <c r="K1257" s="1">
        <v>157.79300000000001</v>
      </c>
      <c r="L1257" s="1">
        <v>21.1</v>
      </c>
      <c r="M1257" s="1">
        <v>89</v>
      </c>
      <c r="N1257" s="1">
        <v>2.9440000000000001E-2</v>
      </c>
      <c r="O1257" s="1">
        <v>2.1000000000000001E-4</v>
      </c>
      <c r="P1257" s="1">
        <f>(Table1[[#This Row],[Rate_Constant_k2_g_mg_min]]*Table1[[#This Row],[Contact_Time_min]]*Table1[[#This Row],[qe_mg_g]]^2)/(1+Table1[[#This Row],[Contact_Time_min]]*Table1[[#This Row],[qe_mg_g]]*Table1[[#This Row],[Rate_Constant_k2_g_mg_min]])</f>
        <v>57.420806528762427</v>
      </c>
      <c r="Q1257" s="1">
        <f>LN(Table1[[#This Row],[qe_mg_g]]-Table1[[#This Row],[qt]])</f>
        <v>3.2955847405655141</v>
      </c>
      <c r="R1257" s="1">
        <v>2</v>
      </c>
    </row>
    <row r="1258" spans="1:18" x14ac:dyDescent="0.3">
      <c r="A1258" s="1">
        <v>1257</v>
      </c>
      <c r="B1258" s="1" t="s">
        <v>18</v>
      </c>
      <c r="C1258" s="1">
        <v>0.5</v>
      </c>
      <c r="D1258" s="1">
        <v>120</v>
      </c>
      <c r="E1258" s="1">
        <v>200</v>
      </c>
      <c r="F1258" s="1">
        <v>7</v>
      </c>
      <c r="G1258" s="1">
        <v>25</v>
      </c>
      <c r="H1258" s="1">
        <v>150</v>
      </c>
      <c r="I1258" s="1">
        <v>100</v>
      </c>
      <c r="J1258" s="1">
        <v>102.246</v>
      </c>
      <c r="K1258" s="1">
        <v>148.87700000000001</v>
      </c>
      <c r="L1258" s="1">
        <v>25.56</v>
      </c>
      <c r="M1258" s="1">
        <v>81.5</v>
      </c>
      <c r="N1258" s="1">
        <v>2.69E-2</v>
      </c>
      <c r="O1258" s="1">
        <v>2.3900000000000001E-4</v>
      </c>
      <c r="P1258" s="1">
        <f>(Table1[[#This Row],[Rate_Constant_k2_g_mg_min]]*Table1[[#This Row],[Contact_Time_min]]*Table1[[#This Row],[qe_mg_g]]^2)/(1+Table1[[#This Row],[Contact_Time_min]]*Table1[[#This Row],[qe_mg_g]]*Table1[[#This Row],[Rate_Constant_k2_g_mg_min]])</f>
        <v>76.245185559059266</v>
      </c>
      <c r="Q1258" s="1">
        <f>LN(Table1[[#This Row],[qe_mg_g]]-Table1[[#This Row],[qt]])</f>
        <v>3.2581278621824419</v>
      </c>
      <c r="R1258" s="1">
        <v>3</v>
      </c>
    </row>
    <row r="1259" spans="1:18" x14ac:dyDescent="0.3">
      <c r="A1259" s="1">
        <v>1258</v>
      </c>
      <c r="B1259" s="1" t="s">
        <v>18</v>
      </c>
      <c r="C1259" s="1">
        <v>0.5</v>
      </c>
      <c r="D1259" s="1">
        <v>120</v>
      </c>
      <c r="E1259" s="1">
        <v>200</v>
      </c>
      <c r="F1259" s="1">
        <v>11</v>
      </c>
      <c r="G1259" s="1">
        <v>25</v>
      </c>
      <c r="H1259" s="1">
        <v>150</v>
      </c>
      <c r="I1259" s="1">
        <v>100</v>
      </c>
      <c r="J1259" s="1">
        <v>77.325999999999993</v>
      </c>
      <c r="K1259" s="1">
        <v>161.33699999999999</v>
      </c>
      <c r="L1259" s="1">
        <v>19.329999999999998</v>
      </c>
      <c r="M1259" s="1">
        <v>100.2</v>
      </c>
      <c r="N1259" s="1">
        <v>2.6290000000000001E-2</v>
      </c>
      <c r="O1259" s="1">
        <v>2.8140000000000001E-4</v>
      </c>
      <c r="P1259" s="1">
        <f>(Table1[[#This Row],[Rate_Constant_k2_g_mg_min]]*Table1[[#This Row],[Contact_Time_min]]*Table1[[#This Row],[qe_mg_g]]^2)/(1+Table1[[#This Row],[Contact_Time_min]]*Table1[[#This Row],[qe_mg_g]]*Table1[[#This Row],[Rate_Constant_k2_g_mg_min]])</f>
        <v>55.912843360453536</v>
      </c>
      <c r="Q1259" s="1">
        <f>LN(Table1[[#This Row],[qe_mg_g]]-Table1[[#This Row],[qt]])</f>
        <v>3.0640055293585093</v>
      </c>
      <c r="R1259" s="1">
        <v>1</v>
      </c>
    </row>
    <row r="1260" spans="1:18" x14ac:dyDescent="0.3">
      <c r="A1260" s="1">
        <v>1259</v>
      </c>
      <c r="B1260" s="1" t="s">
        <v>18</v>
      </c>
      <c r="C1260" s="1">
        <v>0.5</v>
      </c>
      <c r="D1260" s="1">
        <v>120</v>
      </c>
      <c r="E1260" s="1">
        <v>200</v>
      </c>
      <c r="F1260" s="1">
        <v>11</v>
      </c>
      <c r="G1260" s="1">
        <v>25</v>
      </c>
      <c r="H1260" s="1">
        <v>150</v>
      </c>
      <c r="I1260" s="1">
        <v>100</v>
      </c>
      <c r="J1260" s="1">
        <v>73.852000000000004</v>
      </c>
      <c r="K1260" s="1">
        <v>163.07400000000001</v>
      </c>
      <c r="L1260" s="1">
        <v>18.46</v>
      </c>
      <c r="M1260" s="1">
        <v>108.1</v>
      </c>
      <c r="N1260" s="1">
        <v>3.2149999999999998E-2</v>
      </c>
      <c r="O1260" s="1">
        <v>3.099E-4</v>
      </c>
      <c r="P1260" s="1">
        <f>(Table1[[#This Row],[Rate_Constant_k2_g_mg_min]]*Table1[[#This Row],[Contact_Time_min]]*Table1[[#This Row],[qe_mg_g]]^2)/(1+Table1[[#This Row],[Contact_Time_min]]*Table1[[#This Row],[qe_mg_g]]*Table1[[#This Row],[Rate_Constant_k2_g_mg_min]])</f>
        <v>54.139252074371946</v>
      </c>
      <c r="Q1260" s="1">
        <f>LN(Table1[[#This Row],[qe_mg_g]]-Table1[[#This Row],[qt]])</f>
        <v>2.981265529286949</v>
      </c>
      <c r="R1260" s="1">
        <v>2</v>
      </c>
    </row>
    <row r="1261" spans="1:18" x14ac:dyDescent="0.3">
      <c r="A1261" s="1">
        <v>1260</v>
      </c>
      <c r="B1261" s="1" t="s">
        <v>18</v>
      </c>
      <c r="C1261" s="1">
        <v>0.5</v>
      </c>
      <c r="D1261" s="1">
        <v>120</v>
      </c>
      <c r="E1261" s="1">
        <v>200</v>
      </c>
      <c r="F1261" s="1">
        <v>11</v>
      </c>
      <c r="G1261" s="1">
        <v>25</v>
      </c>
      <c r="H1261" s="1">
        <v>150</v>
      </c>
      <c r="I1261" s="1">
        <v>100</v>
      </c>
      <c r="J1261" s="1">
        <v>82.92</v>
      </c>
      <c r="K1261" s="1">
        <v>158.54</v>
      </c>
      <c r="L1261" s="1">
        <v>20.73</v>
      </c>
      <c r="M1261" s="1">
        <v>89.7</v>
      </c>
      <c r="N1261" s="1">
        <v>3.4869999999999998E-2</v>
      </c>
      <c r="O1261" s="1">
        <v>2.5960000000000002E-4</v>
      </c>
      <c r="P1261" s="1">
        <f>(Table1[[#This Row],[Rate_Constant_k2_g_mg_min]]*Table1[[#This Row],[Contact_Time_min]]*Table1[[#This Row],[qe_mg_g]]^2)/(1+Table1[[#This Row],[Contact_Time_min]]*Table1[[#This Row],[qe_mg_g]]*Table1[[#This Row],[Rate_Constant_k2_g_mg_min]])</f>
        <v>59.778181937691556</v>
      </c>
      <c r="Q1261" s="1">
        <f>LN(Table1[[#This Row],[qe_mg_g]]-Table1[[#This Row],[qt]])</f>
        <v>3.1416412866268733</v>
      </c>
      <c r="R1261" s="1">
        <v>3</v>
      </c>
    </row>
    <row r="1262" spans="1:18" x14ac:dyDescent="0.3">
      <c r="A1262" s="1">
        <v>1261</v>
      </c>
      <c r="B1262" s="1" t="s">
        <v>18</v>
      </c>
      <c r="C1262" s="1">
        <v>0.5</v>
      </c>
      <c r="D1262" s="1">
        <v>240</v>
      </c>
      <c r="E1262" s="1">
        <v>25</v>
      </c>
      <c r="F1262" s="1">
        <v>3</v>
      </c>
      <c r="G1262" s="1">
        <v>25</v>
      </c>
      <c r="H1262" s="1">
        <v>150</v>
      </c>
      <c r="I1262" s="1">
        <v>100</v>
      </c>
      <c r="J1262" s="1">
        <v>18.984999999999999</v>
      </c>
      <c r="K1262" s="1">
        <v>15.507</v>
      </c>
      <c r="L1262" s="1">
        <v>37.97</v>
      </c>
      <c r="M1262" s="1">
        <v>74.599999999999994</v>
      </c>
      <c r="N1262" s="1">
        <v>2.9489999999999999E-2</v>
      </c>
      <c r="O1262" s="1">
        <v>2.297E-4</v>
      </c>
      <c r="P1262" s="1">
        <f>(Table1[[#This Row],[Rate_Constant_k2_g_mg_min]]*Table1[[#This Row],[Contact_Time_min]]*Table1[[#This Row],[qe_mg_g]]^2)/(1+Table1[[#This Row],[Contact_Time_min]]*Table1[[#This Row],[qe_mg_g]]*Table1[[#This Row],[Rate_Constant_k2_g_mg_min]])</f>
        <v>9.7086622318947811</v>
      </c>
      <c r="Q1262" s="1">
        <f>LN(Table1[[#This Row],[qe_mg_g]]-Table1[[#This Row],[qt]])</f>
        <v>2.2274668318507853</v>
      </c>
      <c r="R1262" s="1">
        <v>1</v>
      </c>
    </row>
    <row r="1263" spans="1:18" x14ac:dyDescent="0.3">
      <c r="A1263" s="1">
        <v>1262</v>
      </c>
      <c r="B1263" s="1" t="s">
        <v>18</v>
      </c>
      <c r="C1263" s="1">
        <v>0.5</v>
      </c>
      <c r="D1263" s="1">
        <v>240</v>
      </c>
      <c r="E1263" s="1">
        <v>25</v>
      </c>
      <c r="F1263" s="1">
        <v>3</v>
      </c>
      <c r="G1263" s="1">
        <v>25</v>
      </c>
      <c r="H1263" s="1">
        <v>150</v>
      </c>
      <c r="I1263" s="1">
        <v>100</v>
      </c>
      <c r="J1263" s="1">
        <v>19.523</v>
      </c>
      <c r="K1263" s="1">
        <v>15.238</v>
      </c>
      <c r="L1263" s="1">
        <v>39.049999999999997</v>
      </c>
      <c r="M1263" s="1">
        <v>116.1</v>
      </c>
      <c r="N1263" s="1">
        <v>2.3779999999999999E-2</v>
      </c>
      <c r="O1263" s="1">
        <v>2.4939999999999999E-4</v>
      </c>
      <c r="P1263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10.5202877003931</v>
      </c>
      <c r="Q1263" s="1">
        <f>LN(Table1[[#This Row],[qe_mg_g]]-Table1[[#This Row],[qt]])</f>
        <v>2.1975258985574091</v>
      </c>
      <c r="R1263" s="1">
        <v>2</v>
      </c>
    </row>
    <row r="1264" spans="1:18" x14ac:dyDescent="0.3">
      <c r="A1264" s="1">
        <v>1263</v>
      </c>
      <c r="B1264" s="1" t="s">
        <v>18</v>
      </c>
      <c r="C1264" s="1">
        <v>0.5</v>
      </c>
      <c r="D1264" s="1">
        <v>240</v>
      </c>
      <c r="E1264" s="1">
        <v>25</v>
      </c>
      <c r="F1264" s="1">
        <v>3</v>
      </c>
      <c r="G1264" s="1">
        <v>25</v>
      </c>
      <c r="H1264" s="1">
        <v>150</v>
      </c>
      <c r="I1264" s="1">
        <v>100</v>
      </c>
      <c r="J1264" s="1">
        <v>20.004000000000001</v>
      </c>
      <c r="K1264" s="1">
        <v>14.997999999999999</v>
      </c>
      <c r="L1264" s="1">
        <v>40.01</v>
      </c>
      <c r="M1264" s="1">
        <v>97.2</v>
      </c>
      <c r="N1264" s="1">
        <v>3.2190000000000003E-2</v>
      </c>
      <c r="O1264" s="1">
        <v>2.588E-4</v>
      </c>
      <c r="P1264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11.083552709472865</v>
      </c>
      <c r="Q1264" s="1">
        <f>LN(Table1[[#This Row],[qe_mg_g]]-Table1[[#This Row],[qt]])</f>
        <v>2.1883460900126459</v>
      </c>
      <c r="R1264" s="1">
        <v>3</v>
      </c>
    </row>
    <row r="1265" spans="1:18" x14ac:dyDescent="0.3">
      <c r="A1265" s="1">
        <v>1264</v>
      </c>
      <c r="B1265" s="1" t="s">
        <v>18</v>
      </c>
      <c r="C1265" s="1">
        <v>0.5</v>
      </c>
      <c r="D1265" s="1">
        <v>240</v>
      </c>
      <c r="E1265" s="1">
        <v>25</v>
      </c>
      <c r="F1265" s="1">
        <v>7</v>
      </c>
      <c r="G1265" s="1">
        <v>25</v>
      </c>
      <c r="H1265" s="1">
        <v>150</v>
      </c>
      <c r="I1265" s="1">
        <v>100</v>
      </c>
      <c r="J1265" s="1">
        <v>27.495000000000001</v>
      </c>
      <c r="K1265" s="1">
        <v>11.253</v>
      </c>
      <c r="L1265" s="1">
        <v>54.99</v>
      </c>
      <c r="M1265" s="1">
        <v>95.9</v>
      </c>
      <c r="N1265" s="1">
        <v>2.6349999999999998E-2</v>
      </c>
      <c r="O1265" s="1">
        <v>2.22E-4</v>
      </c>
      <c r="P1265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16.340541316001374</v>
      </c>
      <c r="Q1265" s="1">
        <f>LN(Table1[[#This Row],[qe_mg_g]]-Table1[[#This Row],[qt]])</f>
        <v>2.4118392999476108</v>
      </c>
      <c r="R1265" s="1">
        <v>1</v>
      </c>
    </row>
    <row r="1266" spans="1:18" x14ac:dyDescent="0.3">
      <c r="A1266" s="1">
        <v>1265</v>
      </c>
      <c r="B1266" s="1" t="s">
        <v>18</v>
      </c>
      <c r="C1266" s="1">
        <v>0.5</v>
      </c>
      <c r="D1266" s="1">
        <v>240</v>
      </c>
      <c r="E1266" s="1">
        <v>25</v>
      </c>
      <c r="F1266" s="1">
        <v>7</v>
      </c>
      <c r="G1266" s="1">
        <v>25</v>
      </c>
      <c r="H1266" s="1">
        <v>150</v>
      </c>
      <c r="I1266" s="1">
        <v>100</v>
      </c>
      <c r="J1266" s="1">
        <v>28.378</v>
      </c>
      <c r="K1266" s="1">
        <v>10.811</v>
      </c>
      <c r="L1266" s="1">
        <v>56.76</v>
      </c>
      <c r="M1266" s="1">
        <v>100.3</v>
      </c>
      <c r="N1266" s="1">
        <v>2.9579999999999999E-2</v>
      </c>
      <c r="O1266" s="1">
        <v>2.3939999999999999E-4</v>
      </c>
      <c r="P1266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17.589880987022095</v>
      </c>
      <c r="Q1266" s="1">
        <f>LN(Table1[[#This Row],[qe_mg_g]]-Table1[[#This Row],[qt]])</f>
        <v>2.3784454371945611</v>
      </c>
      <c r="R1266" s="1">
        <v>2</v>
      </c>
    </row>
    <row r="1267" spans="1:18" x14ac:dyDescent="0.3">
      <c r="A1267" s="1">
        <v>1266</v>
      </c>
      <c r="B1267" s="1" t="s">
        <v>18</v>
      </c>
      <c r="C1267" s="1">
        <v>0.5</v>
      </c>
      <c r="D1267" s="1">
        <v>240</v>
      </c>
      <c r="E1267" s="1">
        <v>25</v>
      </c>
      <c r="F1267" s="1">
        <v>7</v>
      </c>
      <c r="G1267" s="1">
        <v>25</v>
      </c>
      <c r="H1267" s="1">
        <v>150</v>
      </c>
      <c r="I1267" s="1">
        <v>100</v>
      </c>
      <c r="J1267" s="1">
        <v>25.942</v>
      </c>
      <c r="K1267" s="1">
        <v>12.029</v>
      </c>
      <c r="L1267" s="1">
        <v>51.88</v>
      </c>
      <c r="M1267" s="1">
        <v>115.7</v>
      </c>
      <c r="N1267" s="1">
        <v>2.8989999999999998E-2</v>
      </c>
      <c r="O1267" s="1">
        <v>2.165E-4</v>
      </c>
      <c r="P1267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14.89319544300314</v>
      </c>
      <c r="Q1267" s="1">
        <f>LN(Table1[[#This Row],[qe_mg_g]]-Table1[[#This Row],[qt]])</f>
        <v>2.402322237224193</v>
      </c>
      <c r="R1267" s="1">
        <v>3</v>
      </c>
    </row>
    <row r="1268" spans="1:18" x14ac:dyDescent="0.3">
      <c r="A1268" s="1">
        <v>1267</v>
      </c>
      <c r="B1268" s="1" t="s">
        <v>18</v>
      </c>
      <c r="C1268" s="1">
        <v>0.5</v>
      </c>
      <c r="D1268" s="1">
        <v>240</v>
      </c>
      <c r="E1268" s="1">
        <v>25</v>
      </c>
      <c r="F1268" s="1">
        <v>11</v>
      </c>
      <c r="G1268" s="1">
        <v>25</v>
      </c>
      <c r="H1268" s="1">
        <v>150</v>
      </c>
      <c r="I1268" s="1">
        <v>100</v>
      </c>
      <c r="J1268" s="1">
        <v>22.962</v>
      </c>
      <c r="K1268" s="1">
        <v>13.519</v>
      </c>
      <c r="L1268" s="1">
        <v>45.92</v>
      </c>
      <c r="M1268" s="1">
        <v>96.9</v>
      </c>
      <c r="N1268" s="1">
        <v>3.0089999999999999E-2</v>
      </c>
      <c r="O1268" s="1">
        <v>2.9020000000000001E-4</v>
      </c>
      <c r="P1268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14.127938312989899</v>
      </c>
      <c r="Q1268" s="1">
        <f>LN(Table1[[#This Row],[qe_mg_g]]-Table1[[#This Row],[qt]])</f>
        <v>2.1786148960580483</v>
      </c>
      <c r="R1268" s="1">
        <v>1</v>
      </c>
    </row>
    <row r="1269" spans="1:18" x14ac:dyDescent="0.3">
      <c r="A1269" s="1">
        <v>1268</v>
      </c>
      <c r="B1269" s="1" t="s">
        <v>18</v>
      </c>
      <c r="C1269" s="1">
        <v>0.5</v>
      </c>
      <c r="D1269" s="1">
        <v>240</v>
      </c>
      <c r="E1269" s="1">
        <v>25</v>
      </c>
      <c r="F1269" s="1">
        <v>11</v>
      </c>
      <c r="G1269" s="1">
        <v>25</v>
      </c>
      <c r="H1269" s="1">
        <v>150</v>
      </c>
      <c r="I1269" s="1">
        <v>100</v>
      </c>
      <c r="J1269" s="1">
        <v>21.481999999999999</v>
      </c>
      <c r="K1269" s="1">
        <v>14.259</v>
      </c>
      <c r="L1269" s="1">
        <v>42.96</v>
      </c>
      <c r="M1269" s="1">
        <v>104.3</v>
      </c>
      <c r="N1269" s="1">
        <v>2.6460000000000001E-2</v>
      </c>
      <c r="O1269" s="1">
        <v>2.4449999999999998E-4</v>
      </c>
      <c r="P1269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11.979060786288104</v>
      </c>
      <c r="Q1269" s="1">
        <f>LN(Table1[[#This Row],[qe_mg_g]]-Table1[[#This Row],[qt]])</f>
        <v>2.2516011416720367</v>
      </c>
      <c r="R1269" s="1">
        <v>2</v>
      </c>
    </row>
    <row r="1270" spans="1:18" x14ac:dyDescent="0.3">
      <c r="A1270" s="1">
        <v>1269</v>
      </c>
      <c r="B1270" s="1" t="s">
        <v>18</v>
      </c>
      <c r="C1270" s="1">
        <v>0.5</v>
      </c>
      <c r="D1270" s="1">
        <v>240</v>
      </c>
      <c r="E1270" s="1">
        <v>25</v>
      </c>
      <c r="F1270" s="1">
        <v>11</v>
      </c>
      <c r="G1270" s="1">
        <v>25</v>
      </c>
      <c r="H1270" s="1">
        <v>150</v>
      </c>
      <c r="I1270" s="1">
        <v>100</v>
      </c>
      <c r="J1270" s="1">
        <v>22.702000000000002</v>
      </c>
      <c r="K1270" s="1">
        <v>13.648999999999999</v>
      </c>
      <c r="L1270" s="1">
        <v>45.4</v>
      </c>
      <c r="M1270" s="1">
        <v>76.7</v>
      </c>
      <c r="N1270" s="1">
        <v>3.0599999999999999E-2</v>
      </c>
      <c r="O1270" s="1">
        <v>2.5250000000000001E-4</v>
      </c>
      <c r="P1270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13.14624535803816</v>
      </c>
      <c r="Q1270" s="1">
        <f>LN(Table1[[#This Row],[qe_mg_g]]-Table1[[#This Row],[qt]])</f>
        <v>2.2571435533241644</v>
      </c>
      <c r="R1270" s="1">
        <v>3</v>
      </c>
    </row>
    <row r="1271" spans="1:18" x14ac:dyDescent="0.3">
      <c r="A1271" s="1">
        <v>1270</v>
      </c>
      <c r="B1271" s="1" t="s">
        <v>18</v>
      </c>
      <c r="C1271" s="1">
        <v>0.5</v>
      </c>
      <c r="D1271" s="1">
        <v>240</v>
      </c>
      <c r="E1271" s="1">
        <v>50</v>
      </c>
      <c r="F1271" s="1">
        <v>3</v>
      </c>
      <c r="G1271" s="1">
        <v>25</v>
      </c>
      <c r="H1271" s="1">
        <v>150</v>
      </c>
      <c r="I1271" s="1">
        <v>100</v>
      </c>
      <c r="J1271" s="1">
        <v>38.347999999999999</v>
      </c>
      <c r="K1271" s="1">
        <v>30.826000000000001</v>
      </c>
      <c r="L1271" s="1">
        <v>38.35</v>
      </c>
      <c r="M1271" s="1">
        <v>115.6</v>
      </c>
      <c r="N1271" s="1">
        <v>3.1E-2</v>
      </c>
      <c r="O1271" s="1">
        <v>2.8699999999999998E-4</v>
      </c>
      <c r="P1271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27.816915207971732</v>
      </c>
      <c r="Q1271" s="1">
        <f>LN(Table1[[#This Row],[qe_mg_g]]-Table1[[#This Row],[qt]])</f>
        <v>2.3543313400257424</v>
      </c>
      <c r="R1271" s="1">
        <v>1</v>
      </c>
    </row>
    <row r="1272" spans="1:18" x14ac:dyDescent="0.3">
      <c r="A1272" s="1">
        <v>1271</v>
      </c>
      <c r="B1272" s="1" t="s">
        <v>18</v>
      </c>
      <c r="C1272" s="1">
        <v>0.5</v>
      </c>
      <c r="D1272" s="1">
        <v>240</v>
      </c>
      <c r="E1272" s="1">
        <v>50</v>
      </c>
      <c r="F1272" s="1">
        <v>3</v>
      </c>
      <c r="G1272" s="1">
        <v>25</v>
      </c>
      <c r="H1272" s="1">
        <v>150</v>
      </c>
      <c r="I1272" s="1">
        <v>100</v>
      </c>
      <c r="J1272" s="1">
        <v>34.79</v>
      </c>
      <c r="K1272" s="1">
        <v>32.604999999999997</v>
      </c>
      <c r="L1272" s="1">
        <v>34.79</v>
      </c>
      <c r="M1272" s="1">
        <v>102</v>
      </c>
      <c r="N1272" s="1">
        <v>3.0249999999999999E-2</v>
      </c>
      <c r="O1272" s="1">
        <v>2.2330000000000001E-4</v>
      </c>
      <c r="P1272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22.644628441559821</v>
      </c>
      <c r="Q1272" s="1">
        <f>LN(Table1[[#This Row],[qe_mg_g]]-Table1[[#This Row],[qt]])</f>
        <v>2.4969481555176722</v>
      </c>
      <c r="R1272" s="1">
        <v>2</v>
      </c>
    </row>
    <row r="1273" spans="1:18" x14ac:dyDescent="0.3">
      <c r="A1273" s="1">
        <v>1272</v>
      </c>
      <c r="B1273" s="1" t="s">
        <v>18</v>
      </c>
      <c r="C1273" s="1">
        <v>0.5</v>
      </c>
      <c r="D1273" s="1">
        <v>240</v>
      </c>
      <c r="E1273" s="1">
        <v>50</v>
      </c>
      <c r="F1273" s="1">
        <v>3</v>
      </c>
      <c r="G1273" s="1">
        <v>25</v>
      </c>
      <c r="H1273" s="1">
        <v>150</v>
      </c>
      <c r="I1273" s="1">
        <v>100</v>
      </c>
      <c r="J1273" s="1">
        <v>41.494999999999997</v>
      </c>
      <c r="K1273" s="1">
        <v>29.253</v>
      </c>
      <c r="L1273" s="1">
        <v>41.49</v>
      </c>
      <c r="M1273" s="1">
        <v>134.9</v>
      </c>
      <c r="N1273" s="1">
        <v>2.9950000000000001E-2</v>
      </c>
      <c r="O1273" s="1">
        <v>2.6259999999999999E-4</v>
      </c>
      <c r="P1273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30.017012763023907</v>
      </c>
      <c r="Q1273" s="1">
        <f>LN(Table1[[#This Row],[qe_mg_g]]-Table1[[#This Row],[qt]])</f>
        <v>2.4404310477301676</v>
      </c>
      <c r="R1273" s="1">
        <v>3</v>
      </c>
    </row>
    <row r="1274" spans="1:18" x14ac:dyDescent="0.3">
      <c r="A1274" s="1">
        <v>1273</v>
      </c>
      <c r="B1274" s="1" t="s">
        <v>18</v>
      </c>
      <c r="C1274" s="1">
        <v>0.5</v>
      </c>
      <c r="D1274" s="1">
        <v>240</v>
      </c>
      <c r="E1274" s="1">
        <v>50</v>
      </c>
      <c r="F1274" s="1">
        <v>7</v>
      </c>
      <c r="G1274" s="1">
        <v>25</v>
      </c>
      <c r="H1274" s="1">
        <v>150</v>
      </c>
      <c r="I1274" s="1">
        <v>100</v>
      </c>
      <c r="J1274" s="1">
        <v>54.710999999999999</v>
      </c>
      <c r="K1274" s="1">
        <v>22.645</v>
      </c>
      <c r="L1274" s="1">
        <v>54.71</v>
      </c>
      <c r="M1274" s="1">
        <v>89.3</v>
      </c>
      <c r="N1274" s="1">
        <v>2.4539999999999999E-2</v>
      </c>
      <c r="O1274" s="1">
        <v>2.3240000000000001E-4</v>
      </c>
      <c r="P1274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41.207314984527493</v>
      </c>
      <c r="Q1274" s="1">
        <f>LN(Table1[[#This Row],[qe_mg_g]]-Table1[[#This Row],[qt]])</f>
        <v>2.6029626123055341</v>
      </c>
      <c r="R1274" s="1">
        <v>1</v>
      </c>
    </row>
    <row r="1275" spans="1:18" x14ac:dyDescent="0.3">
      <c r="A1275" s="1">
        <v>1274</v>
      </c>
      <c r="B1275" s="1" t="s">
        <v>18</v>
      </c>
      <c r="C1275" s="1">
        <v>0.5</v>
      </c>
      <c r="D1275" s="1">
        <v>240</v>
      </c>
      <c r="E1275" s="1">
        <v>50</v>
      </c>
      <c r="F1275" s="1">
        <v>7</v>
      </c>
      <c r="G1275" s="1">
        <v>25</v>
      </c>
      <c r="H1275" s="1">
        <v>150</v>
      </c>
      <c r="I1275" s="1">
        <v>100</v>
      </c>
      <c r="J1275" s="1">
        <v>47.494999999999997</v>
      </c>
      <c r="K1275" s="1">
        <v>26.251999999999999</v>
      </c>
      <c r="L1275" s="1">
        <v>47.5</v>
      </c>
      <c r="M1275" s="1">
        <v>125.6</v>
      </c>
      <c r="N1275" s="1">
        <v>2.9649999999999999E-2</v>
      </c>
      <c r="O1275" s="1">
        <v>2.4140000000000001E-4</v>
      </c>
      <c r="P1275" s="1">
        <f>(Table1[[#This Row],[Rate_Constant_k2_g_mg_min]]*Table1[[#This Row],[Contact_Time_min]]*Table1[[#This Row],[qe_mg_g]]^2)/(1+Table1[[#This Row],[Contact_Time_min]]*Table1[[#This Row],[qe_mg_g]]*Table1[[#This Row],[Rate_Constant_k2_g_mg_min]])</f>
        <v>34.8353055308975</v>
      </c>
      <c r="Q1275" s="1">
        <f>LN(Table1[[#This Row],[qe_mg_g]]-Table1[[#This Row],[qt]])</f>
        <v>2.538423282862607</v>
      </c>
      <c r="R1275" s="1">
        <v>2</v>
      </c>
    </row>
    <row r="1276" spans="1:18" x14ac:dyDescent="0.3">
      <c r="A1276" s="1">
        <v>1275</v>
      </c>
      <c r="B1276" s="1" t="s">
        <v>18</v>
      </c>
      <c r="C1276" s="1">
        <v>0.5</v>
      </c>
      <c r="D1276" s="1">
        <v>240</v>
      </c>
      <c r="E1276" s="1">
        <v>50</v>
      </c>
      <c r="F1276" s="1">
        <v>7</v>
      </c>
      <c r="G1276" s="1">
        <v>25</v>
      </c>
      <c r="H1276" s="1">
        <v>150</v>
      </c>
      <c r="I1276" s="1">
        <v>100</v>
      </c>
      <c r="J1276" s="1">
        <v>58.643000000000001</v>
      </c>
      <c r="K1276" s="1">
        <v>20.678999999999998</v>
      </c>
      <c r="L1276" s="1">
        <v>58.64</v>
      </c>
      <c r="M1276" s="1">
        <v>83.2</v>
      </c>
      <c r="N1276" s="1">
        <v>2.7699999999999999E-2</v>
      </c>
      <c r="O1276" s="1">
        <v>2.5169999999999999E-4</v>
      </c>
      <c r="P1276" s="1">
        <f>(Table1[[#This Row],[Rate_Constant_k2_g_mg_min]]*Table1[[#This Row],[Contact_Time_min]]*Table1[[#This Row],[qe_mg_g]]^2)/(1+Table1[[#This Row],[Contact_Time_min]]*Table1[[#This Row],[qe_mg_g]]*Table1[[#This Row],[Rate_Constant_k2_g_mg_min]])</f>
        <v>45.733166626303337</v>
      </c>
      <c r="Q1276" s="1">
        <f>LN(Table1[[#This Row],[qe_mg_g]]-Table1[[#This Row],[qt]])</f>
        <v>2.5579892980127998</v>
      </c>
      <c r="R1276" s="1">
        <v>3</v>
      </c>
    </row>
    <row r="1277" spans="1:18" x14ac:dyDescent="0.3">
      <c r="A1277" s="1">
        <v>1276</v>
      </c>
      <c r="B1277" s="1" t="s">
        <v>18</v>
      </c>
      <c r="C1277" s="1">
        <v>0.5</v>
      </c>
      <c r="D1277" s="1">
        <v>240</v>
      </c>
      <c r="E1277" s="1">
        <v>50</v>
      </c>
      <c r="F1277" s="1">
        <v>11</v>
      </c>
      <c r="G1277" s="1">
        <v>25</v>
      </c>
      <c r="H1277" s="1">
        <v>150</v>
      </c>
      <c r="I1277" s="1">
        <v>100</v>
      </c>
      <c r="J1277" s="1">
        <v>48.726999999999997</v>
      </c>
      <c r="K1277" s="1">
        <v>25.635999999999999</v>
      </c>
      <c r="L1277" s="1">
        <v>48.73</v>
      </c>
      <c r="M1277" s="1">
        <v>107.5</v>
      </c>
      <c r="N1277" s="1">
        <v>3.074E-2</v>
      </c>
      <c r="O1277" s="1">
        <v>2.52E-4</v>
      </c>
      <c r="P1277" s="1">
        <f>(Table1[[#This Row],[Rate_Constant_k2_g_mg_min]]*Table1[[#This Row],[Contact_Time_min]]*Table1[[#This Row],[qe_mg_g]]^2)/(1+Table1[[#This Row],[Contact_Time_min]]*Table1[[#This Row],[qe_mg_g]]*Table1[[#This Row],[Rate_Constant_k2_g_mg_min]])</f>
        <v>36.381702461075733</v>
      </c>
      <c r="Q1277" s="1">
        <f>LN(Table1[[#This Row],[qe_mg_g]]-Table1[[#This Row],[qt]])</f>
        <v>2.5132752244851688</v>
      </c>
      <c r="R1277" s="1">
        <v>1</v>
      </c>
    </row>
    <row r="1278" spans="1:18" x14ac:dyDescent="0.3">
      <c r="A1278" s="1">
        <v>1277</v>
      </c>
      <c r="B1278" s="1" t="s">
        <v>18</v>
      </c>
      <c r="C1278" s="1">
        <v>0.5</v>
      </c>
      <c r="D1278" s="1">
        <v>240</v>
      </c>
      <c r="E1278" s="1">
        <v>50</v>
      </c>
      <c r="F1278" s="1">
        <v>11</v>
      </c>
      <c r="G1278" s="1">
        <v>25</v>
      </c>
      <c r="H1278" s="1">
        <v>150</v>
      </c>
      <c r="I1278" s="1">
        <v>100</v>
      </c>
      <c r="J1278" s="1">
        <v>46.204000000000001</v>
      </c>
      <c r="K1278" s="1">
        <v>26.898</v>
      </c>
      <c r="L1278" s="1">
        <v>46.2</v>
      </c>
      <c r="M1278" s="1">
        <v>103</v>
      </c>
      <c r="N1278" s="1">
        <v>2.691E-2</v>
      </c>
      <c r="O1278" s="1">
        <v>2.5119999999999998E-4</v>
      </c>
      <c r="P1278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33.998629672559375</v>
      </c>
      <c r="Q1278" s="1">
        <f>LN(Table1[[#This Row],[qe_mg_g]]-Table1[[#This Row],[qt]])</f>
        <v>2.5018760456574962</v>
      </c>
      <c r="R1278" s="1">
        <v>2</v>
      </c>
    </row>
    <row r="1279" spans="1:18" x14ac:dyDescent="0.3">
      <c r="A1279" s="1">
        <v>1278</v>
      </c>
      <c r="B1279" s="1" t="s">
        <v>18</v>
      </c>
      <c r="C1279" s="1">
        <v>0.5</v>
      </c>
      <c r="D1279" s="1">
        <v>240</v>
      </c>
      <c r="E1279" s="1">
        <v>50</v>
      </c>
      <c r="F1279" s="1">
        <v>11</v>
      </c>
      <c r="G1279" s="1">
        <v>25</v>
      </c>
      <c r="H1279" s="1">
        <v>150</v>
      </c>
      <c r="I1279" s="1">
        <v>100</v>
      </c>
      <c r="J1279" s="1">
        <v>40.287999999999997</v>
      </c>
      <c r="K1279" s="1">
        <v>29.856000000000002</v>
      </c>
      <c r="L1279" s="1">
        <v>40.29</v>
      </c>
      <c r="M1279" s="1">
        <v>101.2</v>
      </c>
      <c r="N1279" s="1">
        <v>2.8559999999999999E-2</v>
      </c>
      <c r="O1279" s="1">
        <v>3.1349999999999998E-4</v>
      </c>
      <c r="P1279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30.294124919787048</v>
      </c>
      <c r="Q1279" s="1">
        <f>LN(Table1[[#This Row],[qe_mg_g]]-Table1[[#This Row],[qt]])</f>
        <v>2.301972413365502</v>
      </c>
      <c r="R1279" s="1">
        <v>3</v>
      </c>
    </row>
    <row r="1280" spans="1:18" x14ac:dyDescent="0.3">
      <c r="A1280" s="1">
        <v>1279</v>
      </c>
      <c r="B1280" s="1" t="s">
        <v>18</v>
      </c>
      <c r="C1280" s="1">
        <v>0.5</v>
      </c>
      <c r="D1280" s="1">
        <v>240</v>
      </c>
      <c r="E1280" s="1">
        <v>100</v>
      </c>
      <c r="F1280" s="1">
        <v>3</v>
      </c>
      <c r="G1280" s="1">
        <v>25</v>
      </c>
      <c r="H1280" s="1">
        <v>150</v>
      </c>
      <c r="I1280" s="1">
        <v>100</v>
      </c>
      <c r="J1280" s="1">
        <v>58.710999999999999</v>
      </c>
      <c r="K1280" s="1">
        <v>70.644999999999996</v>
      </c>
      <c r="L1280" s="1">
        <v>29.36</v>
      </c>
      <c r="M1280" s="1">
        <v>78.900000000000006</v>
      </c>
      <c r="N1280" s="1">
        <v>2.9600000000000001E-2</v>
      </c>
      <c r="O1280" s="1">
        <v>2.63E-4</v>
      </c>
      <c r="P1280" s="1">
        <f>(Table1[[#This Row],[Rate_Constant_k2_g_mg_min]]*Table1[[#This Row],[Contact_Time_min]]*Table1[[#This Row],[qe_mg_g]]^2)/(1+Table1[[#This Row],[Contact_Time_min]]*Table1[[#This Row],[qe_mg_g]]*Table1[[#This Row],[Rate_Constant_k2_g_mg_min]])</f>
        <v>46.234795760156928</v>
      </c>
      <c r="Q1280" s="1">
        <f>LN(Table1[[#This Row],[qe_mg_g]]-Table1[[#This Row],[qt]])</f>
        <v>2.5238231692305941</v>
      </c>
      <c r="R1280" s="1">
        <v>1</v>
      </c>
    </row>
    <row r="1281" spans="1:18" x14ac:dyDescent="0.3">
      <c r="A1281" s="1">
        <v>1280</v>
      </c>
      <c r="B1281" s="1" t="s">
        <v>18</v>
      </c>
      <c r="C1281" s="1">
        <v>0.5</v>
      </c>
      <c r="D1281" s="1">
        <v>240</v>
      </c>
      <c r="E1281" s="1">
        <v>100</v>
      </c>
      <c r="F1281" s="1">
        <v>3</v>
      </c>
      <c r="G1281" s="1">
        <v>25</v>
      </c>
      <c r="H1281" s="1">
        <v>150</v>
      </c>
      <c r="I1281" s="1">
        <v>100</v>
      </c>
      <c r="J1281" s="1">
        <v>67.796000000000006</v>
      </c>
      <c r="K1281" s="1">
        <v>66.102000000000004</v>
      </c>
      <c r="L1281" s="1">
        <v>33.9</v>
      </c>
      <c r="M1281" s="1">
        <v>91.2</v>
      </c>
      <c r="N1281" s="1">
        <v>2.5250000000000002E-2</v>
      </c>
      <c r="O1281" s="1">
        <v>2.7040000000000001E-4</v>
      </c>
      <c r="P1281" s="1">
        <f>(Table1[[#This Row],[Rate_Constant_k2_g_mg_min]]*Table1[[#This Row],[Contact_Time_min]]*Table1[[#This Row],[qe_mg_g]]^2)/(1+Table1[[#This Row],[Contact_Time_min]]*Table1[[#This Row],[qe_mg_g]]*Table1[[#This Row],[Rate_Constant_k2_g_mg_min]])</f>
        <v>55.240462581455368</v>
      </c>
      <c r="Q1281" s="1">
        <f>LN(Table1[[#This Row],[qe_mg_g]]-Table1[[#This Row],[qt]])</f>
        <v>2.5301617968343852</v>
      </c>
      <c r="R1281" s="1">
        <v>2</v>
      </c>
    </row>
    <row r="1282" spans="1:18" x14ac:dyDescent="0.3">
      <c r="A1282" s="1">
        <v>1281</v>
      </c>
      <c r="B1282" s="1" t="s">
        <v>18</v>
      </c>
      <c r="C1282" s="1">
        <v>0.5</v>
      </c>
      <c r="D1282" s="1">
        <v>240</v>
      </c>
      <c r="E1282" s="1">
        <v>100</v>
      </c>
      <c r="F1282" s="1">
        <v>3</v>
      </c>
      <c r="G1282" s="1">
        <v>25</v>
      </c>
      <c r="H1282" s="1">
        <v>150</v>
      </c>
      <c r="I1282" s="1">
        <v>100</v>
      </c>
      <c r="J1282" s="1">
        <v>51.600999999999999</v>
      </c>
      <c r="K1282" s="1">
        <v>74.2</v>
      </c>
      <c r="L1282" s="1">
        <v>25.8</v>
      </c>
      <c r="M1282" s="1">
        <v>93.5</v>
      </c>
      <c r="N1282" s="1">
        <v>2.9229999999999999E-2</v>
      </c>
      <c r="O1282" s="1">
        <v>2.4830000000000002E-4</v>
      </c>
      <c r="P1282" s="1">
        <f>(Table1[[#This Row],[Rate_Constant_k2_g_mg_min]]*Table1[[#This Row],[Contact_Time_min]]*Table1[[#This Row],[qe_mg_g]]^2)/(1+Table1[[#This Row],[Contact_Time_min]]*Table1[[#This Row],[qe_mg_g]]*Table1[[#This Row],[Rate_Constant_k2_g_mg_min]])</f>
        <v>38.938199019814547</v>
      </c>
      <c r="Q1282" s="1">
        <f>LN(Table1[[#This Row],[qe_mg_g]]-Table1[[#This Row],[qt]])</f>
        <v>2.5386686387047877</v>
      </c>
      <c r="R1282" s="1">
        <v>3</v>
      </c>
    </row>
    <row r="1283" spans="1:18" x14ac:dyDescent="0.3">
      <c r="A1283" s="1">
        <v>1282</v>
      </c>
      <c r="B1283" s="1" t="s">
        <v>18</v>
      </c>
      <c r="C1283" s="1">
        <v>0.5</v>
      </c>
      <c r="D1283" s="1">
        <v>240</v>
      </c>
      <c r="E1283" s="1">
        <v>100</v>
      </c>
      <c r="F1283" s="1">
        <v>7</v>
      </c>
      <c r="G1283" s="1">
        <v>25</v>
      </c>
      <c r="H1283" s="1">
        <v>150</v>
      </c>
      <c r="I1283" s="1">
        <v>100</v>
      </c>
      <c r="J1283" s="1">
        <v>87.527000000000001</v>
      </c>
      <c r="K1283" s="1">
        <v>56.237000000000002</v>
      </c>
      <c r="L1283" s="1">
        <v>43.76</v>
      </c>
      <c r="M1283" s="1">
        <v>89.7</v>
      </c>
      <c r="N1283" s="1">
        <v>2.9180000000000001E-2</v>
      </c>
      <c r="O1283" s="1">
        <v>2.496E-4</v>
      </c>
      <c r="P1283" s="1">
        <f>(Table1[[#This Row],[Rate_Constant_k2_g_mg_min]]*Table1[[#This Row],[Contact_Time_min]]*Table1[[#This Row],[qe_mg_g]]^2)/(1+Table1[[#This Row],[Contact_Time_min]]*Table1[[#This Row],[qe_mg_g]]*Table1[[#This Row],[Rate_Constant_k2_g_mg_min]])</f>
        <v>73.507465795113319</v>
      </c>
      <c r="Q1283" s="1">
        <f>LN(Table1[[#This Row],[qe_mg_g]]-Table1[[#This Row],[qt]])</f>
        <v>2.6404516574373149</v>
      </c>
      <c r="R1283" s="1">
        <v>1</v>
      </c>
    </row>
    <row r="1284" spans="1:18" x14ac:dyDescent="0.3">
      <c r="A1284" s="1">
        <v>1283</v>
      </c>
      <c r="B1284" s="1" t="s">
        <v>18</v>
      </c>
      <c r="C1284" s="1">
        <v>0.5</v>
      </c>
      <c r="D1284" s="1">
        <v>240</v>
      </c>
      <c r="E1284" s="1">
        <v>100</v>
      </c>
      <c r="F1284" s="1">
        <v>7</v>
      </c>
      <c r="G1284" s="1">
        <v>25</v>
      </c>
      <c r="H1284" s="1">
        <v>150</v>
      </c>
      <c r="I1284" s="1">
        <v>100</v>
      </c>
      <c r="J1284" s="1">
        <v>83.525000000000006</v>
      </c>
      <c r="K1284" s="1">
        <v>58.238</v>
      </c>
      <c r="L1284" s="1">
        <v>41.76</v>
      </c>
      <c r="M1284" s="1">
        <v>101.5</v>
      </c>
      <c r="N1284" s="1">
        <v>3.1309999999999998E-2</v>
      </c>
      <c r="O1284" s="1">
        <v>2.7109999999999998E-4</v>
      </c>
      <c r="P1284" s="1">
        <f>(Table1[[#This Row],[Rate_Constant_k2_g_mg_min]]*Table1[[#This Row],[Contact_Time_min]]*Table1[[#This Row],[qe_mg_g]]^2)/(1+Table1[[#This Row],[Contact_Time_min]]*Table1[[#This Row],[qe_mg_g]]*Table1[[#This Row],[Rate_Constant_k2_g_mg_min]])</f>
        <v>70.54413409939275</v>
      </c>
      <c r="Q1284" s="1">
        <f>LN(Table1[[#This Row],[qe_mg_g]]-Table1[[#This Row],[qt]])</f>
        <v>2.5634764194212649</v>
      </c>
      <c r="R1284" s="1">
        <v>2</v>
      </c>
    </row>
    <row r="1285" spans="1:18" x14ac:dyDescent="0.3">
      <c r="A1285" s="1">
        <v>1284</v>
      </c>
      <c r="B1285" s="1" t="s">
        <v>18</v>
      </c>
      <c r="C1285" s="1">
        <v>0.5</v>
      </c>
      <c r="D1285" s="1">
        <v>240</v>
      </c>
      <c r="E1285" s="1">
        <v>100</v>
      </c>
      <c r="F1285" s="1">
        <v>7</v>
      </c>
      <c r="G1285" s="1">
        <v>25</v>
      </c>
      <c r="H1285" s="1">
        <v>150</v>
      </c>
      <c r="I1285" s="1">
        <v>100</v>
      </c>
      <c r="J1285" s="1">
        <v>85.326999999999998</v>
      </c>
      <c r="K1285" s="1">
        <v>57.335999999999999</v>
      </c>
      <c r="L1285" s="1">
        <v>42.66</v>
      </c>
      <c r="M1285" s="1">
        <v>106.8</v>
      </c>
      <c r="N1285" s="1">
        <v>2.5250000000000002E-2</v>
      </c>
      <c r="O1285" s="1">
        <v>2.5129999999999998E-4</v>
      </c>
      <c r="P1285" s="1">
        <f>(Table1[[#This Row],[Rate_Constant_k2_g_mg_min]]*Table1[[#This Row],[Contact_Time_min]]*Table1[[#This Row],[qe_mg_g]]^2)/(1+Table1[[#This Row],[Contact_Time_min]]*Table1[[#This Row],[qe_mg_g]]*Table1[[#This Row],[Rate_Constant_k2_g_mg_min]])</f>
        <v>71.444207935058046</v>
      </c>
      <c r="Q1285" s="1">
        <f>LN(Table1[[#This Row],[qe_mg_g]]-Table1[[#This Row],[qt]])</f>
        <v>2.6306500922657854</v>
      </c>
      <c r="R1285" s="1">
        <v>3</v>
      </c>
    </row>
    <row r="1286" spans="1:18" x14ac:dyDescent="0.3">
      <c r="A1286" s="1">
        <v>1285</v>
      </c>
      <c r="B1286" s="1" t="s">
        <v>18</v>
      </c>
      <c r="C1286" s="1">
        <v>0.5</v>
      </c>
      <c r="D1286" s="1">
        <v>240</v>
      </c>
      <c r="E1286" s="1">
        <v>100</v>
      </c>
      <c r="F1286" s="1">
        <v>11</v>
      </c>
      <c r="G1286" s="1">
        <v>25</v>
      </c>
      <c r="H1286" s="1">
        <v>150</v>
      </c>
      <c r="I1286" s="1">
        <v>100</v>
      </c>
      <c r="J1286" s="1">
        <v>71.227000000000004</v>
      </c>
      <c r="K1286" s="1">
        <v>64.385999999999996</v>
      </c>
      <c r="L1286" s="1">
        <v>35.61</v>
      </c>
      <c r="M1286" s="1">
        <v>110.9</v>
      </c>
      <c r="N1286" s="1">
        <v>2.792E-2</v>
      </c>
      <c r="O1286" s="1">
        <v>2.3350000000000001E-4</v>
      </c>
      <c r="P1286" s="1">
        <f>(Table1[[#This Row],[Rate_Constant_k2_g_mg_min]]*Table1[[#This Row],[Contact_Time_min]]*Table1[[#This Row],[qe_mg_g]]^2)/(1+Table1[[#This Row],[Contact_Time_min]]*Table1[[#This Row],[qe_mg_g]]*Table1[[#This Row],[Rate_Constant_k2_g_mg_min]])</f>
        <v>56.957516193543206</v>
      </c>
      <c r="Q1286" s="1">
        <f>LN(Table1[[#This Row],[qe_mg_g]]-Table1[[#This Row],[qt]])</f>
        <v>2.6581232574957774</v>
      </c>
      <c r="R1286" s="1">
        <v>1</v>
      </c>
    </row>
    <row r="1287" spans="1:18" x14ac:dyDescent="0.3">
      <c r="A1287" s="1">
        <v>1286</v>
      </c>
      <c r="B1287" s="1" t="s">
        <v>18</v>
      </c>
      <c r="C1287" s="1">
        <v>0.5</v>
      </c>
      <c r="D1287" s="1">
        <v>240</v>
      </c>
      <c r="E1287" s="1">
        <v>100</v>
      </c>
      <c r="F1287" s="1">
        <v>11</v>
      </c>
      <c r="G1287" s="1">
        <v>25</v>
      </c>
      <c r="H1287" s="1">
        <v>150</v>
      </c>
      <c r="I1287" s="1">
        <v>100</v>
      </c>
      <c r="J1287" s="1">
        <v>64.751999999999995</v>
      </c>
      <c r="K1287" s="1">
        <v>67.623999999999995</v>
      </c>
      <c r="L1287" s="1">
        <v>32.380000000000003</v>
      </c>
      <c r="M1287" s="1">
        <v>108</v>
      </c>
      <c r="N1287" s="1">
        <v>3.3099999999999997E-2</v>
      </c>
      <c r="O1287" s="1">
        <v>2.398E-4</v>
      </c>
      <c r="P1287" s="1">
        <f>(Table1[[#This Row],[Rate_Constant_k2_g_mg_min]]*Table1[[#This Row],[Contact_Time_min]]*Table1[[#This Row],[qe_mg_g]]^2)/(1+Table1[[#This Row],[Contact_Time_min]]*Table1[[#This Row],[qe_mg_g]]*Table1[[#This Row],[Rate_Constant_k2_g_mg_min]])</f>
        <v>51.052532586006116</v>
      </c>
      <c r="Q1287" s="1">
        <f>LN(Table1[[#This Row],[qe_mg_g]]-Table1[[#This Row],[qt]])</f>
        <v>2.6173569571874733</v>
      </c>
      <c r="R1287" s="1">
        <v>2</v>
      </c>
    </row>
    <row r="1288" spans="1:18" x14ac:dyDescent="0.3">
      <c r="A1288" s="1">
        <v>1287</v>
      </c>
      <c r="B1288" s="1" t="s">
        <v>18</v>
      </c>
      <c r="C1288" s="1">
        <v>0.5</v>
      </c>
      <c r="D1288" s="1">
        <v>240</v>
      </c>
      <c r="E1288" s="1">
        <v>100</v>
      </c>
      <c r="F1288" s="1">
        <v>11</v>
      </c>
      <c r="G1288" s="1">
        <v>25</v>
      </c>
      <c r="H1288" s="1">
        <v>150</v>
      </c>
      <c r="I1288" s="1">
        <v>100</v>
      </c>
      <c r="J1288" s="1">
        <v>73.86</v>
      </c>
      <c r="K1288" s="1">
        <v>63.07</v>
      </c>
      <c r="L1288" s="1">
        <v>36.93</v>
      </c>
      <c r="M1288" s="1">
        <v>101.9</v>
      </c>
      <c r="N1288" s="1">
        <v>2.963E-2</v>
      </c>
      <c r="O1288" s="1">
        <v>2.4469999999999998E-4</v>
      </c>
      <c r="P1288" s="1">
        <f>(Table1[[#This Row],[Rate_Constant_k2_g_mg_min]]*Table1[[#This Row],[Contact_Time_min]]*Table1[[#This Row],[qe_mg_g]]^2)/(1+Table1[[#This Row],[Contact_Time_min]]*Table1[[#This Row],[qe_mg_g]]*Table1[[#This Row],[Rate_Constant_k2_g_mg_min]])</f>
        <v>60.022449974615043</v>
      </c>
      <c r="Q1288" s="1">
        <f>LN(Table1[[#This Row],[qe_mg_g]]-Table1[[#This Row],[qt]])</f>
        <v>2.6273859132321919</v>
      </c>
      <c r="R1288" s="1">
        <v>3</v>
      </c>
    </row>
    <row r="1289" spans="1:18" x14ac:dyDescent="0.3">
      <c r="A1289" s="1">
        <v>1288</v>
      </c>
      <c r="B1289" s="1" t="s">
        <v>18</v>
      </c>
      <c r="C1289" s="1">
        <v>0.5</v>
      </c>
      <c r="D1289" s="1">
        <v>240</v>
      </c>
      <c r="E1289" s="1">
        <v>200</v>
      </c>
      <c r="F1289" s="1">
        <v>3</v>
      </c>
      <c r="G1289" s="1">
        <v>25</v>
      </c>
      <c r="H1289" s="1">
        <v>150</v>
      </c>
      <c r="I1289" s="1">
        <v>100</v>
      </c>
      <c r="J1289" s="1">
        <v>73.605999999999995</v>
      </c>
      <c r="K1289" s="1">
        <v>163.197</v>
      </c>
      <c r="L1289" s="1">
        <v>18.399999999999999</v>
      </c>
      <c r="M1289" s="1">
        <v>104.9</v>
      </c>
      <c r="N1289" s="1">
        <v>3.6830000000000002E-2</v>
      </c>
      <c r="O1289" s="1">
        <v>2.287E-4</v>
      </c>
      <c r="P1289" s="1">
        <f>(Table1[[#This Row],[Rate_Constant_k2_g_mg_min]]*Table1[[#This Row],[Contact_Time_min]]*Table1[[#This Row],[qe_mg_g]]^2)/(1+Table1[[#This Row],[Contact_Time_min]]*Table1[[#This Row],[qe_mg_g]]*Table1[[#This Row],[Rate_Constant_k2_g_mg_min]])</f>
        <v>59.001884488742199</v>
      </c>
      <c r="Q1289" s="1">
        <f>LN(Table1[[#This Row],[qe_mg_g]]-Table1[[#This Row],[qt]])</f>
        <v>2.6813033733250924</v>
      </c>
      <c r="R1289" s="1">
        <v>1</v>
      </c>
    </row>
    <row r="1290" spans="1:18" x14ac:dyDescent="0.3">
      <c r="A1290" s="1">
        <v>1289</v>
      </c>
      <c r="B1290" s="1" t="s">
        <v>18</v>
      </c>
      <c r="C1290" s="1">
        <v>0.5</v>
      </c>
      <c r="D1290" s="1">
        <v>240</v>
      </c>
      <c r="E1290" s="1">
        <v>200</v>
      </c>
      <c r="F1290" s="1">
        <v>3</v>
      </c>
      <c r="G1290" s="1">
        <v>25</v>
      </c>
      <c r="H1290" s="1">
        <v>150</v>
      </c>
      <c r="I1290" s="1">
        <v>100</v>
      </c>
      <c r="J1290" s="1">
        <v>72.186999999999998</v>
      </c>
      <c r="K1290" s="1">
        <v>163.90600000000001</v>
      </c>
      <c r="L1290" s="1">
        <v>18.05</v>
      </c>
      <c r="M1290" s="1">
        <v>92.1</v>
      </c>
      <c r="N1290" s="1">
        <v>2.7390000000000001E-2</v>
      </c>
      <c r="O1290" s="1">
        <v>2.497E-4</v>
      </c>
      <c r="P1290" s="1">
        <f>(Table1[[#This Row],[Rate_Constant_k2_g_mg_min]]*Table1[[#This Row],[Contact_Time_min]]*Table1[[#This Row],[qe_mg_g]]^2)/(1+Table1[[#This Row],[Contact_Time_min]]*Table1[[#This Row],[qe_mg_g]]*Table1[[#This Row],[Rate_Constant_k2_g_mg_min]])</f>
        <v>58.633358513868664</v>
      </c>
      <c r="Q1290" s="1">
        <f>LN(Table1[[#This Row],[qe_mg_g]]-Table1[[#This Row],[qt]])</f>
        <v>2.6066552555843479</v>
      </c>
      <c r="R1290" s="1">
        <v>2</v>
      </c>
    </row>
    <row r="1291" spans="1:18" x14ac:dyDescent="0.3">
      <c r="A1291" s="1">
        <v>1290</v>
      </c>
      <c r="B1291" s="1" t="s">
        <v>18</v>
      </c>
      <c r="C1291" s="1">
        <v>0.5</v>
      </c>
      <c r="D1291" s="1">
        <v>240</v>
      </c>
      <c r="E1291" s="1">
        <v>200</v>
      </c>
      <c r="F1291" s="1">
        <v>3</v>
      </c>
      <c r="G1291" s="1">
        <v>25</v>
      </c>
      <c r="H1291" s="1">
        <v>150</v>
      </c>
      <c r="I1291" s="1">
        <v>100</v>
      </c>
      <c r="J1291" s="1">
        <v>69.823999999999998</v>
      </c>
      <c r="K1291" s="1">
        <v>165.08799999999999</v>
      </c>
      <c r="L1291" s="1">
        <v>17.46</v>
      </c>
      <c r="M1291" s="1">
        <v>143.80000000000001</v>
      </c>
      <c r="N1291" s="1">
        <v>2.945E-2</v>
      </c>
      <c r="O1291" s="1">
        <v>2.2169999999999999E-4</v>
      </c>
      <c r="P1291" s="1">
        <f>(Table1[[#This Row],[Rate_Constant_k2_g_mg_min]]*Table1[[#This Row],[Contact_Time_min]]*Table1[[#This Row],[qe_mg_g]]^2)/(1+Table1[[#This Row],[Contact_Time_min]]*Table1[[#This Row],[qe_mg_g]]*Table1[[#This Row],[Rate_Constant_k2_g_mg_min]])</f>
        <v>55.01570592199289</v>
      </c>
      <c r="Q1291" s="1">
        <f>LN(Table1[[#This Row],[qe_mg_g]]-Table1[[#This Row],[qt]])</f>
        <v>2.6951874344748052</v>
      </c>
      <c r="R1291" s="1">
        <v>3</v>
      </c>
    </row>
    <row r="1292" spans="1:18" x14ac:dyDescent="0.3">
      <c r="A1292" s="1">
        <v>1291</v>
      </c>
      <c r="B1292" s="1" t="s">
        <v>18</v>
      </c>
      <c r="C1292" s="1">
        <v>0.5</v>
      </c>
      <c r="D1292" s="1">
        <v>240</v>
      </c>
      <c r="E1292" s="1">
        <v>200</v>
      </c>
      <c r="F1292" s="1">
        <v>7</v>
      </c>
      <c r="G1292" s="1">
        <v>25</v>
      </c>
      <c r="H1292" s="1">
        <v>150</v>
      </c>
      <c r="I1292" s="1">
        <v>100</v>
      </c>
      <c r="J1292" s="1">
        <v>98.338999999999999</v>
      </c>
      <c r="K1292" s="1">
        <v>150.83099999999999</v>
      </c>
      <c r="L1292" s="1">
        <v>24.58</v>
      </c>
      <c r="M1292" s="1">
        <v>68.900000000000006</v>
      </c>
      <c r="N1292" s="1">
        <v>2.972E-2</v>
      </c>
      <c r="O1292" s="1">
        <v>2.5040000000000001E-4</v>
      </c>
      <c r="P1292" s="1">
        <f>(Table1[[#This Row],[Rate_Constant_k2_g_mg_min]]*Table1[[#This Row],[Contact_Time_min]]*Table1[[#This Row],[qe_mg_g]]^2)/(1+Table1[[#This Row],[Contact_Time_min]]*Table1[[#This Row],[qe_mg_g]]*Table1[[#This Row],[Rate_Constant_k2_g_mg_min]])</f>
        <v>84.10714424513219</v>
      </c>
      <c r="Q1292" s="1">
        <f>LN(Table1[[#This Row],[qe_mg_g]]-Table1[[#This Row],[qt]])</f>
        <v>2.6554828150443113</v>
      </c>
      <c r="R1292" s="1">
        <v>1</v>
      </c>
    </row>
    <row r="1293" spans="1:18" x14ac:dyDescent="0.3">
      <c r="A1293" s="1">
        <v>1292</v>
      </c>
      <c r="B1293" s="1" t="s">
        <v>18</v>
      </c>
      <c r="C1293" s="1">
        <v>0.5</v>
      </c>
      <c r="D1293" s="1">
        <v>240</v>
      </c>
      <c r="E1293" s="1">
        <v>200</v>
      </c>
      <c r="F1293" s="1">
        <v>7</v>
      </c>
      <c r="G1293" s="1">
        <v>25</v>
      </c>
      <c r="H1293" s="1">
        <v>150</v>
      </c>
      <c r="I1293" s="1">
        <v>100</v>
      </c>
      <c r="J1293" s="1">
        <v>102.84399999999999</v>
      </c>
      <c r="K1293" s="1">
        <v>148.578</v>
      </c>
      <c r="L1293" s="1">
        <v>25.71</v>
      </c>
      <c r="M1293" s="1">
        <v>114.6</v>
      </c>
      <c r="N1293" s="1">
        <v>2.8490000000000001E-2</v>
      </c>
      <c r="O1293" s="1">
        <v>2.4620000000000002E-4</v>
      </c>
      <c r="P1293" s="1">
        <f>(Table1[[#This Row],[Rate_Constant_k2_g_mg_min]]*Table1[[#This Row],[Contact_Time_min]]*Table1[[#This Row],[qe_mg_g]]^2)/(1+Table1[[#This Row],[Contact_Time_min]]*Table1[[#This Row],[qe_mg_g]]*Table1[[#This Row],[Rate_Constant_k2_g_mg_min]])</f>
        <v>88.31153793325862</v>
      </c>
      <c r="Q1293" s="1">
        <f>LN(Table1[[#This Row],[qe_mg_g]]-Table1[[#This Row],[qt]])</f>
        <v>2.6763849103536899</v>
      </c>
      <c r="R1293" s="1">
        <v>2</v>
      </c>
    </row>
    <row r="1294" spans="1:18" x14ac:dyDescent="0.3">
      <c r="A1294" s="1">
        <v>1293</v>
      </c>
      <c r="B1294" s="1" t="s">
        <v>18</v>
      </c>
      <c r="C1294" s="1">
        <v>0.5</v>
      </c>
      <c r="D1294" s="1">
        <v>240</v>
      </c>
      <c r="E1294" s="1">
        <v>200</v>
      </c>
      <c r="F1294" s="1">
        <v>7</v>
      </c>
      <c r="G1294" s="1">
        <v>25</v>
      </c>
      <c r="H1294" s="1">
        <v>150</v>
      </c>
      <c r="I1294" s="1">
        <v>100</v>
      </c>
      <c r="J1294" s="1">
        <v>89.363</v>
      </c>
      <c r="K1294" s="1">
        <v>155.31899999999999</v>
      </c>
      <c r="L1294" s="1">
        <v>22.34</v>
      </c>
      <c r="M1294" s="1">
        <v>83.1</v>
      </c>
      <c r="N1294" s="1">
        <v>3.0929999999999999E-2</v>
      </c>
      <c r="O1294" s="1">
        <v>2.1819999999999999E-4</v>
      </c>
      <c r="P1294" s="1">
        <f>(Table1[[#This Row],[Rate_Constant_k2_g_mg_min]]*Table1[[#This Row],[Contact_Time_min]]*Table1[[#This Row],[qe_mg_g]]^2)/(1+Table1[[#This Row],[Contact_Time_min]]*Table1[[#This Row],[qe_mg_g]]*Table1[[#This Row],[Rate_Constant_k2_g_mg_min]])</f>
        <v>73.62941705318454</v>
      </c>
      <c r="Q1294" s="1">
        <f>LN(Table1[[#This Row],[qe_mg_g]]-Table1[[#This Row],[qt]])</f>
        <v>2.7557974690612426</v>
      </c>
      <c r="R1294" s="1">
        <v>3</v>
      </c>
    </row>
    <row r="1295" spans="1:18" x14ac:dyDescent="0.3">
      <c r="A1295" s="1">
        <v>1294</v>
      </c>
      <c r="B1295" s="1" t="s">
        <v>18</v>
      </c>
      <c r="C1295" s="1">
        <v>0.5</v>
      </c>
      <c r="D1295" s="1">
        <v>240</v>
      </c>
      <c r="E1295" s="1">
        <v>200</v>
      </c>
      <c r="F1295" s="1">
        <v>11</v>
      </c>
      <c r="G1295" s="1">
        <v>25</v>
      </c>
      <c r="H1295" s="1">
        <v>150</v>
      </c>
      <c r="I1295" s="1">
        <v>100</v>
      </c>
      <c r="J1295" s="1">
        <v>76.763000000000005</v>
      </c>
      <c r="K1295" s="1">
        <v>161.61799999999999</v>
      </c>
      <c r="L1295" s="1">
        <v>19.190000000000001</v>
      </c>
      <c r="M1295" s="1">
        <v>85.1</v>
      </c>
      <c r="N1295" s="1">
        <v>3.1649999999999998E-2</v>
      </c>
      <c r="O1295" s="1">
        <v>2.9500000000000001E-4</v>
      </c>
      <c r="P1295" s="1">
        <f>(Table1[[#This Row],[Rate_Constant_k2_g_mg_min]]*Table1[[#This Row],[Contact_Time_min]]*Table1[[#This Row],[qe_mg_g]]^2)/(1+Table1[[#This Row],[Contact_Time_min]]*Table1[[#This Row],[qe_mg_g]]*Table1[[#This Row],[Rate_Constant_k2_g_mg_min]])</f>
        <v>64.833684925409884</v>
      </c>
      <c r="Q1295" s="1">
        <f>LN(Table1[[#This Row],[qe_mg_g]]-Table1[[#This Row],[qt]])</f>
        <v>2.478998822440746</v>
      </c>
      <c r="R1295" s="1">
        <v>1</v>
      </c>
    </row>
    <row r="1296" spans="1:18" x14ac:dyDescent="0.3">
      <c r="A1296" s="1">
        <v>1295</v>
      </c>
      <c r="B1296" s="1" t="s">
        <v>18</v>
      </c>
      <c r="C1296" s="1">
        <v>0.5</v>
      </c>
      <c r="D1296" s="1">
        <v>240</v>
      </c>
      <c r="E1296" s="1">
        <v>200</v>
      </c>
      <c r="F1296" s="1">
        <v>11</v>
      </c>
      <c r="G1296" s="1">
        <v>25</v>
      </c>
      <c r="H1296" s="1">
        <v>150</v>
      </c>
      <c r="I1296" s="1">
        <v>100</v>
      </c>
      <c r="J1296" s="1">
        <v>70.397999999999996</v>
      </c>
      <c r="K1296" s="1">
        <v>164.80099999999999</v>
      </c>
      <c r="L1296" s="1">
        <v>17.600000000000001</v>
      </c>
      <c r="M1296" s="1">
        <v>72.2</v>
      </c>
      <c r="N1296" s="1">
        <v>2.963E-2</v>
      </c>
      <c r="O1296" s="1">
        <v>2.5040000000000001E-4</v>
      </c>
      <c r="P1296" s="1">
        <f>(Table1[[#This Row],[Rate_Constant_k2_g_mg_min]]*Table1[[#This Row],[Contact_Time_min]]*Table1[[#This Row],[qe_mg_g]]^2)/(1+Table1[[#This Row],[Contact_Time_min]]*Table1[[#This Row],[qe_mg_g]]*Table1[[#This Row],[Rate_Constant_k2_g_mg_min]])</f>
        <v>56.939221701717045</v>
      </c>
      <c r="Q1296" s="1">
        <f>LN(Table1[[#This Row],[qe_mg_g]]-Table1[[#This Row],[qt]])</f>
        <v>2.5996315547392785</v>
      </c>
      <c r="R1296" s="1">
        <v>2</v>
      </c>
    </row>
    <row r="1297" spans="1:18" x14ac:dyDescent="0.3">
      <c r="A1297" s="1">
        <v>1296</v>
      </c>
      <c r="B1297" s="1" t="s">
        <v>18</v>
      </c>
      <c r="C1297" s="1">
        <v>0.5</v>
      </c>
      <c r="D1297" s="1">
        <v>240</v>
      </c>
      <c r="E1297" s="1">
        <v>200</v>
      </c>
      <c r="F1297" s="1">
        <v>11</v>
      </c>
      <c r="G1297" s="1">
        <v>25</v>
      </c>
      <c r="H1297" s="1">
        <v>150</v>
      </c>
      <c r="I1297" s="1">
        <v>100</v>
      </c>
      <c r="J1297" s="1">
        <v>81.308000000000007</v>
      </c>
      <c r="K1297" s="1">
        <v>159.346</v>
      </c>
      <c r="L1297" s="1">
        <v>20.329999999999998</v>
      </c>
      <c r="M1297" s="1">
        <v>93.3</v>
      </c>
      <c r="N1297" s="1">
        <v>2.9399999999999999E-2</v>
      </c>
      <c r="O1297" s="1">
        <v>2.5920000000000001E-4</v>
      </c>
      <c r="P1297" s="1">
        <f>(Table1[[#This Row],[Rate_Constant_k2_g_mg_min]]*Table1[[#This Row],[Contact_Time_min]]*Table1[[#This Row],[qe_mg_g]]^2)/(1+Table1[[#This Row],[Contact_Time_min]]*Table1[[#This Row],[qe_mg_g]]*Table1[[#This Row],[Rate_Constant_k2_g_mg_min]])</f>
        <v>67.886426581638844</v>
      </c>
      <c r="Q1297" s="1">
        <f>LN(Table1[[#This Row],[qe_mg_g]]-Table1[[#This Row],[qt]])</f>
        <v>2.5968633689601686</v>
      </c>
      <c r="R1297" s="1">
        <v>3</v>
      </c>
    </row>
    <row r="1298" spans="1:18" x14ac:dyDescent="0.3">
      <c r="A1298" s="1">
        <v>1297</v>
      </c>
      <c r="B1298" s="1" t="s">
        <v>18</v>
      </c>
      <c r="C1298" s="1">
        <v>1</v>
      </c>
      <c r="D1298" s="1">
        <v>30</v>
      </c>
      <c r="E1298" s="1">
        <v>25</v>
      </c>
      <c r="F1298" s="1">
        <v>3</v>
      </c>
      <c r="G1298" s="1">
        <v>25</v>
      </c>
      <c r="H1298" s="1">
        <v>150</v>
      </c>
      <c r="I1298" s="1">
        <v>100</v>
      </c>
      <c r="J1298" s="1">
        <v>1.986</v>
      </c>
      <c r="K1298" s="1">
        <v>23.013999999999999</v>
      </c>
      <c r="L1298" s="1">
        <v>7.94</v>
      </c>
      <c r="M1298" s="1">
        <v>70.7</v>
      </c>
      <c r="N1298" s="1">
        <v>2.8889999999999999E-2</v>
      </c>
      <c r="O1298" s="1">
        <v>2.5530000000000003E-4</v>
      </c>
      <c r="P129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2.9755985592012639E-2</v>
      </c>
      <c r="Q1298" s="1">
        <f>LN(Table1[[#This Row],[qe_mg_g]]-Table1[[#This Row],[qt]])</f>
        <v>0.67102631557409886</v>
      </c>
      <c r="R1298" s="1">
        <v>1</v>
      </c>
    </row>
    <row r="1299" spans="1:18" x14ac:dyDescent="0.3">
      <c r="A1299" s="1">
        <v>1298</v>
      </c>
      <c r="B1299" s="1" t="s">
        <v>18</v>
      </c>
      <c r="C1299" s="1">
        <v>1</v>
      </c>
      <c r="D1299" s="1">
        <v>30</v>
      </c>
      <c r="E1299" s="1">
        <v>25</v>
      </c>
      <c r="F1299" s="1">
        <v>3</v>
      </c>
      <c r="G1299" s="1">
        <v>25</v>
      </c>
      <c r="H1299" s="1">
        <v>150</v>
      </c>
      <c r="I1299" s="1">
        <v>100</v>
      </c>
      <c r="J1299" s="1">
        <v>1.6659999999999999</v>
      </c>
      <c r="K1299" s="1">
        <v>23.334</v>
      </c>
      <c r="L1299" s="1">
        <v>6.66</v>
      </c>
      <c r="M1299" s="1">
        <v>126</v>
      </c>
      <c r="N1299" s="1">
        <v>2.809E-2</v>
      </c>
      <c r="O1299" s="1">
        <v>2.4899999999999998E-4</v>
      </c>
      <c r="P129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2.047854738818311E-2</v>
      </c>
      <c r="Q1299" s="1">
        <f>LN(Table1[[#This Row],[qe_mg_g]]-Table1[[#This Row],[qt]])</f>
        <v>0.49805732645502715</v>
      </c>
      <c r="R1299" s="1">
        <v>2</v>
      </c>
    </row>
    <row r="1300" spans="1:18" x14ac:dyDescent="0.3">
      <c r="A1300" s="1">
        <v>1299</v>
      </c>
      <c r="B1300" s="1" t="s">
        <v>18</v>
      </c>
      <c r="C1300" s="1">
        <v>1</v>
      </c>
      <c r="D1300" s="1">
        <v>30</v>
      </c>
      <c r="E1300" s="1">
        <v>25</v>
      </c>
      <c r="F1300" s="1">
        <v>3</v>
      </c>
      <c r="G1300" s="1">
        <v>25</v>
      </c>
      <c r="H1300" s="1">
        <v>150</v>
      </c>
      <c r="I1300" s="1">
        <v>100</v>
      </c>
      <c r="J1300" s="1">
        <v>1.9059999999999999</v>
      </c>
      <c r="K1300" s="1">
        <v>23.094000000000001</v>
      </c>
      <c r="L1300" s="1">
        <v>7.63</v>
      </c>
      <c r="M1300" s="1">
        <v>91.1</v>
      </c>
      <c r="N1300" s="1">
        <v>2.4459999999999999E-2</v>
      </c>
      <c r="O1300" s="1">
        <v>2.3929999999999999E-4</v>
      </c>
      <c r="P130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2.5728087742728965E-2</v>
      </c>
      <c r="Q1300" s="1">
        <f>LN(Table1[[#This Row],[qe_mg_g]]-Table1[[#This Row],[qt]])</f>
        <v>0.63141640056274273</v>
      </c>
      <c r="R1300" s="1">
        <v>3</v>
      </c>
    </row>
    <row r="1301" spans="1:18" x14ac:dyDescent="0.3">
      <c r="A1301" s="1">
        <v>1300</v>
      </c>
      <c r="B1301" s="1" t="s">
        <v>18</v>
      </c>
      <c r="C1301" s="1">
        <v>1</v>
      </c>
      <c r="D1301" s="1">
        <v>30</v>
      </c>
      <c r="E1301" s="1">
        <v>25</v>
      </c>
      <c r="F1301" s="1">
        <v>7</v>
      </c>
      <c r="G1301" s="1">
        <v>25</v>
      </c>
      <c r="H1301" s="1">
        <v>150</v>
      </c>
      <c r="I1301" s="1">
        <v>100</v>
      </c>
      <c r="J1301" s="1">
        <v>3.4009999999999998</v>
      </c>
      <c r="K1301" s="1">
        <v>21.599</v>
      </c>
      <c r="L1301" s="1">
        <v>13.6</v>
      </c>
      <c r="M1301" s="1">
        <v>94.9</v>
      </c>
      <c r="N1301" s="1">
        <v>2.7459999999999998E-2</v>
      </c>
      <c r="O1301" s="1">
        <v>2.7310000000000002E-4</v>
      </c>
      <c r="P1301" s="1">
        <f>(Table1[[#This Row],[Rate_Constant_k2_g_mg_min]]*Table1[[#This Row],[Contact_Time_min]]*Table1[[#This Row],[qe_mg_g]]^2)/(1+Table1[[#This Row],[Contact_Time_min]]*Table1[[#This Row],[qe_mg_g]]*Table1[[#This Row],[Rate_Constant_k2_g_mg_min]])</f>
        <v>9.2197765812673693E-2</v>
      </c>
      <c r="Q1301" s="1">
        <f>LN(Table1[[#This Row],[qe_mg_g]]-Table1[[#This Row],[qt]])</f>
        <v>1.1965862611175504</v>
      </c>
      <c r="R1301" s="1">
        <v>1</v>
      </c>
    </row>
    <row r="1302" spans="1:18" x14ac:dyDescent="0.3">
      <c r="A1302" s="1">
        <v>1301</v>
      </c>
      <c r="B1302" s="1" t="s">
        <v>18</v>
      </c>
      <c r="C1302" s="1">
        <v>1</v>
      </c>
      <c r="D1302" s="1">
        <v>30</v>
      </c>
      <c r="E1302" s="1">
        <v>25</v>
      </c>
      <c r="F1302" s="1">
        <v>7</v>
      </c>
      <c r="G1302" s="1">
        <v>25</v>
      </c>
      <c r="H1302" s="1">
        <v>150</v>
      </c>
      <c r="I1302" s="1">
        <v>100</v>
      </c>
      <c r="J1302" s="1">
        <v>3.02</v>
      </c>
      <c r="K1302" s="1">
        <v>21.98</v>
      </c>
      <c r="L1302" s="1">
        <v>12.08</v>
      </c>
      <c r="M1302" s="1">
        <v>92.3</v>
      </c>
      <c r="N1302" s="1">
        <v>3.0450000000000001E-2</v>
      </c>
      <c r="O1302" s="1">
        <v>2.6929999999999999E-4</v>
      </c>
      <c r="P1302" s="1">
        <f>(Table1[[#This Row],[Rate_Constant_k2_g_mg_min]]*Table1[[#This Row],[Contact_Time_min]]*Table1[[#This Row],[qe_mg_g]]^2)/(1+Table1[[#This Row],[Contact_Time_min]]*Table1[[#This Row],[qe_mg_g]]*Table1[[#This Row],[Rate_Constant_k2_g_mg_min]])</f>
        <v>7.1928752185501849E-2</v>
      </c>
      <c r="Q1302" s="1">
        <f>LN(Table1[[#This Row],[qe_mg_g]]-Table1[[#This Row],[qt]])</f>
        <v>1.0811511422217805</v>
      </c>
      <c r="R1302" s="1">
        <v>2</v>
      </c>
    </row>
    <row r="1303" spans="1:18" x14ac:dyDescent="0.3">
      <c r="A1303" s="1">
        <v>1302</v>
      </c>
      <c r="B1303" s="1" t="s">
        <v>18</v>
      </c>
      <c r="C1303" s="1">
        <v>1</v>
      </c>
      <c r="D1303" s="1">
        <v>30</v>
      </c>
      <c r="E1303" s="1">
        <v>25</v>
      </c>
      <c r="F1303" s="1">
        <v>7</v>
      </c>
      <c r="G1303" s="1">
        <v>25</v>
      </c>
      <c r="H1303" s="1">
        <v>150</v>
      </c>
      <c r="I1303" s="1">
        <v>100</v>
      </c>
      <c r="J1303" s="1">
        <v>3.78</v>
      </c>
      <c r="K1303" s="1">
        <v>21.22</v>
      </c>
      <c r="L1303" s="1">
        <v>15.12</v>
      </c>
      <c r="M1303" s="1">
        <v>112.4</v>
      </c>
      <c r="N1303" s="1">
        <v>3.3480000000000003E-2</v>
      </c>
      <c r="O1303" s="1">
        <v>2.374E-4</v>
      </c>
      <c r="P1303" s="1">
        <f>(Table1[[#This Row],[Rate_Constant_k2_g_mg_min]]*Table1[[#This Row],[Contact_Time_min]]*Table1[[#This Row],[qe_mg_g]]^2)/(1+Table1[[#This Row],[Contact_Time_min]]*Table1[[#This Row],[qe_mg_g]]*Table1[[#This Row],[Rate_Constant_k2_g_mg_min]])</f>
        <v>9.9094252571443761E-2</v>
      </c>
      <c r="Q1303" s="1">
        <f>LN(Table1[[#This Row],[qe_mg_g]]-Table1[[#This Row],[qt]])</f>
        <v>1.3031588489151833</v>
      </c>
      <c r="R1303" s="1">
        <v>3</v>
      </c>
    </row>
    <row r="1304" spans="1:18" x14ac:dyDescent="0.3">
      <c r="A1304" s="1">
        <v>1303</v>
      </c>
      <c r="B1304" s="1" t="s">
        <v>18</v>
      </c>
      <c r="C1304" s="1">
        <v>1</v>
      </c>
      <c r="D1304" s="1">
        <v>30</v>
      </c>
      <c r="E1304" s="1">
        <v>25</v>
      </c>
      <c r="F1304" s="1">
        <v>11</v>
      </c>
      <c r="G1304" s="1">
        <v>25</v>
      </c>
      <c r="H1304" s="1">
        <v>150</v>
      </c>
      <c r="I1304" s="1">
        <v>100</v>
      </c>
      <c r="J1304" s="1">
        <v>2.0859999999999999</v>
      </c>
      <c r="K1304" s="1">
        <v>22.914000000000001</v>
      </c>
      <c r="L1304" s="1">
        <v>8.34</v>
      </c>
      <c r="M1304" s="1">
        <v>100.9</v>
      </c>
      <c r="N1304" s="1">
        <v>3.032E-2</v>
      </c>
      <c r="O1304" s="1">
        <v>2.23E-4</v>
      </c>
      <c r="P130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2.8710178931549386E-2</v>
      </c>
      <c r="Q1304" s="1">
        <f>LN(Table1[[#This Row],[qe_mg_g]]-Table1[[#This Row],[qt]])</f>
        <v>0.72138949577203282</v>
      </c>
      <c r="R1304" s="1">
        <v>1</v>
      </c>
    </row>
    <row r="1305" spans="1:18" x14ac:dyDescent="0.3">
      <c r="A1305" s="1">
        <v>1304</v>
      </c>
      <c r="B1305" s="1" t="s">
        <v>18</v>
      </c>
      <c r="C1305" s="1">
        <v>1</v>
      </c>
      <c r="D1305" s="1">
        <v>30</v>
      </c>
      <c r="E1305" s="1">
        <v>25</v>
      </c>
      <c r="F1305" s="1">
        <v>11</v>
      </c>
      <c r="G1305" s="1">
        <v>25</v>
      </c>
      <c r="H1305" s="1">
        <v>150</v>
      </c>
      <c r="I1305" s="1">
        <v>100</v>
      </c>
      <c r="J1305" s="1">
        <v>2.262</v>
      </c>
      <c r="K1305" s="1">
        <v>22.738</v>
      </c>
      <c r="L1305" s="1">
        <v>9.0500000000000007</v>
      </c>
      <c r="M1305" s="1">
        <v>106</v>
      </c>
      <c r="N1305" s="1">
        <v>3.108E-2</v>
      </c>
      <c r="O1305" s="1">
        <v>2.6259999999999999E-4</v>
      </c>
      <c r="P130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3.9603191140167332E-2</v>
      </c>
      <c r="Q1305" s="1">
        <f>LN(Table1[[#This Row],[qe_mg_g]]-Table1[[#This Row],[qt]])</f>
        <v>0.7985862571187079</v>
      </c>
      <c r="R1305" s="1">
        <v>2</v>
      </c>
    </row>
    <row r="1306" spans="1:18" x14ac:dyDescent="0.3">
      <c r="A1306" s="1">
        <v>1305</v>
      </c>
      <c r="B1306" s="1" t="s">
        <v>18</v>
      </c>
      <c r="C1306" s="1">
        <v>1</v>
      </c>
      <c r="D1306" s="1">
        <v>30</v>
      </c>
      <c r="E1306" s="1">
        <v>25</v>
      </c>
      <c r="F1306" s="1">
        <v>11</v>
      </c>
      <c r="G1306" s="1">
        <v>25</v>
      </c>
      <c r="H1306" s="1">
        <v>150</v>
      </c>
      <c r="I1306" s="1">
        <v>100</v>
      </c>
      <c r="J1306" s="1">
        <v>2.3580000000000001</v>
      </c>
      <c r="K1306" s="1">
        <v>22.641999999999999</v>
      </c>
      <c r="L1306" s="1">
        <v>9.43</v>
      </c>
      <c r="M1306" s="1">
        <v>92.4</v>
      </c>
      <c r="N1306" s="1">
        <v>2.8459999999999999E-2</v>
      </c>
      <c r="O1306" s="1">
        <v>2.2000000000000001E-4</v>
      </c>
      <c r="P130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3.6134724903275309E-2</v>
      </c>
      <c r="Q1306" s="1">
        <f>LN(Table1[[#This Row],[qe_mg_g]]-Table1[[#This Row],[qt]])</f>
        <v>0.84237086053157084</v>
      </c>
      <c r="R1306" s="1">
        <v>3</v>
      </c>
    </row>
    <row r="1307" spans="1:18" x14ac:dyDescent="0.3">
      <c r="A1307" s="1">
        <v>1306</v>
      </c>
      <c r="B1307" s="1" t="s">
        <v>18</v>
      </c>
      <c r="C1307" s="1">
        <v>1</v>
      </c>
      <c r="D1307" s="1">
        <v>30</v>
      </c>
      <c r="E1307" s="1">
        <v>50</v>
      </c>
      <c r="F1307" s="1">
        <v>3</v>
      </c>
      <c r="G1307" s="1">
        <v>25</v>
      </c>
      <c r="H1307" s="1">
        <v>150</v>
      </c>
      <c r="I1307" s="1">
        <v>100</v>
      </c>
      <c r="J1307" s="1">
        <v>7.1849999999999996</v>
      </c>
      <c r="K1307" s="1">
        <v>42.814999999999998</v>
      </c>
      <c r="L1307" s="1">
        <v>14.37</v>
      </c>
      <c r="M1307" s="1">
        <v>100.2</v>
      </c>
      <c r="N1307" s="1">
        <v>2.9329999999999998E-2</v>
      </c>
      <c r="O1307" s="1">
        <v>2.2680000000000001E-4</v>
      </c>
      <c r="P130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0.33488003375845898</v>
      </c>
      <c r="Q1307" s="1">
        <f>LN(Table1[[#This Row],[qe_mg_g]]-Table1[[#This Row],[qt]])</f>
        <v>1.9242661654407105</v>
      </c>
      <c r="R1307" s="1">
        <v>1</v>
      </c>
    </row>
    <row r="1308" spans="1:18" x14ac:dyDescent="0.3">
      <c r="A1308" s="1">
        <v>1307</v>
      </c>
      <c r="B1308" s="1" t="s">
        <v>18</v>
      </c>
      <c r="C1308" s="1">
        <v>1</v>
      </c>
      <c r="D1308" s="1">
        <v>30</v>
      </c>
      <c r="E1308" s="1">
        <v>50</v>
      </c>
      <c r="F1308" s="1">
        <v>3</v>
      </c>
      <c r="G1308" s="1">
        <v>25</v>
      </c>
      <c r="H1308" s="1">
        <v>150</v>
      </c>
      <c r="I1308" s="1">
        <v>100</v>
      </c>
      <c r="J1308" s="1">
        <v>7.827</v>
      </c>
      <c r="K1308" s="1">
        <v>42.173000000000002</v>
      </c>
      <c r="L1308" s="1">
        <v>15.65</v>
      </c>
      <c r="M1308" s="1">
        <v>83.9</v>
      </c>
      <c r="N1308" s="1">
        <v>2.8709999999999999E-2</v>
      </c>
      <c r="O1308" s="1">
        <v>2.6039999999999999E-4</v>
      </c>
      <c r="P130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0.45100189326143103</v>
      </c>
      <c r="Q1308" s="1">
        <f>LN(Table1[[#This Row],[qe_mg_g]]-Table1[[#This Row],[qt]])</f>
        <v>1.9982312295756492</v>
      </c>
      <c r="R1308" s="1">
        <v>2</v>
      </c>
    </row>
    <row r="1309" spans="1:18" x14ac:dyDescent="0.3">
      <c r="A1309" s="1">
        <v>1308</v>
      </c>
      <c r="B1309" s="1" t="s">
        <v>18</v>
      </c>
      <c r="C1309" s="1">
        <v>1</v>
      </c>
      <c r="D1309" s="1">
        <v>30</v>
      </c>
      <c r="E1309" s="1">
        <v>50</v>
      </c>
      <c r="F1309" s="1">
        <v>3</v>
      </c>
      <c r="G1309" s="1">
        <v>25</v>
      </c>
      <c r="H1309" s="1">
        <v>150</v>
      </c>
      <c r="I1309" s="1">
        <v>100</v>
      </c>
      <c r="J1309" s="1">
        <v>6.5250000000000004</v>
      </c>
      <c r="K1309" s="1">
        <v>43.475000000000001</v>
      </c>
      <c r="L1309" s="1">
        <v>13.05</v>
      </c>
      <c r="M1309" s="1">
        <v>114.4</v>
      </c>
      <c r="N1309" s="1">
        <v>3.542E-2</v>
      </c>
      <c r="O1309" s="1">
        <v>2.6269999999999999E-4</v>
      </c>
      <c r="P130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0.31912782303877019</v>
      </c>
      <c r="Q1309" s="1">
        <f>LN(Table1[[#This Row],[qe_mg_g]]-Table1[[#This Row],[qt]])</f>
        <v>1.825495969127195</v>
      </c>
      <c r="R1309" s="1">
        <v>3</v>
      </c>
    </row>
    <row r="1310" spans="1:18" x14ac:dyDescent="0.3">
      <c r="A1310" s="1">
        <v>1309</v>
      </c>
      <c r="B1310" s="1" t="s">
        <v>18</v>
      </c>
      <c r="C1310" s="1">
        <v>1</v>
      </c>
      <c r="D1310" s="1">
        <v>30</v>
      </c>
      <c r="E1310" s="1">
        <v>50</v>
      </c>
      <c r="F1310" s="1">
        <v>7</v>
      </c>
      <c r="G1310" s="1">
        <v>25</v>
      </c>
      <c r="H1310" s="1">
        <v>150</v>
      </c>
      <c r="I1310" s="1">
        <v>100</v>
      </c>
      <c r="J1310" s="1">
        <v>9.3529999999999998</v>
      </c>
      <c r="K1310" s="1">
        <v>40.646999999999998</v>
      </c>
      <c r="L1310" s="1">
        <v>18.71</v>
      </c>
      <c r="M1310" s="1">
        <v>96.1</v>
      </c>
      <c r="N1310" s="1">
        <v>3.092E-2</v>
      </c>
      <c r="O1310" s="1">
        <v>3.0170000000000002E-4</v>
      </c>
      <c r="P131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0.7299736947165445</v>
      </c>
      <c r="Q1310" s="1">
        <f>LN(Table1[[#This Row],[qe_mg_g]]-Table1[[#This Row],[qt]])</f>
        <v>2.1544361025608554</v>
      </c>
      <c r="R1310" s="1">
        <v>1</v>
      </c>
    </row>
    <row r="1311" spans="1:18" x14ac:dyDescent="0.3">
      <c r="A1311" s="1">
        <v>1310</v>
      </c>
      <c r="B1311" s="1" t="s">
        <v>18</v>
      </c>
      <c r="C1311" s="1">
        <v>1</v>
      </c>
      <c r="D1311" s="1">
        <v>30</v>
      </c>
      <c r="E1311" s="1">
        <v>50</v>
      </c>
      <c r="F1311" s="1">
        <v>7</v>
      </c>
      <c r="G1311" s="1">
        <v>25</v>
      </c>
      <c r="H1311" s="1">
        <v>150</v>
      </c>
      <c r="I1311" s="1">
        <v>100</v>
      </c>
      <c r="J1311" s="1">
        <v>9.0350000000000001</v>
      </c>
      <c r="K1311" s="1">
        <v>40.965000000000003</v>
      </c>
      <c r="L1311" s="1">
        <v>18.07</v>
      </c>
      <c r="M1311" s="1">
        <v>118</v>
      </c>
      <c r="N1311" s="1">
        <v>3.0540000000000001E-2</v>
      </c>
      <c r="O1311" s="1">
        <v>2.7090000000000003E-4</v>
      </c>
      <c r="P131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0.61803615015172264</v>
      </c>
      <c r="Q1311" s="1">
        <f>LN(Table1[[#This Row],[qe_mg_g]]-Table1[[#This Row],[qt]])</f>
        <v>2.1302491753227795</v>
      </c>
      <c r="R1311" s="1">
        <v>2</v>
      </c>
    </row>
    <row r="1312" spans="1:18" x14ac:dyDescent="0.3">
      <c r="A1312" s="1">
        <v>1311</v>
      </c>
      <c r="B1312" s="1" t="s">
        <v>18</v>
      </c>
      <c r="C1312" s="1">
        <v>1</v>
      </c>
      <c r="D1312" s="1">
        <v>30</v>
      </c>
      <c r="E1312" s="1">
        <v>50</v>
      </c>
      <c r="F1312" s="1">
        <v>7</v>
      </c>
      <c r="G1312" s="1">
        <v>25</v>
      </c>
      <c r="H1312" s="1">
        <v>150</v>
      </c>
      <c r="I1312" s="1">
        <v>100</v>
      </c>
      <c r="J1312" s="1">
        <v>10.24</v>
      </c>
      <c r="K1312" s="1">
        <v>39.76</v>
      </c>
      <c r="L1312" s="1">
        <v>20.48</v>
      </c>
      <c r="M1312" s="1">
        <v>87.4</v>
      </c>
      <c r="N1312" s="1">
        <v>3.2250000000000001E-2</v>
      </c>
      <c r="O1312" s="1">
        <v>2.6640000000000002E-4</v>
      </c>
      <c r="P131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0.77462788072684596</v>
      </c>
      <c r="Q1312" s="1">
        <f>LN(Table1[[#This Row],[qe_mg_g]]-Table1[[#This Row],[qt]])</f>
        <v>2.2476400991840917</v>
      </c>
      <c r="R1312" s="1">
        <v>3</v>
      </c>
    </row>
    <row r="1313" spans="1:18" x14ac:dyDescent="0.3">
      <c r="A1313" s="1">
        <v>1312</v>
      </c>
      <c r="B1313" s="1" t="s">
        <v>18</v>
      </c>
      <c r="C1313" s="1">
        <v>1</v>
      </c>
      <c r="D1313" s="1">
        <v>30</v>
      </c>
      <c r="E1313" s="1">
        <v>50</v>
      </c>
      <c r="F1313" s="1">
        <v>11</v>
      </c>
      <c r="G1313" s="1">
        <v>25</v>
      </c>
      <c r="H1313" s="1">
        <v>150</v>
      </c>
      <c r="I1313" s="1">
        <v>100</v>
      </c>
      <c r="J1313" s="1">
        <v>8.4290000000000003</v>
      </c>
      <c r="K1313" s="1">
        <v>41.570999999999998</v>
      </c>
      <c r="L1313" s="1">
        <v>16.86</v>
      </c>
      <c r="M1313" s="1">
        <v>99.8</v>
      </c>
      <c r="N1313" s="1">
        <v>2.8199999999999999E-2</v>
      </c>
      <c r="O1313" s="1">
        <v>2.1100000000000001E-4</v>
      </c>
      <c r="P131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0.42695373940064707</v>
      </c>
      <c r="Q1313" s="1">
        <f>LN(Table1[[#This Row],[qe_mg_g]]-Table1[[#This Row],[qt]])</f>
        <v>2.0796972915479692</v>
      </c>
      <c r="R1313" s="1">
        <v>1</v>
      </c>
    </row>
    <row r="1314" spans="1:18" x14ac:dyDescent="0.3">
      <c r="A1314" s="1">
        <v>1313</v>
      </c>
      <c r="B1314" s="1" t="s">
        <v>18</v>
      </c>
      <c r="C1314" s="1">
        <v>1</v>
      </c>
      <c r="D1314" s="1">
        <v>30</v>
      </c>
      <c r="E1314" s="1">
        <v>50</v>
      </c>
      <c r="F1314" s="1">
        <v>11</v>
      </c>
      <c r="G1314" s="1">
        <v>25</v>
      </c>
      <c r="H1314" s="1">
        <v>150</v>
      </c>
      <c r="I1314" s="1">
        <v>100</v>
      </c>
      <c r="J1314" s="1">
        <v>8.3219999999999992</v>
      </c>
      <c r="K1314" s="1">
        <v>41.677999999999997</v>
      </c>
      <c r="L1314" s="1">
        <v>16.64</v>
      </c>
      <c r="M1314" s="1">
        <v>106.4</v>
      </c>
      <c r="N1314" s="1">
        <v>2.7099999999999999E-2</v>
      </c>
      <c r="O1314" s="1">
        <v>2.365E-4</v>
      </c>
      <c r="P131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0.46397392765114814</v>
      </c>
      <c r="Q1314" s="1">
        <f>LN(Table1[[#This Row],[qe_mg_g]]-Table1[[#This Row],[qt]])</f>
        <v>2.0615354390677516</v>
      </c>
      <c r="R1314" s="1">
        <v>2</v>
      </c>
    </row>
    <row r="1315" spans="1:18" x14ac:dyDescent="0.3">
      <c r="A1315" s="1">
        <v>1314</v>
      </c>
      <c r="B1315" s="1" t="s">
        <v>18</v>
      </c>
      <c r="C1315" s="1">
        <v>1</v>
      </c>
      <c r="D1315" s="1">
        <v>30</v>
      </c>
      <c r="E1315" s="1">
        <v>50</v>
      </c>
      <c r="F1315" s="1">
        <v>11</v>
      </c>
      <c r="G1315" s="1">
        <v>25</v>
      </c>
      <c r="H1315" s="1">
        <v>150</v>
      </c>
      <c r="I1315" s="1">
        <v>100</v>
      </c>
      <c r="J1315" s="1">
        <v>7.4249999999999998</v>
      </c>
      <c r="K1315" s="1">
        <v>42.575000000000003</v>
      </c>
      <c r="L1315" s="1">
        <v>14.85</v>
      </c>
      <c r="M1315" s="1">
        <v>77.8</v>
      </c>
      <c r="N1315" s="1">
        <v>2.7550000000000002E-2</v>
      </c>
      <c r="O1315" s="1">
        <v>2.2169999999999999E-4</v>
      </c>
      <c r="P131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0.34941823053898752</v>
      </c>
      <c r="Q1315" s="1">
        <f>LN(Table1[[#This Row],[qe_mg_g]]-Table1[[#This Row],[qt]])</f>
        <v>1.9566496690477737</v>
      </c>
      <c r="R1315" s="1">
        <v>3</v>
      </c>
    </row>
    <row r="1316" spans="1:18" x14ac:dyDescent="0.3">
      <c r="A1316" s="1">
        <v>1315</v>
      </c>
      <c r="B1316" s="1" t="s">
        <v>18</v>
      </c>
      <c r="C1316" s="1">
        <v>1</v>
      </c>
      <c r="D1316" s="1">
        <v>30</v>
      </c>
      <c r="E1316" s="1">
        <v>100</v>
      </c>
      <c r="F1316" s="1">
        <v>3</v>
      </c>
      <c r="G1316" s="1">
        <v>25</v>
      </c>
      <c r="H1316" s="1">
        <v>150</v>
      </c>
      <c r="I1316" s="1">
        <v>100</v>
      </c>
      <c r="J1316" s="1">
        <v>16.677</v>
      </c>
      <c r="K1316" s="1">
        <v>83.322999999999993</v>
      </c>
      <c r="L1316" s="1">
        <v>16.68</v>
      </c>
      <c r="M1316" s="1">
        <v>88.9</v>
      </c>
      <c r="N1316" s="1">
        <v>2.512E-2</v>
      </c>
      <c r="O1316" s="1">
        <v>3.0059999999999999E-4</v>
      </c>
      <c r="P131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2.1802173321652476</v>
      </c>
      <c r="Q1316" s="1">
        <f>LN(Table1[[#This Row],[qe_mg_g]]-Table1[[#This Row],[qt]])</f>
        <v>2.6739267398295015</v>
      </c>
      <c r="R1316" s="1">
        <v>1</v>
      </c>
    </row>
    <row r="1317" spans="1:18" x14ac:dyDescent="0.3">
      <c r="A1317" s="1">
        <v>1316</v>
      </c>
      <c r="B1317" s="1" t="s">
        <v>18</v>
      </c>
      <c r="C1317" s="1">
        <v>1</v>
      </c>
      <c r="D1317" s="1">
        <v>30</v>
      </c>
      <c r="E1317" s="1">
        <v>100</v>
      </c>
      <c r="F1317" s="1">
        <v>3</v>
      </c>
      <c r="G1317" s="1">
        <v>25</v>
      </c>
      <c r="H1317" s="1">
        <v>150</v>
      </c>
      <c r="I1317" s="1">
        <v>100</v>
      </c>
      <c r="J1317" s="1">
        <v>19.273</v>
      </c>
      <c r="K1317" s="1">
        <v>80.727000000000004</v>
      </c>
      <c r="L1317" s="1">
        <v>19.27</v>
      </c>
      <c r="M1317" s="1">
        <v>88.3</v>
      </c>
      <c r="N1317" s="1">
        <v>3.082E-2</v>
      </c>
      <c r="O1317" s="1">
        <v>2.6039999999999999E-4</v>
      </c>
      <c r="P131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2.5220364028398272</v>
      </c>
      <c r="Q1317" s="1">
        <f>LN(Table1[[#This Row],[qe_mg_g]]-Table1[[#This Row],[qt]])</f>
        <v>2.8184557848050598</v>
      </c>
      <c r="R1317" s="1">
        <v>2</v>
      </c>
    </row>
    <row r="1318" spans="1:18" x14ac:dyDescent="0.3">
      <c r="A1318" s="1">
        <v>1317</v>
      </c>
      <c r="B1318" s="1" t="s">
        <v>18</v>
      </c>
      <c r="C1318" s="1">
        <v>1</v>
      </c>
      <c r="D1318" s="1">
        <v>30</v>
      </c>
      <c r="E1318" s="1">
        <v>100</v>
      </c>
      <c r="F1318" s="1">
        <v>3</v>
      </c>
      <c r="G1318" s="1">
        <v>25</v>
      </c>
      <c r="H1318" s="1">
        <v>150</v>
      </c>
      <c r="I1318" s="1">
        <v>100</v>
      </c>
      <c r="J1318" s="1">
        <v>19.177</v>
      </c>
      <c r="K1318" s="1">
        <v>80.822999999999993</v>
      </c>
      <c r="L1318" s="1">
        <v>19.18</v>
      </c>
      <c r="M1318" s="1">
        <v>87.7</v>
      </c>
      <c r="N1318" s="1">
        <v>3.3279999999999997E-2</v>
      </c>
      <c r="O1318" s="1">
        <v>2.363E-4</v>
      </c>
      <c r="P131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2.2950318696081258</v>
      </c>
      <c r="Q1318" s="1">
        <f>LN(Table1[[#This Row],[qe_mg_g]]-Table1[[#This Row],[qt]])</f>
        <v>2.8262460777734577</v>
      </c>
      <c r="R1318" s="1">
        <v>3</v>
      </c>
    </row>
    <row r="1319" spans="1:18" x14ac:dyDescent="0.3">
      <c r="A1319" s="1">
        <v>1318</v>
      </c>
      <c r="B1319" s="1" t="s">
        <v>18</v>
      </c>
      <c r="C1319" s="1">
        <v>1</v>
      </c>
      <c r="D1319" s="1">
        <v>30</v>
      </c>
      <c r="E1319" s="1">
        <v>100</v>
      </c>
      <c r="F1319" s="1">
        <v>7</v>
      </c>
      <c r="G1319" s="1">
        <v>25</v>
      </c>
      <c r="H1319" s="1">
        <v>150</v>
      </c>
      <c r="I1319" s="1">
        <v>100</v>
      </c>
      <c r="J1319" s="1">
        <v>24.603000000000002</v>
      </c>
      <c r="K1319" s="1">
        <v>75.397000000000006</v>
      </c>
      <c r="L1319" s="1">
        <v>24.6</v>
      </c>
      <c r="M1319" s="1">
        <v>110.9</v>
      </c>
      <c r="N1319" s="1">
        <v>3.3869999999999997E-2</v>
      </c>
      <c r="O1319" s="1">
        <v>3.1470000000000001E-4</v>
      </c>
      <c r="P1319" s="1">
        <f>(Table1[[#This Row],[Rate_Constant_k2_g_mg_min]]*Table1[[#This Row],[Contact_Time_min]]*Table1[[#This Row],[qe_mg_g]]^2)/(1+Table1[[#This Row],[Contact_Time_min]]*Table1[[#This Row],[qe_mg_g]]*Table1[[#This Row],[Rate_Constant_k2_g_mg_min]])</f>
        <v>4.6375202114930785</v>
      </c>
      <c r="Q1319" s="1">
        <f>LN(Table1[[#This Row],[qe_mg_g]]-Table1[[#This Row],[qt]])</f>
        <v>2.9940047717068703</v>
      </c>
      <c r="R1319" s="1">
        <v>1</v>
      </c>
    </row>
    <row r="1320" spans="1:18" x14ac:dyDescent="0.3">
      <c r="A1320" s="1">
        <v>1319</v>
      </c>
      <c r="B1320" s="1" t="s">
        <v>18</v>
      </c>
      <c r="C1320" s="1">
        <v>1</v>
      </c>
      <c r="D1320" s="1">
        <v>30</v>
      </c>
      <c r="E1320" s="1">
        <v>100</v>
      </c>
      <c r="F1320" s="1">
        <v>7</v>
      </c>
      <c r="G1320" s="1">
        <v>25</v>
      </c>
      <c r="H1320" s="1">
        <v>150</v>
      </c>
      <c r="I1320" s="1">
        <v>100</v>
      </c>
      <c r="J1320" s="1">
        <v>24.946000000000002</v>
      </c>
      <c r="K1320" s="1">
        <v>75.054000000000002</v>
      </c>
      <c r="L1320" s="1">
        <v>24.95</v>
      </c>
      <c r="M1320" s="1">
        <v>110.5</v>
      </c>
      <c r="N1320" s="1">
        <v>2.877E-2</v>
      </c>
      <c r="O1320" s="1">
        <v>2.6959999999999999E-4</v>
      </c>
      <c r="P132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4.1881676719473129</v>
      </c>
      <c r="Q1320" s="1">
        <f>LN(Table1[[#This Row],[qe_mg_g]]-Table1[[#This Row],[qt]])</f>
        <v>3.0329236370489023</v>
      </c>
      <c r="R1320" s="1">
        <v>2</v>
      </c>
    </row>
    <row r="1321" spans="1:18" x14ac:dyDescent="0.3">
      <c r="A1321" s="1">
        <v>1320</v>
      </c>
      <c r="B1321" s="1" t="s">
        <v>18</v>
      </c>
      <c r="C1321" s="1">
        <v>1</v>
      </c>
      <c r="D1321" s="1">
        <v>30</v>
      </c>
      <c r="E1321" s="1">
        <v>100</v>
      </c>
      <c r="F1321" s="1">
        <v>7</v>
      </c>
      <c r="G1321" s="1">
        <v>25</v>
      </c>
      <c r="H1321" s="1">
        <v>150</v>
      </c>
      <c r="I1321" s="1">
        <v>100</v>
      </c>
      <c r="J1321" s="1">
        <v>24.265000000000001</v>
      </c>
      <c r="K1321" s="1">
        <v>75.734999999999999</v>
      </c>
      <c r="L1321" s="1">
        <v>24.26</v>
      </c>
      <c r="M1321" s="1">
        <v>81.099999999999994</v>
      </c>
      <c r="N1321" s="1">
        <v>2.767E-2</v>
      </c>
      <c r="O1321" s="1">
        <v>2.52E-4</v>
      </c>
      <c r="P132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3.761273332548055</v>
      </c>
      <c r="Q1321" s="1">
        <f>LN(Table1[[#This Row],[qe_mg_g]]-Table1[[#This Row],[qt]])</f>
        <v>3.0206066582789997</v>
      </c>
      <c r="R1321" s="1">
        <v>3</v>
      </c>
    </row>
    <row r="1322" spans="1:18" x14ac:dyDescent="0.3">
      <c r="A1322" s="1">
        <v>1321</v>
      </c>
      <c r="B1322" s="1" t="s">
        <v>18</v>
      </c>
      <c r="C1322" s="1">
        <v>1</v>
      </c>
      <c r="D1322" s="1">
        <v>30</v>
      </c>
      <c r="E1322" s="1">
        <v>100</v>
      </c>
      <c r="F1322" s="1">
        <v>11</v>
      </c>
      <c r="G1322" s="1">
        <v>25</v>
      </c>
      <c r="H1322" s="1">
        <v>150</v>
      </c>
      <c r="I1322" s="1">
        <v>100</v>
      </c>
      <c r="J1322" s="1">
        <v>20.149000000000001</v>
      </c>
      <c r="K1322" s="1">
        <v>79.850999999999999</v>
      </c>
      <c r="L1322" s="1">
        <v>20.149999999999999</v>
      </c>
      <c r="M1322" s="1">
        <v>109.9</v>
      </c>
      <c r="N1322" s="1">
        <v>3.3079999999999998E-2</v>
      </c>
      <c r="O1322" s="1">
        <v>2.6499999999999999E-4</v>
      </c>
      <c r="P132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2.7819354239375107</v>
      </c>
      <c r="Q1322" s="1">
        <f>LN(Table1[[#This Row],[qe_mg_g]]-Table1[[#This Row],[qt]])</f>
        <v>2.8545755720780095</v>
      </c>
      <c r="R1322" s="1">
        <v>1</v>
      </c>
    </row>
    <row r="1323" spans="1:18" x14ac:dyDescent="0.3">
      <c r="A1323" s="1">
        <v>1322</v>
      </c>
      <c r="B1323" s="1" t="s">
        <v>18</v>
      </c>
      <c r="C1323" s="1">
        <v>1</v>
      </c>
      <c r="D1323" s="1">
        <v>30</v>
      </c>
      <c r="E1323" s="1">
        <v>100</v>
      </c>
      <c r="F1323" s="1">
        <v>11</v>
      </c>
      <c r="G1323" s="1">
        <v>25</v>
      </c>
      <c r="H1323" s="1">
        <v>150</v>
      </c>
      <c r="I1323" s="1">
        <v>100</v>
      </c>
      <c r="J1323" s="1">
        <v>24.498000000000001</v>
      </c>
      <c r="K1323" s="1">
        <v>75.501999999999995</v>
      </c>
      <c r="L1323" s="1">
        <v>24.5</v>
      </c>
      <c r="M1323" s="1">
        <v>106.2</v>
      </c>
      <c r="N1323" s="1">
        <v>2.6349999999999998E-2</v>
      </c>
      <c r="O1323" s="1">
        <v>2.8410000000000002E-4</v>
      </c>
      <c r="P132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4.231560667774759</v>
      </c>
      <c r="Q1323" s="1">
        <f>LN(Table1[[#This Row],[qe_mg_g]]-Table1[[#This Row],[qt]])</f>
        <v>3.0089662830811603</v>
      </c>
      <c r="R1323" s="1">
        <v>2</v>
      </c>
    </row>
    <row r="1324" spans="1:18" x14ac:dyDescent="0.3">
      <c r="A1324" s="1">
        <v>1323</v>
      </c>
      <c r="B1324" s="1" t="s">
        <v>18</v>
      </c>
      <c r="C1324" s="1">
        <v>1</v>
      </c>
      <c r="D1324" s="1">
        <v>30</v>
      </c>
      <c r="E1324" s="1">
        <v>100</v>
      </c>
      <c r="F1324" s="1">
        <v>11</v>
      </c>
      <c r="G1324" s="1">
        <v>25</v>
      </c>
      <c r="H1324" s="1">
        <v>150</v>
      </c>
      <c r="I1324" s="1">
        <v>100</v>
      </c>
      <c r="J1324" s="1">
        <v>20.218</v>
      </c>
      <c r="K1324" s="1">
        <v>79.781999999999996</v>
      </c>
      <c r="L1324" s="1">
        <v>20.22</v>
      </c>
      <c r="M1324" s="1">
        <v>113.7</v>
      </c>
      <c r="N1324" s="1">
        <v>3.4720000000000001E-2</v>
      </c>
      <c r="O1324" s="1">
        <v>2.6140000000000001E-4</v>
      </c>
      <c r="P132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2.7668690619290177</v>
      </c>
      <c r="Q1324" s="1">
        <f>LN(Table1[[#This Row],[qe_mg_g]]-Table1[[#This Row],[qt]])</f>
        <v>2.8594044567529866</v>
      </c>
      <c r="R1324" s="1">
        <v>3</v>
      </c>
    </row>
    <row r="1325" spans="1:18" x14ac:dyDescent="0.3">
      <c r="A1325" s="1">
        <v>1324</v>
      </c>
      <c r="B1325" s="1" t="s">
        <v>18</v>
      </c>
      <c r="C1325" s="1">
        <v>1</v>
      </c>
      <c r="D1325" s="1">
        <v>30</v>
      </c>
      <c r="E1325" s="1">
        <v>200</v>
      </c>
      <c r="F1325" s="1">
        <v>3</v>
      </c>
      <c r="G1325" s="1">
        <v>25</v>
      </c>
      <c r="H1325" s="1">
        <v>150</v>
      </c>
      <c r="I1325" s="1">
        <v>100</v>
      </c>
      <c r="J1325" s="1">
        <v>25.283000000000001</v>
      </c>
      <c r="K1325" s="1">
        <v>174.71700000000001</v>
      </c>
      <c r="L1325" s="1">
        <v>12.64</v>
      </c>
      <c r="M1325" s="1">
        <v>86.2</v>
      </c>
      <c r="N1325" s="1">
        <v>3.397E-2</v>
      </c>
      <c r="O1325" s="1">
        <v>2.4580000000000001E-4</v>
      </c>
      <c r="P132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3.9729739581755168</v>
      </c>
      <c r="Q1325" s="1">
        <f>LN(Table1[[#This Row],[qe_mg_g]]-Table1[[#This Row],[qt]])</f>
        <v>3.0591776681569161</v>
      </c>
      <c r="R1325" s="1">
        <v>1</v>
      </c>
    </row>
    <row r="1326" spans="1:18" x14ac:dyDescent="0.3">
      <c r="A1326" s="1">
        <v>1325</v>
      </c>
      <c r="B1326" s="1" t="s">
        <v>18</v>
      </c>
      <c r="C1326" s="1">
        <v>1</v>
      </c>
      <c r="D1326" s="1">
        <v>30</v>
      </c>
      <c r="E1326" s="1">
        <v>200</v>
      </c>
      <c r="F1326" s="1">
        <v>3</v>
      </c>
      <c r="G1326" s="1">
        <v>25</v>
      </c>
      <c r="H1326" s="1">
        <v>150</v>
      </c>
      <c r="I1326" s="1">
        <v>100</v>
      </c>
      <c r="J1326" s="1">
        <v>29.425999999999998</v>
      </c>
      <c r="K1326" s="1">
        <v>170.57400000000001</v>
      </c>
      <c r="L1326" s="1">
        <v>14.71</v>
      </c>
      <c r="M1326" s="1">
        <v>111.4</v>
      </c>
      <c r="N1326" s="1">
        <v>3.209E-2</v>
      </c>
      <c r="O1326" s="1">
        <v>2.5700000000000001E-4</v>
      </c>
      <c r="P1326" s="1">
        <f>(Table1[[#This Row],[Rate_Constant_k2_g_mg_min]]*Table1[[#This Row],[Contact_Time_min]]*Table1[[#This Row],[qe_mg_g]]^2)/(1+Table1[[#This Row],[Contact_Time_min]]*Table1[[#This Row],[qe_mg_g]]*Table1[[#This Row],[Rate_Constant_k2_g_mg_min]])</f>
        <v>5.4414759436430042</v>
      </c>
      <c r="Q1326" s="1">
        <f>LN(Table1[[#This Row],[qe_mg_g]]-Table1[[#This Row],[qt]])</f>
        <v>3.1774087913699023</v>
      </c>
      <c r="R1326" s="1">
        <v>2</v>
      </c>
    </row>
    <row r="1327" spans="1:18" x14ac:dyDescent="0.3">
      <c r="A1327" s="1">
        <v>1326</v>
      </c>
      <c r="B1327" s="1" t="s">
        <v>18</v>
      </c>
      <c r="C1327" s="1">
        <v>1</v>
      </c>
      <c r="D1327" s="1">
        <v>30</v>
      </c>
      <c r="E1327" s="1">
        <v>200</v>
      </c>
      <c r="F1327" s="1">
        <v>3</v>
      </c>
      <c r="G1327" s="1">
        <v>25</v>
      </c>
      <c r="H1327" s="1">
        <v>150</v>
      </c>
      <c r="I1327" s="1">
        <v>100</v>
      </c>
      <c r="J1327" s="1">
        <v>28.667999999999999</v>
      </c>
      <c r="K1327" s="1">
        <v>171.33199999999999</v>
      </c>
      <c r="L1327" s="1">
        <v>14.33</v>
      </c>
      <c r="M1327" s="1">
        <v>95.3</v>
      </c>
      <c r="N1327" s="1">
        <v>3.2570000000000002E-2</v>
      </c>
      <c r="O1327" s="1">
        <v>2.6380000000000002E-4</v>
      </c>
      <c r="P1327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5.3013840026245722</v>
      </c>
      <c r="Q1327" s="1">
        <f>LN(Table1[[#This Row],[qe_mg_g]]-Table1[[#This Row],[qt]])</f>
        <v>3.1513083369268067</v>
      </c>
      <c r="R1327" s="1">
        <v>3</v>
      </c>
    </row>
    <row r="1328" spans="1:18" x14ac:dyDescent="0.3">
      <c r="A1328" s="1">
        <v>1327</v>
      </c>
      <c r="B1328" s="1" t="s">
        <v>18</v>
      </c>
      <c r="C1328" s="1">
        <v>1</v>
      </c>
      <c r="D1328" s="1">
        <v>30</v>
      </c>
      <c r="E1328" s="1">
        <v>200</v>
      </c>
      <c r="F1328" s="1">
        <v>7</v>
      </c>
      <c r="G1328" s="1">
        <v>25</v>
      </c>
      <c r="H1328" s="1">
        <v>150</v>
      </c>
      <c r="I1328" s="1">
        <v>100</v>
      </c>
      <c r="J1328" s="1">
        <v>45.122999999999998</v>
      </c>
      <c r="K1328" s="1">
        <v>154.87700000000001</v>
      </c>
      <c r="L1328" s="1">
        <v>22.56</v>
      </c>
      <c r="M1328" s="1">
        <v>116.2</v>
      </c>
      <c r="N1328" s="1">
        <v>2.9610000000000001E-2</v>
      </c>
      <c r="O1328" s="1">
        <v>2.287E-4</v>
      </c>
      <c r="P1328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10.667149086303001</v>
      </c>
      <c r="Q1328" s="1">
        <f>LN(Table1[[#This Row],[qe_mg_g]]-Table1[[#This Row],[qt]])</f>
        <v>3.5396788208820178</v>
      </c>
      <c r="R1328" s="1">
        <v>1</v>
      </c>
    </row>
    <row r="1329" spans="1:18" x14ac:dyDescent="0.3">
      <c r="A1329" s="1">
        <v>1328</v>
      </c>
      <c r="B1329" s="1" t="s">
        <v>18</v>
      </c>
      <c r="C1329" s="1">
        <v>1</v>
      </c>
      <c r="D1329" s="1">
        <v>30</v>
      </c>
      <c r="E1329" s="1">
        <v>200</v>
      </c>
      <c r="F1329" s="1">
        <v>7</v>
      </c>
      <c r="G1329" s="1">
        <v>25</v>
      </c>
      <c r="H1329" s="1">
        <v>150</v>
      </c>
      <c r="I1329" s="1">
        <v>100</v>
      </c>
      <c r="J1329" s="1">
        <v>43.036999999999999</v>
      </c>
      <c r="K1329" s="1">
        <v>156.96299999999999</v>
      </c>
      <c r="L1329" s="1">
        <v>21.52</v>
      </c>
      <c r="M1329" s="1">
        <v>85.3</v>
      </c>
      <c r="N1329" s="1">
        <v>2.9180000000000001E-2</v>
      </c>
      <c r="O1329" s="1">
        <v>2.8079999999999999E-4</v>
      </c>
      <c r="P1329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11.451223794048357</v>
      </c>
      <c r="Q1329" s="1">
        <f>LN(Table1[[#This Row],[qe_mg_g]]-Table1[[#This Row],[qt]])</f>
        <v>3.4527068991935992</v>
      </c>
      <c r="R1329" s="1">
        <v>2</v>
      </c>
    </row>
    <row r="1330" spans="1:18" x14ac:dyDescent="0.3">
      <c r="A1330" s="1">
        <v>1329</v>
      </c>
      <c r="B1330" s="1" t="s">
        <v>18</v>
      </c>
      <c r="C1330" s="1">
        <v>1</v>
      </c>
      <c r="D1330" s="1">
        <v>30</v>
      </c>
      <c r="E1330" s="1">
        <v>200</v>
      </c>
      <c r="F1330" s="1">
        <v>7</v>
      </c>
      <c r="G1330" s="1">
        <v>25</v>
      </c>
      <c r="H1330" s="1">
        <v>150</v>
      </c>
      <c r="I1330" s="1">
        <v>100</v>
      </c>
      <c r="J1330" s="1">
        <v>42.844999999999999</v>
      </c>
      <c r="K1330" s="1">
        <v>157.155</v>
      </c>
      <c r="L1330" s="1">
        <v>21.42</v>
      </c>
      <c r="M1330" s="1">
        <v>102.8</v>
      </c>
      <c r="N1330" s="1">
        <v>2.8029999999999999E-2</v>
      </c>
      <c r="O1330" s="1">
        <v>2.4350000000000001E-4</v>
      </c>
      <c r="P1330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10.213192144340667</v>
      </c>
      <c r="Q1330" s="1">
        <f>LN(Table1[[#This Row],[qe_mg_g]]-Table1[[#This Row],[qt]])</f>
        <v>3.4852875137795878</v>
      </c>
      <c r="R1330" s="1">
        <v>3</v>
      </c>
    </row>
    <row r="1331" spans="1:18" x14ac:dyDescent="0.3">
      <c r="A1331" s="1">
        <v>1330</v>
      </c>
      <c r="B1331" s="1" t="s">
        <v>18</v>
      </c>
      <c r="C1331" s="1">
        <v>1</v>
      </c>
      <c r="D1331" s="1">
        <v>30</v>
      </c>
      <c r="E1331" s="1">
        <v>200</v>
      </c>
      <c r="F1331" s="1">
        <v>11</v>
      </c>
      <c r="G1331" s="1">
        <v>25</v>
      </c>
      <c r="H1331" s="1">
        <v>150</v>
      </c>
      <c r="I1331" s="1">
        <v>100</v>
      </c>
      <c r="J1331" s="1">
        <v>30.89</v>
      </c>
      <c r="K1331" s="1">
        <v>169.11</v>
      </c>
      <c r="L1331" s="1">
        <v>15.44</v>
      </c>
      <c r="M1331" s="1">
        <v>96.7</v>
      </c>
      <c r="N1331" s="1">
        <v>2.9420000000000002E-2</v>
      </c>
      <c r="O1331" s="1">
        <v>2.6350000000000001E-4</v>
      </c>
      <c r="P1331" s="1">
        <f>(Table1[[#This Row],[Rate_Constant_k2_g_mg_min]]*Table1[[#This Row],[Contact_Time_min]]*Table1[[#This Row],[qe_mg_g]]^2)/(1+Table1[[#This Row],[Contact_Time_min]]*Table1[[#This Row],[qe_mg_g]]*Table1[[#This Row],[Rate_Constant_k2_g_mg_min]])</f>
        <v>6.0625114612134396</v>
      </c>
      <c r="Q1331" s="1">
        <f>LN(Table1[[#This Row],[qe_mg_g]]-Table1[[#This Row],[qt]])</f>
        <v>3.2119514481614591</v>
      </c>
      <c r="R1331" s="1">
        <v>1</v>
      </c>
    </row>
    <row r="1332" spans="1:18" x14ac:dyDescent="0.3">
      <c r="A1332" s="1">
        <v>1331</v>
      </c>
      <c r="B1332" s="1" t="s">
        <v>18</v>
      </c>
      <c r="C1332" s="1">
        <v>1</v>
      </c>
      <c r="D1332" s="1">
        <v>30</v>
      </c>
      <c r="E1332" s="1">
        <v>200</v>
      </c>
      <c r="F1332" s="1">
        <v>11</v>
      </c>
      <c r="G1332" s="1">
        <v>25</v>
      </c>
      <c r="H1332" s="1">
        <v>150</v>
      </c>
      <c r="I1332" s="1">
        <v>100</v>
      </c>
      <c r="J1332" s="1">
        <v>36.466000000000001</v>
      </c>
      <c r="K1332" s="1">
        <v>163.53399999999999</v>
      </c>
      <c r="L1332" s="1">
        <v>18.23</v>
      </c>
      <c r="M1332" s="1">
        <v>82</v>
      </c>
      <c r="N1332" s="1">
        <v>3.3250000000000002E-2</v>
      </c>
      <c r="O1332" s="1">
        <v>2.5530000000000003E-4</v>
      </c>
      <c r="P1332" s="1">
        <f>(Table1[[#This Row],[Rate_Constant_k2_g_mg_min]]*Table1[[#This Row],[Contact_Time_min]]*Table1[[#This Row],[qe_mg_g]]^2)/(1+Table1[[#This Row],[Contact_Time_min]]*Table1[[#This Row],[qe_mg_g]]*Table1[[#This Row],[Rate_Constant_k2_g_mg_min]])</f>
        <v>7.9611951425136063</v>
      </c>
      <c r="Q1332" s="1">
        <f>LN(Table1[[#This Row],[qe_mg_g]]-Table1[[#This Row],[qt]])</f>
        <v>3.3500726645554071</v>
      </c>
      <c r="R1332" s="1">
        <v>2</v>
      </c>
    </row>
    <row r="1333" spans="1:18" x14ac:dyDescent="0.3">
      <c r="A1333" s="1">
        <v>1332</v>
      </c>
      <c r="B1333" s="1" t="s">
        <v>18</v>
      </c>
      <c r="C1333" s="1">
        <v>1</v>
      </c>
      <c r="D1333" s="1">
        <v>30</v>
      </c>
      <c r="E1333" s="1">
        <v>200</v>
      </c>
      <c r="F1333" s="1">
        <v>11</v>
      </c>
      <c r="G1333" s="1">
        <v>25</v>
      </c>
      <c r="H1333" s="1">
        <v>150</v>
      </c>
      <c r="I1333" s="1">
        <v>100</v>
      </c>
      <c r="J1333" s="1">
        <v>36.386000000000003</v>
      </c>
      <c r="K1333" s="1">
        <v>163.614</v>
      </c>
      <c r="L1333" s="1">
        <v>18.190000000000001</v>
      </c>
      <c r="M1333" s="1">
        <v>99.9</v>
      </c>
      <c r="N1333" s="1">
        <v>2.845E-2</v>
      </c>
      <c r="O1333" s="1">
        <v>2.5539999999999997E-4</v>
      </c>
      <c r="P1333" s="1">
        <f>(Table1[[#This Row],[Rate_Constant_k2_g_mg_min]]*Table1[[#This Row],[Contact_Time_min]]*Table1[[#This Row],[qe_mg_g]]^2)/(1+Table1[[#This Row],[Contact_Time_min]]*Table1[[#This Row],[qe_mg_g]]*Table1[[#This Row],[Rate_Constant_k2_g_mg_min]])</f>
        <v>7.9325296755338162</v>
      </c>
      <c r="Q1333" s="1">
        <f>LN(Table1[[#This Row],[qe_mg_g]]-Table1[[#This Row],[qt]])</f>
        <v>3.3482701329037532</v>
      </c>
      <c r="R1333" s="1">
        <v>3</v>
      </c>
    </row>
    <row r="1334" spans="1:18" x14ac:dyDescent="0.3">
      <c r="A1334" s="1">
        <v>1333</v>
      </c>
      <c r="B1334" s="1" t="s">
        <v>18</v>
      </c>
      <c r="C1334" s="1">
        <v>1</v>
      </c>
      <c r="D1334" s="1">
        <v>60</v>
      </c>
      <c r="E1334" s="1">
        <v>25</v>
      </c>
      <c r="F1334" s="1">
        <v>3</v>
      </c>
      <c r="G1334" s="1">
        <v>25</v>
      </c>
      <c r="H1334" s="1">
        <v>150</v>
      </c>
      <c r="I1334" s="1">
        <v>100</v>
      </c>
      <c r="J1334" s="1">
        <v>3.4089999999999998</v>
      </c>
      <c r="K1334" s="1">
        <v>21.591000000000001</v>
      </c>
      <c r="L1334" s="1">
        <v>13.63</v>
      </c>
      <c r="M1334" s="1">
        <v>73.8</v>
      </c>
      <c r="N1334" s="1">
        <v>2.8379999999999999E-2</v>
      </c>
      <c r="O1334" s="1">
        <v>2.4360000000000001E-4</v>
      </c>
      <c r="P133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0.16179505190052723</v>
      </c>
      <c r="Q1334" s="1">
        <f>LN(Table1[[#This Row],[qe_mg_g]]-Table1[[#This Row],[qt]])</f>
        <v>1.1777946103463519</v>
      </c>
      <c r="R1334" s="1">
        <v>1</v>
      </c>
    </row>
    <row r="1335" spans="1:18" x14ac:dyDescent="0.3">
      <c r="A1335" s="1">
        <v>1334</v>
      </c>
      <c r="B1335" s="1" t="s">
        <v>18</v>
      </c>
      <c r="C1335" s="1">
        <v>1</v>
      </c>
      <c r="D1335" s="1">
        <v>60</v>
      </c>
      <c r="E1335" s="1">
        <v>25</v>
      </c>
      <c r="F1335" s="1">
        <v>3</v>
      </c>
      <c r="G1335" s="1">
        <v>25</v>
      </c>
      <c r="H1335" s="1">
        <v>150</v>
      </c>
      <c r="I1335" s="1">
        <v>100</v>
      </c>
      <c r="J1335" s="1">
        <v>3.3439999999999999</v>
      </c>
      <c r="K1335" s="1">
        <v>21.655999999999999</v>
      </c>
      <c r="L1335" s="1">
        <v>13.38</v>
      </c>
      <c r="M1335" s="1">
        <v>117.9</v>
      </c>
      <c r="N1335" s="1">
        <v>2.768E-2</v>
      </c>
      <c r="O1335" s="1">
        <v>2.376E-4</v>
      </c>
      <c r="P133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0.15216152791872092</v>
      </c>
      <c r="Q1335" s="1">
        <f>LN(Table1[[#This Row],[qe_mg_g]]-Table1[[#This Row],[qt]])</f>
        <v>1.1605970743225758</v>
      </c>
      <c r="R1335" s="1">
        <v>2</v>
      </c>
    </row>
    <row r="1336" spans="1:18" x14ac:dyDescent="0.3">
      <c r="A1336" s="1">
        <v>1335</v>
      </c>
      <c r="B1336" s="1" t="s">
        <v>18</v>
      </c>
      <c r="C1336" s="1">
        <v>1</v>
      </c>
      <c r="D1336" s="1">
        <v>60</v>
      </c>
      <c r="E1336" s="1">
        <v>25</v>
      </c>
      <c r="F1336" s="1">
        <v>3</v>
      </c>
      <c r="G1336" s="1">
        <v>25</v>
      </c>
      <c r="H1336" s="1">
        <v>150</v>
      </c>
      <c r="I1336" s="1">
        <v>100</v>
      </c>
      <c r="J1336" s="1">
        <v>3.1179999999999999</v>
      </c>
      <c r="K1336" s="1">
        <v>21.882000000000001</v>
      </c>
      <c r="L1336" s="1">
        <v>12.47</v>
      </c>
      <c r="M1336" s="1">
        <v>88</v>
      </c>
      <c r="N1336" s="1">
        <v>2.896E-2</v>
      </c>
      <c r="O1336" s="1">
        <v>2.6929999999999999E-4</v>
      </c>
      <c r="P133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0.14955230647985929</v>
      </c>
      <c r="Q1336" s="1">
        <f>LN(Table1[[#This Row],[qe_mg_g]]-Table1[[#This Row],[qt]])</f>
        <v>1.088039154064723</v>
      </c>
      <c r="R1336" s="1">
        <v>3</v>
      </c>
    </row>
    <row r="1337" spans="1:18" x14ac:dyDescent="0.3">
      <c r="A1337" s="1">
        <v>1336</v>
      </c>
      <c r="B1337" s="1" t="s">
        <v>18</v>
      </c>
      <c r="C1337" s="1">
        <v>1</v>
      </c>
      <c r="D1337" s="1">
        <v>60</v>
      </c>
      <c r="E1337" s="1">
        <v>25</v>
      </c>
      <c r="F1337" s="1">
        <v>7</v>
      </c>
      <c r="G1337" s="1">
        <v>25</v>
      </c>
      <c r="H1337" s="1">
        <v>150</v>
      </c>
      <c r="I1337" s="1">
        <v>100</v>
      </c>
      <c r="J1337" s="1">
        <v>4.9320000000000004</v>
      </c>
      <c r="K1337" s="1">
        <v>20.068000000000001</v>
      </c>
      <c r="L1337" s="1">
        <v>19.73</v>
      </c>
      <c r="M1337" s="1">
        <v>106.4</v>
      </c>
      <c r="N1337" s="1">
        <v>2.4889999999999999E-2</v>
      </c>
      <c r="O1337" s="1">
        <v>2.3599999999999999E-4</v>
      </c>
      <c r="P133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0.32195244434965953</v>
      </c>
      <c r="Q1337" s="1">
        <f>LN(Table1[[#This Row],[qe_mg_g]]-Table1[[#This Row],[qt]])</f>
        <v>1.528238172714643</v>
      </c>
      <c r="R1337" s="1">
        <v>1</v>
      </c>
    </row>
    <row r="1338" spans="1:18" x14ac:dyDescent="0.3">
      <c r="A1338" s="1">
        <v>1337</v>
      </c>
      <c r="B1338" s="1" t="s">
        <v>18</v>
      </c>
      <c r="C1338" s="1">
        <v>1</v>
      </c>
      <c r="D1338" s="1">
        <v>60</v>
      </c>
      <c r="E1338" s="1">
        <v>25</v>
      </c>
      <c r="F1338" s="1">
        <v>7</v>
      </c>
      <c r="G1338" s="1">
        <v>25</v>
      </c>
      <c r="H1338" s="1">
        <v>150</v>
      </c>
      <c r="I1338" s="1">
        <v>100</v>
      </c>
      <c r="J1338" s="1">
        <v>5.2869999999999999</v>
      </c>
      <c r="K1338" s="1">
        <v>19.713000000000001</v>
      </c>
      <c r="L1338" s="1">
        <v>21.15</v>
      </c>
      <c r="M1338" s="1">
        <v>125.1</v>
      </c>
      <c r="N1338" s="1">
        <v>2.9180000000000001E-2</v>
      </c>
      <c r="O1338" s="1">
        <v>1.95E-4</v>
      </c>
      <c r="P133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0.30799103844309117</v>
      </c>
      <c r="Q1338" s="1">
        <f>LN(Table1[[#This Row],[qe_mg_g]]-Table1[[#This Row],[qt]])</f>
        <v>1.6052308675292652</v>
      </c>
      <c r="R1338" s="1">
        <v>2</v>
      </c>
    </row>
    <row r="1339" spans="1:18" x14ac:dyDescent="0.3">
      <c r="A1339" s="1">
        <v>1338</v>
      </c>
      <c r="B1339" s="1" t="s">
        <v>18</v>
      </c>
      <c r="C1339" s="1">
        <v>1</v>
      </c>
      <c r="D1339" s="1">
        <v>60</v>
      </c>
      <c r="E1339" s="1">
        <v>25</v>
      </c>
      <c r="F1339" s="1">
        <v>7</v>
      </c>
      <c r="G1339" s="1">
        <v>25</v>
      </c>
      <c r="H1339" s="1">
        <v>150</v>
      </c>
      <c r="I1339" s="1">
        <v>100</v>
      </c>
      <c r="J1339" s="1">
        <v>4.468</v>
      </c>
      <c r="K1339" s="1">
        <v>20.532</v>
      </c>
      <c r="L1339" s="1">
        <v>17.87</v>
      </c>
      <c r="M1339" s="1">
        <v>100.5</v>
      </c>
      <c r="N1339" s="1">
        <v>3.184E-2</v>
      </c>
      <c r="O1339" s="1">
        <v>2.5940000000000002E-4</v>
      </c>
      <c r="P133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0.29050294470533256</v>
      </c>
      <c r="Q1339" s="1">
        <f>LN(Table1[[#This Row],[qe_mg_g]]-Table1[[#This Row],[qt]])</f>
        <v>1.4297122765906145</v>
      </c>
      <c r="R1339" s="1">
        <v>3</v>
      </c>
    </row>
    <row r="1340" spans="1:18" x14ac:dyDescent="0.3">
      <c r="A1340" s="1">
        <v>1339</v>
      </c>
      <c r="B1340" s="1" t="s">
        <v>18</v>
      </c>
      <c r="C1340" s="1">
        <v>1</v>
      </c>
      <c r="D1340" s="1">
        <v>60</v>
      </c>
      <c r="E1340" s="1">
        <v>25</v>
      </c>
      <c r="F1340" s="1">
        <v>11</v>
      </c>
      <c r="G1340" s="1">
        <v>25</v>
      </c>
      <c r="H1340" s="1">
        <v>150</v>
      </c>
      <c r="I1340" s="1">
        <v>100</v>
      </c>
      <c r="J1340" s="1">
        <v>4.1509999999999998</v>
      </c>
      <c r="K1340" s="1">
        <v>20.849</v>
      </c>
      <c r="L1340" s="1">
        <v>16.61</v>
      </c>
      <c r="M1340" s="1">
        <v>117.4</v>
      </c>
      <c r="N1340" s="1">
        <v>2.8379999999999999E-2</v>
      </c>
      <c r="O1340" s="1">
        <v>2.7240000000000001E-4</v>
      </c>
      <c r="P134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0.26372787252890956</v>
      </c>
      <c r="Q1340" s="1">
        <f>LN(Table1[[#This Row],[qe_mg_g]]-Table1[[#This Row],[qt]])</f>
        <v>1.3577076590596313</v>
      </c>
      <c r="R1340" s="1">
        <v>1</v>
      </c>
    </row>
    <row r="1341" spans="1:18" x14ac:dyDescent="0.3">
      <c r="A1341" s="1">
        <v>1340</v>
      </c>
      <c r="B1341" s="1" t="s">
        <v>18</v>
      </c>
      <c r="C1341" s="1">
        <v>1</v>
      </c>
      <c r="D1341" s="1">
        <v>60</v>
      </c>
      <c r="E1341" s="1">
        <v>25</v>
      </c>
      <c r="F1341" s="1">
        <v>11</v>
      </c>
      <c r="G1341" s="1">
        <v>25</v>
      </c>
      <c r="H1341" s="1">
        <v>150</v>
      </c>
      <c r="I1341" s="1">
        <v>100</v>
      </c>
      <c r="J1341" s="1">
        <v>3.4889999999999999</v>
      </c>
      <c r="K1341" s="1">
        <v>21.510999999999999</v>
      </c>
      <c r="L1341" s="1">
        <v>13.96</v>
      </c>
      <c r="M1341" s="1">
        <v>86.4</v>
      </c>
      <c r="N1341" s="1">
        <v>2.4580000000000001E-2</v>
      </c>
      <c r="O1341" s="1">
        <v>2.431E-4</v>
      </c>
      <c r="P134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0.16895873907150941</v>
      </c>
      <c r="Q1341" s="1">
        <f>LN(Table1[[#This Row],[qe_mg_g]]-Table1[[#This Row],[qt]])</f>
        <v>1.1999772108416795</v>
      </c>
      <c r="R1341" s="1">
        <v>2</v>
      </c>
    </row>
    <row r="1342" spans="1:18" x14ac:dyDescent="0.3">
      <c r="A1342" s="1">
        <v>1341</v>
      </c>
      <c r="B1342" s="1" t="s">
        <v>18</v>
      </c>
      <c r="C1342" s="1">
        <v>1</v>
      </c>
      <c r="D1342" s="1">
        <v>60</v>
      </c>
      <c r="E1342" s="1">
        <v>25</v>
      </c>
      <c r="F1342" s="1">
        <v>11</v>
      </c>
      <c r="G1342" s="1">
        <v>25</v>
      </c>
      <c r="H1342" s="1">
        <v>150</v>
      </c>
      <c r="I1342" s="1">
        <v>100</v>
      </c>
      <c r="J1342" s="1">
        <v>4.0730000000000004</v>
      </c>
      <c r="K1342" s="1">
        <v>20.927</v>
      </c>
      <c r="L1342" s="1">
        <v>16.29</v>
      </c>
      <c r="M1342" s="1">
        <v>101.7</v>
      </c>
      <c r="N1342" s="1">
        <v>3.0190000000000002E-2</v>
      </c>
      <c r="O1342" s="1">
        <v>2.2680000000000001E-4</v>
      </c>
      <c r="P134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0.21389251429260681</v>
      </c>
      <c r="Q1342" s="1">
        <f>LN(Table1[[#This Row],[qe_mg_g]]-Table1[[#This Row],[qt]])</f>
        <v>1.3504359354216409</v>
      </c>
      <c r="R1342" s="1">
        <v>3</v>
      </c>
    </row>
    <row r="1343" spans="1:18" x14ac:dyDescent="0.3">
      <c r="A1343" s="1">
        <v>1342</v>
      </c>
      <c r="B1343" s="1" t="s">
        <v>18</v>
      </c>
      <c r="C1343" s="1">
        <v>1</v>
      </c>
      <c r="D1343" s="1">
        <v>60</v>
      </c>
      <c r="E1343" s="1">
        <v>50</v>
      </c>
      <c r="F1343" s="1">
        <v>3</v>
      </c>
      <c r="G1343" s="1">
        <v>25</v>
      </c>
      <c r="H1343" s="1">
        <v>150</v>
      </c>
      <c r="I1343" s="1">
        <v>100</v>
      </c>
      <c r="J1343" s="1">
        <v>10.186</v>
      </c>
      <c r="K1343" s="1">
        <v>39.814</v>
      </c>
      <c r="L1343" s="1">
        <v>20.37</v>
      </c>
      <c r="M1343" s="1">
        <v>77.5</v>
      </c>
      <c r="N1343" s="1">
        <v>3.4090000000000002E-2</v>
      </c>
      <c r="O1343" s="1">
        <v>2.4240000000000001E-4</v>
      </c>
      <c r="P134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1.3142996767767656</v>
      </c>
      <c r="Q1343" s="1">
        <f>LN(Table1[[#This Row],[qe_mg_g]]-Table1[[#This Row],[qt]])</f>
        <v>2.1828664716623476</v>
      </c>
      <c r="R1343" s="1">
        <v>1</v>
      </c>
    </row>
    <row r="1344" spans="1:18" x14ac:dyDescent="0.3">
      <c r="A1344" s="1">
        <v>1343</v>
      </c>
      <c r="B1344" s="1" t="s">
        <v>18</v>
      </c>
      <c r="C1344" s="1">
        <v>1</v>
      </c>
      <c r="D1344" s="1">
        <v>60</v>
      </c>
      <c r="E1344" s="1">
        <v>50</v>
      </c>
      <c r="F1344" s="1">
        <v>3</v>
      </c>
      <c r="G1344" s="1">
        <v>25</v>
      </c>
      <c r="H1344" s="1">
        <v>150</v>
      </c>
      <c r="I1344" s="1">
        <v>100</v>
      </c>
      <c r="J1344" s="1">
        <v>9.907</v>
      </c>
      <c r="K1344" s="1">
        <v>40.093000000000004</v>
      </c>
      <c r="L1344" s="1">
        <v>19.809999999999999</v>
      </c>
      <c r="M1344" s="1">
        <v>123.8</v>
      </c>
      <c r="N1344" s="1">
        <v>2.6270000000000002E-2</v>
      </c>
      <c r="O1344" s="1">
        <v>2.219E-4</v>
      </c>
      <c r="P134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1.1544739261788859</v>
      </c>
      <c r="Q1344" s="1">
        <f>LN(Table1[[#This Row],[qe_mg_g]]-Table1[[#This Row],[qt]])</f>
        <v>2.1693423528563698</v>
      </c>
      <c r="R1344" s="1">
        <v>2</v>
      </c>
    </row>
    <row r="1345" spans="1:18" x14ac:dyDescent="0.3">
      <c r="A1345" s="1">
        <v>1344</v>
      </c>
      <c r="B1345" s="1" t="s">
        <v>18</v>
      </c>
      <c r="C1345" s="1">
        <v>1</v>
      </c>
      <c r="D1345" s="1">
        <v>60</v>
      </c>
      <c r="E1345" s="1">
        <v>50</v>
      </c>
      <c r="F1345" s="1">
        <v>3</v>
      </c>
      <c r="G1345" s="1">
        <v>25</v>
      </c>
      <c r="H1345" s="1">
        <v>150</v>
      </c>
      <c r="I1345" s="1">
        <v>100</v>
      </c>
      <c r="J1345" s="1">
        <v>9.3409999999999993</v>
      </c>
      <c r="K1345" s="1">
        <v>40.658999999999999</v>
      </c>
      <c r="L1345" s="1">
        <v>18.68</v>
      </c>
      <c r="M1345" s="1">
        <v>99</v>
      </c>
      <c r="N1345" s="1">
        <v>3.1289999999999998E-2</v>
      </c>
      <c r="O1345" s="1">
        <v>2.6850000000000002E-4</v>
      </c>
      <c r="P134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1.221804966948201</v>
      </c>
      <c r="Q1345" s="1">
        <f>LN(Table1[[#This Row],[qe_mg_g]]-Table1[[#This Row],[qt]])</f>
        <v>2.0942310153988846</v>
      </c>
      <c r="R1345" s="1">
        <v>3</v>
      </c>
    </row>
    <row r="1346" spans="1:18" x14ac:dyDescent="0.3">
      <c r="A1346" s="1">
        <v>1345</v>
      </c>
      <c r="B1346" s="1" t="s">
        <v>18</v>
      </c>
      <c r="C1346" s="1">
        <v>1</v>
      </c>
      <c r="D1346" s="1">
        <v>60</v>
      </c>
      <c r="E1346" s="1">
        <v>50</v>
      </c>
      <c r="F1346" s="1">
        <v>7</v>
      </c>
      <c r="G1346" s="1">
        <v>25</v>
      </c>
      <c r="H1346" s="1">
        <v>150</v>
      </c>
      <c r="I1346" s="1">
        <v>100</v>
      </c>
      <c r="J1346" s="1">
        <v>20.463000000000001</v>
      </c>
      <c r="K1346" s="1">
        <v>29.536999999999999</v>
      </c>
      <c r="L1346" s="1">
        <v>40.93</v>
      </c>
      <c r="M1346" s="1">
        <v>66.3</v>
      </c>
      <c r="N1346" s="1">
        <v>3.1829999999999997E-2</v>
      </c>
      <c r="O1346" s="1">
        <v>2.3609999999999999E-4</v>
      </c>
      <c r="P134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4.5987195111108647</v>
      </c>
      <c r="Q1346" s="1">
        <f>LN(Table1[[#This Row],[qe_mg_g]]-Table1[[#This Row],[qt]])</f>
        <v>2.7640700719039248</v>
      </c>
      <c r="R1346" s="1">
        <v>1</v>
      </c>
    </row>
    <row r="1347" spans="1:18" x14ac:dyDescent="0.3">
      <c r="A1347" s="1">
        <v>1346</v>
      </c>
      <c r="B1347" s="1" t="s">
        <v>18</v>
      </c>
      <c r="C1347" s="1">
        <v>1</v>
      </c>
      <c r="D1347" s="1">
        <v>60</v>
      </c>
      <c r="E1347" s="1">
        <v>50</v>
      </c>
      <c r="F1347" s="1">
        <v>7</v>
      </c>
      <c r="G1347" s="1">
        <v>25</v>
      </c>
      <c r="H1347" s="1">
        <v>150</v>
      </c>
      <c r="I1347" s="1">
        <v>100</v>
      </c>
      <c r="J1347" s="1">
        <v>15.74</v>
      </c>
      <c r="K1347" s="1">
        <v>34.26</v>
      </c>
      <c r="L1347" s="1">
        <v>31.48</v>
      </c>
      <c r="M1347" s="1">
        <v>90.7</v>
      </c>
      <c r="N1347" s="1">
        <v>2.7269999999999999E-2</v>
      </c>
      <c r="O1347" s="1">
        <v>2.921E-4</v>
      </c>
      <c r="P134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3.4032158889251765</v>
      </c>
      <c r="Q1347" s="1">
        <f>LN(Table1[[#This Row],[qe_mg_g]]-Table1[[#This Row],[qt]])</f>
        <v>2.5125853776312623</v>
      </c>
      <c r="R1347" s="1">
        <v>2</v>
      </c>
    </row>
    <row r="1348" spans="1:18" x14ac:dyDescent="0.3">
      <c r="A1348" s="1">
        <v>1347</v>
      </c>
      <c r="B1348" s="1" t="s">
        <v>18</v>
      </c>
      <c r="C1348" s="1">
        <v>1</v>
      </c>
      <c r="D1348" s="1">
        <v>60</v>
      </c>
      <c r="E1348" s="1">
        <v>50</v>
      </c>
      <c r="F1348" s="1">
        <v>7</v>
      </c>
      <c r="G1348" s="1">
        <v>25</v>
      </c>
      <c r="H1348" s="1">
        <v>150</v>
      </c>
      <c r="I1348" s="1">
        <v>100</v>
      </c>
      <c r="J1348" s="1">
        <v>17.876999999999999</v>
      </c>
      <c r="K1348" s="1">
        <v>32.122999999999998</v>
      </c>
      <c r="L1348" s="1">
        <v>35.75</v>
      </c>
      <c r="M1348" s="1">
        <v>100.3</v>
      </c>
      <c r="N1348" s="1">
        <v>3.4049999999999997E-2</v>
      </c>
      <c r="O1348" s="1">
        <v>2.1220000000000001E-4</v>
      </c>
      <c r="P1348" s="1">
        <f>(Table1[[#This Row],[Rate_Constant_k2_g_mg_min]]*Table1[[#This Row],[Contact_Time_min]]*Table1[[#This Row],[qe_mg_g]]^2)/(1+Table1[[#This Row],[Contact_Time_min]]*Table1[[#This Row],[qe_mg_g]]*Table1[[#This Row],[Rate_Constant_k2_g_mg_min]])</f>
        <v>3.3145571034384336</v>
      </c>
      <c r="Q1348" s="1">
        <f>LN(Table1[[#This Row],[qe_mg_g]]-Table1[[#This Row],[qt]])</f>
        <v>2.6784458100520725</v>
      </c>
      <c r="R1348" s="1">
        <v>3</v>
      </c>
    </row>
    <row r="1349" spans="1:18" x14ac:dyDescent="0.3">
      <c r="A1349" s="1">
        <v>1348</v>
      </c>
      <c r="B1349" s="1" t="s">
        <v>18</v>
      </c>
      <c r="C1349" s="1">
        <v>1</v>
      </c>
      <c r="D1349" s="1">
        <v>60</v>
      </c>
      <c r="E1349" s="1">
        <v>50</v>
      </c>
      <c r="F1349" s="1">
        <v>11</v>
      </c>
      <c r="G1349" s="1">
        <v>25</v>
      </c>
      <c r="H1349" s="1">
        <v>150</v>
      </c>
      <c r="I1349" s="1">
        <v>100</v>
      </c>
      <c r="J1349" s="1">
        <v>11.228</v>
      </c>
      <c r="K1349" s="1">
        <v>38.771999999999998</v>
      </c>
      <c r="L1349" s="1">
        <v>22.46</v>
      </c>
      <c r="M1349" s="1">
        <v>67.3</v>
      </c>
      <c r="N1349" s="1">
        <v>2.7900000000000001E-2</v>
      </c>
      <c r="O1349" s="1">
        <v>2.5399999999999999E-4</v>
      </c>
      <c r="P134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1.6405532637827316</v>
      </c>
      <c r="Q1349" s="1">
        <f>LN(Table1[[#This Row],[qe_mg_g]]-Table1[[#This Row],[qt]])</f>
        <v>2.2604546111334596</v>
      </c>
      <c r="R1349" s="1">
        <v>1</v>
      </c>
    </row>
    <row r="1350" spans="1:18" x14ac:dyDescent="0.3">
      <c r="A1350" s="1">
        <v>1349</v>
      </c>
      <c r="B1350" s="1" t="s">
        <v>18</v>
      </c>
      <c r="C1350" s="1">
        <v>1</v>
      </c>
      <c r="D1350" s="1">
        <v>60</v>
      </c>
      <c r="E1350" s="1">
        <v>50</v>
      </c>
      <c r="F1350" s="1">
        <v>11</v>
      </c>
      <c r="G1350" s="1">
        <v>25</v>
      </c>
      <c r="H1350" s="1">
        <v>150</v>
      </c>
      <c r="I1350" s="1">
        <v>100</v>
      </c>
      <c r="J1350" s="1">
        <v>12.874000000000001</v>
      </c>
      <c r="K1350" s="1">
        <v>37.125999999999998</v>
      </c>
      <c r="L1350" s="1">
        <v>25.75</v>
      </c>
      <c r="M1350" s="1">
        <v>102.2</v>
      </c>
      <c r="N1350" s="1">
        <v>2.5770000000000001E-2</v>
      </c>
      <c r="O1350" s="1">
        <v>2.7010000000000001E-4</v>
      </c>
      <c r="P135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2.2223236215649389</v>
      </c>
      <c r="Q1350" s="1">
        <f>LN(Table1[[#This Row],[qe_mg_g]]-Table1[[#This Row],[qt]])</f>
        <v>2.3657172861941698</v>
      </c>
      <c r="R1350" s="1">
        <v>2</v>
      </c>
    </row>
    <row r="1351" spans="1:18" x14ac:dyDescent="0.3">
      <c r="A1351" s="1">
        <v>1350</v>
      </c>
      <c r="B1351" s="1" t="s">
        <v>18</v>
      </c>
      <c r="C1351" s="1">
        <v>1</v>
      </c>
      <c r="D1351" s="1">
        <v>60</v>
      </c>
      <c r="E1351" s="1">
        <v>50</v>
      </c>
      <c r="F1351" s="1">
        <v>11</v>
      </c>
      <c r="G1351" s="1">
        <v>25</v>
      </c>
      <c r="H1351" s="1">
        <v>150</v>
      </c>
      <c r="I1351" s="1">
        <v>100</v>
      </c>
      <c r="J1351" s="1">
        <v>13.031000000000001</v>
      </c>
      <c r="K1351" s="1">
        <v>36.969000000000001</v>
      </c>
      <c r="L1351" s="1">
        <v>26.06</v>
      </c>
      <c r="M1351" s="1">
        <v>111</v>
      </c>
      <c r="N1351" s="1">
        <v>2.4320000000000001E-2</v>
      </c>
      <c r="O1351" s="1">
        <v>2.5779999999999998E-4</v>
      </c>
      <c r="P135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2.185963584330159</v>
      </c>
      <c r="Q1351" s="1">
        <f>LN(Table1[[#This Row],[qe_mg_g]]-Table1[[#This Row],[qt]])</f>
        <v>2.3837075021035221</v>
      </c>
      <c r="R1351" s="1">
        <v>3</v>
      </c>
    </row>
    <row r="1352" spans="1:18" x14ac:dyDescent="0.3">
      <c r="A1352" s="1">
        <v>1351</v>
      </c>
      <c r="B1352" s="1" t="s">
        <v>18</v>
      </c>
      <c r="C1352" s="1">
        <v>1</v>
      </c>
      <c r="D1352" s="1">
        <v>60</v>
      </c>
      <c r="E1352" s="1">
        <v>100</v>
      </c>
      <c r="F1352" s="1">
        <v>3</v>
      </c>
      <c r="G1352" s="1">
        <v>25</v>
      </c>
      <c r="H1352" s="1">
        <v>150</v>
      </c>
      <c r="I1352" s="1">
        <v>100</v>
      </c>
      <c r="J1352" s="1">
        <v>23.741</v>
      </c>
      <c r="K1352" s="1">
        <v>76.259</v>
      </c>
      <c r="L1352" s="1">
        <v>23.74</v>
      </c>
      <c r="M1352" s="1">
        <v>94</v>
      </c>
      <c r="N1352" s="1">
        <v>3.1600000000000003E-2</v>
      </c>
      <c r="O1352" s="1">
        <v>2.5230000000000001E-4</v>
      </c>
      <c r="P1352" s="1">
        <f>(Table1[[#This Row],[Rate_Constant_k2_g_mg_min]]*Table1[[#This Row],[Contact_Time_min]]*Table1[[#This Row],[qe_mg_g]]^2)/(1+Table1[[#This Row],[Contact_Time_min]]*Table1[[#This Row],[qe_mg_g]]*Table1[[#This Row],[Rate_Constant_k2_g_mg_min]])</f>
        <v>6.2765651948734247</v>
      </c>
      <c r="Q1352" s="1">
        <f>LN(Table1[[#This Row],[qe_mg_g]]-Table1[[#This Row],[qt]])</f>
        <v>2.8601665161620922</v>
      </c>
      <c r="R1352" s="1">
        <v>1</v>
      </c>
    </row>
    <row r="1353" spans="1:18" x14ac:dyDescent="0.3">
      <c r="A1353" s="1">
        <v>1352</v>
      </c>
      <c r="B1353" s="1" t="s">
        <v>18</v>
      </c>
      <c r="C1353" s="1">
        <v>1</v>
      </c>
      <c r="D1353" s="1">
        <v>60</v>
      </c>
      <c r="E1353" s="1">
        <v>100</v>
      </c>
      <c r="F1353" s="1">
        <v>3</v>
      </c>
      <c r="G1353" s="1">
        <v>25</v>
      </c>
      <c r="H1353" s="1">
        <v>150</v>
      </c>
      <c r="I1353" s="1">
        <v>100</v>
      </c>
      <c r="J1353" s="1">
        <v>24.545000000000002</v>
      </c>
      <c r="K1353" s="1">
        <v>75.454999999999998</v>
      </c>
      <c r="L1353" s="1">
        <v>24.54</v>
      </c>
      <c r="M1353" s="1">
        <v>100.1</v>
      </c>
      <c r="N1353" s="1">
        <v>2.5409999999999999E-2</v>
      </c>
      <c r="O1353" s="1">
        <v>2.788E-4</v>
      </c>
      <c r="P1353" s="1">
        <f>(Table1[[#This Row],[Rate_Constant_k2_g_mg_min]]*Table1[[#This Row],[Contact_Time_min]]*Table1[[#This Row],[qe_mg_g]]^2)/(1+Table1[[#This Row],[Contact_Time_min]]*Table1[[#This Row],[qe_mg_g]]*Table1[[#This Row],[Rate_Constant_k2_g_mg_min]])</f>
        <v>7.144464354160883</v>
      </c>
      <c r="Q1353" s="1">
        <f>LN(Table1[[#This Row],[qe_mg_g]]-Table1[[#This Row],[qt]])</f>
        <v>2.8565009899902858</v>
      </c>
      <c r="R1353" s="1">
        <v>2</v>
      </c>
    </row>
    <row r="1354" spans="1:18" x14ac:dyDescent="0.3">
      <c r="A1354" s="1">
        <v>1353</v>
      </c>
      <c r="B1354" s="1" t="s">
        <v>18</v>
      </c>
      <c r="C1354" s="1">
        <v>1</v>
      </c>
      <c r="D1354" s="1">
        <v>60</v>
      </c>
      <c r="E1354" s="1">
        <v>100</v>
      </c>
      <c r="F1354" s="1">
        <v>3</v>
      </c>
      <c r="G1354" s="1">
        <v>25</v>
      </c>
      <c r="H1354" s="1">
        <v>150</v>
      </c>
      <c r="I1354" s="1">
        <v>100</v>
      </c>
      <c r="J1354" s="1">
        <v>26.091000000000001</v>
      </c>
      <c r="K1354" s="1">
        <v>73.909000000000006</v>
      </c>
      <c r="L1354" s="1">
        <v>26.09</v>
      </c>
      <c r="M1354" s="1">
        <v>116.8</v>
      </c>
      <c r="N1354" s="1">
        <v>2.8420000000000001E-2</v>
      </c>
      <c r="O1354" s="1">
        <v>2.3690000000000001E-4</v>
      </c>
      <c r="P1354" s="1">
        <f>(Table1[[#This Row],[Rate_Constant_k2_g_mg_min]]*Table1[[#This Row],[Contact_Time_min]]*Table1[[#This Row],[qe_mg_g]]^2)/(1+Table1[[#This Row],[Contact_Time_min]]*Table1[[#This Row],[qe_mg_g]]*Table1[[#This Row],[Rate_Constant_k2_g_mg_min]])</f>
        <v>7.0583868400997618</v>
      </c>
      <c r="Q1354" s="1">
        <f>LN(Table1[[#This Row],[qe_mg_g]]-Table1[[#This Row],[qt]])</f>
        <v>2.9461539897946492</v>
      </c>
      <c r="R1354" s="1">
        <v>3</v>
      </c>
    </row>
    <row r="1355" spans="1:18" x14ac:dyDescent="0.3">
      <c r="A1355" s="1">
        <v>1354</v>
      </c>
      <c r="B1355" s="1" t="s">
        <v>18</v>
      </c>
      <c r="C1355" s="1">
        <v>1</v>
      </c>
      <c r="D1355" s="1">
        <v>60</v>
      </c>
      <c r="E1355" s="1">
        <v>100</v>
      </c>
      <c r="F1355" s="1">
        <v>7</v>
      </c>
      <c r="G1355" s="1">
        <v>25</v>
      </c>
      <c r="H1355" s="1">
        <v>150</v>
      </c>
      <c r="I1355" s="1">
        <v>100</v>
      </c>
      <c r="J1355" s="1">
        <v>38.098999999999997</v>
      </c>
      <c r="K1355" s="1">
        <v>61.901000000000003</v>
      </c>
      <c r="L1355" s="1">
        <v>38.1</v>
      </c>
      <c r="M1355" s="1">
        <v>113.1</v>
      </c>
      <c r="N1355" s="1">
        <v>2.7869999999999999E-2</v>
      </c>
      <c r="O1355" s="1">
        <v>2.6610000000000002E-4</v>
      </c>
      <c r="P1355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14.409844213800492</v>
      </c>
      <c r="Q1355" s="1">
        <f>LN(Table1[[#This Row],[qe_mg_g]]-Table1[[#This Row],[qt]])</f>
        <v>3.1650173816640246</v>
      </c>
      <c r="R1355" s="1">
        <v>1</v>
      </c>
    </row>
    <row r="1356" spans="1:18" x14ac:dyDescent="0.3">
      <c r="A1356" s="1">
        <v>1355</v>
      </c>
      <c r="B1356" s="1" t="s">
        <v>18</v>
      </c>
      <c r="C1356" s="1">
        <v>1</v>
      </c>
      <c r="D1356" s="1">
        <v>60</v>
      </c>
      <c r="E1356" s="1">
        <v>100</v>
      </c>
      <c r="F1356" s="1">
        <v>7</v>
      </c>
      <c r="G1356" s="1">
        <v>25</v>
      </c>
      <c r="H1356" s="1">
        <v>150</v>
      </c>
      <c r="I1356" s="1">
        <v>100</v>
      </c>
      <c r="J1356" s="1">
        <v>39.503999999999998</v>
      </c>
      <c r="K1356" s="1">
        <v>60.496000000000002</v>
      </c>
      <c r="L1356" s="1">
        <v>39.5</v>
      </c>
      <c r="M1356" s="1">
        <v>70.400000000000006</v>
      </c>
      <c r="N1356" s="1">
        <v>2.8289999999999999E-2</v>
      </c>
      <c r="O1356" s="1">
        <v>2.2049999999999999E-4</v>
      </c>
      <c r="P1356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13.559552222159288</v>
      </c>
      <c r="Q1356" s="1">
        <f>LN(Table1[[#This Row],[qe_mg_g]]-Table1[[#This Row],[qt]])</f>
        <v>3.2559576282548073</v>
      </c>
      <c r="R1356" s="1">
        <v>2</v>
      </c>
    </row>
    <row r="1357" spans="1:18" x14ac:dyDescent="0.3">
      <c r="A1357" s="1">
        <v>1356</v>
      </c>
      <c r="B1357" s="1" t="s">
        <v>18</v>
      </c>
      <c r="C1357" s="1">
        <v>1</v>
      </c>
      <c r="D1357" s="1">
        <v>60</v>
      </c>
      <c r="E1357" s="1">
        <v>100</v>
      </c>
      <c r="F1357" s="1">
        <v>7</v>
      </c>
      <c r="G1357" s="1">
        <v>25</v>
      </c>
      <c r="H1357" s="1">
        <v>150</v>
      </c>
      <c r="I1357" s="1">
        <v>100</v>
      </c>
      <c r="J1357" s="1">
        <v>41.036999999999999</v>
      </c>
      <c r="K1357" s="1">
        <v>58.963000000000001</v>
      </c>
      <c r="L1357" s="1">
        <v>41.04</v>
      </c>
      <c r="M1357" s="1">
        <v>82.1</v>
      </c>
      <c r="N1357" s="1">
        <v>3.2779999999999997E-2</v>
      </c>
      <c r="O1357" s="1">
        <v>2.477E-4</v>
      </c>
      <c r="P1357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15.546468522114319</v>
      </c>
      <c r="Q1357" s="1">
        <f>LN(Table1[[#This Row],[qe_mg_g]]-Table1[[#This Row],[qt]])</f>
        <v>3.238307068617329</v>
      </c>
      <c r="R1357" s="1">
        <v>3</v>
      </c>
    </row>
    <row r="1358" spans="1:18" x14ac:dyDescent="0.3">
      <c r="A1358" s="1">
        <v>1357</v>
      </c>
      <c r="B1358" s="1" t="s">
        <v>18</v>
      </c>
      <c r="C1358" s="1">
        <v>1</v>
      </c>
      <c r="D1358" s="1">
        <v>60</v>
      </c>
      <c r="E1358" s="1">
        <v>100</v>
      </c>
      <c r="F1358" s="1">
        <v>11</v>
      </c>
      <c r="G1358" s="1">
        <v>25</v>
      </c>
      <c r="H1358" s="1">
        <v>150</v>
      </c>
      <c r="I1358" s="1">
        <v>100</v>
      </c>
      <c r="J1358" s="1">
        <v>31.635000000000002</v>
      </c>
      <c r="K1358" s="1">
        <v>68.364999999999995</v>
      </c>
      <c r="L1358" s="1">
        <v>31.64</v>
      </c>
      <c r="M1358" s="1">
        <v>109.8</v>
      </c>
      <c r="N1358" s="1">
        <v>3.2890000000000003E-2</v>
      </c>
      <c r="O1358" s="1">
        <v>2.4949999999999999E-4</v>
      </c>
      <c r="P1358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10.16681575065744</v>
      </c>
      <c r="Q1358" s="1">
        <f>LN(Table1[[#This Row],[qe_mg_g]]-Table1[[#This Row],[qt]])</f>
        <v>3.0665720367885858</v>
      </c>
      <c r="R1358" s="1">
        <v>1</v>
      </c>
    </row>
    <row r="1359" spans="1:18" x14ac:dyDescent="0.3">
      <c r="A1359" s="1">
        <v>1358</v>
      </c>
      <c r="B1359" s="1" t="s">
        <v>18</v>
      </c>
      <c r="C1359" s="1">
        <v>1</v>
      </c>
      <c r="D1359" s="1">
        <v>60</v>
      </c>
      <c r="E1359" s="1">
        <v>100</v>
      </c>
      <c r="F1359" s="1">
        <v>11</v>
      </c>
      <c r="G1359" s="1">
        <v>25</v>
      </c>
      <c r="H1359" s="1">
        <v>150</v>
      </c>
      <c r="I1359" s="1">
        <v>100</v>
      </c>
      <c r="J1359" s="1">
        <v>29.917999999999999</v>
      </c>
      <c r="K1359" s="1">
        <v>70.081999999999994</v>
      </c>
      <c r="L1359" s="1">
        <v>29.92</v>
      </c>
      <c r="M1359" s="1">
        <v>73.400000000000006</v>
      </c>
      <c r="N1359" s="1">
        <v>2.794E-2</v>
      </c>
      <c r="O1359" s="1">
        <v>2.3460000000000001E-4</v>
      </c>
      <c r="P135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8.865676079292653</v>
      </c>
      <c r="Q1359" s="1">
        <f>LN(Table1[[#This Row],[qe_mg_g]]-Table1[[#This Row],[qt]])</f>
        <v>3.0470109540683583</v>
      </c>
      <c r="R1359" s="1">
        <v>2</v>
      </c>
    </row>
    <row r="1360" spans="1:18" x14ac:dyDescent="0.3">
      <c r="A1360" s="1">
        <v>1359</v>
      </c>
      <c r="B1360" s="1" t="s">
        <v>18</v>
      </c>
      <c r="C1360" s="1">
        <v>1</v>
      </c>
      <c r="D1360" s="1">
        <v>60</v>
      </c>
      <c r="E1360" s="1">
        <v>100</v>
      </c>
      <c r="F1360" s="1">
        <v>11</v>
      </c>
      <c r="G1360" s="1">
        <v>25</v>
      </c>
      <c r="H1360" s="1">
        <v>150</v>
      </c>
      <c r="I1360" s="1">
        <v>100</v>
      </c>
      <c r="J1360" s="1">
        <v>32.459000000000003</v>
      </c>
      <c r="K1360" s="1">
        <v>67.540999999999997</v>
      </c>
      <c r="L1360" s="1">
        <v>32.46</v>
      </c>
      <c r="M1360" s="1">
        <v>94.8</v>
      </c>
      <c r="N1360" s="1">
        <v>3.2059999999999998E-2</v>
      </c>
      <c r="O1360" s="1">
        <v>2.3470000000000001E-4</v>
      </c>
      <c r="P1360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10.182371502517684</v>
      </c>
      <c r="Q1360" s="1">
        <f>LN(Table1[[#This Row],[qe_mg_g]]-Table1[[#This Row],[qt]])</f>
        <v>3.1035380794379734</v>
      </c>
      <c r="R1360" s="1">
        <v>3</v>
      </c>
    </row>
    <row r="1361" spans="1:18" x14ac:dyDescent="0.3">
      <c r="A1361" s="1">
        <v>1360</v>
      </c>
      <c r="B1361" s="1" t="s">
        <v>18</v>
      </c>
      <c r="C1361" s="1">
        <v>1</v>
      </c>
      <c r="D1361" s="1">
        <v>60</v>
      </c>
      <c r="E1361" s="1">
        <v>200</v>
      </c>
      <c r="F1361" s="1">
        <v>3</v>
      </c>
      <c r="G1361" s="1">
        <v>25</v>
      </c>
      <c r="H1361" s="1">
        <v>150</v>
      </c>
      <c r="I1361" s="1">
        <v>100</v>
      </c>
      <c r="J1361" s="1">
        <v>42.329000000000001</v>
      </c>
      <c r="K1361" s="1">
        <v>157.67099999999999</v>
      </c>
      <c r="L1361" s="1">
        <v>21.16</v>
      </c>
      <c r="M1361" s="1">
        <v>117.8</v>
      </c>
      <c r="N1361" s="1">
        <v>3.1029999999999999E-2</v>
      </c>
      <c r="O1361" s="1">
        <v>2.4850000000000002E-4</v>
      </c>
      <c r="P1361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16.378205377153744</v>
      </c>
      <c r="Q1361" s="1">
        <f>LN(Table1[[#This Row],[qe_mg_g]]-Table1[[#This Row],[qt]])</f>
        <v>3.2562022304473626</v>
      </c>
      <c r="R1361" s="1">
        <v>1</v>
      </c>
    </row>
    <row r="1362" spans="1:18" x14ac:dyDescent="0.3">
      <c r="A1362" s="1">
        <v>1361</v>
      </c>
      <c r="B1362" s="1" t="s">
        <v>18</v>
      </c>
      <c r="C1362" s="1">
        <v>1</v>
      </c>
      <c r="D1362" s="1">
        <v>60</v>
      </c>
      <c r="E1362" s="1">
        <v>200</v>
      </c>
      <c r="F1362" s="1">
        <v>3</v>
      </c>
      <c r="G1362" s="1">
        <v>25</v>
      </c>
      <c r="H1362" s="1">
        <v>150</v>
      </c>
      <c r="I1362" s="1">
        <v>100</v>
      </c>
      <c r="J1362" s="1">
        <v>40.243000000000002</v>
      </c>
      <c r="K1362" s="1">
        <v>159.75700000000001</v>
      </c>
      <c r="L1362" s="1">
        <v>20.12</v>
      </c>
      <c r="M1362" s="1">
        <v>90.5</v>
      </c>
      <c r="N1362" s="1">
        <v>2.7449999999999999E-2</v>
      </c>
      <c r="O1362" s="1">
        <v>2.365E-4</v>
      </c>
      <c r="P1362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14.627617372998818</v>
      </c>
      <c r="Q1362" s="1">
        <f>LN(Table1[[#This Row],[qe_mg_g]]-Table1[[#This Row],[qt]])</f>
        <v>3.2431930548943257</v>
      </c>
      <c r="R1362" s="1">
        <v>2</v>
      </c>
    </row>
    <row r="1363" spans="1:18" x14ac:dyDescent="0.3">
      <c r="A1363" s="1">
        <v>1362</v>
      </c>
      <c r="B1363" s="1" t="s">
        <v>18</v>
      </c>
      <c r="C1363" s="1">
        <v>1</v>
      </c>
      <c r="D1363" s="1">
        <v>60</v>
      </c>
      <c r="E1363" s="1">
        <v>200</v>
      </c>
      <c r="F1363" s="1">
        <v>3</v>
      </c>
      <c r="G1363" s="1">
        <v>25</v>
      </c>
      <c r="H1363" s="1">
        <v>150</v>
      </c>
      <c r="I1363" s="1">
        <v>100</v>
      </c>
      <c r="J1363" s="1">
        <v>45.441000000000003</v>
      </c>
      <c r="K1363" s="1">
        <v>154.559</v>
      </c>
      <c r="L1363" s="1">
        <v>22.72</v>
      </c>
      <c r="M1363" s="1">
        <v>96.7</v>
      </c>
      <c r="N1363" s="1">
        <v>2.5950000000000001E-2</v>
      </c>
      <c r="O1363" s="1">
        <v>2.942E-4</v>
      </c>
      <c r="P1363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20.225761434011709</v>
      </c>
      <c r="Q1363" s="1">
        <f>LN(Table1[[#This Row],[qe_mg_g]]-Table1[[#This Row],[qt]])</f>
        <v>3.2274485167565188</v>
      </c>
      <c r="R1363" s="1">
        <v>3</v>
      </c>
    </row>
    <row r="1364" spans="1:18" x14ac:dyDescent="0.3">
      <c r="A1364" s="1">
        <v>1363</v>
      </c>
      <c r="B1364" s="1" t="s">
        <v>18</v>
      </c>
      <c r="C1364" s="1">
        <v>1</v>
      </c>
      <c r="D1364" s="1">
        <v>60</v>
      </c>
      <c r="E1364" s="1">
        <v>200</v>
      </c>
      <c r="F1364" s="1">
        <v>7</v>
      </c>
      <c r="G1364" s="1">
        <v>25</v>
      </c>
      <c r="H1364" s="1">
        <v>150</v>
      </c>
      <c r="I1364" s="1">
        <v>100</v>
      </c>
      <c r="J1364" s="1">
        <v>65.879000000000005</v>
      </c>
      <c r="K1364" s="1">
        <v>134.12100000000001</v>
      </c>
      <c r="L1364" s="1">
        <v>32.94</v>
      </c>
      <c r="M1364" s="1">
        <v>78.900000000000006</v>
      </c>
      <c r="N1364" s="1">
        <v>2.8670000000000001E-2</v>
      </c>
      <c r="O1364" s="1">
        <v>2.5280000000000002E-4</v>
      </c>
      <c r="P1364" s="1">
        <f>(Table1[[#This Row],[Rate_Constant_k2_g_mg_min]]*Table1[[#This Row],[Contact_Time_min]]*Table1[[#This Row],[qe_mg_g]]^2)/(1+Table1[[#This Row],[Contact_Time_min]]*Table1[[#This Row],[qe_mg_g]]*Table1[[#This Row],[Rate_Constant_k2_g_mg_min]])</f>
        <v>32.927187093782216</v>
      </c>
      <c r="Q1364" s="1">
        <f>LN(Table1[[#This Row],[qe_mg_g]]-Table1[[#This Row],[qt]])</f>
        <v>3.495046279350539</v>
      </c>
      <c r="R1364" s="1">
        <v>1</v>
      </c>
    </row>
    <row r="1365" spans="1:18" x14ac:dyDescent="0.3">
      <c r="A1365" s="1">
        <v>1364</v>
      </c>
      <c r="B1365" s="1" t="s">
        <v>18</v>
      </c>
      <c r="C1365" s="1">
        <v>1</v>
      </c>
      <c r="D1365" s="1">
        <v>60</v>
      </c>
      <c r="E1365" s="1">
        <v>200</v>
      </c>
      <c r="F1365" s="1">
        <v>7</v>
      </c>
      <c r="G1365" s="1">
        <v>25</v>
      </c>
      <c r="H1365" s="1">
        <v>150</v>
      </c>
      <c r="I1365" s="1">
        <v>100</v>
      </c>
      <c r="J1365" s="1">
        <v>73.858000000000004</v>
      </c>
      <c r="K1365" s="1">
        <v>126.142</v>
      </c>
      <c r="L1365" s="1">
        <v>36.93</v>
      </c>
      <c r="M1365" s="1">
        <v>83.4</v>
      </c>
      <c r="N1365" s="1">
        <v>3.2930000000000001E-2</v>
      </c>
      <c r="O1365" s="1">
        <v>2.8499999999999999E-4</v>
      </c>
      <c r="P1365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41.220386044757618</v>
      </c>
      <c r="Q1365" s="1">
        <f>LN(Table1[[#This Row],[qe_mg_g]]-Table1[[#This Row],[qt]])</f>
        <v>3.4854654255623885</v>
      </c>
      <c r="R1365" s="1">
        <v>2</v>
      </c>
    </row>
    <row r="1366" spans="1:18" x14ac:dyDescent="0.3">
      <c r="A1366" s="1">
        <v>1365</v>
      </c>
      <c r="B1366" s="1" t="s">
        <v>18</v>
      </c>
      <c r="C1366" s="1">
        <v>1</v>
      </c>
      <c r="D1366" s="1">
        <v>60</v>
      </c>
      <c r="E1366" s="1">
        <v>200</v>
      </c>
      <c r="F1366" s="1">
        <v>7</v>
      </c>
      <c r="G1366" s="1">
        <v>25</v>
      </c>
      <c r="H1366" s="1">
        <v>150</v>
      </c>
      <c r="I1366" s="1">
        <v>100</v>
      </c>
      <c r="J1366" s="1">
        <v>60.411999999999999</v>
      </c>
      <c r="K1366" s="1">
        <v>139.58799999999999</v>
      </c>
      <c r="L1366" s="1">
        <v>30.21</v>
      </c>
      <c r="M1366" s="1">
        <v>95.8</v>
      </c>
      <c r="N1366" s="1">
        <v>2.6890000000000001E-2</v>
      </c>
      <c r="O1366" s="1">
        <v>2.4489999999999999E-4</v>
      </c>
      <c r="P1366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28.408930485438308</v>
      </c>
      <c r="Q1366" s="1">
        <f>LN(Table1[[#This Row],[qe_mg_g]]-Table1[[#This Row],[qt]])</f>
        <v>3.4658318205295267</v>
      </c>
      <c r="R1366" s="1">
        <v>3</v>
      </c>
    </row>
    <row r="1367" spans="1:18" x14ac:dyDescent="0.3">
      <c r="A1367" s="1">
        <v>1366</v>
      </c>
      <c r="B1367" s="1" t="s">
        <v>18</v>
      </c>
      <c r="C1367" s="1">
        <v>1</v>
      </c>
      <c r="D1367" s="1">
        <v>60</v>
      </c>
      <c r="E1367" s="1">
        <v>200</v>
      </c>
      <c r="F1367" s="1">
        <v>11</v>
      </c>
      <c r="G1367" s="1">
        <v>25</v>
      </c>
      <c r="H1367" s="1">
        <v>150</v>
      </c>
      <c r="I1367" s="1">
        <v>100</v>
      </c>
      <c r="J1367" s="1">
        <v>50.787999999999997</v>
      </c>
      <c r="K1367" s="1">
        <v>149.21199999999999</v>
      </c>
      <c r="L1367" s="1">
        <v>25.39</v>
      </c>
      <c r="M1367" s="1">
        <v>109.9</v>
      </c>
      <c r="N1367" s="1">
        <v>3.3270000000000001E-2</v>
      </c>
      <c r="O1367" s="1">
        <v>2.3130000000000001E-4</v>
      </c>
      <c r="P1367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20.997448855189027</v>
      </c>
      <c r="Q1367" s="1">
        <f>LN(Table1[[#This Row],[qe_mg_g]]-Table1[[#This Row],[qt]])</f>
        <v>3.3941912675547532</v>
      </c>
      <c r="R1367" s="1">
        <v>1</v>
      </c>
    </row>
    <row r="1368" spans="1:18" x14ac:dyDescent="0.3">
      <c r="A1368" s="1">
        <v>1367</v>
      </c>
      <c r="B1368" s="1" t="s">
        <v>18</v>
      </c>
      <c r="C1368" s="1">
        <v>1</v>
      </c>
      <c r="D1368" s="1">
        <v>60</v>
      </c>
      <c r="E1368" s="1">
        <v>200</v>
      </c>
      <c r="F1368" s="1">
        <v>11</v>
      </c>
      <c r="G1368" s="1">
        <v>25</v>
      </c>
      <c r="H1368" s="1">
        <v>150</v>
      </c>
      <c r="I1368" s="1">
        <v>100</v>
      </c>
      <c r="J1368" s="1">
        <v>41.933999999999997</v>
      </c>
      <c r="K1368" s="1">
        <v>158.066</v>
      </c>
      <c r="L1368" s="1">
        <v>20.97</v>
      </c>
      <c r="M1368" s="1">
        <v>99.7</v>
      </c>
      <c r="N1368" s="1">
        <v>3.0880000000000001E-2</v>
      </c>
      <c r="O1368" s="1">
        <v>2.5619999999999999E-4</v>
      </c>
      <c r="P1368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16.436153048557703</v>
      </c>
      <c r="Q1368" s="1">
        <f>LN(Table1[[#This Row],[qe_mg_g]]-Table1[[#This Row],[qt]])</f>
        <v>3.238594015322918</v>
      </c>
      <c r="R1368" s="1">
        <v>2</v>
      </c>
    </row>
    <row r="1369" spans="1:18" x14ac:dyDescent="0.3">
      <c r="A1369" s="1">
        <v>1368</v>
      </c>
      <c r="B1369" s="1" t="s">
        <v>18</v>
      </c>
      <c r="C1369" s="1">
        <v>1</v>
      </c>
      <c r="D1369" s="1">
        <v>60</v>
      </c>
      <c r="E1369" s="1">
        <v>200</v>
      </c>
      <c r="F1369" s="1">
        <v>11</v>
      </c>
      <c r="G1369" s="1">
        <v>25</v>
      </c>
      <c r="H1369" s="1">
        <v>150</v>
      </c>
      <c r="I1369" s="1">
        <v>100</v>
      </c>
      <c r="J1369" s="1">
        <v>49.457999999999998</v>
      </c>
      <c r="K1369" s="1">
        <v>150.542</v>
      </c>
      <c r="L1369" s="1">
        <v>24.73</v>
      </c>
      <c r="M1369" s="1">
        <v>101.9</v>
      </c>
      <c r="N1369" s="1">
        <v>3.4549999999999997E-2</v>
      </c>
      <c r="O1369" s="1">
        <v>2.5950000000000002E-4</v>
      </c>
      <c r="P1369" s="1">
        <f>(Table1[[#This Row],[Rate_Constant_k2_g_mg_min]]*Table1[[#This Row],[Contact_Time_min]]*Table1[[#This Row],[qe_mg_g]]^2)/(1+Table1[[#This Row],[Contact_Time_min]]*Table1[[#This Row],[qe_mg_g]]*Table1[[#This Row],[Rate_Constant_k2_g_mg_min]])</f>
        <v>21.5165910183234</v>
      </c>
      <c r="Q1369" s="1">
        <f>LN(Table1[[#This Row],[qe_mg_g]]-Table1[[#This Row],[qt]])</f>
        <v>3.3301097813932805</v>
      </c>
      <c r="R1369" s="1">
        <v>3</v>
      </c>
    </row>
    <row r="1370" spans="1:18" x14ac:dyDescent="0.3">
      <c r="A1370" s="1">
        <v>1369</v>
      </c>
      <c r="B1370" s="1" t="s">
        <v>18</v>
      </c>
      <c r="C1370" s="1">
        <v>1</v>
      </c>
      <c r="D1370" s="1">
        <v>120</v>
      </c>
      <c r="E1370" s="1">
        <v>25</v>
      </c>
      <c r="F1370" s="1">
        <v>3</v>
      </c>
      <c r="G1370" s="1">
        <v>25</v>
      </c>
      <c r="H1370" s="1">
        <v>150</v>
      </c>
      <c r="I1370" s="1">
        <v>100</v>
      </c>
      <c r="J1370" s="1">
        <v>5.2670000000000003</v>
      </c>
      <c r="K1370" s="1">
        <v>19.733000000000001</v>
      </c>
      <c r="L1370" s="1">
        <v>21.07</v>
      </c>
      <c r="M1370" s="1">
        <v>92.5</v>
      </c>
      <c r="N1370" s="1">
        <v>2.9489999999999999E-2</v>
      </c>
      <c r="O1370" s="1">
        <v>2.9090000000000002E-4</v>
      </c>
      <c r="P137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0.81799584390537072</v>
      </c>
      <c r="Q1370" s="1">
        <f>LN(Table1[[#This Row],[qe_mg_g]]-Table1[[#This Row],[qt]])</f>
        <v>1.4926802859872421</v>
      </c>
      <c r="R1370" s="1">
        <v>1</v>
      </c>
    </row>
    <row r="1371" spans="1:18" x14ac:dyDescent="0.3">
      <c r="A1371" s="1">
        <v>1370</v>
      </c>
      <c r="B1371" s="1" t="s">
        <v>18</v>
      </c>
      <c r="C1371" s="1">
        <v>1</v>
      </c>
      <c r="D1371" s="1">
        <v>120</v>
      </c>
      <c r="E1371" s="1">
        <v>25</v>
      </c>
      <c r="F1371" s="1">
        <v>3</v>
      </c>
      <c r="G1371" s="1">
        <v>25</v>
      </c>
      <c r="H1371" s="1">
        <v>150</v>
      </c>
      <c r="I1371" s="1">
        <v>100</v>
      </c>
      <c r="J1371" s="1">
        <v>5.36</v>
      </c>
      <c r="K1371" s="1">
        <v>19.64</v>
      </c>
      <c r="L1371" s="1">
        <v>21.44</v>
      </c>
      <c r="M1371" s="1">
        <v>99.7</v>
      </c>
      <c r="N1371" s="1">
        <v>2.8549999999999999E-2</v>
      </c>
      <c r="O1371" s="1">
        <v>2.7750000000000002E-4</v>
      </c>
      <c r="P137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0.81179925463814673</v>
      </c>
      <c r="Q1371" s="1">
        <f>LN(Table1[[#This Row],[qe_mg_g]]-Table1[[#This Row],[qt]])</f>
        <v>1.5147317141758023</v>
      </c>
      <c r="R1371" s="1">
        <v>2</v>
      </c>
    </row>
    <row r="1372" spans="1:18" x14ac:dyDescent="0.3">
      <c r="A1372" s="1">
        <v>1371</v>
      </c>
      <c r="B1372" s="1" t="s">
        <v>18</v>
      </c>
      <c r="C1372" s="1">
        <v>1</v>
      </c>
      <c r="D1372" s="1">
        <v>120</v>
      </c>
      <c r="E1372" s="1">
        <v>25</v>
      </c>
      <c r="F1372" s="1">
        <v>3</v>
      </c>
      <c r="G1372" s="1">
        <v>25</v>
      </c>
      <c r="H1372" s="1">
        <v>150</v>
      </c>
      <c r="I1372" s="1">
        <v>100</v>
      </c>
      <c r="J1372" s="1">
        <v>6.4109999999999996</v>
      </c>
      <c r="K1372" s="1">
        <v>18.588999999999999</v>
      </c>
      <c r="L1372" s="1">
        <v>25.64</v>
      </c>
      <c r="M1372" s="1">
        <v>106.8</v>
      </c>
      <c r="N1372" s="1">
        <v>3.0249999999999999E-2</v>
      </c>
      <c r="O1372" s="1">
        <v>2.5090000000000003E-4</v>
      </c>
      <c r="P137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1.0372534010384389</v>
      </c>
      <c r="Q1372" s="1">
        <f>LN(Table1[[#This Row],[qe_mg_g]]-Table1[[#This Row],[qt]])</f>
        <v>1.6815253559296308</v>
      </c>
      <c r="R1372" s="1">
        <v>3</v>
      </c>
    </row>
    <row r="1373" spans="1:18" x14ac:dyDescent="0.3">
      <c r="A1373" s="1">
        <v>1372</v>
      </c>
      <c r="B1373" s="1" t="s">
        <v>18</v>
      </c>
      <c r="C1373" s="1">
        <v>1</v>
      </c>
      <c r="D1373" s="1">
        <v>120</v>
      </c>
      <c r="E1373" s="1">
        <v>25</v>
      </c>
      <c r="F1373" s="1">
        <v>7</v>
      </c>
      <c r="G1373" s="1">
        <v>25</v>
      </c>
      <c r="H1373" s="1">
        <v>150</v>
      </c>
      <c r="I1373" s="1">
        <v>100</v>
      </c>
      <c r="J1373" s="1">
        <v>6.85</v>
      </c>
      <c r="K1373" s="1">
        <v>18.149999999999999</v>
      </c>
      <c r="L1373" s="1">
        <v>27.4</v>
      </c>
      <c r="M1373" s="1">
        <v>111.2</v>
      </c>
      <c r="N1373" s="1">
        <v>3.04E-2</v>
      </c>
      <c r="O1373" s="1">
        <v>2.6069999999999999E-4</v>
      </c>
      <c r="P137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1.2088685257310534</v>
      </c>
      <c r="Q1373" s="1">
        <f>LN(Table1[[#This Row],[qe_mg_g]]-Table1[[#This Row],[qt]])</f>
        <v>1.7300846613944001</v>
      </c>
      <c r="R1373" s="1">
        <v>1</v>
      </c>
    </row>
    <row r="1374" spans="1:18" x14ac:dyDescent="0.3">
      <c r="A1374" s="1">
        <v>1373</v>
      </c>
      <c r="B1374" s="1" t="s">
        <v>18</v>
      </c>
      <c r="C1374" s="1">
        <v>1</v>
      </c>
      <c r="D1374" s="1">
        <v>120</v>
      </c>
      <c r="E1374" s="1">
        <v>25</v>
      </c>
      <c r="F1374" s="1">
        <v>7</v>
      </c>
      <c r="G1374" s="1">
        <v>25</v>
      </c>
      <c r="H1374" s="1">
        <v>150</v>
      </c>
      <c r="I1374" s="1">
        <v>100</v>
      </c>
      <c r="J1374" s="1">
        <v>8.1630000000000003</v>
      </c>
      <c r="K1374" s="1">
        <v>16.837</v>
      </c>
      <c r="L1374" s="1">
        <v>32.65</v>
      </c>
      <c r="M1374" s="1">
        <v>94.2</v>
      </c>
      <c r="N1374" s="1">
        <v>2.877E-2</v>
      </c>
      <c r="O1374" s="1">
        <v>2.7549999999999997E-4</v>
      </c>
      <c r="P137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1.7347767626352701</v>
      </c>
      <c r="Q1374" s="1">
        <f>LN(Table1[[#This Row],[qe_mg_g]]-Table1[[#This Row],[qt]])</f>
        <v>1.8606981761715364</v>
      </c>
      <c r="R1374" s="1">
        <v>2</v>
      </c>
    </row>
    <row r="1375" spans="1:18" x14ac:dyDescent="0.3">
      <c r="A1375" s="1">
        <v>1374</v>
      </c>
      <c r="B1375" s="1" t="s">
        <v>18</v>
      </c>
      <c r="C1375" s="1">
        <v>1</v>
      </c>
      <c r="D1375" s="1">
        <v>120</v>
      </c>
      <c r="E1375" s="1">
        <v>25</v>
      </c>
      <c r="F1375" s="1">
        <v>7</v>
      </c>
      <c r="G1375" s="1">
        <v>25</v>
      </c>
      <c r="H1375" s="1">
        <v>150</v>
      </c>
      <c r="I1375" s="1">
        <v>100</v>
      </c>
      <c r="J1375" s="1">
        <v>8.4239999999999995</v>
      </c>
      <c r="K1375" s="1">
        <v>16.576000000000001</v>
      </c>
      <c r="L1375" s="1">
        <v>33.700000000000003</v>
      </c>
      <c r="M1375" s="1">
        <v>131.19999999999999</v>
      </c>
      <c r="N1375" s="1">
        <v>3.1289999999999998E-2</v>
      </c>
      <c r="O1375" s="1">
        <v>2.1809999999999999E-4</v>
      </c>
      <c r="P137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1.521757593194234</v>
      </c>
      <c r="Q1375" s="1">
        <f>LN(Table1[[#This Row],[qe_mg_g]]-Table1[[#This Row],[qt]])</f>
        <v>1.9318463453001309</v>
      </c>
      <c r="R1375" s="1">
        <v>3</v>
      </c>
    </row>
    <row r="1376" spans="1:18" x14ac:dyDescent="0.3">
      <c r="A1376" s="1">
        <v>1375</v>
      </c>
      <c r="B1376" s="1" t="s">
        <v>18</v>
      </c>
      <c r="C1376" s="1">
        <v>1</v>
      </c>
      <c r="D1376" s="1">
        <v>120</v>
      </c>
      <c r="E1376" s="1">
        <v>25</v>
      </c>
      <c r="F1376" s="1">
        <v>11</v>
      </c>
      <c r="G1376" s="1">
        <v>25</v>
      </c>
      <c r="H1376" s="1">
        <v>150</v>
      </c>
      <c r="I1376" s="1">
        <v>100</v>
      </c>
      <c r="J1376" s="1">
        <v>6.625</v>
      </c>
      <c r="K1376" s="1">
        <v>18.375</v>
      </c>
      <c r="L1376" s="1">
        <v>26.5</v>
      </c>
      <c r="M1376" s="1">
        <v>90.2</v>
      </c>
      <c r="N1376" s="1">
        <v>2.342E-2</v>
      </c>
      <c r="O1376" s="1">
        <v>2.9E-4</v>
      </c>
      <c r="P137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1.2412285157043597</v>
      </c>
      <c r="Q1376" s="1">
        <f>LN(Table1[[#This Row],[qe_mg_g]]-Table1[[#This Row],[qt]])</f>
        <v>1.6833891479601835</v>
      </c>
      <c r="R1376" s="1">
        <v>1</v>
      </c>
    </row>
    <row r="1377" spans="1:18" x14ac:dyDescent="0.3">
      <c r="A1377" s="1">
        <v>1376</v>
      </c>
      <c r="B1377" s="1" t="s">
        <v>18</v>
      </c>
      <c r="C1377" s="1">
        <v>1</v>
      </c>
      <c r="D1377" s="1">
        <v>120</v>
      </c>
      <c r="E1377" s="1">
        <v>25</v>
      </c>
      <c r="F1377" s="1">
        <v>11</v>
      </c>
      <c r="G1377" s="1">
        <v>25</v>
      </c>
      <c r="H1377" s="1">
        <v>150</v>
      </c>
      <c r="I1377" s="1">
        <v>100</v>
      </c>
      <c r="J1377" s="1">
        <v>7.1269999999999998</v>
      </c>
      <c r="K1377" s="1">
        <v>17.873000000000001</v>
      </c>
      <c r="L1377" s="1">
        <v>28.51</v>
      </c>
      <c r="M1377" s="1">
        <v>108</v>
      </c>
      <c r="N1377" s="1">
        <v>3.0499999999999999E-2</v>
      </c>
      <c r="O1377" s="1">
        <v>2.154E-4</v>
      </c>
      <c r="P137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1.1086859638567974</v>
      </c>
      <c r="Q1377" s="1">
        <f>LN(Table1[[#This Row],[qe_mg_g]]-Table1[[#This Row],[qt]])</f>
        <v>1.7948071596551523</v>
      </c>
      <c r="R1377" s="1">
        <v>2</v>
      </c>
    </row>
    <row r="1378" spans="1:18" x14ac:dyDescent="0.3">
      <c r="A1378" s="1">
        <v>1377</v>
      </c>
      <c r="B1378" s="1" t="s">
        <v>18</v>
      </c>
      <c r="C1378" s="1">
        <v>1</v>
      </c>
      <c r="D1378" s="1">
        <v>120</v>
      </c>
      <c r="E1378" s="1">
        <v>25</v>
      </c>
      <c r="F1378" s="1">
        <v>11</v>
      </c>
      <c r="G1378" s="1">
        <v>25</v>
      </c>
      <c r="H1378" s="1">
        <v>150</v>
      </c>
      <c r="I1378" s="1">
        <v>100</v>
      </c>
      <c r="J1378" s="1">
        <v>6.4109999999999996</v>
      </c>
      <c r="K1378" s="1">
        <v>18.588999999999999</v>
      </c>
      <c r="L1378" s="1">
        <v>25.64</v>
      </c>
      <c r="M1378" s="1">
        <v>112.6</v>
      </c>
      <c r="N1378" s="1">
        <v>2.6849999999999999E-2</v>
      </c>
      <c r="O1378" s="1">
        <v>1.8670000000000001E-4</v>
      </c>
      <c r="P137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0.8051759645202804</v>
      </c>
      <c r="Q1378" s="1">
        <f>LN(Table1[[#This Row],[qe_mg_g]]-Table1[[#This Row],[qt]])</f>
        <v>1.7238060636448478</v>
      </c>
      <c r="R1378" s="1">
        <v>3</v>
      </c>
    </row>
    <row r="1379" spans="1:18" x14ac:dyDescent="0.3">
      <c r="A1379" s="1">
        <v>1378</v>
      </c>
      <c r="B1379" s="1" t="s">
        <v>18</v>
      </c>
      <c r="C1379" s="1">
        <v>1</v>
      </c>
      <c r="D1379" s="1">
        <v>120</v>
      </c>
      <c r="E1379" s="1">
        <v>50</v>
      </c>
      <c r="F1379" s="1">
        <v>3</v>
      </c>
      <c r="G1379" s="1">
        <v>25</v>
      </c>
      <c r="H1379" s="1">
        <v>150</v>
      </c>
      <c r="I1379" s="1">
        <v>100</v>
      </c>
      <c r="J1379" s="1">
        <v>15.31</v>
      </c>
      <c r="K1379" s="1">
        <v>34.69</v>
      </c>
      <c r="L1379" s="1">
        <v>30.62</v>
      </c>
      <c r="M1379" s="1">
        <v>97.9</v>
      </c>
      <c r="N1379" s="1">
        <v>3.041E-2</v>
      </c>
      <c r="O1379" s="1">
        <v>2.6820000000000001E-4</v>
      </c>
      <c r="P1379" s="1">
        <f>(Table1[[#This Row],[Rate_Constant_k2_g_mg_min]]*Table1[[#This Row],[Contact_Time_min]]*Table1[[#This Row],[qe_mg_g]]^2)/(1+Table1[[#This Row],[Contact_Time_min]]*Table1[[#This Row],[qe_mg_g]]*Table1[[#This Row],[Rate_Constant_k2_g_mg_min]])</f>
        <v>5.0536724689299604</v>
      </c>
      <c r="Q1379" s="1">
        <f>LN(Table1[[#This Row],[qe_mg_g]]-Table1[[#This Row],[qt]])</f>
        <v>2.3278948352251363</v>
      </c>
      <c r="R1379" s="1">
        <v>1</v>
      </c>
    </row>
    <row r="1380" spans="1:18" x14ac:dyDescent="0.3">
      <c r="A1380" s="1">
        <v>1379</v>
      </c>
      <c r="B1380" s="1" t="s">
        <v>18</v>
      </c>
      <c r="C1380" s="1">
        <v>1</v>
      </c>
      <c r="D1380" s="1">
        <v>120</v>
      </c>
      <c r="E1380" s="1">
        <v>50</v>
      </c>
      <c r="F1380" s="1">
        <v>3</v>
      </c>
      <c r="G1380" s="1">
        <v>25</v>
      </c>
      <c r="H1380" s="1">
        <v>150</v>
      </c>
      <c r="I1380" s="1">
        <v>100</v>
      </c>
      <c r="J1380" s="1">
        <v>16.526</v>
      </c>
      <c r="K1380" s="1">
        <v>33.473999999999997</v>
      </c>
      <c r="L1380" s="1">
        <v>33.049999999999997</v>
      </c>
      <c r="M1380" s="1">
        <v>103.9</v>
      </c>
      <c r="N1380" s="1">
        <v>3.3590000000000002E-2</v>
      </c>
      <c r="O1380" s="1">
        <v>2.12E-4</v>
      </c>
      <c r="P138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4.8914248417990649</v>
      </c>
      <c r="Q1380" s="1">
        <f>LN(Table1[[#This Row],[qe_mg_g]]-Table1[[#This Row],[qt]])</f>
        <v>2.4539812819664926</v>
      </c>
      <c r="R1380" s="1">
        <v>2</v>
      </c>
    </row>
    <row r="1381" spans="1:18" x14ac:dyDescent="0.3">
      <c r="A1381" s="1">
        <v>1380</v>
      </c>
      <c r="B1381" s="1" t="s">
        <v>18</v>
      </c>
      <c r="C1381" s="1">
        <v>1</v>
      </c>
      <c r="D1381" s="1">
        <v>120</v>
      </c>
      <c r="E1381" s="1">
        <v>50</v>
      </c>
      <c r="F1381" s="1">
        <v>3</v>
      </c>
      <c r="G1381" s="1">
        <v>25</v>
      </c>
      <c r="H1381" s="1">
        <v>150</v>
      </c>
      <c r="I1381" s="1">
        <v>100</v>
      </c>
      <c r="J1381" s="1">
        <v>16.338999999999999</v>
      </c>
      <c r="K1381" s="1">
        <v>33.661000000000001</v>
      </c>
      <c r="L1381" s="1">
        <v>32.68</v>
      </c>
      <c r="M1381" s="1">
        <v>109.4</v>
      </c>
      <c r="N1381" s="1">
        <v>2.6280000000000001E-2</v>
      </c>
      <c r="O1381" s="1">
        <v>2.1240000000000001E-4</v>
      </c>
      <c r="P1381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4.8038112625394884</v>
      </c>
      <c r="Q1381" s="1">
        <f>LN(Table1[[#This Row],[qe_mg_g]]-Table1[[#This Row],[qt]])</f>
        <v>2.4454022536470825</v>
      </c>
      <c r="R1381" s="1">
        <v>3</v>
      </c>
    </row>
    <row r="1382" spans="1:18" x14ac:dyDescent="0.3">
      <c r="A1382" s="1">
        <v>1381</v>
      </c>
      <c r="B1382" s="1" t="s">
        <v>18</v>
      </c>
      <c r="C1382" s="1">
        <v>1</v>
      </c>
      <c r="D1382" s="1">
        <v>120</v>
      </c>
      <c r="E1382" s="1">
        <v>50</v>
      </c>
      <c r="F1382" s="1">
        <v>7</v>
      </c>
      <c r="G1382" s="1">
        <v>25</v>
      </c>
      <c r="H1382" s="1">
        <v>150</v>
      </c>
      <c r="I1382" s="1">
        <v>100</v>
      </c>
      <c r="J1382" s="1">
        <v>22.268999999999998</v>
      </c>
      <c r="K1382" s="1">
        <v>27.731000000000002</v>
      </c>
      <c r="L1382" s="1">
        <v>44.54</v>
      </c>
      <c r="M1382" s="1">
        <v>90.1</v>
      </c>
      <c r="N1382" s="1">
        <v>3.2259999999999997E-2</v>
      </c>
      <c r="O1382" s="1">
        <v>2.3460000000000001E-4</v>
      </c>
      <c r="P1382" s="1">
        <f>(Table1[[#This Row],[Rate_Constant_k2_g_mg_min]]*Table1[[#This Row],[Contact_Time_min]]*Table1[[#This Row],[qe_mg_g]]^2)/(1+Table1[[#This Row],[Contact_Time_min]]*Table1[[#This Row],[qe_mg_g]]*Table1[[#This Row],[Rate_Constant_k2_g_mg_min]])</f>
        <v>8.5811465120595614</v>
      </c>
      <c r="Q1382" s="1">
        <f>LN(Table1[[#This Row],[qe_mg_g]]-Table1[[#This Row],[qt]])</f>
        <v>2.6165088328461987</v>
      </c>
      <c r="R1382" s="1">
        <v>1</v>
      </c>
    </row>
    <row r="1383" spans="1:18" x14ac:dyDescent="0.3">
      <c r="A1383" s="1">
        <v>1382</v>
      </c>
      <c r="B1383" s="1" t="s">
        <v>18</v>
      </c>
      <c r="C1383" s="1">
        <v>1</v>
      </c>
      <c r="D1383" s="1">
        <v>120</v>
      </c>
      <c r="E1383" s="1">
        <v>50</v>
      </c>
      <c r="F1383" s="1">
        <v>7</v>
      </c>
      <c r="G1383" s="1">
        <v>25</v>
      </c>
      <c r="H1383" s="1">
        <v>150</v>
      </c>
      <c r="I1383" s="1">
        <v>100</v>
      </c>
      <c r="J1383" s="1">
        <v>22.032</v>
      </c>
      <c r="K1383" s="1">
        <v>27.968</v>
      </c>
      <c r="L1383" s="1">
        <v>44.06</v>
      </c>
      <c r="M1383" s="1">
        <v>90.8</v>
      </c>
      <c r="N1383" s="1">
        <v>3.3360000000000001E-2</v>
      </c>
      <c r="O1383" s="1">
        <v>2.5030000000000001E-4</v>
      </c>
      <c r="P1383" s="1">
        <f>(Table1[[#This Row],[Rate_Constant_k2_g_mg_min]]*Table1[[#This Row],[Contact_Time_min]]*Table1[[#This Row],[qe_mg_g]]^2)/(1+Table1[[#This Row],[Contact_Time_min]]*Table1[[#This Row],[qe_mg_g]]*Table1[[#This Row],[Rate_Constant_k2_g_mg_min]])</f>
        <v>8.7737131277991391</v>
      </c>
      <c r="Q1383" s="1">
        <f>LN(Table1[[#This Row],[qe_mg_g]]-Table1[[#This Row],[qt]])</f>
        <v>2.5846227812529969</v>
      </c>
      <c r="R1383" s="1">
        <v>2</v>
      </c>
    </row>
    <row r="1384" spans="1:18" x14ac:dyDescent="0.3">
      <c r="A1384" s="1">
        <v>1383</v>
      </c>
      <c r="B1384" s="1" t="s">
        <v>18</v>
      </c>
      <c r="C1384" s="1">
        <v>1</v>
      </c>
      <c r="D1384" s="1">
        <v>120</v>
      </c>
      <c r="E1384" s="1">
        <v>50</v>
      </c>
      <c r="F1384" s="1">
        <v>7</v>
      </c>
      <c r="G1384" s="1">
        <v>25</v>
      </c>
      <c r="H1384" s="1">
        <v>150</v>
      </c>
      <c r="I1384" s="1">
        <v>100</v>
      </c>
      <c r="J1384" s="1">
        <v>23.486999999999998</v>
      </c>
      <c r="K1384" s="1">
        <v>26.513000000000002</v>
      </c>
      <c r="L1384" s="1">
        <v>46.97</v>
      </c>
      <c r="M1384" s="1">
        <v>98.3</v>
      </c>
      <c r="N1384" s="1">
        <v>3.388E-2</v>
      </c>
      <c r="O1384" s="1">
        <v>2.3130000000000001E-4</v>
      </c>
      <c r="P1384" s="1">
        <f>(Table1[[#This Row],[Rate_Constant_k2_g_mg_min]]*Table1[[#This Row],[Contact_Time_min]]*Table1[[#This Row],[qe_mg_g]]^2)/(1+Table1[[#This Row],[Contact_Time_min]]*Table1[[#This Row],[qe_mg_g]]*Table1[[#This Row],[Rate_Constant_k2_g_mg_min]])</f>
        <v>9.2688715032148341</v>
      </c>
      <c r="Q1384" s="1">
        <f>LN(Table1[[#This Row],[qe_mg_g]]-Table1[[#This Row],[qt]])</f>
        <v>2.6545178050797005</v>
      </c>
      <c r="R1384" s="1">
        <v>3</v>
      </c>
    </row>
    <row r="1385" spans="1:18" x14ac:dyDescent="0.3">
      <c r="A1385" s="1">
        <v>1384</v>
      </c>
      <c r="B1385" s="1" t="s">
        <v>18</v>
      </c>
      <c r="C1385" s="1">
        <v>1</v>
      </c>
      <c r="D1385" s="1">
        <v>120</v>
      </c>
      <c r="E1385" s="1">
        <v>50</v>
      </c>
      <c r="F1385" s="1">
        <v>11</v>
      </c>
      <c r="G1385" s="1">
        <v>25</v>
      </c>
      <c r="H1385" s="1">
        <v>150</v>
      </c>
      <c r="I1385" s="1">
        <v>100</v>
      </c>
      <c r="J1385" s="1">
        <v>21.07</v>
      </c>
      <c r="K1385" s="1">
        <v>28.93</v>
      </c>
      <c r="L1385" s="1">
        <v>42.14</v>
      </c>
      <c r="M1385" s="1">
        <v>103.2</v>
      </c>
      <c r="N1385" s="1">
        <v>2.9520000000000001E-2</v>
      </c>
      <c r="O1385" s="1">
        <v>3.1250000000000001E-4</v>
      </c>
      <c r="P1385" s="1">
        <f>(Table1[[#This Row],[Rate_Constant_k2_g_mg_min]]*Table1[[#This Row],[Contact_Time_min]]*Table1[[#This Row],[qe_mg_g]]^2)/(1+Table1[[#This Row],[Contact_Time_min]]*Table1[[#This Row],[qe_mg_g]]*Table1[[#This Row],[Rate_Constant_k2_g_mg_min]])</f>
        <v>9.2998722156273992</v>
      </c>
      <c r="Q1385" s="1">
        <f>LN(Table1[[#This Row],[qe_mg_g]]-Table1[[#This Row],[qt]])</f>
        <v>2.4655647779993681</v>
      </c>
      <c r="R1385" s="1">
        <v>1</v>
      </c>
    </row>
    <row r="1386" spans="1:18" x14ac:dyDescent="0.3">
      <c r="A1386" s="1">
        <v>1385</v>
      </c>
      <c r="B1386" s="1" t="s">
        <v>18</v>
      </c>
      <c r="C1386" s="1">
        <v>1</v>
      </c>
      <c r="D1386" s="1">
        <v>120</v>
      </c>
      <c r="E1386" s="1">
        <v>50</v>
      </c>
      <c r="F1386" s="1">
        <v>11</v>
      </c>
      <c r="G1386" s="1">
        <v>25</v>
      </c>
      <c r="H1386" s="1">
        <v>150</v>
      </c>
      <c r="I1386" s="1">
        <v>100</v>
      </c>
      <c r="J1386" s="1">
        <v>17.05</v>
      </c>
      <c r="K1386" s="1">
        <v>32.950000000000003</v>
      </c>
      <c r="L1386" s="1">
        <v>34.1</v>
      </c>
      <c r="M1386" s="1">
        <v>94.7</v>
      </c>
      <c r="N1386" s="1">
        <v>2.63E-2</v>
      </c>
      <c r="O1386" s="1">
        <v>2.7379999999999999E-4</v>
      </c>
      <c r="P1386" s="1">
        <f>(Table1[[#This Row],[Rate_Constant_k2_g_mg_min]]*Table1[[#This Row],[Contact_Time_min]]*Table1[[#This Row],[qe_mg_g]]^2)/(1+Table1[[#This Row],[Contact_Time_min]]*Table1[[#This Row],[qe_mg_g]]*Table1[[#This Row],[Rate_Constant_k2_g_mg_min]])</f>
        <v>6.1218774347921174</v>
      </c>
      <c r="Q1386" s="1">
        <f>LN(Table1[[#This Row],[qe_mg_g]]-Table1[[#This Row],[qt]])</f>
        <v>2.3913395184690418</v>
      </c>
      <c r="R1386" s="1">
        <v>2</v>
      </c>
    </row>
    <row r="1387" spans="1:18" x14ac:dyDescent="0.3">
      <c r="A1387" s="1">
        <v>1386</v>
      </c>
      <c r="B1387" s="1" t="s">
        <v>18</v>
      </c>
      <c r="C1387" s="1">
        <v>1</v>
      </c>
      <c r="D1387" s="1">
        <v>120</v>
      </c>
      <c r="E1387" s="1">
        <v>50</v>
      </c>
      <c r="F1387" s="1">
        <v>11</v>
      </c>
      <c r="G1387" s="1">
        <v>25</v>
      </c>
      <c r="H1387" s="1">
        <v>150</v>
      </c>
      <c r="I1387" s="1">
        <v>100</v>
      </c>
      <c r="J1387" s="1">
        <v>21.704000000000001</v>
      </c>
      <c r="K1387" s="1">
        <v>28.295999999999999</v>
      </c>
      <c r="L1387" s="1">
        <v>43.41</v>
      </c>
      <c r="M1387" s="1">
        <v>125</v>
      </c>
      <c r="N1387" s="1">
        <v>3.3669999999999999E-2</v>
      </c>
      <c r="O1387" s="1">
        <v>2.4509999999999999E-4</v>
      </c>
      <c r="P1387" s="1">
        <f>(Table1[[#This Row],[Rate_Constant_k2_g_mg_min]]*Table1[[#This Row],[Contact_Time_min]]*Table1[[#This Row],[qe_mg_g]]^2)/(1+Table1[[#This Row],[Contact_Time_min]]*Table1[[#This Row],[qe_mg_g]]*Table1[[#This Row],[Rate_Constant_k2_g_mg_min]])</f>
        <v>8.4565904813695525</v>
      </c>
      <c r="Q1387" s="1">
        <f>LN(Table1[[#This Row],[qe_mg_g]]-Table1[[#This Row],[qt]])</f>
        <v>2.5838020252901548</v>
      </c>
      <c r="R1387" s="1">
        <v>3</v>
      </c>
    </row>
    <row r="1388" spans="1:18" x14ac:dyDescent="0.3">
      <c r="A1388" s="1">
        <v>1387</v>
      </c>
      <c r="B1388" s="1" t="s">
        <v>18</v>
      </c>
      <c r="C1388" s="1">
        <v>1</v>
      </c>
      <c r="D1388" s="1">
        <v>120</v>
      </c>
      <c r="E1388" s="1">
        <v>100</v>
      </c>
      <c r="F1388" s="1">
        <v>3</v>
      </c>
      <c r="G1388" s="1">
        <v>25</v>
      </c>
      <c r="H1388" s="1">
        <v>150</v>
      </c>
      <c r="I1388" s="1">
        <v>100</v>
      </c>
      <c r="J1388" s="1">
        <v>35.091000000000001</v>
      </c>
      <c r="K1388" s="1">
        <v>64.909000000000006</v>
      </c>
      <c r="L1388" s="1">
        <v>35.090000000000003</v>
      </c>
      <c r="M1388" s="1">
        <v>74.900000000000006</v>
      </c>
      <c r="N1388" s="1">
        <v>3.6110000000000003E-2</v>
      </c>
      <c r="O1388" s="1">
        <v>2.6170000000000002E-4</v>
      </c>
      <c r="P1388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18.396881385323869</v>
      </c>
      <c r="Q1388" s="1">
        <f>LN(Table1[[#This Row],[qe_mg_g]]-Table1[[#This Row],[qt]])</f>
        <v>2.815056478631297</v>
      </c>
      <c r="R1388" s="1">
        <v>1</v>
      </c>
    </row>
    <row r="1389" spans="1:18" x14ac:dyDescent="0.3">
      <c r="A1389" s="1">
        <v>1388</v>
      </c>
      <c r="B1389" s="1" t="s">
        <v>18</v>
      </c>
      <c r="C1389" s="1">
        <v>1</v>
      </c>
      <c r="D1389" s="1">
        <v>120</v>
      </c>
      <c r="E1389" s="1">
        <v>100</v>
      </c>
      <c r="F1389" s="1">
        <v>3</v>
      </c>
      <c r="G1389" s="1">
        <v>25</v>
      </c>
      <c r="H1389" s="1">
        <v>150</v>
      </c>
      <c r="I1389" s="1">
        <v>100</v>
      </c>
      <c r="J1389" s="1">
        <v>34.677</v>
      </c>
      <c r="K1389" s="1">
        <v>65.322999999999993</v>
      </c>
      <c r="L1389" s="1">
        <v>34.68</v>
      </c>
      <c r="M1389" s="1">
        <v>119.9</v>
      </c>
      <c r="N1389" s="1">
        <v>2.708E-2</v>
      </c>
      <c r="O1389" s="1">
        <v>2.6019999999999998E-4</v>
      </c>
      <c r="P1389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18.027415262162936</v>
      </c>
      <c r="Q1389" s="1">
        <f>LN(Table1[[#This Row],[qe_mg_g]]-Table1[[#This Row],[qt]])</f>
        <v>2.8123852754449823</v>
      </c>
      <c r="R1389" s="1">
        <v>2</v>
      </c>
    </row>
    <row r="1390" spans="1:18" x14ac:dyDescent="0.3">
      <c r="A1390" s="1">
        <v>1389</v>
      </c>
      <c r="B1390" s="1" t="s">
        <v>18</v>
      </c>
      <c r="C1390" s="1">
        <v>1</v>
      </c>
      <c r="D1390" s="1">
        <v>120</v>
      </c>
      <c r="E1390" s="1">
        <v>100</v>
      </c>
      <c r="F1390" s="1">
        <v>3</v>
      </c>
      <c r="G1390" s="1">
        <v>25</v>
      </c>
      <c r="H1390" s="1">
        <v>150</v>
      </c>
      <c r="I1390" s="1">
        <v>100</v>
      </c>
      <c r="J1390" s="1">
        <v>35.72</v>
      </c>
      <c r="K1390" s="1">
        <v>64.28</v>
      </c>
      <c r="L1390" s="1">
        <v>35.72</v>
      </c>
      <c r="M1390" s="1">
        <v>109.6</v>
      </c>
      <c r="N1390" s="1">
        <v>2.981E-2</v>
      </c>
      <c r="O1390" s="1">
        <v>2.1369999999999999E-4</v>
      </c>
      <c r="P1390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17.077029543909855</v>
      </c>
      <c r="Q1390" s="1">
        <f>LN(Table1[[#This Row],[qe_mg_g]]-Table1[[#This Row],[qt]])</f>
        <v>2.9254691557934152</v>
      </c>
      <c r="R1390" s="1">
        <v>3</v>
      </c>
    </row>
    <row r="1391" spans="1:18" x14ac:dyDescent="0.3">
      <c r="A1391" s="1">
        <v>1390</v>
      </c>
      <c r="B1391" s="1" t="s">
        <v>18</v>
      </c>
      <c r="C1391" s="1">
        <v>1</v>
      </c>
      <c r="D1391" s="1">
        <v>120</v>
      </c>
      <c r="E1391" s="1">
        <v>100</v>
      </c>
      <c r="F1391" s="1">
        <v>7</v>
      </c>
      <c r="G1391" s="1">
        <v>25</v>
      </c>
      <c r="H1391" s="1">
        <v>150</v>
      </c>
      <c r="I1391" s="1">
        <v>100</v>
      </c>
      <c r="J1391" s="1">
        <v>53.597000000000001</v>
      </c>
      <c r="K1391" s="1">
        <v>46.402999999999999</v>
      </c>
      <c r="L1391" s="1">
        <v>53.6</v>
      </c>
      <c r="M1391" s="1">
        <v>115.7</v>
      </c>
      <c r="N1391" s="1">
        <v>2.9909999999999999E-2</v>
      </c>
      <c r="O1391" s="1">
        <v>2.6939999999999999E-4</v>
      </c>
      <c r="P1391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33.983680783855455</v>
      </c>
      <c r="Q1391" s="1">
        <f>LN(Table1[[#This Row],[qe_mg_g]]-Table1[[#This Row],[qt]])</f>
        <v>2.9762088872897769</v>
      </c>
      <c r="R1391" s="1">
        <v>1</v>
      </c>
    </row>
    <row r="1392" spans="1:18" x14ac:dyDescent="0.3">
      <c r="A1392" s="1">
        <v>1391</v>
      </c>
      <c r="B1392" s="1" t="s">
        <v>18</v>
      </c>
      <c r="C1392" s="1">
        <v>1</v>
      </c>
      <c r="D1392" s="1">
        <v>120</v>
      </c>
      <c r="E1392" s="1">
        <v>100</v>
      </c>
      <c r="F1392" s="1">
        <v>7</v>
      </c>
      <c r="G1392" s="1">
        <v>25</v>
      </c>
      <c r="H1392" s="1">
        <v>150</v>
      </c>
      <c r="I1392" s="1">
        <v>100</v>
      </c>
      <c r="J1392" s="1">
        <v>48.225000000000001</v>
      </c>
      <c r="K1392" s="1">
        <v>51.774999999999999</v>
      </c>
      <c r="L1392" s="1">
        <v>48.23</v>
      </c>
      <c r="M1392" s="1">
        <v>99.6</v>
      </c>
      <c r="N1392" s="1">
        <v>2.8129999999999999E-2</v>
      </c>
      <c r="O1392" s="1">
        <v>2.6870000000000003E-4</v>
      </c>
      <c r="P1392" s="1">
        <f>(Table1[[#This Row],[Rate_Constant_k2_g_mg_min]]*Table1[[#This Row],[Contact_Time_min]]*Table1[[#This Row],[qe_mg_g]]^2)/(1+Table1[[#This Row],[Contact_Time_min]]*Table1[[#This Row],[qe_mg_g]]*Table1[[#This Row],[Rate_Constant_k2_g_mg_min]])</f>
        <v>29.350000092956197</v>
      </c>
      <c r="Q1392" s="1">
        <f>LN(Table1[[#This Row],[qe_mg_g]]-Table1[[#This Row],[qt]])</f>
        <v>2.9378382902102569</v>
      </c>
      <c r="R1392" s="1">
        <v>2</v>
      </c>
    </row>
    <row r="1393" spans="1:18" x14ac:dyDescent="0.3">
      <c r="A1393" s="1">
        <v>1392</v>
      </c>
      <c r="B1393" s="1" t="s">
        <v>18</v>
      </c>
      <c r="C1393" s="1">
        <v>1</v>
      </c>
      <c r="D1393" s="1">
        <v>120</v>
      </c>
      <c r="E1393" s="1">
        <v>100</v>
      </c>
      <c r="F1393" s="1">
        <v>7</v>
      </c>
      <c r="G1393" s="1">
        <v>25</v>
      </c>
      <c r="H1393" s="1">
        <v>150</v>
      </c>
      <c r="I1393" s="1">
        <v>100</v>
      </c>
      <c r="J1393" s="1">
        <v>53.386000000000003</v>
      </c>
      <c r="K1393" s="1">
        <v>46.613999999999997</v>
      </c>
      <c r="L1393" s="1">
        <v>53.39</v>
      </c>
      <c r="M1393" s="1">
        <v>110.4</v>
      </c>
      <c r="N1393" s="1">
        <v>3.3259999999999998E-2</v>
      </c>
      <c r="O1393" s="1">
        <v>2.6729999999999999E-4</v>
      </c>
      <c r="P1393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33.703867479866247</v>
      </c>
      <c r="Q1393" s="1">
        <f>LN(Table1[[#This Row],[qe_mg_g]]-Table1[[#This Row],[qt]])</f>
        <v>2.9797112455165062</v>
      </c>
      <c r="R1393" s="1">
        <v>3</v>
      </c>
    </row>
    <row r="1394" spans="1:18" x14ac:dyDescent="0.3">
      <c r="A1394" s="1">
        <v>1393</v>
      </c>
      <c r="B1394" s="1" t="s">
        <v>18</v>
      </c>
      <c r="C1394" s="1">
        <v>1</v>
      </c>
      <c r="D1394" s="1">
        <v>120</v>
      </c>
      <c r="E1394" s="1">
        <v>100</v>
      </c>
      <c r="F1394" s="1">
        <v>11</v>
      </c>
      <c r="G1394" s="1">
        <v>25</v>
      </c>
      <c r="H1394" s="1">
        <v>150</v>
      </c>
      <c r="I1394" s="1">
        <v>100</v>
      </c>
      <c r="J1394" s="1">
        <v>44.021999999999998</v>
      </c>
      <c r="K1394" s="1">
        <v>55.978000000000002</v>
      </c>
      <c r="L1394" s="1">
        <v>44.02</v>
      </c>
      <c r="M1394" s="1">
        <v>85</v>
      </c>
      <c r="N1394" s="1">
        <v>2.9989999999999999E-2</v>
      </c>
      <c r="O1394" s="1">
        <v>2.3670000000000001E-4</v>
      </c>
      <c r="P1394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24.46015204893396</v>
      </c>
      <c r="Q1394" s="1">
        <f>LN(Table1[[#This Row],[qe_mg_g]]-Table1[[#This Row],[qt]])</f>
        <v>2.9735811361699636</v>
      </c>
      <c r="R1394" s="1">
        <v>1</v>
      </c>
    </row>
    <row r="1395" spans="1:18" x14ac:dyDescent="0.3">
      <c r="A1395" s="1">
        <v>1394</v>
      </c>
      <c r="B1395" s="1" t="s">
        <v>18</v>
      </c>
      <c r="C1395" s="1">
        <v>1</v>
      </c>
      <c r="D1395" s="1">
        <v>120</v>
      </c>
      <c r="E1395" s="1">
        <v>100</v>
      </c>
      <c r="F1395" s="1">
        <v>11</v>
      </c>
      <c r="G1395" s="1">
        <v>25</v>
      </c>
      <c r="H1395" s="1">
        <v>150</v>
      </c>
      <c r="I1395" s="1">
        <v>100</v>
      </c>
      <c r="J1395" s="1">
        <v>41.634999999999998</v>
      </c>
      <c r="K1395" s="1">
        <v>58.365000000000002</v>
      </c>
      <c r="L1395" s="1">
        <v>41.64</v>
      </c>
      <c r="M1395" s="1">
        <v>94.4</v>
      </c>
      <c r="N1395" s="1">
        <v>2.7060000000000001E-2</v>
      </c>
      <c r="O1395" s="1">
        <v>2.0110000000000001E-4</v>
      </c>
      <c r="P1395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20.866677518487197</v>
      </c>
      <c r="Q1395" s="1">
        <f>LN(Table1[[#This Row],[qe_mg_g]]-Table1[[#This Row],[qt]])</f>
        <v>3.0334288682089441</v>
      </c>
      <c r="R1395" s="1">
        <v>2</v>
      </c>
    </row>
    <row r="1396" spans="1:18" x14ac:dyDescent="0.3">
      <c r="A1396" s="1">
        <v>1395</v>
      </c>
      <c r="B1396" s="1" t="s">
        <v>18</v>
      </c>
      <c r="C1396" s="1">
        <v>1</v>
      </c>
      <c r="D1396" s="1">
        <v>120</v>
      </c>
      <c r="E1396" s="1">
        <v>100</v>
      </c>
      <c r="F1396" s="1">
        <v>11</v>
      </c>
      <c r="G1396" s="1">
        <v>25</v>
      </c>
      <c r="H1396" s="1">
        <v>150</v>
      </c>
      <c r="I1396" s="1">
        <v>100</v>
      </c>
      <c r="J1396" s="1">
        <v>40.381999999999998</v>
      </c>
      <c r="K1396" s="1">
        <v>59.618000000000002</v>
      </c>
      <c r="L1396" s="1">
        <v>40.380000000000003</v>
      </c>
      <c r="M1396" s="1">
        <v>102.9</v>
      </c>
      <c r="N1396" s="1">
        <v>2.596E-2</v>
      </c>
      <c r="O1396" s="1">
        <v>2.5040000000000001E-4</v>
      </c>
      <c r="P1396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22.137656294123101</v>
      </c>
      <c r="Q1396" s="1">
        <f>LN(Table1[[#This Row],[qe_mg_g]]-Table1[[#This Row],[qt]])</f>
        <v>2.9038550980645019</v>
      </c>
      <c r="R1396" s="1">
        <v>3</v>
      </c>
    </row>
    <row r="1397" spans="1:18" x14ac:dyDescent="0.3">
      <c r="A1397" s="1">
        <v>1396</v>
      </c>
      <c r="B1397" s="1" t="s">
        <v>18</v>
      </c>
      <c r="C1397" s="1">
        <v>1</v>
      </c>
      <c r="D1397" s="1">
        <v>120</v>
      </c>
      <c r="E1397" s="1">
        <v>200</v>
      </c>
      <c r="F1397" s="1">
        <v>3</v>
      </c>
      <c r="G1397" s="1">
        <v>25</v>
      </c>
      <c r="H1397" s="1">
        <v>150</v>
      </c>
      <c r="I1397" s="1">
        <v>100</v>
      </c>
      <c r="J1397" s="1">
        <v>64.551000000000002</v>
      </c>
      <c r="K1397" s="1">
        <v>135.44900000000001</v>
      </c>
      <c r="L1397" s="1">
        <v>32.28</v>
      </c>
      <c r="M1397" s="1">
        <v>115.3</v>
      </c>
      <c r="N1397" s="1">
        <v>3.4930000000000003E-2</v>
      </c>
      <c r="O1397" s="1">
        <v>2.5980000000000003E-4</v>
      </c>
      <c r="P1397" s="1">
        <f>(Table1[[#This Row],[Rate_Constant_k2_g_mg_min]]*Table1[[#This Row],[Contact_Time_min]]*Table1[[#This Row],[qe_mg_g]]^2)/(1+Table1[[#This Row],[Contact_Time_min]]*Table1[[#This Row],[qe_mg_g]]*Table1[[#This Row],[Rate_Constant_k2_g_mg_min]])</f>
        <v>43.122869428764062</v>
      </c>
      <c r="Q1397" s="1">
        <f>LN(Table1[[#This Row],[qe_mg_g]]-Table1[[#This Row],[qt]])</f>
        <v>3.0647045714869856</v>
      </c>
      <c r="R1397" s="1">
        <v>1</v>
      </c>
    </row>
    <row r="1398" spans="1:18" x14ac:dyDescent="0.3">
      <c r="A1398" s="1">
        <v>1397</v>
      </c>
      <c r="B1398" s="1" t="s">
        <v>18</v>
      </c>
      <c r="C1398" s="1">
        <v>1</v>
      </c>
      <c r="D1398" s="1">
        <v>120</v>
      </c>
      <c r="E1398" s="1">
        <v>200</v>
      </c>
      <c r="F1398" s="1">
        <v>3</v>
      </c>
      <c r="G1398" s="1">
        <v>25</v>
      </c>
      <c r="H1398" s="1">
        <v>150</v>
      </c>
      <c r="I1398" s="1">
        <v>100</v>
      </c>
      <c r="J1398" s="1">
        <v>60.915999999999997</v>
      </c>
      <c r="K1398" s="1">
        <v>139.084</v>
      </c>
      <c r="L1398" s="1">
        <v>30.46</v>
      </c>
      <c r="M1398" s="1">
        <v>89.1</v>
      </c>
      <c r="N1398" s="1">
        <v>2.8070000000000001E-2</v>
      </c>
      <c r="O1398" s="1">
        <v>1.8149999999999999E-4</v>
      </c>
      <c r="P1398" s="1">
        <f>(Table1[[#This Row],[Rate_Constant_k2_g_mg_min]]*Table1[[#This Row],[Contact_Time_min]]*Table1[[#This Row],[qe_mg_g]]^2)/(1+Table1[[#This Row],[Contact_Time_min]]*Table1[[#This Row],[qe_mg_g]]*Table1[[#This Row],[Rate_Constant_k2_g_mg_min]])</f>
        <v>34.735281214889866</v>
      </c>
      <c r="Q1398" s="1">
        <f>LN(Table1[[#This Row],[qe_mg_g]]-Table1[[#This Row],[qt]])</f>
        <v>3.265023215609447</v>
      </c>
      <c r="R1398" s="1">
        <v>2</v>
      </c>
    </row>
    <row r="1399" spans="1:18" x14ac:dyDescent="0.3">
      <c r="A1399" s="1">
        <v>1398</v>
      </c>
      <c r="B1399" s="1" t="s">
        <v>18</v>
      </c>
      <c r="C1399" s="1">
        <v>1</v>
      </c>
      <c r="D1399" s="1">
        <v>120</v>
      </c>
      <c r="E1399" s="1">
        <v>200</v>
      </c>
      <c r="F1399" s="1">
        <v>3</v>
      </c>
      <c r="G1399" s="1">
        <v>25</v>
      </c>
      <c r="H1399" s="1">
        <v>150</v>
      </c>
      <c r="I1399" s="1">
        <v>100</v>
      </c>
      <c r="J1399" s="1">
        <v>61.008000000000003</v>
      </c>
      <c r="K1399" s="1">
        <v>138.99199999999999</v>
      </c>
      <c r="L1399" s="1">
        <v>30.5</v>
      </c>
      <c r="M1399" s="1">
        <v>123.1</v>
      </c>
      <c r="N1399" s="1">
        <v>2.8340000000000001E-2</v>
      </c>
      <c r="O1399" s="1">
        <v>2.4369999999999999E-4</v>
      </c>
      <c r="P1399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39.09513529677352</v>
      </c>
      <c r="Q1399" s="1">
        <f>LN(Table1[[#This Row],[qe_mg_g]]-Table1[[#This Row],[qt]])</f>
        <v>3.0870738937244333</v>
      </c>
      <c r="R1399" s="1">
        <v>3</v>
      </c>
    </row>
    <row r="1400" spans="1:18" x14ac:dyDescent="0.3">
      <c r="A1400" s="1">
        <v>1399</v>
      </c>
      <c r="B1400" s="1" t="s">
        <v>18</v>
      </c>
      <c r="C1400" s="1">
        <v>1</v>
      </c>
      <c r="D1400" s="1">
        <v>120</v>
      </c>
      <c r="E1400" s="1">
        <v>200</v>
      </c>
      <c r="F1400" s="1">
        <v>7</v>
      </c>
      <c r="G1400" s="1">
        <v>25</v>
      </c>
      <c r="H1400" s="1">
        <v>150</v>
      </c>
      <c r="I1400" s="1">
        <v>100</v>
      </c>
      <c r="J1400" s="1">
        <v>73.977999999999994</v>
      </c>
      <c r="K1400" s="1">
        <v>126.02200000000001</v>
      </c>
      <c r="L1400" s="1">
        <v>36.99</v>
      </c>
      <c r="M1400" s="1">
        <v>105.7</v>
      </c>
      <c r="N1400" s="1">
        <v>3.3369999999999997E-2</v>
      </c>
      <c r="O1400" s="1">
        <v>2.064E-4</v>
      </c>
      <c r="P1400" s="1">
        <f>(Table1[[#This Row],[Rate_Constant_k2_g_mg_min]]*Table1[[#This Row],[Contact_Time_min]]*Table1[[#This Row],[qe_mg_g]]^2)/(1+Table1[[#This Row],[Contact_Time_min]]*Table1[[#This Row],[qe_mg_g]]*Table1[[#This Row],[Rate_Constant_k2_g_mg_min]])</f>
        <v>47.858472818055105</v>
      </c>
      <c r="Q1400" s="1">
        <f>LN(Table1[[#This Row],[qe_mg_g]]-Table1[[#This Row],[qt]])</f>
        <v>3.2626832024811789</v>
      </c>
      <c r="R1400" s="1">
        <v>1</v>
      </c>
    </row>
    <row r="1401" spans="1:18" x14ac:dyDescent="0.3">
      <c r="A1401" s="1">
        <v>1400</v>
      </c>
      <c r="B1401" s="1" t="s">
        <v>18</v>
      </c>
      <c r="C1401" s="1">
        <v>1</v>
      </c>
      <c r="D1401" s="1">
        <v>120</v>
      </c>
      <c r="E1401" s="1">
        <v>200</v>
      </c>
      <c r="F1401" s="1">
        <v>7</v>
      </c>
      <c r="G1401" s="1">
        <v>25</v>
      </c>
      <c r="H1401" s="1">
        <v>150</v>
      </c>
      <c r="I1401" s="1">
        <v>100</v>
      </c>
      <c r="J1401" s="1">
        <v>82.287000000000006</v>
      </c>
      <c r="K1401" s="1">
        <v>117.71299999999999</v>
      </c>
      <c r="L1401" s="1">
        <v>41.14</v>
      </c>
      <c r="M1401" s="1">
        <v>95.8</v>
      </c>
      <c r="N1401" s="1">
        <v>3.0339999999999999E-2</v>
      </c>
      <c r="O1401" s="1">
        <v>2.6150000000000001E-4</v>
      </c>
      <c r="P1401" s="1">
        <f>(Table1[[#This Row],[Rate_Constant_k2_g_mg_min]]*Table1[[#This Row],[Contact_Time_min]]*Table1[[#This Row],[qe_mg_g]]^2)/(1+Table1[[#This Row],[Contact_Time_min]]*Table1[[#This Row],[qe_mg_g]]*Table1[[#This Row],[Rate_Constant_k2_g_mg_min]])</f>
        <v>59.315703130529918</v>
      </c>
      <c r="Q1401" s="1">
        <f>LN(Table1[[#This Row],[qe_mg_g]]-Table1[[#This Row],[qt]])</f>
        <v>3.1342454743789046</v>
      </c>
      <c r="R1401" s="1">
        <v>2</v>
      </c>
    </row>
    <row r="1402" spans="1:18" x14ac:dyDescent="0.3">
      <c r="A1402" s="1">
        <v>1401</v>
      </c>
      <c r="B1402" s="1" t="s">
        <v>18</v>
      </c>
      <c r="C1402" s="1">
        <v>1</v>
      </c>
      <c r="D1402" s="1">
        <v>120</v>
      </c>
      <c r="E1402" s="1">
        <v>200</v>
      </c>
      <c r="F1402" s="1">
        <v>7</v>
      </c>
      <c r="G1402" s="1">
        <v>25</v>
      </c>
      <c r="H1402" s="1">
        <v>150</v>
      </c>
      <c r="I1402" s="1">
        <v>100</v>
      </c>
      <c r="J1402" s="1">
        <v>78.018000000000001</v>
      </c>
      <c r="K1402" s="1">
        <v>121.982</v>
      </c>
      <c r="L1402" s="1">
        <v>39.01</v>
      </c>
      <c r="M1402" s="1">
        <v>98.4</v>
      </c>
      <c r="N1402" s="1">
        <v>2.9360000000000001E-2</v>
      </c>
      <c r="O1402" s="1">
        <v>2.743E-4</v>
      </c>
      <c r="P1402" s="1">
        <f>(Table1[[#This Row],[Rate_Constant_k2_g_mg_min]]*Table1[[#This Row],[Contact_Time_min]]*Table1[[#This Row],[qe_mg_g]]^2)/(1+Table1[[#This Row],[Contact_Time_min]]*Table1[[#This Row],[qe_mg_g]]*Table1[[#This Row],[Rate_Constant_k2_g_mg_min]])</f>
        <v>56.152216732576505</v>
      </c>
      <c r="Q1402" s="1">
        <f>LN(Table1[[#This Row],[qe_mg_g]]-Table1[[#This Row],[qt]])</f>
        <v>3.0849230071102247</v>
      </c>
      <c r="R1402" s="1">
        <v>3</v>
      </c>
    </row>
    <row r="1403" spans="1:18" x14ac:dyDescent="0.3">
      <c r="A1403" s="1">
        <v>1402</v>
      </c>
      <c r="B1403" s="1" t="s">
        <v>18</v>
      </c>
      <c r="C1403" s="1">
        <v>1</v>
      </c>
      <c r="D1403" s="1">
        <v>120</v>
      </c>
      <c r="E1403" s="1">
        <v>200</v>
      </c>
      <c r="F1403" s="1">
        <v>11</v>
      </c>
      <c r="G1403" s="1">
        <v>25</v>
      </c>
      <c r="H1403" s="1">
        <v>150</v>
      </c>
      <c r="I1403" s="1">
        <v>100</v>
      </c>
      <c r="J1403" s="1">
        <v>67.162999999999997</v>
      </c>
      <c r="K1403" s="1">
        <v>132.83699999999999</v>
      </c>
      <c r="L1403" s="1">
        <v>33.58</v>
      </c>
      <c r="M1403" s="1">
        <v>103.3</v>
      </c>
      <c r="N1403" s="1">
        <v>2.6190000000000001E-2</v>
      </c>
      <c r="O1403" s="1">
        <v>2.4049999999999999E-4</v>
      </c>
      <c r="P1403" s="1">
        <f>(Table1[[#This Row],[Rate_Constant_k2_g_mg_min]]*Table1[[#This Row],[Contact_Time_min]]*Table1[[#This Row],[qe_mg_g]]^2)/(1+Table1[[#This Row],[Contact_Time_min]]*Table1[[#This Row],[qe_mg_g]]*Table1[[#This Row],[Rate_Constant_k2_g_mg_min]])</f>
        <v>44.305413196899195</v>
      </c>
      <c r="Q1403" s="1">
        <f>LN(Table1[[#This Row],[qe_mg_g]]-Table1[[#This Row],[qt]])</f>
        <v>3.1292830886255567</v>
      </c>
      <c r="R1403" s="1">
        <v>1</v>
      </c>
    </row>
    <row r="1404" spans="1:18" x14ac:dyDescent="0.3">
      <c r="A1404" s="1">
        <v>1403</v>
      </c>
      <c r="B1404" s="1" t="s">
        <v>18</v>
      </c>
      <c r="C1404" s="1">
        <v>1</v>
      </c>
      <c r="D1404" s="1">
        <v>120</v>
      </c>
      <c r="E1404" s="1">
        <v>200</v>
      </c>
      <c r="F1404" s="1">
        <v>11</v>
      </c>
      <c r="G1404" s="1">
        <v>25</v>
      </c>
      <c r="H1404" s="1">
        <v>150</v>
      </c>
      <c r="I1404" s="1">
        <v>100</v>
      </c>
      <c r="J1404" s="1">
        <v>69.959000000000003</v>
      </c>
      <c r="K1404" s="1">
        <v>130.041</v>
      </c>
      <c r="L1404" s="1">
        <v>34.979999999999997</v>
      </c>
      <c r="M1404" s="1">
        <v>100.6</v>
      </c>
      <c r="N1404" s="1">
        <v>3.1980000000000001E-2</v>
      </c>
      <c r="O1404" s="1">
        <v>2.942E-4</v>
      </c>
      <c r="P1404" s="1">
        <f>(Table1[[#This Row],[Rate_Constant_k2_g_mg_min]]*Table1[[#This Row],[Contact_Time_min]]*Table1[[#This Row],[qe_mg_g]]^2)/(1+Table1[[#This Row],[Contact_Time_min]]*Table1[[#This Row],[qe_mg_g]]*Table1[[#This Row],[Rate_Constant_k2_g_mg_min]])</f>
        <v>49.796931867268668</v>
      </c>
      <c r="Q1404" s="1">
        <f>LN(Table1[[#This Row],[qe_mg_g]]-Table1[[#This Row],[qt]])</f>
        <v>3.0038030238905642</v>
      </c>
      <c r="R1404" s="1">
        <v>2</v>
      </c>
    </row>
    <row r="1405" spans="1:18" x14ac:dyDescent="0.3">
      <c r="A1405" s="1">
        <v>1404</v>
      </c>
      <c r="B1405" s="1" t="s">
        <v>18</v>
      </c>
      <c r="C1405" s="1">
        <v>1</v>
      </c>
      <c r="D1405" s="1">
        <v>120</v>
      </c>
      <c r="E1405" s="1">
        <v>200</v>
      </c>
      <c r="F1405" s="1">
        <v>11</v>
      </c>
      <c r="G1405" s="1">
        <v>25</v>
      </c>
      <c r="H1405" s="1">
        <v>150</v>
      </c>
      <c r="I1405" s="1">
        <v>100</v>
      </c>
      <c r="J1405" s="1">
        <v>70.774000000000001</v>
      </c>
      <c r="K1405" s="1">
        <v>129.226</v>
      </c>
      <c r="L1405" s="1">
        <v>35.39</v>
      </c>
      <c r="M1405" s="1">
        <v>101.4</v>
      </c>
      <c r="N1405" s="1">
        <v>2.8469999999999999E-2</v>
      </c>
      <c r="O1405" s="1">
        <v>1.862E-4</v>
      </c>
      <c r="P1405" s="1">
        <f>(Table1[[#This Row],[Rate_Constant_k2_g_mg_min]]*Table1[[#This Row],[Contact_Time_min]]*Table1[[#This Row],[qe_mg_g]]^2)/(1+Table1[[#This Row],[Contact_Time_min]]*Table1[[#This Row],[qe_mg_g]]*Table1[[#This Row],[Rate_Constant_k2_g_mg_min]])</f>
        <v>43.356821016558548</v>
      </c>
      <c r="Q1405" s="1">
        <f>LN(Table1[[#This Row],[qe_mg_g]]-Table1[[#This Row],[qt]])</f>
        <v>3.3111697871289163</v>
      </c>
      <c r="R1405" s="1">
        <v>3</v>
      </c>
    </row>
    <row r="1406" spans="1:18" x14ac:dyDescent="0.3">
      <c r="A1406" s="1">
        <v>1405</v>
      </c>
      <c r="B1406" s="1" t="s">
        <v>18</v>
      </c>
      <c r="C1406" s="1">
        <v>1</v>
      </c>
      <c r="D1406" s="1">
        <v>240</v>
      </c>
      <c r="E1406" s="1">
        <v>25</v>
      </c>
      <c r="F1406" s="1">
        <v>3</v>
      </c>
      <c r="G1406" s="1">
        <v>25</v>
      </c>
      <c r="H1406" s="1">
        <v>150</v>
      </c>
      <c r="I1406" s="1">
        <v>100</v>
      </c>
      <c r="J1406" s="1">
        <v>8.0540000000000003</v>
      </c>
      <c r="K1406" s="1">
        <v>16.946000000000002</v>
      </c>
      <c r="L1406" s="1">
        <v>32.22</v>
      </c>
      <c r="M1406" s="1">
        <v>95.1</v>
      </c>
      <c r="N1406" s="1">
        <v>3.117E-2</v>
      </c>
      <c r="O1406" s="1">
        <v>2.4620000000000002E-4</v>
      </c>
      <c r="P140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2.5969713134449846</v>
      </c>
      <c r="Q1406" s="1">
        <f>LN(Table1[[#This Row],[qe_mg_g]]-Table1[[#This Row],[qt]])</f>
        <v>1.6969044450264543</v>
      </c>
      <c r="R1406" s="1">
        <v>1</v>
      </c>
    </row>
    <row r="1407" spans="1:18" x14ac:dyDescent="0.3">
      <c r="A1407" s="1">
        <v>1406</v>
      </c>
      <c r="B1407" s="1" t="s">
        <v>18</v>
      </c>
      <c r="C1407" s="1">
        <v>1</v>
      </c>
      <c r="D1407" s="1">
        <v>240</v>
      </c>
      <c r="E1407" s="1">
        <v>25</v>
      </c>
      <c r="F1407" s="1">
        <v>3</v>
      </c>
      <c r="G1407" s="1">
        <v>25</v>
      </c>
      <c r="H1407" s="1">
        <v>150</v>
      </c>
      <c r="I1407" s="1">
        <v>100</v>
      </c>
      <c r="J1407" s="1">
        <v>7.9420000000000002</v>
      </c>
      <c r="K1407" s="1">
        <v>17.058</v>
      </c>
      <c r="L1407" s="1">
        <v>31.77</v>
      </c>
      <c r="M1407" s="1">
        <v>73.3</v>
      </c>
      <c r="N1407" s="1">
        <v>2.7179999999999999E-2</v>
      </c>
      <c r="O1407" s="1">
        <v>2.6190000000000002E-4</v>
      </c>
      <c r="P140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2.6445163151558346</v>
      </c>
      <c r="Q1407" s="1">
        <f>LN(Table1[[#This Row],[qe_mg_g]]-Table1[[#This Row],[qt]])</f>
        <v>1.6672319313715567</v>
      </c>
      <c r="R1407" s="1">
        <v>2</v>
      </c>
    </row>
    <row r="1408" spans="1:18" x14ac:dyDescent="0.3">
      <c r="A1408" s="1">
        <v>1407</v>
      </c>
      <c r="B1408" s="1" t="s">
        <v>18</v>
      </c>
      <c r="C1408" s="1">
        <v>1</v>
      </c>
      <c r="D1408" s="1">
        <v>240</v>
      </c>
      <c r="E1408" s="1">
        <v>25</v>
      </c>
      <c r="F1408" s="1">
        <v>3</v>
      </c>
      <c r="G1408" s="1">
        <v>25</v>
      </c>
      <c r="H1408" s="1">
        <v>150</v>
      </c>
      <c r="I1408" s="1">
        <v>100</v>
      </c>
      <c r="J1408" s="1">
        <v>9.4410000000000007</v>
      </c>
      <c r="K1408" s="1">
        <v>15.558999999999999</v>
      </c>
      <c r="L1408" s="1">
        <v>37.76</v>
      </c>
      <c r="M1408" s="1">
        <v>98.5</v>
      </c>
      <c r="N1408" s="1">
        <v>3.0980000000000001E-2</v>
      </c>
      <c r="O1408" s="1">
        <v>2.7379999999999999E-4</v>
      </c>
      <c r="P1408" s="1">
        <f>(Table1[[#This Row],[Rate_Constant_k2_g_mg_min]]*Table1[[#This Row],[Contact_Time_min]]*Table1[[#This Row],[qe_mg_g]]^2)/(1+Table1[[#This Row],[Contact_Time_min]]*Table1[[#This Row],[qe_mg_g]]*Table1[[#This Row],[Rate_Constant_k2_g_mg_min]])</f>
        <v>3.6146140523152259</v>
      </c>
      <c r="Q1408" s="1">
        <f>LN(Table1[[#This Row],[qe_mg_g]]-Table1[[#This Row],[qt]])</f>
        <v>1.7623969020836976</v>
      </c>
      <c r="R1408" s="1">
        <v>3</v>
      </c>
    </row>
    <row r="1409" spans="1:18" x14ac:dyDescent="0.3">
      <c r="A1409" s="1">
        <v>1408</v>
      </c>
      <c r="B1409" s="1" t="s">
        <v>18</v>
      </c>
      <c r="C1409" s="1">
        <v>1</v>
      </c>
      <c r="D1409" s="1">
        <v>240</v>
      </c>
      <c r="E1409" s="1">
        <v>25</v>
      </c>
      <c r="F1409" s="1">
        <v>7</v>
      </c>
      <c r="G1409" s="1">
        <v>25</v>
      </c>
      <c r="H1409" s="1">
        <v>150</v>
      </c>
      <c r="I1409" s="1">
        <v>100</v>
      </c>
      <c r="J1409" s="1">
        <v>11.554</v>
      </c>
      <c r="K1409" s="1">
        <v>13.446</v>
      </c>
      <c r="L1409" s="1">
        <v>46.22</v>
      </c>
      <c r="M1409" s="1">
        <v>105.5</v>
      </c>
      <c r="N1409" s="1">
        <v>2.7779999999999999E-2</v>
      </c>
      <c r="O1409" s="1">
        <v>2.7159999999999999E-4</v>
      </c>
      <c r="P1409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4.9635241773653309</v>
      </c>
      <c r="Q1409" s="1">
        <f>LN(Table1[[#This Row],[qe_mg_g]]-Table1[[#This Row],[qt]])</f>
        <v>1.885625549646041</v>
      </c>
      <c r="R1409" s="1">
        <v>1</v>
      </c>
    </row>
    <row r="1410" spans="1:18" x14ac:dyDescent="0.3">
      <c r="A1410" s="1">
        <v>1409</v>
      </c>
      <c r="B1410" s="1" t="s">
        <v>18</v>
      </c>
      <c r="C1410" s="1">
        <v>1</v>
      </c>
      <c r="D1410" s="1">
        <v>240</v>
      </c>
      <c r="E1410" s="1">
        <v>25</v>
      </c>
      <c r="F1410" s="1">
        <v>7</v>
      </c>
      <c r="G1410" s="1">
        <v>25</v>
      </c>
      <c r="H1410" s="1">
        <v>150</v>
      </c>
      <c r="I1410" s="1">
        <v>100</v>
      </c>
      <c r="J1410" s="1">
        <v>12.634</v>
      </c>
      <c r="K1410" s="1">
        <v>12.366</v>
      </c>
      <c r="L1410" s="1">
        <v>50.54</v>
      </c>
      <c r="M1410" s="1">
        <v>104.5</v>
      </c>
      <c r="N1410" s="1">
        <v>2.7650000000000001E-2</v>
      </c>
      <c r="O1410" s="1">
        <v>2.677E-4</v>
      </c>
      <c r="P1410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5.660474791402951</v>
      </c>
      <c r="Q1410" s="1">
        <f>LN(Table1[[#This Row],[qe_mg_g]]-Table1[[#This Row],[qt]])</f>
        <v>1.9421208657232567</v>
      </c>
      <c r="R1410" s="1">
        <v>2</v>
      </c>
    </row>
    <row r="1411" spans="1:18" x14ac:dyDescent="0.3">
      <c r="A1411" s="1">
        <v>1410</v>
      </c>
      <c r="B1411" s="1" t="s">
        <v>18</v>
      </c>
      <c r="C1411" s="1">
        <v>1</v>
      </c>
      <c r="D1411" s="1">
        <v>240</v>
      </c>
      <c r="E1411" s="1">
        <v>25</v>
      </c>
      <c r="F1411" s="1">
        <v>7</v>
      </c>
      <c r="G1411" s="1">
        <v>25</v>
      </c>
      <c r="H1411" s="1">
        <v>150</v>
      </c>
      <c r="I1411" s="1">
        <v>100</v>
      </c>
      <c r="J1411" s="1">
        <v>14.803000000000001</v>
      </c>
      <c r="K1411" s="1">
        <v>10.196999999999999</v>
      </c>
      <c r="L1411" s="1">
        <v>59.21</v>
      </c>
      <c r="M1411" s="1">
        <v>84.9</v>
      </c>
      <c r="N1411" s="1">
        <v>2.8979999999999999E-2</v>
      </c>
      <c r="O1411" s="1">
        <v>2.5579999999999998E-4</v>
      </c>
      <c r="P1411" s="1">
        <f>(Table1[[#This Row],[Rate_Constant_k2_g_mg_min]]*Table1[[#This Row],[Contact_Time_min]]*Table1[[#This Row],[qe_mg_g]]^2)/(1+Table1[[#This Row],[Contact_Time_min]]*Table1[[#This Row],[qe_mg_g]]*Table1[[#This Row],[Rate_Constant_k2_g_mg_min]])</f>
        <v>7.0478080941692856</v>
      </c>
      <c r="Q1411" s="1">
        <f>LN(Table1[[#This Row],[qe_mg_g]]-Table1[[#This Row],[qt]])</f>
        <v>2.0483625423997847</v>
      </c>
      <c r="R1411" s="1">
        <v>3</v>
      </c>
    </row>
    <row r="1412" spans="1:18" x14ac:dyDescent="0.3">
      <c r="A1412" s="1">
        <v>1411</v>
      </c>
      <c r="B1412" s="1" t="s">
        <v>18</v>
      </c>
      <c r="C1412" s="1">
        <v>1</v>
      </c>
      <c r="D1412" s="1">
        <v>240</v>
      </c>
      <c r="E1412" s="1">
        <v>25</v>
      </c>
      <c r="F1412" s="1">
        <v>11</v>
      </c>
      <c r="G1412" s="1">
        <v>25</v>
      </c>
      <c r="H1412" s="1">
        <v>150</v>
      </c>
      <c r="I1412" s="1">
        <v>100</v>
      </c>
      <c r="J1412" s="1">
        <v>10.545999999999999</v>
      </c>
      <c r="K1412" s="1">
        <v>14.454000000000001</v>
      </c>
      <c r="L1412" s="1">
        <v>42.18</v>
      </c>
      <c r="M1412" s="1">
        <v>91.6</v>
      </c>
      <c r="N1412" s="1">
        <v>2.1499999999999998E-2</v>
      </c>
      <c r="O1412" s="1">
        <v>2.8400000000000002E-4</v>
      </c>
      <c r="P1412" s="1">
        <f>(Table1[[#This Row],[Rate_Constant_k2_g_mg_min]]*Table1[[#This Row],[Contact_Time_min]]*Table1[[#This Row],[qe_mg_g]]^2)/(1+Table1[[#This Row],[Contact_Time_min]]*Table1[[#This Row],[qe_mg_g]]*Table1[[#This Row],[Rate_Constant_k2_g_mg_min]])</f>
        <v>4.4103787777181598</v>
      </c>
      <c r="Q1412" s="1">
        <f>LN(Table1[[#This Row],[qe_mg_g]]-Table1[[#This Row],[qt]])</f>
        <v>1.8141113317622022</v>
      </c>
      <c r="R1412" s="1">
        <v>1</v>
      </c>
    </row>
    <row r="1413" spans="1:18" x14ac:dyDescent="0.3">
      <c r="A1413" s="1">
        <v>1412</v>
      </c>
      <c r="B1413" s="1" t="s">
        <v>18</v>
      </c>
      <c r="C1413" s="1">
        <v>1</v>
      </c>
      <c r="D1413" s="1">
        <v>240</v>
      </c>
      <c r="E1413" s="1">
        <v>25</v>
      </c>
      <c r="F1413" s="1">
        <v>11</v>
      </c>
      <c r="G1413" s="1">
        <v>25</v>
      </c>
      <c r="H1413" s="1">
        <v>150</v>
      </c>
      <c r="I1413" s="1">
        <v>100</v>
      </c>
      <c r="J1413" s="1">
        <v>10.523</v>
      </c>
      <c r="K1413" s="1">
        <v>14.477</v>
      </c>
      <c r="L1413" s="1">
        <v>42.09</v>
      </c>
      <c r="M1413" s="1">
        <v>73.900000000000006</v>
      </c>
      <c r="N1413" s="1">
        <v>2.818E-2</v>
      </c>
      <c r="O1413" s="1">
        <v>2.8919999999999998E-4</v>
      </c>
      <c r="P141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4.4416781719781673</v>
      </c>
      <c r="Q1413" s="1">
        <f>LN(Table1[[#This Row],[qe_mg_g]]-Table1[[#This Row],[qt]])</f>
        <v>1.8052220782734758</v>
      </c>
      <c r="R1413" s="1">
        <v>2</v>
      </c>
    </row>
    <row r="1414" spans="1:18" x14ac:dyDescent="0.3">
      <c r="A1414" s="1">
        <v>1413</v>
      </c>
      <c r="B1414" s="1" t="s">
        <v>18</v>
      </c>
      <c r="C1414" s="1">
        <v>1</v>
      </c>
      <c r="D1414" s="1">
        <v>240</v>
      </c>
      <c r="E1414" s="1">
        <v>25</v>
      </c>
      <c r="F1414" s="1">
        <v>11</v>
      </c>
      <c r="G1414" s="1">
        <v>25</v>
      </c>
      <c r="H1414" s="1">
        <v>150</v>
      </c>
      <c r="I1414" s="1">
        <v>100</v>
      </c>
      <c r="J1414" s="1">
        <v>11.132</v>
      </c>
      <c r="K1414" s="1">
        <v>13.868</v>
      </c>
      <c r="L1414" s="1">
        <v>44.53</v>
      </c>
      <c r="M1414" s="1">
        <v>114.1</v>
      </c>
      <c r="N1414" s="1">
        <v>2.947E-2</v>
      </c>
      <c r="O1414" s="1">
        <v>2.521E-4</v>
      </c>
      <c r="P141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4.4801942433977509</v>
      </c>
      <c r="Q1414" s="1">
        <f>LN(Table1[[#This Row],[qe_mg_g]]-Table1[[#This Row],[qt]])</f>
        <v>1.8948883601530155</v>
      </c>
      <c r="R1414" s="1">
        <v>3</v>
      </c>
    </row>
    <row r="1415" spans="1:18" x14ac:dyDescent="0.3">
      <c r="A1415" s="1">
        <v>1414</v>
      </c>
      <c r="B1415" s="1" t="s">
        <v>18</v>
      </c>
      <c r="C1415" s="1">
        <v>1</v>
      </c>
      <c r="D1415" s="1">
        <v>240</v>
      </c>
      <c r="E1415" s="1">
        <v>50</v>
      </c>
      <c r="F1415" s="1">
        <v>3</v>
      </c>
      <c r="G1415" s="1">
        <v>25</v>
      </c>
      <c r="H1415" s="1">
        <v>150</v>
      </c>
      <c r="I1415" s="1">
        <v>100</v>
      </c>
      <c r="J1415" s="1">
        <v>20.706</v>
      </c>
      <c r="K1415" s="1">
        <v>29.294</v>
      </c>
      <c r="L1415" s="1">
        <v>41.41</v>
      </c>
      <c r="M1415" s="1">
        <v>116.9</v>
      </c>
      <c r="N1415" s="1">
        <v>2.7369999999999998E-2</v>
      </c>
      <c r="O1415" s="1">
        <v>2.299E-4</v>
      </c>
      <c r="P1415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11.041473137185738</v>
      </c>
      <c r="Q1415" s="1">
        <f>LN(Table1[[#This Row],[qe_mg_g]]-Table1[[#This Row],[qt]])</f>
        <v>2.2684621577956263</v>
      </c>
      <c r="R1415" s="1">
        <v>1</v>
      </c>
    </row>
    <row r="1416" spans="1:18" x14ac:dyDescent="0.3">
      <c r="A1416" s="1">
        <v>1415</v>
      </c>
      <c r="B1416" s="1" t="s">
        <v>18</v>
      </c>
      <c r="C1416" s="1">
        <v>1</v>
      </c>
      <c r="D1416" s="1">
        <v>240</v>
      </c>
      <c r="E1416" s="1">
        <v>50</v>
      </c>
      <c r="F1416" s="1">
        <v>3</v>
      </c>
      <c r="G1416" s="1">
        <v>25</v>
      </c>
      <c r="H1416" s="1">
        <v>150</v>
      </c>
      <c r="I1416" s="1">
        <v>100</v>
      </c>
      <c r="J1416" s="1">
        <v>22.858000000000001</v>
      </c>
      <c r="K1416" s="1">
        <v>27.141999999999999</v>
      </c>
      <c r="L1416" s="1">
        <v>45.72</v>
      </c>
      <c r="M1416" s="1">
        <v>99.3</v>
      </c>
      <c r="N1416" s="1">
        <v>3.4139999999999997E-2</v>
      </c>
      <c r="O1416" s="1">
        <v>2.332E-4</v>
      </c>
      <c r="P1416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12.829555262839349</v>
      </c>
      <c r="Q1416" s="1">
        <f>LN(Table1[[#This Row],[qe_mg_g]]-Table1[[#This Row],[qt]])</f>
        <v>2.3054255288499959</v>
      </c>
      <c r="R1416" s="1">
        <v>2</v>
      </c>
    </row>
    <row r="1417" spans="1:18" x14ac:dyDescent="0.3">
      <c r="A1417" s="1">
        <v>1416</v>
      </c>
      <c r="B1417" s="1" t="s">
        <v>18</v>
      </c>
      <c r="C1417" s="1">
        <v>1</v>
      </c>
      <c r="D1417" s="1">
        <v>240</v>
      </c>
      <c r="E1417" s="1">
        <v>50</v>
      </c>
      <c r="F1417" s="1">
        <v>3</v>
      </c>
      <c r="G1417" s="1">
        <v>25</v>
      </c>
      <c r="H1417" s="1">
        <v>150</v>
      </c>
      <c r="I1417" s="1">
        <v>100</v>
      </c>
      <c r="J1417" s="1">
        <v>20.85</v>
      </c>
      <c r="K1417" s="1">
        <v>29.15</v>
      </c>
      <c r="L1417" s="1">
        <v>41.7</v>
      </c>
      <c r="M1417" s="1">
        <v>86.2</v>
      </c>
      <c r="N1417" s="1">
        <v>3.0020000000000002E-2</v>
      </c>
      <c r="O1417" s="1">
        <v>2.13E-4</v>
      </c>
      <c r="P1417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10.757311850026046</v>
      </c>
      <c r="Q1417" s="1">
        <f>LN(Table1[[#This Row],[qe_mg_g]]-Table1[[#This Row],[qt]])</f>
        <v>2.3118112161249615</v>
      </c>
      <c r="R1417" s="1">
        <v>3</v>
      </c>
    </row>
    <row r="1418" spans="1:18" x14ac:dyDescent="0.3">
      <c r="A1418" s="1">
        <v>1417</v>
      </c>
      <c r="B1418" s="1" t="s">
        <v>18</v>
      </c>
      <c r="C1418" s="1">
        <v>1</v>
      </c>
      <c r="D1418" s="1">
        <v>240</v>
      </c>
      <c r="E1418" s="1">
        <v>50</v>
      </c>
      <c r="F1418" s="1">
        <v>7</v>
      </c>
      <c r="G1418" s="1">
        <v>25</v>
      </c>
      <c r="H1418" s="1">
        <v>150</v>
      </c>
      <c r="I1418" s="1">
        <v>100</v>
      </c>
      <c r="J1418" s="1">
        <v>29.198</v>
      </c>
      <c r="K1418" s="1">
        <v>20.802</v>
      </c>
      <c r="L1418" s="1">
        <v>58.4</v>
      </c>
      <c r="M1418" s="1">
        <v>78.5</v>
      </c>
      <c r="N1418" s="1">
        <v>3.2079999999999997E-2</v>
      </c>
      <c r="O1418" s="1">
        <v>2.6790000000000001E-4</v>
      </c>
      <c r="P1418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19.050343598847778</v>
      </c>
      <c r="Q1418" s="1">
        <f>LN(Table1[[#This Row],[qe_mg_g]]-Table1[[#This Row],[qt]])</f>
        <v>2.317242782388905</v>
      </c>
      <c r="R1418" s="1">
        <v>1</v>
      </c>
    </row>
    <row r="1419" spans="1:18" x14ac:dyDescent="0.3">
      <c r="A1419" s="1">
        <v>1418</v>
      </c>
      <c r="B1419" s="1" t="s">
        <v>18</v>
      </c>
      <c r="C1419" s="1">
        <v>1</v>
      </c>
      <c r="D1419" s="1">
        <v>240</v>
      </c>
      <c r="E1419" s="1">
        <v>50</v>
      </c>
      <c r="F1419" s="1">
        <v>7</v>
      </c>
      <c r="G1419" s="1">
        <v>25</v>
      </c>
      <c r="H1419" s="1">
        <v>150</v>
      </c>
      <c r="I1419" s="1">
        <v>100</v>
      </c>
      <c r="J1419" s="1">
        <v>25.783000000000001</v>
      </c>
      <c r="K1419" s="1">
        <v>24.216999999999999</v>
      </c>
      <c r="L1419" s="1">
        <v>51.57</v>
      </c>
      <c r="M1419" s="1">
        <v>120</v>
      </c>
      <c r="N1419" s="1">
        <v>3.7490000000000002E-2</v>
      </c>
      <c r="O1419" s="1">
        <v>2.5119999999999998E-4</v>
      </c>
      <c r="P1419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15.689457702339809</v>
      </c>
      <c r="Q1419" s="1">
        <f>LN(Table1[[#This Row],[qe_mg_g]]-Table1[[#This Row],[qt]])</f>
        <v>2.3118958428896232</v>
      </c>
      <c r="R1419" s="1">
        <v>2</v>
      </c>
    </row>
    <row r="1420" spans="1:18" x14ac:dyDescent="0.3">
      <c r="A1420" s="1">
        <v>1419</v>
      </c>
      <c r="B1420" s="1" t="s">
        <v>18</v>
      </c>
      <c r="C1420" s="1">
        <v>1</v>
      </c>
      <c r="D1420" s="1">
        <v>240</v>
      </c>
      <c r="E1420" s="1">
        <v>50</v>
      </c>
      <c r="F1420" s="1">
        <v>7</v>
      </c>
      <c r="G1420" s="1">
        <v>25</v>
      </c>
      <c r="H1420" s="1">
        <v>150</v>
      </c>
      <c r="I1420" s="1">
        <v>100</v>
      </c>
      <c r="J1420" s="1">
        <v>28.776</v>
      </c>
      <c r="K1420" s="1">
        <v>21.224</v>
      </c>
      <c r="L1420" s="1">
        <v>57.55</v>
      </c>
      <c r="M1420" s="1">
        <v>142.4</v>
      </c>
      <c r="N1420" s="1">
        <v>2.6040000000000001E-2</v>
      </c>
      <c r="O1420" s="1">
        <v>2.5050000000000002E-4</v>
      </c>
      <c r="P1420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18.235391316038807</v>
      </c>
      <c r="Q1420" s="1">
        <f>LN(Table1[[#This Row],[qe_mg_g]]-Table1[[#This Row],[qt]])</f>
        <v>2.3552352913471961</v>
      </c>
      <c r="R1420" s="1">
        <v>3</v>
      </c>
    </row>
    <row r="1421" spans="1:18" x14ac:dyDescent="0.3">
      <c r="A1421" s="1">
        <v>1420</v>
      </c>
      <c r="B1421" s="1" t="s">
        <v>18</v>
      </c>
      <c r="C1421" s="1">
        <v>1</v>
      </c>
      <c r="D1421" s="1">
        <v>240</v>
      </c>
      <c r="E1421" s="1">
        <v>50</v>
      </c>
      <c r="F1421" s="1">
        <v>11</v>
      </c>
      <c r="G1421" s="1">
        <v>25</v>
      </c>
      <c r="H1421" s="1">
        <v>150</v>
      </c>
      <c r="I1421" s="1">
        <v>100</v>
      </c>
      <c r="J1421" s="1">
        <v>25.138000000000002</v>
      </c>
      <c r="K1421" s="1">
        <v>24.861999999999998</v>
      </c>
      <c r="L1421" s="1">
        <v>50.28</v>
      </c>
      <c r="M1421" s="1">
        <v>120.2</v>
      </c>
      <c r="N1421" s="1">
        <v>3.108E-2</v>
      </c>
      <c r="O1421" s="1">
        <v>2.375E-4</v>
      </c>
      <c r="P1421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14.805330629800409</v>
      </c>
      <c r="Q1421" s="1">
        <f>LN(Table1[[#This Row],[qe_mg_g]]-Table1[[#This Row],[qt]])</f>
        <v>2.3353106592558142</v>
      </c>
      <c r="R1421" s="1">
        <v>1</v>
      </c>
    </row>
    <row r="1422" spans="1:18" x14ac:dyDescent="0.3">
      <c r="A1422" s="1">
        <v>1421</v>
      </c>
      <c r="B1422" s="1" t="s">
        <v>18</v>
      </c>
      <c r="C1422" s="1">
        <v>1</v>
      </c>
      <c r="D1422" s="1">
        <v>240</v>
      </c>
      <c r="E1422" s="1">
        <v>50</v>
      </c>
      <c r="F1422" s="1">
        <v>11</v>
      </c>
      <c r="G1422" s="1">
        <v>25</v>
      </c>
      <c r="H1422" s="1">
        <v>150</v>
      </c>
      <c r="I1422" s="1">
        <v>100</v>
      </c>
      <c r="J1422" s="1">
        <v>22.620999999999999</v>
      </c>
      <c r="K1422" s="1">
        <v>27.379000000000001</v>
      </c>
      <c r="L1422" s="1">
        <v>45.24</v>
      </c>
      <c r="M1422" s="1">
        <v>94.9</v>
      </c>
      <c r="N1422" s="1">
        <v>2.6980000000000001E-2</v>
      </c>
      <c r="O1422" s="1">
        <v>2.5119999999999998E-4</v>
      </c>
      <c r="P1422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13.051137616897087</v>
      </c>
      <c r="Q1422" s="1">
        <f>LN(Table1[[#This Row],[qe_mg_g]]-Table1[[#This Row],[qt]])</f>
        <v>2.2586188253304256</v>
      </c>
      <c r="R1422" s="1">
        <v>2</v>
      </c>
    </row>
    <row r="1423" spans="1:18" x14ac:dyDescent="0.3">
      <c r="A1423" s="1">
        <v>1422</v>
      </c>
      <c r="B1423" s="1" t="s">
        <v>18</v>
      </c>
      <c r="C1423" s="1">
        <v>1</v>
      </c>
      <c r="D1423" s="1">
        <v>240</v>
      </c>
      <c r="E1423" s="1">
        <v>50</v>
      </c>
      <c r="F1423" s="1">
        <v>11</v>
      </c>
      <c r="G1423" s="1">
        <v>25</v>
      </c>
      <c r="H1423" s="1">
        <v>150</v>
      </c>
      <c r="I1423" s="1">
        <v>100</v>
      </c>
      <c r="J1423" s="1">
        <v>23.481999999999999</v>
      </c>
      <c r="K1423" s="1">
        <v>26.518000000000001</v>
      </c>
      <c r="L1423" s="1">
        <v>46.96</v>
      </c>
      <c r="M1423" s="1">
        <v>77.599999999999994</v>
      </c>
      <c r="N1423" s="1">
        <v>3.3770000000000001E-2</v>
      </c>
      <c r="O1423" s="1">
        <v>2.376E-4</v>
      </c>
      <c r="P1423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13.442828196496926</v>
      </c>
      <c r="Q1423" s="1">
        <f>LN(Table1[[#This Row],[qe_mg_g]]-Table1[[#This Row],[qt]])</f>
        <v>2.3064946211701924</v>
      </c>
      <c r="R1423" s="1">
        <v>3</v>
      </c>
    </row>
    <row r="1424" spans="1:18" x14ac:dyDescent="0.3">
      <c r="A1424" s="1">
        <v>1423</v>
      </c>
      <c r="B1424" s="1" t="s">
        <v>18</v>
      </c>
      <c r="C1424" s="1">
        <v>1</v>
      </c>
      <c r="D1424" s="1">
        <v>240</v>
      </c>
      <c r="E1424" s="1">
        <v>100</v>
      </c>
      <c r="F1424" s="1">
        <v>3</v>
      </c>
      <c r="G1424" s="1">
        <v>25</v>
      </c>
      <c r="H1424" s="1">
        <v>150</v>
      </c>
      <c r="I1424" s="1">
        <v>100</v>
      </c>
      <c r="J1424" s="1">
        <v>39.316000000000003</v>
      </c>
      <c r="K1424" s="1">
        <v>60.683999999999997</v>
      </c>
      <c r="L1424" s="1">
        <v>39.32</v>
      </c>
      <c r="M1424" s="1">
        <v>97.5</v>
      </c>
      <c r="N1424" s="1">
        <v>3.0210000000000001E-2</v>
      </c>
      <c r="O1424" s="1">
        <v>2.063E-4</v>
      </c>
      <c r="P1424" s="1">
        <f>(Table1[[#This Row],[Rate_Constant_k2_g_mg_min]]*Table1[[#This Row],[Contact_Time_min]]*Table1[[#This Row],[qe_mg_g]]^2)/(1+Table1[[#This Row],[Contact_Time_min]]*Table1[[#This Row],[qe_mg_g]]*Table1[[#This Row],[Rate_Constant_k2_g_mg_min]])</f>
        <v>25.973226642072273</v>
      </c>
      <c r="Q1424" s="1">
        <f>LN(Table1[[#This Row],[qe_mg_g]]-Table1[[#This Row],[qt]])</f>
        <v>2.5909749167753366</v>
      </c>
      <c r="R1424" s="1">
        <v>1</v>
      </c>
    </row>
    <row r="1425" spans="1:18" x14ac:dyDescent="0.3">
      <c r="A1425" s="1">
        <v>1424</v>
      </c>
      <c r="B1425" s="1" t="s">
        <v>18</v>
      </c>
      <c r="C1425" s="1">
        <v>1</v>
      </c>
      <c r="D1425" s="1">
        <v>240</v>
      </c>
      <c r="E1425" s="1">
        <v>100</v>
      </c>
      <c r="F1425" s="1">
        <v>3</v>
      </c>
      <c r="G1425" s="1">
        <v>25</v>
      </c>
      <c r="H1425" s="1">
        <v>150</v>
      </c>
      <c r="I1425" s="1">
        <v>100</v>
      </c>
      <c r="J1425" s="1">
        <v>45.706000000000003</v>
      </c>
      <c r="K1425" s="1">
        <v>54.293999999999997</v>
      </c>
      <c r="L1425" s="1">
        <v>45.71</v>
      </c>
      <c r="M1425" s="1">
        <v>84.3</v>
      </c>
      <c r="N1425" s="1">
        <v>3.5130000000000002E-2</v>
      </c>
      <c r="O1425" s="1">
        <v>2.631E-4</v>
      </c>
      <c r="P1425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33.944471883637043</v>
      </c>
      <c r="Q1425" s="1">
        <f>LN(Table1[[#This Row],[qe_mg_g]]-Table1[[#This Row],[qt]])</f>
        <v>2.4648338758963662</v>
      </c>
      <c r="R1425" s="1">
        <v>2</v>
      </c>
    </row>
    <row r="1426" spans="1:18" x14ac:dyDescent="0.3">
      <c r="A1426" s="1">
        <v>1425</v>
      </c>
      <c r="B1426" s="1" t="s">
        <v>18</v>
      </c>
      <c r="C1426" s="1">
        <v>1</v>
      </c>
      <c r="D1426" s="1">
        <v>240</v>
      </c>
      <c r="E1426" s="1">
        <v>100</v>
      </c>
      <c r="F1426" s="1">
        <v>3</v>
      </c>
      <c r="G1426" s="1">
        <v>25</v>
      </c>
      <c r="H1426" s="1">
        <v>150</v>
      </c>
      <c r="I1426" s="1">
        <v>100</v>
      </c>
      <c r="J1426" s="1">
        <v>42.783999999999999</v>
      </c>
      <c r="K1426" s="1">
        <v>57.216000000000001</v>
      </c>
      <c r="L1426" s="1">
        <v>42.78</v>
      </c>
      <c r="M1426" s="1">
        <v>88.8</v>
      </c>
      <c r="N1426" s="1">
        <v>2.9690000000000001E-2</v>
      </c>
      <c r="O1426" s="1">
        <v>2.653E-4</v>
      </c>
      <c r="P1426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31.29571887163873</v>
      </c>
      <c r="Q1426" s="1">
        <f>LN(Table1[[#This Row],[qe_mg_g]]-Table1[[#This Row],[qt]])</f>
        <v>2.4413274834863619</v>
      </c>
      <c r="R1426" s="1">
        <v>3</v>
      </c>
    </row>
    <row r="1427" spans="1:18" x14ac:dyDescent="0.3">
      <c r="A1427" s="1">
        <v>1426</v>
      </c>
      <c r="B1427" s="1" t="s">
        <v>18</v>
      </c>
      <c r="C1427" s="1">
        <v>1</v>
      </c>
      <c r="D1427" s="1">
        <v>240</v>
      </c>
      <c r="E1427" s="1">
        <v>100</v>
      </c>
      <c r="F1427" s="1">
        <v>7</v>
      </c>
      <c r="G1427" s="1">
        <v>25</v>
      </c>
      <c r="H1427" s="1">
        <v>150</v>
      </c>
      <c r="I1427" s="1">
        <v>100</v>
      </c>
      <c r="J1427" s="1">
        <v>62.529000000000003</v>
      </c>
      <c r="K1427" s="1">
        <v>37.470999999999997</v>
      </c>
      <c r="L1427" s="1">
        <v>62.53</v>
      </c>
      <c r="M1427" s="1">
        <v>96.7</v>
      </c>
      <c r="N1427" s="1">
        <v>3.0179999999999998E-2</v>
      </c>
      <c r="O1427" s="1">
        <v>2.3489999999999999E-4</v>
      </c>
      <c r="P1427" s="1">
        <f>(Table1[[#This Row],[Rate_Constant_k2_g_mg_min]]*Table1[[#This Row],[Contact_Time_min]]*Table1[[#This Row],[qe_mg_g]]^2)/(1+Table1[[#This Row],[Contact_Time_min]]*Table1[[#This Row],[qe_mg_g]]*Table1[[#This Row],[Rate_Constant_k2_g_mg_min]])</f>
        <v>48.710848425175712</v>
      </c>
      <c r="Q1427" s="1">
        <f>LN(Table1[[#This Row],[qe_mg_g]]-Table1[[#This Row],[qt]])</f>
        <v>2.625983059381479</v>
      </c>
      <c r="R1427" s="1">
        <v>1</v>
      </c>
    </row>
    <row r="1428" spans="1:18" x14ac:dyDescent="0.3">
      <c r="A1428" s="1">
        <v>1427</v>
      </c>
      <c r="B1428" s="1" t="s">
        <v>18</v>
      </c>
      <c r="C1428" s="1">
        <v>1</v>
      </c>
      <c r="D1428" s="1">
        <v>240</v>
      </c>
      <c r="E1428" s="1">
        <v>100</v>
      </c>
      <c r="F1428" s="1">
        <v>7</v>
      </c>
      <c r="G1428" s="1">
        <v>25</v>
      </c>
      <c r="H1428" s="1">
        <v>150</v>
      </c>
      <c r="I1428" s="1">
        <v>100</v>
      </c>
      <c r="J1428" s="1">
        <v>60.737000000000002</v>
      </c>
      <c r="K1428" s="1">
        <v>39.262999999999998</v>
      </c>
      <c r="L1428" s="1">
        <v>60.74</v>
      </c>
      <c r="M1428" s="1">
        <v>68.7</v>
      </c>
      <c r="N1428" s="1">
        <v>3.2919999999999998E-2</v>
      </c>
      <c r="O1428" s="1">
        <v>2.5750000000000002E-4</v>
      </c>
      <c r="P1428" s="1">
        <f>(Table1[[#This Row],[Rate_Constant_k2_g_mg_min]]*Table1[[#This Row],[Contact_Time_min]]*Table1[[#This Row],[qe_mg_g]]^2)/(1+Table1[[#This Row],[Contact_Time_min]]*Table1[[#This Row],[qe_mg_g]]*Table1[[#This Row],[Rate_Constant_k2_g_mg_min]])</f>
        <v>47.959803285445858</v>
      </c>
      <c r="Q1428" s="1">
        <f>LN(Table1[[#This Row],[qe_mg_g]]-Table1[[#This Row],[qt]])</f>
        <v>2.5476620754798796</v>
      </c>
      <c r="R1428" s="1">
        <v>2</v>
      </c>
    </row>
    <row r="1429" spans="1:18" x14ac:dyDescent="0.3">
      <c r="A1429" s="1">
        <v>1428</v>
      </c>
      <c r="B1429" s="1" t="s">
        <v>18</v>
      </c>
      <c r="C1429" s="1">
        <v>1</v>
      </c>
      <c r="D1429" s="1">
        <v>240</v>
      </c>
      <c r="E1429" s="1">
        <v>100</v>
      </c>
      <c r="F1429" s="1">
        <v>7</v>
      </c>
      <c r="G1429" s="1">
        <v>25</v>
      </c>
      <c r="H1429" s="1">
        <v>150</v>
      </c>
      <c r="I1429" s="1">
        <v>100</v>
      </c>
      <c r="J1429" s="1">
        <v>58.31</v>
      </c>
      <c r="K1429" s="1">
        <v>41.69</v>
      </c>
      <c r="L1429" s="1">
        <v>58.31</v>
      </c>
      <c r="M1429" s="1">
        <v>128.5</v>
      </c>
      <c r="N1429" s="1">
        <v>3.0259999999999999E-2</v>
      </c>
      <c r="O1429" s="1">
        <v>2.241E-4</v>
      </c>
      <c r="P1429" s="1">
        <f>(Table1[[#This Row],[Rate_Constant_k2_g_mg_min]]*Table1[[#This Row],[Contact_Time_min]]*Table1[[#This Row],[qe_mg_g]]^2)/(1+Table1[[#This Row],[Contact_Time_min]]*Table1[[#This Row],[qe_mg_g]]*Table1[[#This Row],[Rate_Constant_k2_g_mg_min]])</f>
        <v>44.212331896949145</v>
      </c>
      <c r="Q1429" s="1">
        <f>LN(Table1[[#This Row],[qe_mg_g]]-Table1[[#This Row],[qt]])</f>
        <v>2.6460094009445352</v>
      </c>
      <c r="R1429" s="1">
        <v>3</v>
      </c>
    </row>
    <row r="1430" spans="1:18" x14ac:dyDescent="0.3">
      <c r="A1430" s="1">
        <v>1429</v>
      </c>
      <c r="B1430" s="1" t="s">
        <v>18</v>
      </c>
      <c r="C1430" s="1">
        <v>1</v>
      </c>
      <c r="D1430" s="1">
        <v>240</v>
      </c>
      <c r="E1430" s="1">
        <v>100</v>
      </c>
      <c r="F1430" s="1">
        <v>11</v>
      </c>
      <c r="G1430" s="1">
        <v>25</v>
      </c>
      <c r="H1430" s="1">
        <v>150</v>
      </c>
      <c r="I1430" s="1">
        <v>100</v>
      </c>
      <c r="J1430" s="1">
        <v>55.639000000000003</v>
      </c>
      <c r="K1430" s="1">
        <v>44.360999999999997</v>
      </c>
      <c r="L1430" s="1">
        <v>55.64</v>
      </c>
      <c r="M1430" s="1">
        <v>106</v>
      </c>
      <c r="N1430" s="1">
        <v>3.1179999999999999E-2</v>
      </c>
      <c r="O1430" s="1">
        <v>2.3939999999999999E-4</v>
      </c>
      <c r="P1430" s="1">
        <f>(Table1[[#This Row],[Rate_Constant_k2_g_mg_min]]*Table1[[#This Row],[Contact_Time_min]]*Table1[[#This Row],[qe_mg_g]]^2)/(1+Table1[[#This Row],[Contact_Time_min]]*Table1[[#This Row],[qe_mg_g]]*Table1[[#This Row],[Rate_Constant_k2_g_mg_min]])</f>
        <v>42.381500368347808</v>
      </c>
      <c r="Q1430" s="1">
        <f>LN(Table1[[#This Row],[qe_mg_g]]-Table1[[#This Row],[qt]])</f>
        <v>2.5845634022450401</v>
      </c>
      <c r="R1430" s="1">
        <v>1</v>
      </c>
    </row>
    <row r="1431" spans="1:18" x14ac:dyDescent="0.3">
      <c r="A1431" s="1">
        <v>1430</v>
      </c>
      <c r="B1431" s="1" t="s">
        <v>18</v>
      </c>
      <c r="C1431" s="1">
        <v>1</v>
      </c>
      <c r="D1431" s="1">
        <v>240</v>
      </c>
      <c r="E1431" s="1">
        <v>100</v>
      </c>
      <c r="F1431" s="1">
        <v>11</v>
      </c>
      <c r="G1431" s="1">
        <v>25</v>
      </c>
      <c r="H1431" s="1">
        <v>150</v>
      </c>
      <c r="I1431" s="1">
        <v>100</v>
      </c>
      <c r="J1431" s="1">
        <v>53.75</v>
      </c>
      <c r="K1431" s="1">
        <v>46.25</v>
      </c>
      <c r="L1431" s="1">
        <v>53.75</v>
      </c>
      <c r="M1431" s="1">
        <v>96.1</v>
      </c>
      <c r="N1431" s="1">
        <v>3.1669999999999997E-2</v>
      </c>
      <c r="O1431" s="1">
        <v>2.0239999999999999E-4</v>
      </c>
      <c r="P1431" s="1">
        <f>(Table1[[#This Row],[Rate_Constant_k2_g_mg_min]]*Table1[[#This Row],[Contact_Time_min]]*Table1[[#This Row],[qe_mg_g]]^2)/(1+Table1[[#This Row],[Contact_Time_min]]*Table1[[#This Row],[qe_mg_g]]*Table1[[#This Row],[Rate_Constant_k2_g_mg_min]])</f>
        <v>38.864761725413736</v>
      </c>
      <c r="Q1431" s="1">
        <f>LN(Table1[[#This Row],[qe_mg_g]]-Table1[[#This Row],[qt]])</f>
        <v>2.700370002037721</v>
      </c>
      <c r="R1431" s="1">
        <v>2</v>
      </c>
    </row>
    <row r="1432" spans="1:18" x14ac:dyDescent="0.3">
      <c r="A1432" s="1">
        <v>1431</v>
      </c>
      <c r="B1432" s="1" t="s">
        <v>18</v>
      </c>
      <c r="C1432" s="1">
        <v>1</v>
      </c>
      <c r="D1432" s="1">
        <v>240</v>
      </c>
      <c r="E1432" s="1">
        <v>100</v>
      </c>
      <c r="F1432" s="1">
        <v>11</v>
      </c>
      <c r="G1432" s="1">
        <v>25</v>
      </c>
      <c r="H1432" s="1">
        <v>150</v>
      </c>
      <c r="I1432" s="1">
        <v>100</v>
      </c>
      <c r="J1432" s="1">
        <v>49.639000000000003</v>
      </c>
      <c r="K1432" s="1">
        <v>50.360999999999997</v>
      </c>
      <c r="L1432" s="1">
        <v>49.64</v>
      </c>
      <c r="M1432" s="1">
        <v>125.8</v>
      </c>
      <c r="N1432" s="1">
        <v>2.7699999999999999E-2</v>
      </c>
      <c r="O1432" s="1">
        <v>2.3489999999999999E-4</v>
      </c>
      <c r="P1432" s="1">
        <f>(Table1[[#This Row],[Rate_Constant_k2_g_mg_min]]*Table1[[#This Row],[Contact_Time_min]]*Table1[[#This Row],[qe_mg_g]]^2)/(1+Table1[[#This Row],[Contact_Time_min]]*Table1[[#This Row],[qe_mg_g]]*Table1[[#This Row],[Rate_Constant_k2_g_mg_min]])</f>
        <v>36.570768830325704</v>
      </c>
      <c r="Q1432" s="1">
        <f>LN(Table1[[#This Row],[qe_mg_g]]-Table1[[#This Row],[qt]])</f>
        <v>2.5701841833339918</v>
      </c>
      <c r="R1432" s="1">
        <v>3</v>
      </c>
    </row>
    <row r="1433" spans="1:18" x14ac:dyDescent="0.3">
      <c r="A1433" s="1">
        <v>1432</v>
      </c>
      <c r="B1433" s="1" t="s">
        <v>18</v>
      </c>
      <c r="C1433" s="1">
        <v>1</v>
      </c>
      <c r="D1433" s="1">
        <v>240</v>
      </c>
      <c r="E1433" s="1">
        <v>200</v>
      </c>
      <c r="F1433" s="1">
        <v>3</v>
      </c>
      <c r="G1433" s="1">
        <v>25</v>
      </c>
      <c r="H1433" s="1">
        <v>150</v>
      </c>
      <c r="I1433" s="1">
        <v>100</v>
      </c>
      <c r="J1433" s="1">
        <v>62.075000000000003</v>
      </c>
      <c r="K1433" s="1">
        <v>137.92500000000001</v>
      </c>
      <c r="L1433" s="1">
        <v>31.04</v>
      </c>
      <c r="M1433" s="1">
        <v>81.8</v>
      </c>
      <c r="N1433" s="1">
        <v>2.3380000000000001E-2</v>
      </c>
      <c r="O1433" s="1">
        <v>2.4420000000000003E-4</v>
      </c>
      <c r="P1433" s="1">
        <f>(Table1[[#This Row],[Rate_Constant_k2_g_mg_min]]*Table1[[#This Row],[Contact_Time_min]]*Table1[[#This Row],[qe_mg_g]]^2)/(1+Table1[[#This Row],[Contact_Time_min]]*Table1[[#This Row],[qe_mg_g]]*Table1[[#This Row],[Rate_Constant_k2_g_mg_min]])</f>
        <v>48.691262602489353</v>
      </c>
      <c r="Q1433" s="1">
        <f>LN(Table1[[#This Row],[qe_mg_g]]-Table1[[#This Row],[qt]])</f>
        <v>2.594040342863722</v>
      </c>
      <c r="R1433" s="1">
        <v>1</v>
      </c>
    </row>
    <row r="1434" spans="1:18" x14ac:dyDescent="0.3">
      <c r="A1434" s="1">
        <v>1433</v>
      </c>
      <c r="B1434" s="1" t="s">
        <v>18</v>
      </c>
      <c r="C1434" s="1">
        <v>1</v>
      </c>
      <c r="D1434" s="1">
        <v>240</v>
      </c>
      <c r="E1434" s="1">
        <v>200</v>
      </c>
      <c r="F1434" s="1">
        <v>3</v>
      </c>
      <c r="G1434" s="1">
        <v>25</v>
      </c>
      <c r="H1434" s="1">
        <v>150</v>
      </c>
      <c r="I1434" s="1">
        <v>100</v>
      </c>
      <c r="J1434" s="1">
        <v>65.472999999999999</v>
      </c>
      <c r="K1434" s="1">
        <v>134.52699999999999</v>
      </c>
      <c r="L1434" s="1">
        <v>32.74</v>
      </c>
      <c r="M1434" s="1">
        <v>99.2</v>
      </c>
      <c r="N1434" s="1">
        <v>2.9569999999999999E-2</v>
      </c>
      <c r="O1434" s="1">
        <v>2.5109999999999998E-4</v>
      </c>
      <c r="P1434" s="1">
        <f>(Table1[[#This Row],[Rate_Constant_k2_g_mg_min]]*Table1[[#This Row],[Contact_Time_min]]*Table1[[#This Row],[qe_mg_g]]^2)/(1+Table1[[#This Row],[Contact_Time_min]]*Table1[[#This Row],[qe_mg_g]]*Table1[[#This Row],[Rate_Constant_k2_g_mg_min]])</f>
        <v>52.234537286790903</v>
      </c>
      <c r="Q1434" s="1">
        <f>LN(Table1[[#This Row],[qe_mg_g]]-Table1[[#This Row],[qt]])</f>
        <v>2.5831264344934213</v>
      </c>
      <c r="R1434" s="1">
        <v>2</v>
      </c>
    </row>
    <row r="1435" spans="1:18" x14ac:dyDescent="0.3">
      <c r="A1435" s="1">
        <v>1434</v>
      </c>
      <c r="B1435" s="1" t="s">
        <v>18</v>
      </c>
      <c r="C1435" s="1">
        <v>1</v>
      </c>
      <c r="D1435" s="1">
        <v>240</v>
      </c>
      <c r="E1435" s="1">
        <v>200</v>
      </c>
      <c r="F1435" s="1">
        <v>3</v>
      </c>
      <c r="G1435" s="1">
        <v>25</v>
      </c>
      <c r="H1435" s="1">
        <v>150</v>
      </c>
      <c r="I1435" s="1">
        <v>100</v>
      </c>
      <c r="J1435" s="1">
        <v>70.637</v>
      </c>
      <c r="K1435" s="1">
        <v>129.363</v>
      </c>
      <c r="L1435" s="1">
        <v>35.32</v>
      </c>
      <c r="M1435" s="1">
        <v>97.1</v>
      </c>
      <c r="N1435" s="1">
        <v>2.828E-2</v>
      </c>
      <c r="O1435" s="1">
        <v>2.43E-4</v>
      </c>
      <c r="P1435" s="1">
        <f>(Table1[[#This Row],[Rate_Constant_k2_g_mg_min]]*Table1[[#This Row],[Contact_Time_min]]*Table1[[#This Row],[qe_mg_g]]^2)/(1+Table1[[#This Row],[Contact_Time_min]]*Table1[[#This Row],[qe_mg_g]]*Table1[[#This Row],[Rate_Constant_k2_g_mg_min]])</f>
        <v>56.839497835239349</v>
      </c>
      <c r="Q1435" s="1">
        <f>LN(Table1[[#This Row],[qe_mg_g]]-Table1[[#This Row],[qt]])</f>
        <v>2.6244875732266437</v>
      </c>
      <c r="R1435" s="1">
        <v>3</v>
      </c>
    </row>
    <row r="1436" spans="1:18" x14ac:dyDescent="0.3">
      <c r="A1436" s="1">
        <v>1435</v>
      </c>
      <c r="B1436" s="1" t="s">
        <v>18</v>
      </c>
      <c r="C1436" s="1">
        <v>1</v>
      </c>
      <c r="D1436" s="1">
        <v>240</v>
      </c>
      <c r="E1436" s="1">
        <v>200</v>
      </c>
      <c r="F1436" s="1">
        <v>7</v>
      </c>
      <c r="G1436" s="1">
        <v>25</v>
      </c>
      <c r="H1436" s="1">
        <v>150</v>
      </c>
      <c r="I1436" s="1">
        <v>100</v>
      </c>
      <c r="J1436" s="1">
        <v>94.852000000000004</v>
      </c>
      <c r="K1436" s="1">
        <v>105.148</v>
      </c>
      <c r="L1436" s="1">
        <v>47.43</v>
      </c>
      <c r="M1436" s="1">
        <v>121.2</v>
      </c>
      <c r="N1436" s="1">
        <v>2.8119999999999999E-2</v>
      </c>
      <c r="O1436" s="1">
        <v>2.5250000000000001E-4</v>
      </c>
      <c r="P1436" s="1">
        <f>(Table1[[#This Row],[Rate_Constant_k2_g_mg_min]]*Table1[[#This Row],[Contact_Time_min]]*Table1[[#This Row],[qe_mg_g]]^2)/(1+Table1[[#This Row],[Contact_Time_min]]*Table1[[#This Row],[qe_mg_g]]*Table1[[#This Row],[Rate_Constant_k2_g_mg_min]])</f>
        <v>80.795752008734055</v>
      </c>
      <c r="Q1436" s="1">
        <f>LN(Table1[[#This Row],[qe_mg_g]]-Table1[[#This Row],[qt]])</f>
        <v>2.6430669938186542</v>
      </c>
      <c r="R1436" s="1">
        <v>1</v>
      </c>
    </row>
    <row r="1437" spans="1:18" x14ac:dyDescent="0.3">
      <c r="A1437" s="1">
        <v>1436</v>
      </c>
      <c r="B1437" s="1" t="s">
        <v>18</v>
      </c>
      <c r="C1437" s="1">
        <v>1</v>
      </c>
      <c r="D1437" s="1">
        <v>240</v>
      </c>
      <c r="E1437" s="1">
        <v>200</v>
      </c>
      <c r="F1437" s="1">
        <v>7</v>
      </c>
      <c r="G1437" s="1">
        <v>25</v>
      </c>
      <c r="H1437" s="1">
        <v>150</v>
      </c>
      <c r="I1437" s="1">
        <v>100</v>
      </c>
      <c r="J1437" s="1">
        <v>92.897000000000006</v>
      </c>
      <c r="K1437" s="1">
        <v>107.10299999999999</v>
      </c>
      <c r="L1437" s="1">
        <v>46.45</v>
      </c>
      <c r="M1437" s="1">
        <v>85.1</v>
      </c>
      <c r="N1437" s="1">
        <v>3.006E-2</v>
      </c>
      <c r="O1437" s="1">
        <v>2.1340000000000001E-4</v>
      </c>
      <c r="P1437" s="1">
        <f>(Table1[[#This Row],[Rate_Constant_k2_g_mg_min]]*Table1[[#This Row],[Contact_Time_min]]*Table1[[#This Row],[qe_mg_g]]^2)/(1+Table1[[#This Row],[Contact_Time_min]]*Table1[[#This Row],[qe_mg_g]]*Table1[[#This Row],[Rate_Constant_k2_g_mg_min]])</f>
        <v>76.76292200871211</v>
      </c>
      <c r="Q1437" s="1">
        <f>LN(Table1[[#This Row],[qe_mg_g]]-Table1[[#This Row],[qt]])</f>
        <v>2.7809336804740856</v>
      </c>
      <c r="R1437" s="1">
        <v>2</v>
      </c>
    </row>
    <row r="1438" spans="1:18" x14ac:dyDescent="0.3">
      <c r="A1438" s="1">
        <v>1437</v>
      </c>
      <c r="B1438" s="1" t="s">
        <v>18</v>
      </c>
      <c r="C1438" s="1">
        <v>1</v>
      </c>
      <c r="D1438" s="1">
        <v>240</v>
      </c>
      <c r="E1438" s="1">
        <v>200</v>
      </c>
      <c r="F1438" s="1">
        <v>7</v>
      </c>
      <c r="G1438" s="1">
        <v>25</v>
      </c>
      <c r="H1438" s="1">
        <v>150</v>
      </c>
      <c r="I1438" s="1">
        <v>100</v>
      </c>
      <c r="J1438" s="1">
        <v>75.798000000000002</v>
      </c>
      <c r="K1438" s="1">
        <v>124.202</v>
      </c>
      <c r="L1438" s="1">
        <v>37.9</v>
      </c>
      <c r="M1438" s="1">
        <v>105.5</v>
      </c>
      <c r="N1438" s="1">
        <v>2.8850000000000001E-2</v>
      </c>
      <c r="O1438" s="1">
        <v>2.5510000000000002E-4</v>
      </c>
      <c r="P1438" s="1">
        <f>(Table1[[#This Row],[Rate_Constant_k2_g_mg_min]]*Table1[[#This Row],[Contact_Time_min]]*Table1[[#This Row],[qe_mg_g]]^2)/(1+Table1[[#This Row],[Contact_Time_min]]*Table1[[#This Row],[qe_mg_g]]*Table1[[#This Row],[Rate_Constant_k2_g_mg_min]])</f>
        <v>62.36020306737786</v>
      </c>
      <c r="Q1438" s="1">
        <f>LN(Table1[[#This Row],[qe_mg_g]]-Table1[[#This Row],[qt]])</f>
        <v>2.5980714029551546</v>
      </c>
      <c r="R1438" s="1">
        <v>3</v>
      </c>
    </row>
    <row r="1439" spans="1:18" x14ac:dyDescent="0.3">
      <c r="A1439" s="1">
        <v>1438</v>
      </c>
      <c r="B1439" s="1" t="s">
        <v>18</v>
      </c>
      <c r="C1439" s="1">
        <v>1</v>
      </c>
      <c r="D1439" s="1">
        <v>240</v>
      </c>
      <c r="E1439" s="1">
        <v>200</v>
      </c>
      <c r="F1439" s="1">
        <v>11</v>
      </c>
      <c r="G1439" s="1">
        <v>25</v>
      </c>
      <c r="H1439" s="1">
        <v>150</v>
      </c>
      <c r="I1439" s="1">
        <v>100</v>
      </c>
      <c r="J1439" s="1">
        <v>74.712999999999994</v>
      </c>
      <c r="K1439" s="1">
        <v>125.28700000000001</v>
      </c>
      <c r="L1439" s="1">
        <v>37.36</v>
      </c>
      <c r="M1439" s="1">
        <v>85.4</v>
      </c>
      <c r="N1439" s="1">
        <v>2.9860000000000001E-2</v>
      </c>
      <c r="O1439" s="1">
        <v>2.1919999999999999E-4</v>
      </c>
      <c r="P1439" s="1">
        <f>(Table1[[#This Row],[Rate_Constant_k2_g_mg_min]]*Table1[[#This Row],[Contact_Time_min]]*Table1[[#This Row],[qe_mg_g]]^2)/(1+Table1[[#This Row],[Contact_Time_min]]*Table1[[#This Row],[qe_mg_g]]*Table1[[#This Row],[Rate_Constant_k2_g_mg_min]])</f>
        <v>59.559774726792561</v>
      </c>
      <c r="Q1439" s="1">
        <f>LN(Table1[[#This Row],[qe_mg_g]]-Table1[[#This Row],[qt]])</f>
        <v>2.718213398618285</v>
      </c>
      <c r="R1439" s="1">
        <v>1</v>
      </c>
    </row>
    <row r="1440" spans="1:18" x14ac:dyDescent="0.3">
      <c r="A1440" s="1">
        <v>1439</v>
      </c>
      <c r="B1440" s="1" t="s">
        <v>18</v>
      </c>
      <c r="C1440" s="1">
        <v>1</v>
      </c>
      <c r="D1440" s="1">
        <v>240</v>
      </c>
      <c r="E1440" s="1">
        <v>200</v>
      </c>
      <c r="F1440" s="1">
        <v>11</v>
      </c>
      <c r="G1440" s="1">
        <v>25</v>
      </c>
      <c r="H1440" s="1">
        <v>150</v>
      </c>
      <c r="I1440" s="1">
        <v>100</v>
      </c>
      <c r="J1440" s="1">
        <v>84.201999999999998</v>
      </c>
      <c r="K1440" s="1">
        <v>115.798</v>
      </c>
      <c r="L1440" s="1">
        <v>42.1</v>
      </c>
      <c r="M1440" s="1">
        <v>79.7</v>
      </c>
      <c r="N1440" s="1">
        <v>2.9409999999999999E-2</v>
      </c>
      <c r="O1440" s="1">
        <v>2.2389999999999999E-4</v>
      </c>
      <c r="P1440" s="1">
        <f>(Table1[[#This Row],[Rate_Constant_k2_g_mg_min]]*Table1[[#This Row],[Contact_Time_min]]*Table1[[#This Row],[qe_mg_g]]^2)/(1+Table1[[#This Row],[Contact_Time_min]]*Table1[[#This Row],[qe_mg_g]]*Table1[[#This Row],[Rate_Constant_k2_g_mg_min]])</f>
        <v>68.960932600596323</v>
      </c>
      <c r="Q1440" s="1">
        <f>LN(Table1[[#This Row],[qe_mg_g]]-Table1[[#This Row],[qt]])</f>
        <v>2.7239935871368108</v>
      </c>
      <c r="R1440" s="1">
        <v>2</v>
      </c>
    </row>
    <row r="1441" spans="1:18" x14ac:dyDescent="0.3">
      <c r="A1441" s="1">
        <v>1440</v>
      </c>
      <c r="B1441" s="1" t="s">
        <v>18</v>
      </c>
      <c r="C1441" s="1">
        <v>1</v>
      </c>
      <c r="D1441" s="1">
        <v>240</v>
      </c>
      <c r="E1441" s="1">
        <v>200</v>
      </c>
      <c r="F1441" s="1">
        <v>11</v>
      </c>
      <c r="G1441" s="1">
        <v>25</v>
      </c>
      <c r="H1441" s="1">
        <v>150</v>
      </c>
      <c r="I1441" s="1">
        <v>100</v>
      </c>
      <c r="J1441" s="1">
        <v>78.674999999999997</v>
      </c>
      <c r="K1441" s="1">
        <v>121.325</v>
      </c>
      <c r="L1441" s="1">
        <v>39.340000000000003</v>
      </c>
      <c r="M1441" s="1">
        <v>95</v>
      </c>
      <c r="N1441" s="1">
        <v>2.844E-2</v>
      </c>
      <c r="O1441" s="1">
        <v>2.7129999999999998E-4</v>
      </c>
      <c r="P1441" s="1">
        <f>(Table1[[#This Row],[Rate_Constant_k2_g_mg_min]]*Table1[[#This Row],[Contact_Time_min]]*Table1[[#This Row],[qe_mg_g]]^2)/(1+Table1[[#This Row],[Contact_Time_min]]*Table1[[#This Row],[qe_mg_g]]*Table1[[#This Row],[Rate_Constant_k2_g_mg_min]])</f>
        <v>65.825248715980322</v>
      </c>
      <c r="Q1441" s="1">
        <f>LN(Table1[[#This Row],[qe_mg_g]]-Table1[[#This Row],[qt]])</f>
        <v>2.5533244558247037</v>
      </c>
      <c r="R1441" s="1">
        <v>3</v>
      </c>
    </row>
    <row r="1442" spans="1:18" x14ac:dyDescent="0.3">
      <c r="A1442" s="1">
        <v>1441</v>
      </c>
      <c r="B1442" s="1" t="s">
        <v>18</v>
      </c>
      <c r="C1442" s="1">
        <v>2</v>
      </c>
      <c r="D1442" s="1">
        <v>30</v>
      </c>
      <c r="E1442" s="1">
        <v>25</v>
      </c>
      <c r="F1442" s="1">
        <v>3</v>
      </c>
      <c r="G1442" s="1">
        <v>25</v>
      </c>
      <c r="H1442" s="1">
        <v>150</v>
      </c>
      <c r="I1442" s="1">
        <v>100</v>
      </c>
      <c r="J1442" s="1">
        <v>0.52900000000000003</v>
      </c>
      <c r="K1442" s="1">
        <v>23.942</v>
      </c>
      <c r="L1442" s="1">
        <v>4.2300000000000004</v>
      </c>
      <c r="M1442" s="1">
        <v>107.7</v>
      </c>
      <c r="N1442" s="1">
        <v>2.7060000000000001E-2</v>
      </c>
      <c r="O1442" s="1">
        <v>2.1489999999999999E-4</v>
      </c>
      <c r="P144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1.7980029046199013E-3</v>
      </c>
      <c r="Q1442" s="1">
        <f>LN(Table1[[#This Row],[qe_mg_g]]-Table1[[#This Row],[qt]])</f>
        <v>-0.64017150768382924</v>
      </c>
      <c r="R1442" s="1">
        <v>1</v>
      </c>
    </row>
    <row r="1443" spans="1:18" x14ac:dyDescent="0.3">
      <c r="A1443" s="1">
        <v>1442</v>
      </c>
      <c r="B1443" s="1" t="s">
        <v>18</v>
      </c>
      <c r="C1443" s="1">
        <v>2</v>
      </c>
      <c r="D1443" s="1">
        <v>30</v>
      </c>
      <c r="E1443" s="1">
        <v>25</v>
      </c>
      <c r="F1443" s="1">
        <v>3</v>
      </c>
      <c r="G1443" s="1">
        <v>25</v>
      </c>
      <c r="H1443" s="1">
        <v>150</v>
      </c>
      <c r="I1443" s="1">
        <v>100</v>
      </c>
      <c r="J1443" s="1">
        <v>0.53300000000000003</v>
      </c>
      <c r="K1443" s="1">
        <v>23.934999999999999</v>
      </c>
      <c r="L1443" s="1">
        <v>4.26</v>
      </c>
      <c r="M1443" s="1">
        <v>95.2</v>
      </c>
      <c r="N1443" s="1">
        <v>3.1879999999999999E-2</v>
      </c>
      <c r="O1443" s="1">
        <v>2.4800000000000001E-4</v>
      </c>
      <c r="P1443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2.1052736552147734E-3</v>
      </c>
      <c r="Q1443" s="1">
        <f>LN(Table1[[#This Row],[qe_mg_g]]-Table1[[#This Row],[qt]])</f>
        <v>-0.63319153286662622</v>
      </c>
      <c r="R1443" s="1">
        <v>2</v>
      </c>
    </row>
    <row r="1444" spans="1:18" x14ac:dyDescent="0.3">
      <c r="A1444" s="1">
        <v>1443</v>
      </c>
      <c r="B1444" s="1" t="s">
        <v>18</v>
      </c>
      <c r="C1444" s="1">
        <v>2</v>
      </c>
      <c r="D1444" s="1">
        <v>30</v>
      </c>
      <c r="E1444" s="1">
        <v>25</v>
      </c>
      <c r="F1444" s="1">
        <v>3</v>
      </c>
      <c r="G1444" s="1">
        <v>25</v>
      </c>
      <c r="H1444" s="1">
        <v>150</v>
      </c>
      <c r="I1444" s="1">
        <v>100</v>
      </c>
      <c r="J1444" s="1">
        <v>0.53700000000000003</v>
      </c>
      <c r="K1444" s="1">
        <v>23.925000000000001</v>
      </c>
      <c r="L1444" s="1">
        <v>4.3</v>
      </c>
      <c r="M1444" s="1">
        <v>75.599999999999994</v>
      </c>
      <c r="N1444" s="1">
        <v>3.567E-2</v>
      </c>
      <c r="O1444" s="1">
        <v>2.4590000000000001E-4</v>
      </c>
      <c r="P144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2.1189041821465405E-3</v>
      </c>
      <c r="Q1444" s="1">
        <f>LN(Table1[[#This Row],[qe_mg_g]]-Table1[[#This Row],[qt]])</f>
        <v>-0.62571080759525177</v>
      </c>
      <c r="R1444" s="1">
        <v>3</v>
      </c>
    </row>
    <row r="1445" spans="1:18" x14ac:dyDescent="0.3">
      <c r="A1445" s="1">
        <v>1444</v>
      </c>
      <c r="B1445" s="1" t="s">
        <v>18</v>
      </c>
      <c r="C1445" s="1">
        <v>2</v>
      </c>
      <c r="D1445" s="1">
        <v>30</v>
      </c>
      <c r="E1445" s="1">
        <v>25</v>
      </c>
      <c r="F1445" s="1">
        <v>7</v>
      </c>
      <c r="G1445" s="1">
        <v>25</v>
      </c>
      <c r="H1445" s="1">
        <v>150</v>
      </c>
      <c r="I1445" s="1">
        <v>100</v>
      </c>
      <c r="J1445" s="1">
        <v>0.97599999999999998</v>
      </c>
      <c r="K1445" s="1">
        <v>23.047000000000001</v>
      </c>
      <c r="L1445" s="1">
        <v>7.81</v>
      </c>
      <c r="M1445" s="1">
        <v>87.5</v>
      </c>
      <c r="N1445" s="1">
        <v>3.092E-2</v>
      </c>
      <c r="O1445" s="1">
        <v>2.174E-4</v>
      </c>
      <c r="P1445" s="1">
        <f>(Table1[[#This Row],[Rate_Constant_k2_g_mg_min]]*Table1[[#This Row],[Contact_Time_min]]*Table1[[#This Row],[qe_mg_g]]^2)/(1+Table1[[#This Row],[Contact_Time_min]]*Table1[[#This Row],[qe_mg_g]]*Table1[[#This Row],[Rate_Constant_k2_g_mg_min]])</f>
        <v>6.1734040414295937E-3</v>
      </c>
      <c r="Q1445" s="1">
        <f>LN(Table1[[#This Row],[qe_mg_g]]-Table1[[#This Row],[qt]])</f>
        <v>-3.0637990518463009E-2</v>
      </c>
      <c r="R1445" s="1">
        <v>1</v>
      </c>
    </row>
    <row r="1446" spans="1:18" x14ac:dyDescent="0.3">
      <c r="A1446" s="1">
        <v>1445</v>
      </c>
      <c r="B1446" s="1" t="s">
        <v>18</v>
      </c>
      <c r="C1446" s="1">
        <v>2</v>
      </c>
      <c r="D1446" s="1">
        <v>30</v>
      </c>
      <c r="E1446" s="1">
        <v>25</v>
      </c>
      <c r="F1446" s="1">
        <v>7</v>
      </c>
      <c r="G1446" s="1">
        <v>25</v>
      </c>
      <c r="H1446" s="1">
        <v>150</v>
      </c>
      <c r="I1446" s="1">
        <v>100</v>
      </c>
      <c r="J1446" s="1">
        <v>0.95599999999999996</v>
      </c>
      <c r="K1446" s="1">
        <v>23.088000000000001</v>
      </c>
      <c r="L1446" s="1">
        <v>7.65</v>
      </c>
      <c r="M1446" s="1">
        <v>94.7</v>
      </c>
      <c r="N1446" s="1">
        <v>3.0089999999999999E-2</v>
      </c>
      <c r="O1446" s="1">
        <v>2.6739999999999999E-4</v>
      </c>
      <c r="P1446" s="1">
        <f>(Table1[[#This Row],[Rate_Constant_k2_g_mg_min]]*Table1[[#This Row],[Contact_Time_min]]*Table1[[#This Row],[qe_mg_g]]^2)/(1+Table1[[#This Row],[Contact_Time_min]]*Table1[[#This Row],[qe_mg_g]]*Table1[[#This Row],[Rate_Constant_k2_g_mg_min]])</f>
        <v>7.2757962775222016E-3</v>
      </c>
      <c r="Q1446" s="1">
        <f>LN(Table1[[#This Row],[qe_mg_g]]-Table1[[#This Row],[qt]])</f>
        <v>-5.2637140394274466E-2</v>
      </c>
      <c r="R1446" s="1">
        <v>2</v>
      </c>
    </row>
    <row r="1447" spans="1:18" x14ac:dyDescent="0.3">
      <c r="A1447" s="1">
        <v>1446</v>
      </c>
      <c r="B1447" s="1" t="s">
        <v>18</v>
      </c>
      <c r="C1447" s="1">
        <v>2</v>
      </c>
      <c r="D1447" s="1">
        <v>30</v>
      </c>
      <c r="E1447" s="1">
        <v>25</v>
      </c>
      <c r="F1447" s="1">
        <v>7</v>
      </c>
      <c r="G1447" s="1">
        <v>25</v>
      </c>
      <c r="H1447" s="1">
        <v>150</v>
      </c>
      <c r="I1447" s="1">
        <v>100</v>
      </c>
      <c r="J1447" s="1">
        <v>0.81699999999999995</v>
      </c>
      <c r="K1447" s="1">
        <v>23.366</v>
      </c>
      <c r="L1447" s="1">
        <v>6.54</v>
      </c>
      <c r="M1447" s="1">
        <v>89.7</v>
      </c>
      <c r="N1447" s="1">
        <v>3.1370000000000002E-2</v>
      </c>
      <c r="O1447" s="1">
        <v>3.0249999999999998E-4</v>
      </c>
      <c r="P1447" s="1">
        <f>(Table1[[#This Row],[Rate_Constant_k2_g_mg_min]]*Table1[[#This Row],[Contact_Time_min]]*Table1[[#This Row],[qe_mg_g]]^2)/(1+Table1[[#This Row],[Contact_Time_min]]*Table1[[#This Row],[qe_mg_g]]*Table1[[#This Row],[Rate_Constant_k2_g_mg_min]])</f>
        <v>6.0128815178839903E-3</v>
      </c>
      <c r="Q1447" s="1">
        <f>LN(Table1[[#This Row],[qe_mg_g]]-Table1[[#This Row],[qt]])</f>
        <v>-0.20950310849210879</v>
      </c>
      <c r="R1447" s="1">
        <v>3</v>
      </c>
    </row>
    <row r="1448" spans="1:18" x14ac:dyDescent="0.3">
      <c r="A1448" s="1">
        <v>1447</v>
      </c>
      <c r="B1448" s="1" t="s">
        <v>18</v>
      </c>
      <c r="C1448" s="1">
        <v>2</v>
      </c>
      <c r="D1448" s="1">
        <v>30</v>
      </c>
      <c r="E1448" s="1">
        <v>25</v>
      </c>
      <c r="F1448" s="1">
        <v>11</v>
      </c>
      <c r="G1448" s="1">
        <v>25</v>
      </c>
      <c r="H1448" s="1">
        <v>150</v>
      </c>
      <c r="I1448" s="1">
        <v>100</v>
      </c>
      <c r="J1448" s="1">
        <v>0.66400000000000003</v>
      </c>
      <c r="K1448" s="1">
        <v>23.672999999999998</v>
      </c>
      <c r="L1448" s="1">
        <v>5.31</v>
      </c>
      <c r="M1448" s="1">
        <v>108.9</v>
      </c>
      <c r="N1448" s="1">
        <v>2.9680000000000002E-2</v>
      </c>
      <c r="O1448" s="1">
        <v>2.9859999999999999E-4</v>
      </c>
      <c r="P1448" s="1">
        <f>(Table1[[#This Row],[Rate_Constant_k2_g_mg_min]]*Table1[[#This Row],[Contact_Time_min]]*Table1[[#This Row],[qe_mg_g]]^2)/(1+Table1[[#This Row],[Contact_Time_min]]*Table1[[#This Row],[qe_mg_g]]*Table1[[#This Row],[Rate_Constant_k2_g_mg_min]])</f>
        <v>3.9261929327026775E-3</v>
      </c>
      <c r="Q1448" s="1">
        <f>LN(Table1[[#This Row],[qe_mg_g]]-Table1[[#This Row],[qt]])</f>
        <v>-0.41540362132420555</v>
      </c>
      <c r="R1448" s="1">
        <v>1</v>
      </c>
    </row>
    <row r="1449" spans="1:18" x14ac:dyDescent="0.3">
      <c r="A1449" s="1">
        <v>1448</v>
      </c>
      <c r="B1449" s="1" t="s">
        <v>18</v>
      </c>
      <c r="C1449" s="1">
        <v>2</v>
      </c>
      <c r="D1449" s="1">
        <v>30</v>
      </c>
      <c r="E1449" s="1">
        <v>25</v>
      </c>
      <c r="F1449" s="1">
        <v>11</v>
      </c>
      <c r="G1449" s="1">
        <v>25</v>
      </c>
      <c r="H1449" s="1">
        <v>150</v>
      </c>
      <c r="I1449" s="1">
        <v>100</v>
      </c>
      <c r="J1449" s="1">
        <v>0.56599999999999995</v>
      </c>
      <c r="K1449" s="1">
        <v>23.867000000000001</v>
      </c>
      <c r="L1449" s="1">
        <v>4.53</v>
      </c>
      <c r="M1449" s="1">
        <v>101.4</v>
      </c>
      <c r="N1449" s="1">
        <v>2.512E-2</v>
      </c>
      <c r="O1449" s="1">
        <v>1.873E-4</v>
      </c>
      <c r="P144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1.794373620677982E-3</v>
      </c>
      <c r="Q1449" s="1">
        <f>LN(Table1[[#This Row],[qe_mg_g]]-Table1[[#This Row],[qt]])</f>
        <v>-0.57233650815038417</v>
      </c>
      <c r="R1449" s="1">
        <v>2</v>
      </c>
    </row>
    <row r="1450" spans="1:18" x14ac:dyDescent="0.3">
      <c r="A1450" s="1">
        <v>1449</v>
      </c>
      <c r="B1450" s="1" t="s">
        <v>18</v>
      </c>
      <c r="C1450" s="1">
        <v>2</v>
      </c>
      <c r="D1450" s="1">
        <v>30</v>
      </c>
      <c r="E1450" s="1">
        <v>25</v>
      </c>
      <c r="F1450" s="1">
        <v>11</v>
      </c>
      <c r="G1450" s="1">
        <v>25</v>
      </c>
      <c r="H1450" s="1">
        <v>150</v>
      </c>
      <c r="I1450" s="1">
        <v>100</v>
      </c>
      <c r="J1450" s="1">
        <v>0.69</v>
      </c>
      <c r="K1450" s="1">
        <v>23.62</v>
      </c>
      <c r="L1450" s="1">
        <v>5.52</v>
      </c>
      <c r="M1450" s="1">
        <v>102.1</v>
      </c>
      <c r="N1450" s="1">
        <v>2.9149999999999999E-2</v>
      </c>
      <c r="O1450" s="1">
        <v>2.4729999999999999E-4</v>
      </c>
      <c r="P145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3.5141963423618514E-3</v>
      </c>
      <c r="Q1450" s="1">
        <f>LN(Table1[[#This Row],[qe_mg_g]]-Table1[[#This Row],[qt]])</f>
        <v>-0.37616973329217274</v>
      </c>
      <c r="R1450" s="1">
        <v>3</v>
      </c>
    </row>
    <row r="1451" spans="1:18" x14ac:dyDescent="0.3">
      <c r="A1451" s="1">
        <v>1450</v>
      </c>
      <c r="B1451" s="1" t="s">
        <v>18</v>
      </c>
      <c r="C1451" s="1">
        <v>2</v>
      </c>
      <c r="D1451" s="1">
        <v>30</v>
      </c>
      <c r="E1451" s="1">
        <v>50</v>
      </c>
      <c r="F1451" s="1">
        <v>3</v>
      </c>
      <c r="G1451" s="1">
        <v>25</v>
      </c>
      <c r="H1451" s="1">
        <v>150</v>
      </c>
      <c r="I1451" s="1">
        <v>100</v>
      </c>
      <c r="J1451" s="1">
        <v>2.5089999999999999</v>
      </c>
      <c r="K1451" s="1">
        <v>44.981999999999999</v>
      </c>
      <c r="L1451" s="1">
        <v>10.039999999999999</v>
      </c>
      <c r="M1451" s="1">
        <v>96.1</v>
      </c>
      <c r="N1451" s="1">
        <v>3.1530000000000002E-2</v>
      </c>
      <c r="O1451" s="1">
        <v>2.3379999999999999E-4</v>
      </c>
      <c r="P1451" s="1">
        <f>(Table1[[#This Row],[Rate_Constant_k2_g_mg_min]]*Table1[[#This Row],[Contact_Time_min]]*Table1[[#This Row],[qe_mg_g]]^2)/(1+Table1[[#This Row],[Contact_Time_min]]*Table1[[#This Row],[qe_mg_g]]*Table1[[#This Row],[Rate_Constant_k2_g_mg_min]])</f>
        <v>4.3390113450346504E-2</v>
      </c>
      <c r="Q1451" s="1">
        <f>LN(Table1[[#This Row],[qe_mg_g]]-Table1[[#This Row],[qt]])</f>
        <v>0.90243919537031059</v>
      </c>
      <c r="R1451" s="1">
        <v>1</v>
      </c>
    </row>
    <row r="1452" spans="1:18" x14ac:dyDescent="0.3">
      <c r="A1452" s="1">
        <v>1451</v>
      </c>
      <c r="B1452" s="1" t="s">
        <v>18</v>
      </c>
      <c r="C1452" s="1">
        <v>2</v>
      </c>
      <c r="D1452" s="1">
        <v>30</v>
      </c>
      <c r="E1452" s="1">
        <v>50</v>
      </c>
      <c r="F1452" s="1">
        <v>3</v>
      </c>
      <c r="G1452" s="1">
        <v>25</v>
      </c>
      <c r="H1452" s="1">
        <v>150</v>
      </c>
      <c r="I1452" s="1">
        <v>100</v>
      </c>
      <c r="J1452" s="1">
        <v>2.0139999999999998</v>
      </c>
      <c r="K1452" s="1">
        <v>45.972000000000001</v>
      </c>
      <c r="L1452" s="1">
        <v>8.06</v>
      </c>
      <c r="M1452" s="1">
        <v>96.4</v>
      </c>
      <c r="N1452" s="1">
        <v>2.877E-2</v>
      </c>
      <c r="O1452" s="1">
        <v>2.9550000000000003E-4</v>
      </c>
      <c r="P145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3.5327437583368405E-2</v>
      </c>
      <c r="Q1452" s="1">
        <f>LN(Table1[[#This Row],[qe_mg_g]]-Table1[[#This Row],[qt]])</f>
        <v>0.68242619685053152</v>
      </c>
      <c r="R1452" s="1">
        <v>2</v>
      </c>
    </row>
    <row r="1453" spans="1:18" x14ac:dyDescent="0.3">
      <c r="A1453" s="1">
        <v>1452</v>
      </c>
      <c r="B1453" s="1" t="s">
        <v>18</v>
      </c>
      <c r="C1453" s="1">
        <v>2</v>
      </c>
      <c r="D1453" s="1">
        <v>30</v>
      </c>
      <c r="E1453" s="1">
        <v>50</v>
      </c>
      <c r="F1453" s="1">
        <v>3</v>
      </c>
      <c r="G1453" s="1">
        <v>25</v>
      </c>
      <c r="H1453" s="1">
        <v>150</v>
      </c>
      <c r="I1453" s="1">
        <v>100</v>
      </c>
      <c r="J1453" s="1">
        <v>2.17</v>
      </c>
      <c r="K1453" s="1">
        <v>45.66</v>
      </c>
      <c r="L1453" s="1">
        <v>8.68</v>
      </c>
      <c r="M1453" s="1">
        <v>102.1</v>
      </c>
      <c r="N1453" s="1">
        <v>2.3089999999999999E-2</v>
      </c>
      <c r="O1453" s="1">
        <v>2.41E-4</v>
      </c>
      <c r="P145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3.3519456888923993E-2</v>
      </c>
      <c r="Q1453" s="1">
        <f>LN(Table1[[#This Row],[qe_mg_g]]-Table1[[#This Row],[qt]])</f>
        <v>0.75915986916184397</v>
      </c>
      <c r="R1453" s="1">
        <v>3</v>
      </c>
    </row>
    <row r="1454" spans="1:18" x14ac:dyDescent="0.3">
      <c r="A1454" s="1">
        <v>1453</v>
      </c>
      <c r="B1454" s="1" t="s">
        <v>18</v>
      </c>
      <c r="C1454" s="1">
        <v>2</v>
      </c>
      <c r="D1454" s="1">
        <v>30</v>
      </c>
      <c r="E1454" s="1">
        <v>50</v>
      </c>
      <c r="F1454" s="1">
        <v>7</v>
      </c>
      <c r="G1454" s="1">
        <v>25</v>
      </c>
      <c r="H1454" s="1">
        <v>150</v>
      </c>
      <c r="I1454" s="1">
        <v>100</v>
      </c>
      <c r="J1454" s="1">
        <v>4.1740000000000004</v>
      </c>
      <c r="K1454" s="1">
        <v>41.652000000000001</v>
      </c>
      <c r="L1454" s="1">
        <v>16.7</v>
      </c>
      <c r="M1454" s="1">
        <v>96.5</v>
      </c>
      <c r="N1454" s="1">
        <v>3.3309999999999999E-2</v>
      </c>
      <c r="O1454" s="1">
        <v>2.8600000000000001E-4</v>
      </c>
      <c r="P145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0.14431479391085417</v>
      </c>
      <c r="Q1454" s="1">
        <f>LN(Table1[[#This Row],[qe_mg_g]]-Table1[[#This Row],[qt]])</f>
        <v>1.393688260274675</v>
      </c>
      <c r="R1454" s="1">
        <v>1</v>
      </c>
    </row>
    <row r="1455" spans="1:18" x14ac:dyDescent="0.3">
      <c r="A1455" s="1">
        <v>1454</v>
      </c>
      <c r="B1455" s="1" t="s">
        <v>18</v>
      </c>
      <c r="C1455" s="1">
        <v>2</v>
      </c>
      <c r="D1455" s="1">
        <v>30</v>
      </c>
      <c r="E1455" s="1">
        <v>50</v>
      </c>
      <c r="F1455" s="1">
        <v>7</v>
      </c>
      <c r="G1455" s="1">
        <v>25</v>
      </c>
      <c r="H1455" s="1">
        <v>150</v>
      </c>
      <c r="I1455" s="1">
        <v>100</v>
      </c>
      <c r="J1455" s="1">
        <v>3.4239999999999999</v>
      </c>
      <c r="K1455" s="1">
        <v>43.152999999999999</v>
      </c>
      <c r="L1455" s="1">
        <v>13.69</v>
      </c>
      <c r="M1455" s="1">
        <v>87.4</v>
      </c>
      <c r="N1455" s="1">
        <v>2.2689999999999998E-2</v>
      </c>
      <c r="O1455" s="1">
        <v>2.6709999999999999E-4</v>
      </c>
      <c r="P1455" s="1">
        <f>(Table1[[#This Row],[Rate_Constant_k2_g_mg_min]]*Table1[[#This Row],[Contact_Time_min]]*Table1[[#This Row],[qe_mg_g]]^2)/(1+Table1[[#This Row],[Contact_Time_min]]*Table1[[#This Row],[qe_mg_g]]*Table1[[#This Row],[Rate_Constant_k2_g_mg_min]])</f>
        <v>9.1433987395612426E-2</v>
      </c>
      <c r="Q1455" s="1">
        <f>LN(Table1[[#This Row],[qe_mg_g]]-Table1[[#This Row],[qt]])</f>
        <v>1.203742581608036</v>
      </c>
      <c r="R1455" s="1">
        <v>2</v>
      </c>
    </row>
    <row r="1456" spans="1:18" x14ac:dyDescent="0.3">
      <c r="A1456" s="1">
        <v>1455</v>
      </c>
      <c r="B1456" s="1" t="s">
        <v>18</v>
      </c>
      <c r="C1456" s="1">
        <v>2</v>
      </c>
      <c r="D1456" s="1">
        <v>30</v>
      </c>
      <c r="E1456" s="1">
        <v>50</v>
      </c>
      <c r="F1456" s="1">
        <v>7</v>
      </c>
      <c r="G1456" s="1">
        <v>25</v>
      </c>
      <c r="H1456" s="1">
        <v>150</v>
      </c>
      <c r="I1456" s="1">
        <v>100</v>
      </c>
      <c r="J1456" s="1">
        <v>3.1110000000000002</v>
      </c>
      <c r="K1456" s="1">
        <v>43.777999999999999</v>
      </c>
      <c r="L1456" s="1">
        <v>12.44</v>
      </c>
      <c r="M1456" s="1">
        <v>102.6</v>
      </c>
      <c r="N1456" s="1">
        <v>2.6249999999999999E-2</v>
      </c>
      <c r="O1456" s="1">
        <v>2.4340000000000001E-4</v>
      </c>
      <c r="P1456" s="1">
        <f>(Table1[[#This Row],[Rate_Constant_k2_g_mg_min]]*Table1[[#This Row],[Contact_Time_min]]*Table1[[#This Row],[qe_mg_g]]^2)/(1+Table1[[#This Row],[Contact_Time_min]]*Table1[[#This Row],[qe_mg_g]]*Table1[[#This Row],[Rate_Constant_k2_g_mg_min]])</f>
        <v>6.9101357435584695E-2</v>
      </c>
      <c r="Q1456" s="1">
        <f>LN(Table1[[#This Row],[qe_mg_g]]-Table1[[#This Row],[qt]])</f>
        <v>1.1124818739409132</v>
      </c>
      <c r="R1456" s="1">
        <v>3</v>
      </c>
    </row>
    <row r="1457" spans="1:18" x14ac:dyDescent="0.3">
      <c r="A1457" s="1">
        <v>1456</v>
      </c>
      <c r="B1457" s="1" t="s">
        <v>18</v>
      </c>
      <c r="C1457" s="1">
        <v>2</v>
      </c>
      <c r="D1457" s="1">
        <v>30</v>
      </c>
      <c r="E1457" s="1">
        <v>50</v>
      </c>
      <c r="F1457" s="1">
        <v>11</v>
      </c>
      <c r="G1457" s="1">
        <v>25</v>
      </c>
      <c r="H1457" s="1">
        <v>150</v>
      </c>
      <c r="I1457" s="1">
        <v>100</v>
      </c>
      <c r="J1457" s="1">
        <v>2.4889999999999999</v>
      </c>
      <c r="K1457" s="1">
        <v>45.021999999999998</v>
      </c>
      <c r="L1457" s="1">
        <v>9.9600000000000009</v>
      </c>
      <c r="M1457" s="1">
        <v>104</v>
      </c>
      <c r="N1457" s="1">
        <v>2.666E-2</v>
      </c>
      <c r="O1457" s="1">
        <v>2.7989999999999997E-4</v>
      </c>
      <c r="P1457" s="1">
        <f>(Table1[[#This Row],[Rate_Constant_k2_g_mg_min]]*Table1[[#This Row],[Contact_Time_min]]*Table1[[#This Row],[qe_mg_g]]^2)/(1+Table1[[#This Row],[Contact_Time_min]]*Table1[[#This Row],[qe_mg_g]]*Table1[[#This Row],[Rate_Constant_k2_g_mg_min]])</f>
        <v>5.0955455245297723E-2</v>
      </c>
      <c r="Q1457" s="1">
        <f>LN(Table1[[#This Row],[qe_mg_g]]-Table1[[#This Row],[qt]])</f>
        <v>0.89119630191542443</v>
      </c>
      <c r="R1457" s="1">
        <v>1</v>
      </c>
    </row>
    <row r="1458" spans="1:18" x14ac:dyDescent="0.3">
      <c r="A1458" s="1">
        <v>1457</v>
      </c>
      <c r="B1458" s="1" t="s">
        <v>18</v>
      </c>
      <c r="C1458" s="1">
        <v>2</v>
      </c>
      <c r="D1458" s="1">
        <v>30</v>
      </c>
      <c r="E1458" s="1">
        <v>50</v>
      </c>
      <c r="F1458" s="1">
        <v>11</v>
      </c>
      <c r="G1458" s="1">
        <v>25</v>
      </c>
      <c r="H1458" s="1">
        <v>150</v>
      </c>
      <c r="I1458" s="1">
        <v>100</v>
      </c>
      <c r="J1458" s="1">
        <v>2.3479999999999999</v>
      </c>
      <c r="K1458" s="1">
        <v>45.304000000000002</v>
      </c>
      <c r="L1458" s="1">
        <v>9.39</v>
      </c>
      <c r="M1458" s="1">
        <v>74.900000000000006</v>
      </c>
      <c r="N1458" s="1">
        <v>2.9669999999999998E-2</v>
      </c>
      <c r="O1458" s="1">
        <v>2.5090000000000003E-4</v>
      </c>
      <c r="P145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4.0776475017531066E-2</v>
      </c>
      <c r="Q1458" s="1">
        <f>LN(Table1[[#This Row],[qe_mg_g]]-Table1[[#This Row],[qt]])</f>
        <v>0.83604486439079839</v>
      </c>
      <c r="R1458" s="1">
        <v>2</v>
      </c>
    </row>
    <row r="1459" spans="1:18" x14ac:dyDescent="0.3">
      <c r="A1459" s="1">
        <v>1458</v>
      </c>
      <c r="B1459" s="1" t="s">
        <v>18</v>
      </c>
      <c r="C1459" s="1">
        <v>2</v>
      </c>
      <c r="D1459" s="1">
        <v>30</v>
      </c>
      <c r="E1459" s="1">
        <v>50</v>
      </c>
      <c r="F1459" s="1">
        <v>11</v>
      </c>
      <c r="G1459" s="1">
        <v>25</v>
      </c>
      <c r="H1459" s="1">
        <v>150</v>
      </c>
      <c r="I1459" s="1">
        <v>100</v>
      </c>
      <c r="J1459" s="1">
        <v>2.5169999999999999</v>
      </c>
      <c r="K1459" s="1">
        <v>44.965000000000003</v>
      </c>
      <c r="L1459" s="1">
        <v>10.07</v>
      </c>
      <c r="M1459" s="1">
        <v>120.4</v>
      </c>
      <c r="N1459" s="1">
        <v>2.929E-2</v>
      </c>
      <c r="O1459" s="1">
        <v>2.4699999999999999E-4</v>
      </c>
      <c r="P1459" s="1">
        <f>(Table1[[#This Row],[Rate_Constant_k2_g_mg_min]]*Table1[[#This Row],[Contact_Time_min]]*Table1[[#This Row],[qe_mg_g]]^2)/(1+Table1[[#This Row],[Contact_Time_min]]*Table1[[#This Row],[qe_mg_g]]*Table1[[#This Row],[Rate_Constant_k2_g_mg_min]])</f>
        <v>4.6084962241777473E-2</v>
      </c>
      <c r="Q1459" s="1">
        <f>LN(Table1[[#This Row],[qe_mg_g]]-Table1[[#This Row],[qt]])</f>
        <v>0.90458854266714839</v>
      </c>
      <c r="R1459" s="1">
        <v>3</v>
      </c>
    </row>
    <row r="1460" spans="1:18" x14ac:dyDescent="0.3">
      <c r="A1460" s="1">
        <v>1459</v>
      </c>
      <c r="B1460" s="1" t="s">
        <v>18</v>
      </c>
      <c r="C1460" s="1">
        <v>2</v>
      </c>
      <c r="D1460" s="1">
        <v>30</v>
      </c>
      <c r="E1460" s="1">
        <v>100</v>
      </c>
      <c r="F1460" s="1">
        <v>3</v>
      </c>
      <c r="G1460" s="1">
        <v>25</v>
      </c>
      <c r="H1460" s="1">
        <v>150</v>
      </c>
      <c r="I1460" s="1">
        <v>100</v>
      </c>
      <c r="J1460" s="1">
        <v>6.1239999999999997</v>
      </c>
      <c r="K1460" s="1">
        <v>87.751000000000005</v>
      </c>
      <c r="L1460" s="1">
        <v>12.25</v>
      </c>
      <c r="M1460" s="1">
        <v>112.3</v>
      </c>
      <c r="N1460" s="1">
        <v>3.0550000000000001E-2</v>
      </c>
      <c r="O1460" s="1">
        <v>2.3949999999999999E-4</v>
      </c>
      <c r="P146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0.2581048984112983</v>
      </c>
      <c r="Q1460" s="1">
        <f>LN(Table1[[#This Row],[qe_mg_g]]-Table1[[#This Row],[qt]])</f>
        <v>1.7691550879522537</v>
      </c>
      <c r="R1460" s="1">
        <v>1</v>
      </c>
    </row>
    <row r="1461" spans="1:18" x14ac:dyDescent="0.3">
      <c r="A1461" s="1">
        <v>1460</v>
      </c>
      <c r="B1461" s="1" t="s">
        <v>18</v>
      </c>
      <c r="C1461" s="1">
        <v>2</v>
      </c>
      <c r="D1461" s="1">
        <v>30</v>
      </c>
      <c r="E1461" s="1">
        <v>100</v>
      </c>
      <c r="F1461" s="1">
        <v>3</v>
      </c>
      <c r="G1461" s="1">
        <v>25</v>
      </c>
      <c r="H1461" s="1">
        <v>150</v>
      </c>
      <c r="I1461" s="1">
        <v>100</v>
      </c>
      <c r="J1461" s="1">
        <v>5.6340000000000003</v>
      </c>
      <c r="K1461" s="1">
        <v>88.731999999999999</v>
      </c>
      <c r="L1461" s="1">
        <v>11.27</v>
      </c>
      <c r="M1461" s="1">
        <v>121.7</v>
      </c>
      <c r="N1461" s="1">
        <v>2.632E-2</v>
      </c>
      <c r="O1461" s="1">
        <v>2.352E-4</v>
      </c>
      <c r="P146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0.21540801802962717</v>
      </c>
      <c r="Q1461" s="1">
        <f>LN(Table1[[#This Row],[qe_mg_g]]-Table1[[#This Row],[qt]])</f>
        <v>1.6898359997781003</v>
      </c>
      <c r="R1461" s="1">
        <v>2</v>
      </c>
    </row>
    <row r="1462" spans="1:18" x14ac:dyDescent="0.3">
      <c r="A1462" s="1">
        <v>1461</v>
      </c>
      <c r="B1462" s="1" t="s">
        <v>18</v>
      </c>
      <c r="C1462" s="1">
        <v>2</v>
      </c>
      <c r="D1462" s="1">
        <v>30</v>
      </c>
      <c r="E1462" s="1">
        <v>100</v>
      </c>
      <c r="F1462" s="1">
        <v>3</v>
      </c>
      <c r="G1462" s="1">
        <v>25</v>
      </c>
      <c r="H1462" s="1">
        <v>150</v>
      </c>
      <c r="I1462" s="1">
        <v>100</v>
      </c>
      <c r="J1462" s="1">
        <v>7.0190000000000001</v>
      </c>
      <c r="K1462" s="1">
        <v>85.962999999999994</v>
      </c>
      <c r="L1462" s="1">
        <v>14.04</v>
      </c>
      <c r="M1462" s="1">
        <v>82.1</v>
      </c>
      <c r="N1462" s="1">
        <v>2.5520000000000001E-2</v>
      </c>
      <c r="O1462" s="1">
        <v>1.9689999999999999E-4</v>
      </c>
      <c r="P146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0.27943084697325454</v>
      </c>
      <c r="Q1462" s="1">
        <f>LN(Table1[[#This Row],[qe_mg_g]]-Table1[[#This Row],[qt]])</f>
        <v>1.9079959989977249</v>
      </c>
      <c r="R1462" s="1">
        <v>3</v>
      </c>
    </row>
    <row r="1463" spans="1:18" x14ac:dyDescent="0.3">
      <c r="A1463" s="1">
        <v>1462</v>
      </c>
      <c r="B1463" s="1" t="s">
        <v>18</v>
      </c>
      <c r="C1463" s="1">
        <v>2</v>
      </c>
      <c r="D1463" s="1">
        <v>30</v>
      </c>
      <c r="E1463" s="1">
        <v>100</v>
      </c>
      <c r="F1463" s="1">
        <v>7</v>
      </c>
      <c r="G1463" s="1">
        <v>25</v>
      </c>
      <c r="H1463" s="1">
        <v>150</v>
      </c>
      <c r="I1463" s="1">
        <v>100</v>
      </c>
      <c r="J1463" s="1">
        <v>12.045</v>
      </c>
      <c r="K1463" s="1">
        <v>75.909000000000006</v>
      </c>
      <c r="L1463" s="1">
        <v>24.09</v>
      </c>
      <c r="M1463" s="1">
        <v>91.8</v>
      </c>
      <c r="N1463" s="1">
        <v>3.8780000000000002E-2</v>
      </c>
      <c r="O1463" s="1">
        <v>2.251E-4</v>
      </c>
      <c r="P146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0.90604159563114606</v>
      </c>
      <c r="Q1463" s="1">
        <f>LN(Table1[[#This Row],[qe_mg_g]]-Table1[[#This Row],[qt]])</f>
        <v>2.4104487296222041</v>
      </c>
      <c r="R1463" s="1">
        <v>1</v>
      </c>
    </row>
    <row r="1464" spans="1:18" x14ac:dyDescent="0.3">
      <c r="A1464" s="1">
        <v>1463</v>
      </c>
      <c r="B1464" s="1" t="s">
        <v>18</v>
      </c>
      <c r="C1464" s="1">
        <v>2</v>
      </c>
      <c r="D1464" s="1">
        <v>30</v>
      </c>
      <c r="E1464" s="1">
        <v>100</v>
      </c>
      <c r="F1464" s="1">
        <v>7</v>
      </c>
      <c r="G1464" s="1">
        <v>25</v>
      </c>
      <c r="H1464" s="1">
        <v>150</v>
      </c>
      <c r="I1464" s="1">
        <v>100</v>
      </c>
      <c r="J1464" s="1">
        <v>10.372999999999999</v>
      </c>
      <c r="K1464" s="1">
        <v>79.253</v>
      </c>
      <c r="L1464" s="1">
        <v>20.75</v>
      </c>
      <c r="M1464" s="1">
        <v>91.5</v>
      </c>
      <c r="N1464" s="1">
        <v>3.073E-2</v>
      </c>
      <c r="O1464" s="1">
        <v>2.3819999999999999E-4</v>
      </c>
      <c r="P146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0.71584131081455105</v>
      </c>
      <c r="Q1464" s="1">
        <f>LN(Table1[[#This Row],[qe_mg_g]]-Table1[[#This Row],[qt]])</f>
        <v>2.2676994734049556</v>
      </c>
      <c r="R1464" s="1">
        <v>2</v>
      </c>
    </row>
    <row r="1465" spans="1:18" x14ac:dyDescent="0.3">
      <c r="A1465" s="1">
        <v>1464</v>
      </c>
      <c r="B1465" s="1" t="s">
        <v>18</v>
      </c>
      <c r="C1465" s="1">
        <v>2</v>
      </c>
      <c r="D1465" s="1">
        <v>30</v>
      </c>
      <c r="E1465" s="1">
        <v>100</v>
      </c>
      <c r="F1465" s="1">
        <v>7</v>
      </c>
      <c r="G1465" s="1">
        <v>25</v>
      </c>
      <c r="H1465" s="1">
        <v>150</v>
      </c>
      <c r="I1465" s="1">
        <v>100</v>
      </c>
      <c r="J1465" s="1">
        <v>11.935</v>
      </c>
      <c r="K1465" s="1">
        <v>76.13</v>
      </c>
      <c r="L1465" s="1">
        <v>23.87</v>
      </c>
      <c r="M1465" s="1">
        <v>85.3</v>
      </c>
      <c r="N1465" s="1">
        <v>2.5860000000000001E-2</v>
      </c>
      <c r="O1465" s="1">
        <v>2.05E-4</v>
      </c>
      <c r="P146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0.81612798557667576</v>
      </c>
      <c r="Q1465" s="1">
        <f>LN(Table1[[#This Row],[qe_mg_g]]-Table1[[#This Row],[qt]])</f>
        <v>2.4086438461254405</v>
      </c>
      <c r="R1465" s="1">
        <v>3</v>
      </c>
    </row>
    <row r="1466" spans="1:18" x14ac:dyDescent="0.3">
      <c r="A1466" s="1">
        <v>1465</v>
      </c>
      <c r="B1466" s="1" t="s">
        <v>18</v>
      </c>
      <c r="C1466" s="1">
        <v>2</v>
      </c>
      <c r="D1466" s="1">
        <v>30</v>
      </c>
      <c r="E1466" s="1">
        <v>100</v>
      </c>
      <c r="F1466" s="1">
        <v>11</v>
      </c>
      <c r="G1466" s="1">
        <v>25</v>
      </c>
      <c r="H1466" s="1">
        <v>150</v>
      </c>
      <c r="I1466" s="1">
        <v>100</v>
      </c>
      <c r="J1466" s="1">
        <v>6.7990000000000004</v>
      </c>
      <c r="K1466" s="1">
        <v>86.402000000000001</v>
      </c>
      <c r="L1466" s="1">
        <v>13.6</v>
      </c>
      <c r="M1466" s="1">
        <v>92.2</v>
      </c>
      <c r="N1466" s="1">
        <v>2.9100000000000001E-2</v>
      </c>
      <c r="O1466" s="1">
        <v>2.342E-4</v>
      </c>
      <c r="P146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0.30997906361249927</v>
      </c>
      <c r="Q1466" s="1">
        <f>LN(Table1[[#This Row],[qe_mg_g]]-Table1[[#This Row],[qt]])</f>
        <v>1.8701116620766529</v>
      </c>
      <c r="R1466" s="1">
        <v>1</v>
      </c>
    </row>
    <row r="1467" spans="1:18" x14ac:dyDescent="0.3">
      <c r="A1467" s="1">
        <v>1466</v>
      </c>
      <c r="B1467" s="1" t="s">
        <v>18</v>
      </c>
      <c r="C1467" s="1">
        <v>2</v>
      </c>
      <c r="D1467" s="1">
        <v>30</v>
      </c>
      <c r="E1467" s="1">
        <v>100</v>
      </c>
      <c r="F1467" s="1">
        <v>11</v>
      </c>
      <c r="G1467" s="1">
        <v>25</v>
      </c>
      <c r="H1467" s="1">
        <v>150</v>
      </c>
      <c r="I1467" s="1">
        <v>100</v>
      </c>
      <c r="J1467" s="1">
        <v>9.4510000000000005</v>
      </c>
      <c r="K1467" s="1">
        <v>81.096999999999994</v>
      </c>
      <c r="L1467" s="1">
        <v>18.899999999999999</v>
      </c>
      <c r="M1467" s="1">
        <v>118.4</v>
      </c>
      <c r="N1467" s="1">
        <v>2.9000000000000001E-2</v>
      </c>
      <c r="O1467" s="1">
        <v>2.052E-4</v>
      </c>
      <c r="P146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0.51963027043378607</v>
      </c>
      <c r="Q1467" s="1">
        <f>LN(Table1[[#This Row],[qe_mg_g]]-Table1[[#This Row],[qt]])</f>
        <v>2.1895697682958941</v>
      </c>
      <c r="R1467" s="1">
        <v>2</v>
      </c>
    </row>
    <row r="1468" spans="1:18" x14ac:dyDescent="0.3">
      <c r="A1468" s="1">
        <v>1467</v>
      </c>
      <c r="B1468" s="1" t="s">
        <v>18</v>
      </c>
      <c r="C1468" s="1">
        <v>2</v>
      </c>
      <c r="D1468" s="1">
        <v>30</v>
      </c>
      <c r="E1468" s="1">
        <v>100</v>
      </c>
      <c r="F1468" s="1">
        <v>11</v>
      </c>
      <c r="G1468" s="1">
        <v>25</v>
      </c>
      <c r="H1468" s="1">
        <v>150</v>
      </c>
      <c r="I1468" s="1">
        <v>100</v>
      </c>
      <c r="J1468" s="1">
        <v>8.0670000000000002</v>
      </c>
      <c r="K1468" s="1">
        <v>83.867000000000004</v>
      </c>
      <c r="L1468" s="1">
        <v>16.13</v>
      </c>
      <c r="M1468" s="1">
        <v>91</v>
      </c>
      <c r="N1468" s="1">
        <v>2.8029999999999999E-2</v>
      </c>
      <c r="O1468" s="1">
        <v>2.3259999999999999E-4</v>
      </c>
      <c r="P146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0.42990379934374295</v>
      </c>
      <c r="Q1468" s="1">
        <f>LN(Table1[[#This Row],[qe_mg_g]]-Table1[[#This Row],[qt]])</f>
        <v>2.0330174524821749</v>
      </c>
      <c r="R1468" s="1">
        <v>3</v>
      </c>
    </row>
    <row r="1469" spans="1:18" x14ac:dyDescent="0.3">
      <c r="A1469" s="1">
        <v>1468</v>
      </c>
      <c r="B1469" s="1" t="s">
        <v>18</v>
      </c>
      <c r="C1469" s="1">
        <v>2</v>
      </c>
      <c r="D1469" s="1">
        <v>30</v>
      </c>
      <c r="E1469" s="1">
        <v>200</v>
      </c>
      <c r="F1469" s="1">
        <v>3</v>
      </c>
      <c r="G1469" s="1">
        <v>25</v>
      </c>
      <c r="H1469" s="1">
        <v>150</v>
      </c>
      <c r="I1469" s="1">
        <v>100</v>
      </c>
      <c r="J1469" s="1">
        <v>18.494</v>
      </c>
      <c r="K1469" s="1">
        <v>163.011</v>
      </c>
      <c r="L1469" s="1">
        <v>18.489999999999998</v>
      </c>
      <c r="M1469" s="1">
        <v>94.2</v>
      </c>
      <c r="N1469" s="1">
        <v>2.809E-2</v>
      </c>
      <c r="O1469" s="1">
        <v>2.5520000000000002E-4</v>
      </c>
      <c r="P146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2.2937889231803963</v>
      </c>
      <c r="Q1469" s="1">
        <f>LN(Table1[[#This Row],[qe_mg_g]]-Table1[[#This Row],[qt]])</f>
        <v>2.785024271586765</v>
      </c>
      <c r="R1469" s="1">
        <v>1</v>
      </c>
    </row>
    <row r="1470" spans="1:18" x14ac:dyDescent="0.3">
      <c r="A1470" s="1">
        <v>1469</v>
      </c>
      <c r="B1470" s="1" t="s">
        <v>18</v>
      </c>
      <c r="C1470" s="1">
        <v>2</v>
      </c>
      <c r="D1470" s="1">
        <v>30</v>
      </c>
      <c r="E1470" s="1">
        <v>200</v>
      </c>
      <c r="F1470" s="1">
        <v>3</v>
      </c>
      <c r="G1470" s="1">
        <v>25</v>
      </c>
      <c r="H1470" s="1">
        <v>150</v>
      </c>
      <c r="I1470" s="1">
        <v>100</v>
      </c>
      <c r="J1470" s="1">
        <v>20.286999999999999</v>
      </c>
      <c r="K1470" s="1">
        <v>159.42500000000001</v>
      </c>
      <c r="L1470" s="1">
        <v>20.29</v>
      </c>
      <c r="M1470" s="1">
        <v>86.3</v>
      </c>
      <c r="N1470" s="1">
        <v>3.381E-2</v>
      </c>
      <c r="O1470" s="1">
        <v>2.2550000000000001E-4</v>
      </c>
      <c r="P147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2.4482216764273965</v>
      </c>
      <c r="Q1470" s="1">
        <f>LN(Table1[[#This Row],[qe_mg_g]]-Table1[[#This Row],[qt]])</f>
        <v>2.8813746451866571</v>
      </c>
      <c r="R1470" s="1">
        <v>2</v>
      </c>
    </row>
    <row r="1471" spans="1:18" x14ac:dyDescent="0.3">
      <c r="A1471" s="1">
        <v>1470</v>
      </c>
      <c r="B1471" s="1" t="s">
        <v>18</v>
      </c>
      <c r="C1471" s="1">
        <v>2</v>
      </c>
      <c r="D1471" s="1">
        <v>30</v>
      </c>
      <c r="E1471" s="1">
        <v>200</v>
      </c>
      <c r="F1471" s="1">
        <v>3</v>
      </c>
      <c r="G1471" s="1">
        <v>25</v>
      </c>
      <c r="H1471" s="1">
        <v>150</v>
      </c>
      <c r="I1471" s="1">
        <v>100</v>
      </c>
      <c r="J1471" s="1">
        <v>16.789000000000001</v>
      </c>
      <c r="K1471" s="1">
        <v>166.422</v>
      </c>
      <c r="L1471" s="1">
        <v>16.79</v>
      </c>
      <c r="M1471" s="1">
        <v>105.7</v>
      </c>
      <c r="N1471" s="1">
        <v>2.7550000000000002E-2</v>
      </c>
      <c r="O1471" s="1">
        <v>2.5799999999999998E-4</v>
      </c>
      <c r="P147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1.9307791452599816</v>
      </c>
      <c r="Q1471" s="1">
        <f>LN(Table1[[#This Row],[qe_mg_g]]-Table1[[#This Row],[qt]])</f>
        <v>2.6985533049844674</v>
      </c>
      <c r="R1471" s="1">
        <v>3</v>
      </c>
    </row>
    <row r="1472" spans="1:18" x14ac:dyDescent="0.3">
      <c r="A1472" s="1">
        <v>1471</v>
      </c>
      <c r="B1472" s="1" t="s">
        <v>18</v>
      </c>
      <c r="C1472" s="1">
        <v>2</v>
      </c>
      <c r="D1472" s="1">
        <v>30</v>
      </c>
      <c r="E1472" s="1">
        <v>200</v>
      </c>
      <c r="F1472" s="1">
        <v>7</v>
      </c>
      <c r="G1472" s="1">
        <v>25</v>
      </c>
      <c r="H1472" s="1">
        <v>150</v>
      </c>
      <c r="I1472" s="1">
        <v>100</v>
      </c>
      <c r="J1472" s="1">
        <v>24.713999999999999</v>
      </c>
      <c r="K1472" s="1">
        <v>150.572</v>
      </c>
      <c r="L1472" s="1">
        <v>24.71</v>
      </c>
      <c r="M1472" s="1">
        <v>120.9</v>
      </c>
      <c r="N1472" s="1">
        <v>3.202E-2</v>
      </c>
      <c r="O1472" s="1">
        <v>2.1249999999999999E-4</v>
      </c>
      <c r="P147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3.363766630304001</v>
      </c>
      <c r="Q1472" s="1">
        <f>LN(Table1[[#This Row],[qe_mg_g]]-Table1[[#This Row],[qt]])</f>
        <v>3.0610626702798123</v>
      </c>
      <c r="R1472" s="1">
        <v>1</v>
      </c>
    </row>
    <row r="1473" spans="1:18" x14ac:dyDescent="0.3">
      <c r="A1473" s="1">
        <v>1472</v>
      </c>
      <c r="B1473" s="1" t="s">
        <v>18</v>
      </c>
      <c r="C1473" s="1">
        <v>2</v>
      </c>
      <c r="D1473" s="1">
        <v>30</v>
      </c>
      <c r="E1473" s="1">
        <v>200</v>
      </c>
      <c r="F1473" s="1">
        <v>7</v>
      </c>
      <c r="G1473" s="1">
        <v>25</v>
      </c>
      <c r="H1473" s="1">
        <v>150</v>
      </c>
      <c r="I1473" s="1">
        <v>100</v>
      </c>
      <c r="J1473" s="1">
        <v>27.338999999999999</v>
      </c>
      <c r="K1473" s="1">
        <v>145.322</v>
      </c>
      <c r="L1473" s="1">
        <v>27.34</v>
      </c>
      <c r="M1473" s="1">
        <v>125.1</v>
      </c>
      <c r="N1473" s="1">
        <v>2.7789999999999999E-2</v>
      </c>
      <c r="O1473" s="1">
        <v>2.2910000000000001E-4</v>
      </c>
      <c r="P147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4.3244548318665492</v>
      </c>
      <c r="Q1473" s="1">
        <f>LN(Table1[[#This Row],[qe_mg_g]]-Table1[[#This Row],[qt]])</f>
        <v>3.1361264146639085</v>
      </c>
      <c r="R1473" s="1">
        <v>2</v>
      </c>
    </row>
    <row r="1474" spans="1:18" x14ac:dyDescent="0.3">
      <c r="A1474" s="1">
        <v>1473</v>
      </c>
      <c r="B1474" s="1" t="s">
        <v>18</v>
      </c>
      <c r="C1474" s="1">
        <v>2</v>
      </c>
      <c r="D1474" s="1">
        <v>30</v>
      </c>
      <c r="E1474" s="1">
        <v>200</v>
      </c>
      <c r="F1474" s="1">
        <v>7</v>
      </c>
      <c r="G1474" s="1">
        <v>25</v>
      </c>
      <c r="H1474" s="1">
        <v>150</v>
      </c>
      <c r="I1474" s="1">
        <v>100</v>
      </c>
      <c r="J1474" s="1">
        <v>25.103999999999999</v>
      </c>
      <c r="K1474" s="1">
        <v>149.791</v>
      </c>
      <c r="L1474" s="1">
        <v>25.1</v>
      </c>
      <c r="M1474" s="1">
        <v>94.7</v>
      </c>
      <c r="N1474" s="1">
        <v>2.9319999999999999E-2</v>
      </c>
      <c r="O1474" s="1">
        <v>2.6790000000000001E-4</v>
      </c>
      <c r="P147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4.2146524715140332</v>
      </c>
      <c r="Q1474" s="1">
        <f>LN(Table1[[#This Row],[qe_mg_g]]-Table1[[#This Row],[qt]])</f>
        <v>3.0392393414036212</v>
      </c>
      <c r="R1474" s="1">
        <v>3</v>
      </c>
    </row>
    <row r="1475" spans="1:18" x14ac:dyDescent="0.3">
      <c r="A1475" s="1">
        <v>1474</v>
      </c>
      <c r="B1475" s="1" t="s">
        <v>18</v>
      </c>
      <c r="C1475" s="1">
        <v>2</v>
      </c>
      <c r="D1475" s="1">
        <v>30</v>
      </c>
      <c r="E1475" s="1">
        <v>200</v>
      </c>
      <c r="F1475" s="1">
        <v>11</v>
      </c>
      <c r="G1475" s="1">
        <v>25</v>
      </c>
      <c r="H1475" s="1">
        <v>150</v>
      </c>
      <c r="I1475" s="1">
        <v>100</v>
      </c>
      <c r="J1475" s="1">
        <v>21.15</v>
      </c>
      <c r="K1475" s="1">
        <v>157.69999999999999</v>
      </c>
      <c r="L1475" s="1">
        <v>21.15</v>
      </c>
      <c r="M1475" s="1">
        <v>77.2</v>
      </c>
      <c r="N1475" s="1">
        <v>3.1350000000000003E-2</v>
      </c>
      <c r="O1475" s="1">
        <v>2.7520000000000002E-4</v>
      </c>
      <c r="P147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3.1440909970114448</v>
      </c>
      <c r="Q1475" s="1">
        <f>LN(Table1[[#This Row],[qe_mg_g]]-Table1[[#This Row],[qt]])</f>
        <v>2.8906999819685586</v>
      </c>
      <c r="R1475" s="1">
        <v>1</v>
      </c>
    </row>
    <row r="1476" spans="1:18" x14ac:dyDescent="0.3">
      <c r="A1476" s="1">
        <v>1475</v>
      </c>
      <c r="B1476" s="1" t="s">
        <v>18</v>
      </c>
      <c r="C1476" s="1">
        <v>2</v>
      </c>
      <c r="D1476" s="1">
        <v>30</v>
      </c>
      <c r="E1476" s="1">
        <v>200</v>
      </c>
      <c r="F1476" s="1">
        <v>11</v>
      </c>
      <c r="G1476" s="1">
        <v>25</v>
      </c>
      <c r="H1476" s="1">
        <v>150</v>
      </c>
      <c r="I1476" s="1">
        <v>100</v>
      </c>
      <c r="J1476" s="1">
        <v>20.774999999999999</v>
      </c>
      <c r="K1476" s="1">
        <v>158.44999999999999</v>
      </c>
      <c r="L1476" s="1">
        <v>20.78</v>
      </c>
      <c r="M1476" s="1">
        <v>116.2</v>
      </c>
      <c r="N1476" s="1">
        <v>3.0110000000000001E-2</v>
      </c>
      <c r="O1476" s="1">
        <v>2.7730000000000002E-4</v>
      </c>
      <c r="P147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3.0613934626005972</v>
      </c>
      <c r="Q1476" s="1">
        <f>LN(Table1[[#This Row],[qe_mg_g]]-Table1[[#This Row],[qt]])</f>
        <v>2.8743330751840239</v>
      </c>
      <c r="R1476" s="1">
        <v>2</v>
      </c>
    </row>
    <row r="1477" spans="1:18" x14ac:dyDescent="0.3">
      <c r="A1477" s="1">
        <v>1476</v>
      </c>
      <c r="B1477" s="1" t="s">
        <v>18</v>
      </c>
      <c r="C1477" s="1">
        <v>2</v>
      </c>
      <c r="D1477" s="1">
        <v>30</v>
      </c>
      <c r="E1477" s="1">
        <v>200</v>
      </c>
      <c r="F1477" s="1">
        <v>11</v>
      </c>
      <c r="G1477" s="1">
        <v>25</v>
      </c>
      <c r="H1477" s="1">
        <v>150</v>
      </c>
      <c r="I1477" s="1">
        <v>100</v>
      </c>
      <c r="J1477" s="1">
        <v>24.044</v>
      </c>
      <c r="K1477" s="1">
        <v>151.91200000000001</v>
      </c>
      <c r="L1477" s="1">
        <v>24.04</v>
      </c>
      <c r="M1477" s="1">
        <v>62.2</v>
      </c>
      <c r="N1477" s="1">
        <v>2.954E-2</v>
      </c>
      <c r="O1477" s="1">
        <v>2.765E-4</v>
      </c>
      <c r="P147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3.9980617527950302</v>
      </c>
      <c r="Q1477" s="1">
        <f>LN(Table1[[#This Row],[qe_mg_g]]-Table1[[#This Row],[qt]])</f>
        <v>2.9980265520434535</v>
      </c>
      <c r="R1477" s="1">
        <v>3</v>
      </c>
    </row>
    <row r="1478" spans="1:18" x14ac:dyDescent="0.3">
      <c r="A1478" s="1">
        <v>1477</v>
      </c>
      <c r="B1478" s="1" t="s">
        <v>18</v>
      </c>
      <c r="C1478" s="1">
        <v>2</v>
      </c>
      <c r="D1478" s="1">
        <v>60</v>
      </c>
      <c r="E1478" s="1">
        <v>25</v>
      </c>
      <c r="F1478" s="1">
        <v>3</v>
      </c>
      <c r="G1478" s="1">
        <v>25</v>
      </c>
      <c r="H1478" s="1">
        <v>150</v>
      </c>
      <c r="I1478" s="1">
        <v>100</v>
      </c>
      <c r="J1478" s="1">
        <v>0.91300000000000003</v>
      </c>
      <c r="K1478" s="1">
        <v>23.172999999999998</v>
      </c>
      <c r="L1478" s="1">
        <v>7.31</v>
      </c>
      <c r="M1478" s="1">
        <v>94.2</v>
      </c>
      <c r="N1478" s="1">
        <v>2.947E-2</v>
      </c>
      <c r="O1478" s="1">
        <v>1.775E-4</v>
      </c>
      <c r="P1478" s="1">
        <f>(Table1[[#This Row],[Rate_Constant_k2_g_mg_min]]*Table1[[#This Row],[Contact_Time_min]]*Table1[[#This Row],[qe_mg_g]]^2)/(1+Table1[[#This Row],[Contact_Time_min]]*Table1[[#This Row],[qe_mg_g]]*Table1[[#This Row],[Rate_Constant_k2_g_mg_min]])</f>
        <v>8.7920210727006499E-3</v>
      </c>
      <c r="Q1478" s="1">
        <f>LN(Table1[[#This Row],[qe_mg_g]]-Table1[[#This Row],[qt]])</f>
        <v>-0.10069587986583109</v>
      </c>
      <c r="R1478" s="1">
        <v>1</v>
      </c>
    </row>
    <row r="1479" spans="1:18" x14ac:dyDescent="0.3">
      <c r="A1479" s="1">
        <v>1478</v>
      </c>
      <c r="B1479" s="1" t="s">
        <v>18</v>
      </c>
      <c r="C1479" s="1">
        <v>2</v>
      </c>
      <c r="D1479" s="1">
        <v>60</v>
      </c>
      <c r="E1479" s="1">
        <v>25</v>
      </c>
      <c r="F1479" s="1">
        <v>3</v>
      </c>
      <c r="G1479" s="1">
        <v>25</v>
      </c>
      <c r="H1479" s="1">
        <v>150</v>
      </c>
      <c r="I1479" s="1">
        <v>100</v>
      </c>
      <c r="J1479" s="1">
        <v>1.143</v>
      </c>
      <c r="K1479" s="1">
        <v>22.715</v>
      </c>
      <c r="L1479" s="1">
        <v>9.14</v>
      </c>
      <c r="M1479" s="1">
        <v>86.5</v>
      </c>
      <c r="N1479" s="1">
        <v>3.1519999999999999E-2</v>
      </c>
      <c r="O1479" s="1">
        <v>2.4780000000000001E-4</v>
      </c>
      <c r="P147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1.9099701044093739E-2</v>
      </c>
      <c r="Q1479" s="1">
        <f>LN(Table1[[#This Row],[qe_mg_g]]-Table1[[#This Row],[qt]])</f>
        <v>0.11680504554072001</v>
      </c>
      <c r="R1479" s="1">
        <v>2</v>
      </c>
    </row>
    <row r="1480" spans="1:18" x14ac:dyDescent="0.3">
      <c r="A1480" s="1">
        <v>1479</v>
      </c>
      <c r="B1480" s="1" t="s">
        <v>18</v>
      </c>
      <c r="C1480" s="1">
        <v>2</v>
      </c>
      <c r="D1480" s="1">
        <v>60</v>
      </c>
      <c r="E1480" s="1">
        <v>25</v>
      </c>
      <c r="F1480" s="1">
        <v>3</v>
      </c>
      <c r="G1480" s="1">
        <v>25</v>
      </c>
      <c r="H1480" s="1">
        <v>150</v>
      </c>
      <c r="I1480" s="1">
        <v>100</v>
      </c>
      <c r="J1480" s="1">
        <v>1.1060000000000001</v>
      </c>
      <c r="K1480" s="1">
        <v>22.789000000000001</v>
      </c>
      <c r="L1480" s="1">
        <v>8.85</v>
      </c>
      <c r="M1480" s="1">
        <v>106.1</v>
      </c>
      <c r="N1480" s="1">
        <v>2.93E-2</v>
      </c>
      <c r="O1480" s="1">
        <v>2.2770000000000001E-4</v>
      </c>
      <c r="P148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1.6463090108804469E-2</v>
      </c>
      <c r="Q1480" s="1">
        <f>LN(Table1[[#This Row],[qe_mg_g]]-Table1[[#This Row],[qt]])</f>
        <v>8.575275265448451E-2</v>
      </c>
      <c r="R1480" s="1">
        <v>3</v>
      </c>
    </row>
    <row r="1481" spans="1:18" x14ac:dyDescent="0.3">
      <c r="A1481" s="1">
        <v>1480</v>
      </c>
      <c r="B1481" s="1" t="s">
        <v>18</v>
      </c>
      <c r="C1481" s="1">
        <v>2</v>
      </c>
      <c r="D1481" s="1">
        <v>60</v>
      </c>
      <c r="E1481" s="1">
        <v>25</v>
      </c>
      <c r="F1481" s="1">
        <v>7</v>
      </c>
      <c r="G1481" s="1">
        <v>25</v>
      </c>
      <c r="H1481" s="1">
        <v>150</v>
      </c>
      <c r="I1481" s="1">
        <v>100</v>
      </c>
      <c r="J1481" s="1">
        <v>1.821</v>
      </c>
      <c r="K1481" s="1">
        <v>21.356999999999999</v>
      </c>
      <c r="L1481" s="1">
        <v>14.57</v>
      </c>
      <c r="M1481" s="1">
        <v>71.900000000000006</v>
      </c>
      <c r="N1481" s="1">
        <v>3.1940000000000003E-2</v>
      </c>
      <c r="O1481" s="1">
        <v>2.2249999999999999E-4</v>
      </c>
      <c r="P1481" s="1">
        <f>(Table1[[#This Row],[Rate_Constant_k2_g_mg_min]]*Table1[[#This Row],[Contact_Time_min]]*Table1[[#This Row],[qe_mg_g]]^2)/(1+Table1[[#This Row],[Contact_Time_min]]*Table1[[#This Row],[qe_mg_g]]*Table1[[#This Row],[Rate_Constant_k2_g_mg_min]])</f>
        <v>4.3218490714264479E-2</v>
      </c>
      <c r="Q1481" s="1">
        <f>LN(Table1[[#This Row],[qe_mg_g]]-Table1[[#This Row],[qt]])</f>
        <v>0.57536624387458524</v>
      </c>
      <c r="R1481" s="1">
        <v>1</v>
      </c>
    </row>
    <row r="1482" spans="1:18" x14ac:dyDescent="0.3">
      <c r="A1482" s="1">
        <v>1481</v>
      </c>
      <c r="B1482" s="1" t="s">
        <v>18</v>
      </c>
      <c r="C1482" s="1">
        <v>2</v>
      </c>
      <c r="D1482" s="1">
        <v>60</v>
      </c>
      <c r="E1482" s="1">
        <v>25</v>
      </c>
      <c r="F1482" s="1">
        <v>7</v>
      </c>
      <c r="G1482" s="1">
        <v>25</v>
      </c>
      <c r="H1482" s="1">
        <v>150</v>
      </c>
      <c r="I1482" s="1">
        <v>100</v>
      </c>
      <c r="J1482" s="1">
        <v>1.891</v>
      </c>
      <c r="K1482" s="1">
        <v>21.218</v>
      </c>
      <c r="L1482" s="1">
        <v>15.13</v>
      </c>
      <c r="M1482" s="1">
        <v>102.4</v>
      </c>
      <c r="N1482" s="1">
        <v>3.193E-2</v>
      </c>
      <c r="O1482" s="1">
        <v>2.52E-4</v>
      </c>
      <c r="P148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5.2564403500272486E-2</v>
      </c>
      <c r="Q1482" s="1">
        <f>LN(Table1[[#This Row],[qe_mg_g]]-Table1[[#This Row],[qt]])</f>
        <v>0.60891499068584665</v>
      </c>
      <c r="R1482" s="1">
        <v>2</v>
      </c>
    </row>
    <row r="1483" spans="1:18" x14ac:dyDescent="0.3">
      <c r="A1483" s="1">
        <v>1482</v>
      </c>
      <c r="B1483" s="1" t="s">
        <v>18</v>
      </c>
      <c r="C1483" s="1">
        <v>2</v>
      </c>
      <c r="D1483" s="1">
        <v>60</v>
      </c>
      <c r="E1483" s="1">
        <v>25</v>
      </c>
      <c r="F1483" s="1">
        <v>7</v>
      </c>
      <c r="G1483" s="1">
        <v>25</v>
      </c>
      <c r="H1483" s="1">
        <v>150</v>
      </c>
      <c r="I1483" s="1">
        <v>100</v>
      </c>
      <c r="J1483" s="1">
        <v>1.431</v>
      </c>
      <c r="K1483" s="1">
        <v>22.137</v>
      </c>
      <c r="L1483" s="1">
        <v>11.45</v>
      </c>
      <c r="M1483" s="1">
        <v>87.1</v>
      </c>
      <c r="N1483" s="1">
        <v>3.202E-2</v>
      </c>
      <c r="O1483" s="1">
        <v>2.542E-4</v>
      </c>
      <c r="P148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3.0565343445315796E-2</v>
      </c>
      <c r="Q1483" s="1">
        <f>LN(Table1[[#This Row],[qe_mg_g]]-Table1[[#This Row],[qt]])</f>
        <v>0.3367826574033278</v>
      </c>
      <c r="R1483" s="1">
        <v>3</v>
      </c>
    </row>
    <row r="1484" spans="1:18" x14ac:dyDescent="0.3">
      <c r="A1484" s="1">
        <v>1483</v>
      </c>
      <c r="B1484" s="1" t="s">
        <v>18</v>
      </c>
      <c r="C1484" s="1">
        <v>2</v>
      </c>
      <c r="D1484" s="1">
        <v>60</v>
      </c>
      <c r="E1484" s="1">
        <v>25</v>
      </c>
      <c r="F1484" s="1">
        <v>11</v>
      </c>
      <c r="G1484" s="1">
        <v>25</v>
      </c>
      <c r="H1484" s="1">
        <v>150</v>
      </c>
      <c r="I1484" s="1">
        <v>100</v>
      </c>
      <c r="J1484" s="1">
        <v>1.39</v>
      </c>
      <c r="K1484" s="1">
        <v>22.221</v>
      </c>
      <c r="L1484" s="1">
        <v>11.12</v>
      </c>
      <c r="M1484" s="1">
        <v>106</v>
      </c>
      <c r="N1484" s="1">
        <v>2.7099999999999999E-2</v>
      </c>
      <c r="O1484" s="1">
        <v>2.3010000000000001E-4</v>
      </c>
      <c r="P148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2.6172316939346185E-2</v>
      </c>
      <c r="Q1484" s="1">
        <f>LN(Table1[[#This Row],[qe_mg_g]]-Table1[[#This Row],[qt]])</f>
        <v>0.31029521937373322</v>
      </c>
      <c r="R1484" s="1">
        <v>1</v>
      </c>
    </row>
    <row r="1485" spans="1:18" x14ac:dyDescent="0.3">
      <c r="A1485" s="1">
        <v>1484</v>
      </c>
      <c r="B1485" s="1" t="s">
        <v>18</v>
      </c>
      <c r="C1485" s="1">
        <v>2</v>
      </c>
      <c r="D1485" s="1">
        <v>60</v>
      </c>
      <c r="E1485" s="1">
        <v>25</v>
      </c>
      <c r="F1485" s="1">
        <v>11</v>
      </c>
      <c r="G1485" s="1">
        <v>25</v>
      </c>
      <c r="H1485" s="1">
        <v>150</v>
      </c>
      <c r="I1485" s="1">
        <v>100</v>
      </c>
      <c r="J1485" s="1">
        <v>1.268</v>
      </c>
      <c r="K1485" s="1">
        <v>22.465</v>
      </c>
      <c r="L1485" s="1">
        <v>10.14</v>
      </c>
      <c r="M1485" s="1">
        <v>65.3</v>
      </c>
      <c r="N1485" s="1">
        <v>3.5020000000000003E-2</v>
      </c>
      <c r="O1485" s="1">
        <v>2.61E-4</v>
      </c>
      <c r="P148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2.4688291400260003E-2</v>
      </c>
      <c r="Q1485" s="1">
        <f>LN(Table1[[#This Row],[qe_mg_g]]-Table1[[#This Row],[qt]])</f>
        <v>0.21777855228923643</v>
      </c>
      <c r="R1485" s="1">
        <v>2</v>
      </c>
    </row>
    <row r="1486" spans="1:18" x14ac:dyDescent="0.3">
      <c r="A1486" s="1">
        <v>1485</v>
      </c>
      <c r="B1486" s="1" t="s">
        <v>18</v>
      </c>
      <c r="C1486" s="1">
        <v>2</v>
      </c>
      <c r="D1486" s="1">
        <v>60</v>
      </c>
      <c r="E1486" s="1">
        <v>25</v>
      </c>
      <c r="F1486" s="1">
        <v>11</v>
      </c>
      <c r="G1486" s="1">
        <v>25</v>
      </c>
      <c r="H1486" s="1">
        <v>150</v>
      </c>
      <c r="I1486" s="1">
        <v>100</v>
      </c>
      <c r="J1486" s="1">
        <v>1.395</v>
      </c>
      <c r="K1486" s="1">
        <v>22.21</v>
      </c>
      <c r="L1486" s="1">
        <v>11.16</v>
      </c>
      <c r="M1486" s="1">
        <v>76.3</v>
      </c>
      <c r="N1486" s="1">
        <v>3.3730000000000003E-2</v>
      </c>
      <c r="O1486" s="1">
        <v>3.0580000000000001E-4</v>
      </c>
      <c r="P148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3.4814571722070614E-2</v>
      </c>
      <c r="Q1486" s="1">
        <f>LN(Table1[[#This Row],[qe_mg_g]]-Table1[[#This Row],[qt]])</f>
        <v>0.30762103477592523</v>
      </c>
      <c r="R1486" s="1">
        <v>3</v>
      </c>
    </row>
    <row r="1487" spans="1:18" x14ac:dyDescent="0.3">
      <c r="A1487" s="1">
        <v>1486</v>
      </c>
      <c r="B1487" s="1" t="s">
        <v>18</v>
      </c>
      <c r="C1487" s="1">
        <v>2</v>
      </c>
      <c r="D1487" s="1">
        <v>60</v>
      </c>
      <c r="E1487" s="1">
        <v>50</v>
      </c>
      <c r="F1487" s="1">
        <v>3</v>
      </c>
      <c r="G1487" s="1">
        <v>25</v>
      </c>
      <c r="H1487" s="1">
        <v>150</v>
      </c>
      <c r="I1487" s="1">
        <v>100</v>
      </c>
      <c r="J1487" s="1">
        <v>3.0960000000000001</v>
      </c>
      <c r="K1487" s="1">
        <v>43.807000000000002</v>
      </c>
      <c r="L1487" s="1">
        <v>12.39</v>
      </c>
      <c r="M1487" s="1">
        <v>111.6</v>
      </c>
      <c r="N1487" s="1">
        <v>0.03</v>
      </c>
      <c r="O1487" s="1">
        <v>2.1139999999999999E-4</v>
      </c>
      <c r="P148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0.11698492119558297</v>
      </c>
      <c r="Q1487" s="1">
        <f>LN(Table1[[#This Row],[qe_mg_g]]-Table1[[#This Row],[qt]])</f>
        <v>1.0915927354183743</v>
      </c>
      <c r="R1487" s="1">
        <v>1</v>
      </c>
    </row>
    <row r="1488" spans="1:18" x14ac:dyDescent="0.3">
      <c r="A1488" s="1">
        <v>1487</v>
      </c>
      <c r="B1488" s="1" t="s">
        <v>18</v>
      </c>
      <c r="C1488" s="1">
        <v>2</v>
      </c>
      <c r="D1488" s="1">
        <v>60</v>
      </c>
      <c r="E1488" s="1">
        <v>50</v>
      </c>
      <c r="F1488" s="1">
        <v>3</v>
      </c>
      <c r="G1488" s="1">
        <v>25</v>
      </c>
      <c r="H1488" s="1">
        <v>150</v>
      </c>
      <c r="I1488" s="1">
        <v>100</v>
      </c>
      <c r="J1488" s="1">
        <v>3.67</v>
      </c>
      <c r="K1488" s="1">
        <v>42.66</v>
      </c>
      <c r="L1488" s="1">
        <v>14.68</v>
      </c>
      <c r="M1488" s="1">
        <v>112.5</v>
      </c>
      <c r="N1488" s="1">
        <v>2.8199999999999999E-2</v>
      </c>
      <c r="O1488" s="1">
        <v>2.7910000000000001E-4</v>
      </c>
      <c r="P148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0.21249096775225607</v>
      </c>
      <c r="Q1488" s="1">
        <f>LN(Table1[[#This Row],[qe_mg_g]]-Table1[[#This Row],[qt]])</f>
        <v>1.2405483969171367</v>
      </c>
      <c r="R1488" s="1">
        <v>2</v>
      </c>
    </row>
    <row r="1489" spans="1:18" x14ac:dyDescent="0.3">
      <c r="A1489" s="1">
        <v>1488</v>
      </c>
      <c r="B1489" s="1" t="s">
        <v>18</v>
      </c>
      <c r="C1489" s="1">
        <v>2</v>
      </c>
      <c r="D1489" s="1">
        <v>60</v>
      </c>
      <c r="E1489" s="1">
        <v>50</v>
      </c>
      <c r="F1489" s="1">
        <v>3</v>
      </c>
      <c r="G1489" s="1">
        <v>25</v>
      </c>
      <c r="H1489" s="1">
        <v>150</v>
      </c>
      <c r="I1489" s="1">
        <v>100</v>
      </c>
      <c r="J1489" s="1">
        <v>2.9870000000000001</v>
      </c>
      <c r="K1489" s="1">
        <v>44.026000000000003</v>
      </c>
      <c r="L1489" s="1">
        <v>11.95</v>
      </c>
      <c r="M1489" s="1">
        <v>77.599999999999994</v>
      </c>
      <c r="N1489" s="1">
        <v>3.041E-2</v>
      </c>
      <c r="O1489" s="1">
        <v>2.5060000000000002E-4</v>
      </c>
      <c r="P148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0.12838752429088485</v>
      </c>
      <c r="Q1489" s="1">
        <f>LN(Table1[[#This Row],[qe_mg_g]]-Table1[[#This Row],[qt]])</f>
        <v>1.0503363587557657</v>
      </c>
      <c r="R1489" s="1">
        <v>3</v>
      </c>
    </row>
    <row r="1490" spans="1:18" x14ac:dyDescent="0.3">
      <c r="A1490" s="1">
        <v>1489</v>
      </c>
      <c r="B1490" s="1" t="s">
        <v>18</v>
      </c>
      <c r="C1490" s="1">
        <v>2</v>
      </c>
      <c r="D1490" s="1">
        <v>60</v>
      </c>
      <c r="E1490" s="1">
        <v>50</v>
      </c>
      <c r="F1490" s="1">
        <v>7</v>
      </c>
      <c r="G1490" s="1">
        <v>25</v>
      </c>
      <c r="H1490" s="1">
        <v>150</v>
      </c>
      <c r="I1490" s="1">
        <v>100</v>
      </c>
      <c r="J1490" s="1">
        <v>5.4640000000000004</v>
      </c>
      <c r="K1490" s="1">
        <v>39.073</v>
      </c>
      <c r="L1490" s="1">
        <v>21.85</v>
      </c>
      <c r="M1490" s="1">
        <v>112.1</v>
      </c>
      <c r="N1490" s="1">
        <v>3.159E-2</v>
      </c>
      <c r="O1490" s="1">
        <v>2.7149999999999999E-4</v>
      </c>
      <c r="P149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0.44659223967899769</v>
      </c>
      <c r="Q1490" s="1">
        <f>LN(Table1[[#This Row],[qe_mg_g]]-Table1[[#This Row],[qt]])</f>
        <v>1.6129134179261526</v>
      </c>
      <c r="R1490" s="1">
        <v>1</v>
      </c>
    </row>
    <row r="1491" spans="1:18" x14ac:dyDescent="0.3">
      <c r="A1491" s="1">
        <v>1490</v>
      </c>
      <c r="B1491" s="1" t="s">
        <v>18</v>
      </c>
      <c r="C1491" s="1">
        <v>2</v>
      </c>
      <c r="D1491" s="1">
        <v>60</v>
      </c>
      <c r="E1491" s="1">
        <v>50</v>
      </c>
      <c r="F1491" s="1">
        <v>7</v>
      </c>
      <c r="G1491" s="1">
        <v>25</v>
      </c>
      <c r="H1491" s="1">
        <v>150</v>
      </c>
      <c r="I1491" s="1">
        <v>100</v>
      </c>
      <c r="J1491" s="1">
        <v>5.7759999999999998</v>
      </c>
      <c r="K1491" s="1">
        <v>38.448999999999998</v>
      </c>
      <c r="L1491" s="1">
        <v>23.1</v>
      </c>
      <c r="M1491" s="1">
        <v>109</v>
      </c>
      <c r="N1491" s="1">
        <v>2.8660000000000001E-2</v>
      </c>
      <c r="O1491" s="1">
        <v>3.0130000000000001E-4</v>
      </c>
      <c r="P149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0.54609860522731102</v>
      </c>
      <c r="Q1491" s="1">
        <f>LN(Table1[[#This Row],[qe_mg_g]]-Table1[[#This Row],[qt]])</f>
        <v>1.6543924241271446</v>
      </c>
      <c r="R1491" s="1">
        <v>2</v>
      </c>
    </row>
    <row r="1492" spans="1:18" x14ac:dyDescent="0.3">
      <c r="A1492" s="1">
        <v>1491</v>
      </c>
      <c r="B1492" s="1" t="s">
        <v>18</v>
      </c>
      <c r="C1492" s="1">
        <v>2</v>
      </c>
      <c r="D1492" s="1">
        <v>60</v>
      </c>
      <c r="E1492" s="1">
        <v>50</v>
      </c>
      <c r="F1492" s="1">
        <v>7</v>
      </c>
      <c r="G1492" s="1">
        <v>25</v>
      </c>
      <c r="H1492" s="1">
        <v>150</v>
      </c>
      <c r="I1492" s="1">
        <v>100</v>
      </c>
      <c r="J1492" s="1">
        <v>5.4130000000000003</v>
      </c>
      <c r="K1492" s="1">
        <v>39.173999999999999</v>
      </c>
      <c r="L1492" s="1">
        <v>21.65</v>
      </c>
      <c r="M1492" s="1">
        <v>131.6</v>
      </c>
      <c r="N1492" s="1">
        <v>3.0099999999999998E-2</v>
      </c>
      <c r="O1492" s="1">
        <v>2.1560000000000001E-4</v>
      </c>
      <c r="P149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0.35422819286181645</v>
      </c>
      <c r="Q1492" s="1">
        <f>LN(Table1[[#This Row],[qe_mg_g]]-Table1[[#This Row],[qt]])</f>
        <v>1.6211237279746655</v>
      </c>
      <c r="R1492" s="1">
        <v>3</v>
      </c>
    </row>
    <row r="1493" spans="1:18" x14ac:dyDescent="0.3">
      <c r="A1493" s="1">
        <v>1492</v>
      </c>
      <c r="B1493" s="1" t="s">
        <v>18</v>
      </c>
      <c r="C1493" s="1">
        <v>2</v>
      </c>
      <c r="D1493" s="1">
        <v>60</v>
      </c>
      <c r="E1493" s="1">
        <v>50</v>
      </c>
      <c r="F1493" s="1">
        <v>11</v>
      </c>
      <c r="G1493" s="1">
        <v>25</v>
      </c>
      <c r="H1493" s="1">
        <v>150</v>
      </c>
      <c r="I1493" s="1">
        <v>100</v>
      </c>
      <c r="J1493" s="1">
        <v>4.9320000000000004</v>
      </c>
      <c r="K1493" s="1">
        <v>40.136000000000003</v>
      </c>
      <c r="L1493" s="1">
        <v>19.73</v>
      </c>
      <c r="M1493" s="1">
        <v>101.9</v>
      </c>
      <c r="N1493" s="1">
        <v>3.2550000000000003E-2</v>
      </c>
      <c r="O1493" s="1">
        <v>2.8059999999999999E-4</v>
      </c>
      <c r="P149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0.3781311889163872</v>
      </c>
      <c r="Q1493" s="1">
        <f>LN(Table1[[#This Row],[qe_mg_g]]-Table1[[#This Row],[qt]])</f>
        <v>1.5159771598229206</v>
      </c>
      <c r="R1493" s="1">
        <v>1</v>
      </c>
    </row>
    <row r="1494" spans="1:18" x14ac:dyDescent="0.3">
      <c r="A1494" s="1">
        <v>1493</v>
      </c>
      <c r="B1494" s="1" t="s">
        <v>18</v>
      </c>
      <c r="C1494" s="1">
        <v>2</v>
      </c>
      <c r="D1494" s="1">
        <v>60</v>
      </c>
      <c r="E1494" s="1">
        <v>50</v>
      </c>
      <c r="F1494" s="1">
        <v>11</v>
      </c>
      <c r="G1494" s="1">
        <v>25</v>
      </c>
      <c r="H1494" s="1">
        <v>150</v>
      </c>
      <c r="I1494" s="1">
        <v>100</v>
      </c>
      <c r="J1494" s="1">
        <v>4.5250000000000004</v>
      </c>
      <c r="K1494" s="1">
        <v>40.950000000000003</v>
      </c>
      <c r="L1494" s="1">
        <v>18.100000000000001</v>
      </c>
      <c r="M1494" s="1">
        <v>91.1</v>
      </c>
      <c r="N1494" s="1">
        <v>3.2930000000000001E-2</v>
      </c>
      <c r="O1494" s="1">
        <v>2.5000000000000001E-4</v>
      </c>
      <c r="P149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0.28761266534004459</v>
      </c>
      <c r="Q1494" s="1">
        <f>LN(Table1[[#This Row],[qe_mg_g]]-Table1[[#This Row],[qt]])</f>
        <v>1.4439468846622439</v>
      </c>
      <c r="R1494" s="1">
        <v>2</v>
      </c>
    </row>
    <row r="1495" spans="1:18" x14ac:dyDescent="0.3">
      <c r="A1495" s="1">
        <v>1494</v>
      </c>
      <c r="B1495" s="1" t="s">
        <v>18</v>
      </c>
      <c r="C1495" s="1">
        <v>2</v>
      </c>
      <c r="D1495" s="1">
        <v>60</v>
      </c>
      <c r="E1495" s="1">
        <v>50</v>
      </c>
      <c r="F1495" s="1">
        <v>11</v>
      </c>
      <c r="G1495" s="1">
        <v>25</v>
      </c>
      <c r="H1495" s="1">
        <v>150</v>
      </c>
      <c r="I1495" s="1">
        <v>100</v>
      </c>
      <c r="J1495" s="1">
        <v>4.6619999999999999</v>
      </c>
      <c r="K1495" s="1">
        <v>40.674999999999997</v>
      </c>
      <c r="L1495" s="1">
        <v>18.649999999999999</v>
      </c>
      <c r="M1495" s="1">
        <v>67.7</v>
      </c>
      <c r="N1495" s="1">
        <v>3.134E-2</v>
      </c>
      <c r="O1495" s="1">
        <v>2.34E-4</v>
      </c>
      <c r="P149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0.28640246156738675</v>
      </c>
      <c r="Q1495" s="1">
        <f>LN(Table1[[#This Row],[qe_mg_g]]-Table1[[#This Row],[qt]])</f>
        <v>1.4760430906965183</v>
      </c>
      <c r="R1495" s="1">
        <v>3</v>
      </c>
    </row>
    <row r="1496" spans="1:18" x14ac:dyDescent="0.3">
      <c r="A1496" s="1">
        <v>1495</v>
      </c>
      <c r="B1496" s="1" t="s">
        <v>18</v>
      </c>
      <c r="C1496" s="1">
        <v>2</v>
      </c>
      <c r="D1496" s="1">
        <v>60</v>
      </c>
      <c r="E1496" s="1">
        <v>100</v>
      </c>
      <c r="F1496" s="1">
        <v>3</v>
      </c>
      <c r="G1496" s="1">
        <v>25</v>
      </c>
      <c r="H1496" s="1">
        <v>150</v>
      </c>
      <c r="I1496" s="1">
        <v>100</v>
      </c>
      <c r="J1496" s="1">
        <v>12.955</v>
      </c>
      <c r="K1496" s="1">
        <v>74.090999999999994</v>
      </c>
      <c r="L1496" s="1">
        <v>25.91</v>
      </c>
      <c r="M1496" s="1">
        <v>109.3</v>
      </c>
      <c r="N1496" s="1">
        <v>3.0720000000000001E-2</v>
      </c>
      <c r="O1496" s="1">
        <v>2.6219999999999998E-4</v>
      </c>
      <c r="P149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2.1933176102010816</v>
      </c>
      <c r="Q1496" s="1">
        <f>LN(Table1[[#This Row],[qe_mg_g]]-Table1[[#This Row],[qt]])</f>
        <v>2.3759918984405917</v>
      </c>
      <c r="R1496" s="1">
        <v>1</v>
      </c>
    </row>
    <row r="1497" spans="1:18" x14ac:dyDescent="0.3">
      <c r="A1497" s="1">
        <v>1496</v>
      </c>
      <c r="B1497" s="1" t="s">
        <v>18</v>
      </c>
      <c r="C1497" s="1">
        <v>2</v>
      </c>
      <c r="D1497" s="1">
        <v>60</v>
      </c>
      <c r="E1497" s="1">
        <v>100</v>
      </c>
      <c r="F1497" s="1">
        <v>3</v>
      </c>
      <c r="G1497" s="1">
        <v>25</v>
      </c>
      <c r="H1497" s="1">
        <v>150</v>
      </c>
      <c r="I1497" s="1">
        <v>100</v>
      </c>
      <c r="J1497" s="1">
        <v>10.263</v>
      </c>
      <c r="K1497" s="1">
        <v>79.472999999999999</v>
      </c>
      <c r="L1497" s="1">
        <v>20.53</v>
      </c>
      <c r="M1497" s="1">
        <v>124.3</v>
      </c>
      <c r="N1497" s="1">
        <v>3.5970000000000002E-2</v>
      </c>
      <c r="O1497" s="1">
        <v>2.5980000000000003E-4</v>
      </c>
      <c r="P149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1.4154309473141065</v>
      </c>
      <c r="Q1497" s="1">
        <f>LN(Table1[[#This Row],[qe_mg_g]]-Table1[[#This Row],[qt]])</f>
        <v>2.1801427379751388</v>
      </c>
      <c r="R1497" s="1">
        <v>2</v>
      </c>
    </row>
    <row r="1498" spans="1:18" x14ac:dyDescent="0.3">
      <c r="A1498" s="1">
        <v>1497</v>
      </c>
      <c r="B1498" s="1" t="s">
        <v>18</v>
      </c>
      <c r="C1498" s="1">
        <v>2</v>
      </c>
      <c r="D1498" s="1">
        <v>60</v>
      </c>
      <c r="E1498" s="1">
        <v>100</v>
      </c>
      <c r="F1498" s="1">
        <v>3</v>
      </c>
      <c r="G1498" s="1">
        <v>25</v>
      </c>
      <c r="H1498" s="1">
        <v>150</v>
      </c>
      <c r="I1498" s="1">
        <v>100</v>
      </c>
      <c r="J1498" s="1">
        <v>12.891</v>
      </c>
      <c r="K1498" s="1">
        <v>74.218000000000004</v>
      </c>
      <c r="L1498" s="1">
        <v>25.78</v>
      </c>
      <c r="M1498" s="1">
        <v>91.5</v>
      </c>
      <c r="N1498" s="1">
        <v>2.7609999999999999E-2</v>
      </c>
      <c r="O1498" s="1">
        <v>2.5099999999999998E-4</v>
      </c>
      <c r="P149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2.0957694368708299</v>
      </c>
      <c r="Q1498" s="1">
        <f>LN(Table1[[#This Row],[qe_mg_g]]-Table1[[#This Row],[qt]])</f>
        <v>2.3791044220646849</v>
      </c>
      <c r="R1498" s="1">
        <v>3</v>
      </c>
    </row>
    <row r="1499" spans="1:18" x14ac:dyDescent="0.3">
      <c r="A1499" s="1">
        <v>1498</v>
      </c>
      <c r="B1499" s="1" t="s">
        <v>18</v>
      </c>
      <c r="C1499" s="1">
        <v>2</v>
      </c>
      <c r="D1499" s="1">
        <v>60</v>
      </c>
      <c r="E1499" s="1">
        <v>100</v>
      </c>
      <c r="F1499" s="1">
        <v>7</v>
      </c>
      <c r="G1499" s="1">
        <v>25</v>
      </c>
      <c r="H1499" s="1">
        <v>150</v>
      </c>
      <c r="I1499" s="1">
        <v>100</v>
      </c>
      <c r="J1499" s="1">
        <v>18.702999999999999</v>
      </c>
      <c r="K1499" s="1">
        <v>62.594000000000001</v>
      </c>
      <c r="L1499" s="1">
        <v>37.409999999999997</v>
      </c>
      <c r="M1499" s="1">
        <v>94.1</v>
      </c>
      <c r="N1499" s="1">
        <v>3.1609999999999999E-2</v>
      </c>
      <c r="O1499" s="1">
        <v>2.5769999999999998E-4</v>
      </c>
      <c r="P1499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4.19539356878854</v>
      </c>
      <c r="Q1499" s="1">
        <f>LN(Table1[[#This Row],[qe_mg_g]]-Table1[[#This Row],[qt]])</f>
        <v>2.6746730933446328</v>
      </c>
      <c r="R1499" s="1">
        <v>1</v>
      </c>
    </row>
    <row r="1500" spans="1:18" x14ac:dyDescent="0.3">
      <c r="A1500" s="1">
        <v>1499</v>
      </c>
      <c r="B1500" s="1" t="s">
        <v>18</v>
      </c>
      <c r="C1500" s="1">
        <v>2</v>
      </c>
      <c r="D1500" s="1">
        <v>60</v>
      </c>
      <c r="E1500" s="1">
        <v>100</v>
      </c>
      <c r="F1500" s="1">
        <v>7</v>
      </c>
      <c r="G1500" s="1">
        <v>25</v>
      </c>
      <c r="H1500" s="1">
        <v>150</v>
      </c>
      <c r="I1500" s="1">
        <v>100</v>
      </c>
      <c r="J1500" s="1">
        <v>16.382000000000001</v>
      </c>
      <c r="K1500" s="1">
        <v>67.236999999999995</v>
      </c>
      <c r="L1500" s="1">
        <v>32.76</v>
      </c>
      <c r="M1500" s="1">
        <v>107.8</v>
      </c>
      <c r="N1500" s="1">
        <v>3.2590000000000001E-2</v>
      </c>
      <c r="O1500" s="1">
        <v>2.543E-4</v>
      </c>
      <c r="P150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3.2759444964197622</v>
      </c>
      <c r="Q1500" s="1">
        <f>LN(Table1[[#This Row],[qe_mg_g]]-Table1[[#This Row],[qt]])</f>
        <v>2.5730743755831766</v>
      </c>
      <c r="R1500" s="1">
        <v>2</v>
      </c>
    </row>
    <row r="1501" spans="1:18" x14ac:dyDescent="0.3">
      <c r="A1501" s="1">
        <v>1500</v>
      </c>
      <c r="B1501" s="1" t="s">
        <v>18</v>
      </c>
      <c r="C1501" s="1">
        <v>2</v>
      </c>
      <c r="D1501" s="1">
        <v>60</v>
      </c>
      <c r="E1501" s="1">
        <v>100</v>
      </c>
      <c r="F1501" s="1">
        <v>7</v>
      </c>
      <c r="G1501" s="1">
        <v>25</v>
      </c>
      <c r="H1501" s="1">
        <v>150</v>
      </c>
      <c r="I1501" s="1">
        <v>100</v>
      </c>
      <c r="J1501" s="1">
        <v>19.866</v>
      </c>
      <c r="K1501" s="1">
        <v>60.268000000000001</v>
      </c>
      <c r="L1501" s="1">
        <v>39.729999999999997</v>
      </c>
      <c r="M1501" s="1">
        <v>81.7</v>
      </c>
      <c r="N1501" s="1">
        <v>3.1399999999999997E-2</v>
      </c>
      <c r="O1501" s="1">
        <v>2.207E-4</v>
      </c>
      <c r="P1501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4.1376004296252011</v>
      </c>
      <c r="Q1501" s="1">
        <f>LN(Table1[[#This Row],[qe_mg_g]]-Table1[[#This Row],[qt]])</f>
        <v>2.7554679681161112</v>
      </c>
      <c r="R1501" s="1">
        <v>3</v>
      </c>
    </row>
    <row r="1502" spans="1:18" x14ac:dyDescent="0.3">
      <c r="A1502" s="1">
        <v>1501</v>
      </c>
      <c r="B1502" s="1" t="s">
        <v>18</v>
      </c>
      <c r="C1502" s="1">
        <v>2</v>
      </c>
      <c r="D1502" s="1">
        <v>60</v>
      </c>
      <c r="E1502" s="1">
        <v>100</v>
      </c>
      <c r="F1502" s="1">
        <v>11</v>
      </c>
      <c r="G1502" s="1">
        <v>25</v>
      </c>
      <c r="H1502" s="1">
        <v>150</v>
      </c>
      <c r="I1502" s="1">
        <v>100</v>
      </c>
      <c r="J1502" s="1">
        <v>12.464</v>
      </c>
      <c r="K1502" s="1">
        <v>75.070999999999998</v>
      </c>
      <c r="L1502" s="1">
        <v>24.93</v>
      </c>
      <c r="M1502" s="1">
        <v>90.5</v>
      </c>
      <c r="N1502" s="1">
        <v>2.717E-2</v>
      </c>
      <c r="O1502" s="1">
        <v>2.363E-4</v>
      </c>
      <c r="P150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1.8717968568269445</v>
      </c>
      <c r="Q1502" s="1">
        <f>LN(Table1[[#This Row],[qe_mg_g]]-Table1[[#This Row],[qt]])</f>
        <v>2.3601181779356879</v>
      </c>
      <c r="R1502" s="1">
        <v>1</v>
      </c>
    </row>
    <row r="1503" spans="1:18" x14ac:dyDescent="0.3">
      <c r="A1503" s="1">
        <v>1502</v>
      </c>
      <c r="B1503" s="1" t="s">
        <v>18</v>
      </c>
      <c r="C1503" s="1">
        <v>2</v>
      </c>
      <c r="D1503" s="1">
        <v>60</v>
      </c>
      <c r="E1503" s="1">
        <v>100</v>
      </c>
      <c r="F1503" s="1">
        <v>11</v>
      </c>
      <c r="G1503" s="1">
        <v>25</v>
      </c>
      <c r="H1503" s="1">
        <v>150</v>
      </c>
      <c r="I1503" s="1">
        <v>100</v>
      </c>
      <c r="J1503" s="1">
        <v>13.587</v>
      </c>
      <c r="K1503" s="1">
        <v>72.826999999999998</v>
      </c>
      <c r="L1503" s="1">
        <v>27.17</v>
      </c>
      <c r="M1503" s="1">
        <v>112.6</v>
      </c>
      <c r="N1503" s="1">
        <v>2.904E-2</v>
      </c>
      <c r="O1503" s="1">
        <v>2.1039999999999999E-4</v>
      </c>
      <c r="P150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1.9892693044999923</v>
      </c>
      <c r="Q1503" s="1">
        <f>LN(Table1[[#This Row],[qe_mg_g]]-Table1[[#This Row],[qt]])</f>
        <v>2.4508094492760581</v>
      </c>
      <c r="R1503" s="1">
        <v>2</v>
      </c>
    </row>
    <row r="1504" spans="1:18" x14ac:dyDescent="0.3">
      <c r="A1504" s="1">
        <v>1503</v>
      </c>
      <c r="B1504" s="1" t="s">
        <v>18</v>
      </c>
      <c r="C1504" s="1">
        <v>2</v>
      </c>
      <c r="D1504" s="1">
        <v>60</v>
      </c>
      <c r="E1504" s="1">
        <v>100</v>
      </c>
      <c r="F1504" s="1">
        <v>11</v>
      </c>
      <c r="G1504" s="1">
        <v>25</v>
      </c>
      <c r="H1504" s="1">
        <v>150</v>
      </c>
      <c r="I1504" s="1">
        <v>100</v>
      </c>
      <c r="J1504" s="1">
        <v>15.275</v>
      </c>
      <c r="K1504" s="1">
        <v>69.45</v>
      </c>
      <c r="L1504" s="1">
        <v>30.55</v>
      </c>
      <c r="M1504" s="1">
        <v>87.4</v>
      </c>
      <c r="N1504" s="1">
        <v>2.9819999999999999E-2</v>
      </c>
      <c r="O1504" s="1">
        <v>2.6120000000000001E-4</v>
      </c>
      <c r="P150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2.9503867104602608</v>
      </c>
      <c r="Q1504" s="1">
        <f>LN(Table1[[#This Row],[qe_mg_g]]-Table1[[#This Row],[qt]])</f>
        <v>2.5115983433342612</v>
      </c>
      <c r="R1504" s="1">
        <v>3</v>
      </c>
    </row>
    <row r="1505" spans="1:18" x14ac:dyDescent="0.3">
      <c r="A1505" s="1">
        <v>1504</v>
      </c>
      <c r="B1505" s="1" t="s">
        <v>18</v>
      </c>
      <c r="C1505" s="1">
        <v>2</v>
      </c>
      <c r="D1505" s="1">
        <v>60</v>
      </c>
      <c r="E1505" s="1">
        <v>200</v>
      </c>
      <c r="F1505" s="1">
        <v>3</v>
      </c>
      <c r="G1505" s="1">
        <v>25</v>
      </c>
      <c r="H1505" s="1">
        <v>150</v>
      </c>
      <c r="I1505" s="1">
        <v>100</v>
      </c>
      <c r="J1505" s="1">
        <v>30.234999999999999</v>
      </c>
      <c r="K1505" s="1">
        <v>139.53</v>
      </c>
      <c r="L1505" s="1">
        <v>30.23</v>
      </c>
      <c r="M1505" s="1">
        <v>116.4</v>
      </c>
      <c r="N1505" s="1">
        <v>3.1440000000000003E-2</v>
      </c>
      <c r="O1505" s="1">
        <v>2.285E-4</v>
      </c>
      <c r="P1505" s="1">
        <f>(Table1[[#This Row],[Rate_Constant_k2_g_mg_min]]*Table1[[#This Row],[Contact_Time_min]]*Table1[[#This Row],[qe_mg_g]]^2)/(1+Table1[[#This Row],[Contact_Time_min]]*Table1[[#This Row],[qe_mg_g]]*Table1[[#This Row],[Rate_Constant_k2_g_mg_min]])</f>
        <v>8.8602859932845863</v>
      </c>
      <c r="Q1505" s="1">
        <f>LN(Table1[[#This Row],[qe_mg_g]]-Table1[[#This Row],[qt]])</f>
        <v>3.062208634930526</v>
      </c>
      <c r="R1505" s="1">
        <v>1</v>
      </c>
    </row>
    <row r="1506" spans="1:18" x14ac:dyDescent="0.3">
      <c r="A1506" s="1">
        <v>1505</v>
      </c>
      <c r="B1506" s="1" t="s">
        <v>18</v>
      </c>
      <c r="C1506" s="1">
        <v>2</v>
      </c>
      <c r="D1506" s="1">
        <v>60</v>
      </c>
      <c r="E1506" s="1">
        <v>200</v>
      </c>
      <c r="F1506" s="1">
        <v>3</v>
      </c>
      <c r="G1506" s="1">
        <v>25</v>
      </c>
      <c r="H1506" s="1">
        <v>150</v>
      </c>
      <c r="I1506" s="1">
        <v>100</v>
      </c>
      <c r="J1506" s="1">
        <v>35.524999999999999</v>
      </c>
      <c r="K1506" s="1">
        <v>128.95099999999999</v>
      </c>
      <c r="L1506" s="1">
        <v>35.520000000000003</v>
      </c>
      <c r="M1506" s="1">
        <v>102.9</v>
      </c>
      <c r="N1506" s="1">
        <v>2.9559999999999999E-2</v>
      </c>
      <c r="O1506" s="1">
        <v>2.7409999999999999E-4</v>
      </c>
      <c r="P1506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13.101057326769991</v>
      </c>
      <c r="Q1506" s="1">
        <f>LN(Table1[[#This Row],[qe_mg_g]]-Table1[[#This Row],[qt]])</f>
        <v>3.1101292573675146</v>
      </c>
      <c r="R1506" s="1">
        <v>2</v>
      </c>
    </row>
    <row r="1507" spans="1:18" x14ac:dyDescent="0.3">
      <c r="A1507" s="1">
        <v>1506</v>
      </c>
      <c r="B1507" s="1" t="s">
        <v>18</v>
      </c>
      <c r="C1507" s="1">
        <v>2</v>
      </c>
      <c r="D1507" s="1">
        <v>60</v>
      </c>
      <c r="E1507" s="1">
        <v>200</v>
      </c>
      <c r="F1507" s="1">
        <v>3</v>
      </c>
      <c r="G1507" s="1">
        <v>25</v>
      </c>
      <c r="H1507" s="1">
        <v>150</v>
      </c>
      <c r="I1507" s="1">
        <v>100</v>
      </c>
      <c r="J1507" s="1">
        <v>30.367999999999999</v>
      </c>
      <c r="K1507" s="1">
        <v>139.26400000000001</v>
      </c>
      <c r="L1507" s="1">
        <v>30.37</v>
      </c>
      <c r="M1507" s="1">
        <v>106</v>
      </c>
      <c r="N1507" s="1">
        <v>3.7479999999999999E-2</v>
      </c>
      <c r="O1507" s="1">
        <v>2.431E-4</v>
      </c>
      <c r="P1507" s="1">
        <f>(Table1[[#This Row],[Rate_Constant_k2_g_mg_min]]*Table1[[#This Row],[Contact_Time_min]]*Table1[[#This Row],[qe_mg_g]]^2)/(1+Table1[[#This Row],[Contact_Time_min]]*Table1[[#This Row],[qe_mg_g]]*Table1[[#This Row],[Rate_Constant_k2_g_mg_min]])</f>
        <v>9.3221914136028285</v>
      </c>
      <c r="Q1507" s="1">
        <f>LN(Table1[[#This Row],[qe_mg_g]]-Table1[[#This Row],[qt]])</f>
        <v>3.0467014232661978</v>
      </c>
      <c r="R1507" s="1">
        <v>3</v>
      </c>
    </row>
    <row r="1508" spans="1:18" x14ac:dyDescent="0.3">
      <c r="A1508" s="1">
        <v>1507</v>
      </c>
      <c r="B1508" s="1" t="s">
        <v>18</v>
      </c>
      <c r="C1508" s="1">
        <v>2</v>
      </c>
      <c r="D1508" s="1">
        <v>60</v>
      </c>
      <c r="E1508" s="1">
        <v>200</v>
      </c>
      <c r="F1508" s="1">
        <v>7</v>
      </c>
      <c r="G1508" s="1">
        <v>25</v>
      </c>
      <c r="H1508" s="1">
        <v>150</v>
      </c>
      <c r="I1508" s="1">
        <v>100</v>
      </c>
      <c r="J1508" s="1">
        <v>44.11</v>
      </c>
      <c r="K1508" s="1">
        <v>111.78100000000001</v>
      </c>
      <c r="L1508" s="1">
        <v>44.11</v>
      </c>
      <c r="M1508" s="1">
        <v>101.7</v>
      </c>
      <c r="N1508" s="1">
        <v>3.3210000000000003E-2</v>
      </c>
      <c r="O1508" s="1">
        <v>2.1230000000000001E-4</v>
      </c>
      <c r="P1508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15.868270412198255</v>
      </c>
      <c r="Q1508" s="1">
        <f>LN(Table1[[#This Row],[qe_mg_g]]-Table1[[#This Row],[qt]])</f>
        <v>3.3408006567765538</v>
      </c>
      <c r="R1508" s="1">
        <v>1</v>
      </c>
    </row>
    <row r="1509" spans="1:18" x14ac:dyDescent="0.3">
      <c r="A1509" s="1">
        <v>1508</v>
      </c>
      <c r="B1509" s="1" t="s">
        <v>18</v>
      </c>
      <c r="C1509" s="1">
        <v>2</v>
      </c>
      <c r="D1509" s="1">
        <v>60</v>
      </c>
      <c r="E1509" s="1">
        <v>200</v>
      </c>
      <c r="F1509" s="1">
        <v>7</v>
      </c>
      <c r="G1509" s="1">
        <v>25</v>
      </c>
      <c r="H1509" s="1">
        <v>150</v>
      </c>
      <c r="I1509" s="1">
        <v>100</v>
      </c>
      <c r="J1509" s="1">
        <v>37.375999999999998</v>
      </c>
      <c r="K1509" s="1">
        <v>125.249</v>
      </c>
      <c r="L1509" s="1">
        <v>37.380000000000003</v>
      </c>
      <c r="M1509" s="1">
        <v>91.2</v>
      </c>
      <c r="N1509" s="1">
        <v>2.5100000000000001E-2</v>
      </c>
      <c r="O1509" s="1">
        <v>2.3939999999999999E-4</v>
      </c>
      <c r="P1509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13.056423440473838</v>
      </c>
      <c r="Q1509" s="1">
        <f>LN(Table1[[#This Row],[qe_mg_g]]-Table1[[#This Row],[qt]])</f>
        <v>3.1912816457426953</v>
      </c>
      <c r="R1509" s="1">
        <v>2</v>
      </c>
    </row>
    <row r="1510" spans="1:18" x14ac:dyDescent="0.3">
      <c r="A1510" s="1">
        <v>1509</v>
      </c>
      <c r="B1510" s="1" t="s">
        <v>18</v>
      </c>
      <c r="C1510" s="1">
        <v>2</v>
      </c>
      <c r="D1510" s="1">
        <v>60</v>
      </c>
      <c r="E1510" s="1">
        <v>200</v>
      </c>
      <c r="F1510" s="1">
        <v>7</v>
      </c>
      <c r="G1510" s="1">
        <v>25</v>
      </c>
      <c r="H1510" s="1">
        <v>150</v>
      </c>
      <c r="I1510" s="1">
        <v>100</v>
      </c>
      <c r="J1510" s="1">
        <v>47.462000000000003</v>
      </c>
      <c r="K1510" s="1">
        <v>105.07599999999999</v>
      </c>
      <c r="L1510" s="1">
        <v>47.46</v>
      </c>
      <c r="M1510" s="1">
        <v>86.6</v>
      </c>
      <c r="N1510" s="1">
        <v>2.572E-2</v>
      </c>
      <c r="O1510" s="1">
        <v>2.5169999999999999E-4</v>
      </c>
      <c r="P1510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19.815915244441168</v>
      </c>
      <c r="Q1510" s="1">
        <f>LN(Table1[[#This Row],[qe_mg_g]]-Table1[[#This Row],[qt]])</f>
        <v>3.3194841177814736</v>
      </c>
      <c r="R1510" s="1">
        <v>3</v>
      </c>
    </row>
    <row r="1511" spans="1:18" x14ac:dyDescent="0.3">
      <c r="A1511" s="1">
        <v>1510</v>
      </c>
      <c r="B1511" s="1" t="s">
        <v>18</v>
      </c>
      <c r="C1511" s="1">
        <v>2</v>
      </c>
      <c r="D1511" s="1">
        <v>60</v>
      </c>
      <c r="E1511" s="1">
        <v>200</v>
      </c>
      <c r="F1511" s="1">
        <v>11</v>
      </c>
      <c r="G1511" s="1">
        <v>25</v>
      </c>
      <c r="H1511" s="1">
        <v>150</v>
      </c>
      <c r="I1511" s="1">
        <v>100</v>
      </c>
      <c r="J1511" s="1">
        <v>38.597000000000001</v>
      </c>
      <c r="K1511" s="1">
        <v>122.806</v>
      </c>
      <c r="L1511" s="1">
        <v>38.6</v>
      </c>
      <c r="M1511" s="1">
        <v>74.599999999999994</v>
      </c>
      <c r="N1511" s="1">
        <v>3.2460000000000003E-2</v>
      </c>
      <c r="O1511" s="1">
        <v>2.7040000000000001E-4</v>
      </c>
      <c r="P1511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14.862493835445822</v>
      </c>
      <c r="Q1511" s="1">
        <f>LN(Table1[[#This Row],[qe_mg_g]]-Table1[[#This Row],[qt]])</f>
        <v>3.1669299455746605</v>
      </c>
      <c r="R1511" s="1">
        <v>1</v>
      </c>
    </row>
    <row r="1512" spans="1:18" x14ac:dyDescent="0.3">
      <c r="A1512" s="1">
        <v>1511</v>
      </c>
      <c r="B1512" s="1" t="s">
        <v>18</v>
      </c>
      <c r="C1512" s="1">
        <v>2</v>
      </c>
      <c r="D1512" s="1">
        <v>60</v>
      </c>
      <c r="E1512" s="1">
        <v>200</v>
      </c>
      <c r="F1512" s="1">
        <v>11</v>
      </c>
      <c r="G1512" s="1">
        <v>25</v>
      </c>
      <c r="H1512" s="1">
        <v>150</v>
      </c>
      <c r="I1512" s="1">
        <v>100</v>
      </c>
      <c r="J1512" s="1">
        <v>38.892000000000003</v>
      </c>
      <c r="K1512" s="1">
        <v>122.21599999999999</v>
      </c>
      <c r="L1512" s="1">
        <v>38.89</v>
      </c>
      <c r="M1512" s="1">
        <v>118.3</v>
      </c>
      <c r="N1512" s="1">
        <v>3.6609999999999997E-2</v>
      </c>
      <c r="O1512" s="1">
        <v>2.4110000000000001E-4</v>
      </c>
      <c r="P1512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14.00289882605203</v>
      </c>
      <c r="Q1512" s="1">
        <f>LN(Table1[[#This Row],[qe_mg_g]]-Table1[[#This Row],[qt]])</f>
        <v>3.2144300037928555</v>
      </c>
      <c r="R1512" s="1">
        <v>2</v>
      </c>
    </row>
    <row r="1513" spans="1:18" x14ac:dyDescent="0.3">
      <c r="A1513" s="1">
        <v>1512</v>
      </c>
      <c r="B1513" s="1" t="s">
        <v>18</v>
      </c>
      <c r="C1513" s="1">
        <v>2</v>
      </c>
      <c r="D1513" s="1">
        <v>60</v>
      </c>
      <c r="E1513" s="1">
        <v>200</v>
      </c>
      <c r="F1513" s="1">
        <v>11</v>
      </c>
      <c r="G1513" s="1">
        <v>25</v>
      </c>
      <c r="H1513" s="1">
        <v>150</v>
      </c>
      <c r="I1513" s="1">
        <v>100</v>
      </c>
      <c r="J1513" s="1">
        <v>36.17</v>
      </c>
      <c r="K1513" s="1">
        <v>127.66</v>
      </c>
      <c r="L1513" s="1">
        <v>36.17</v>
      </c>
      <c r="M1513" s="1">
        <v>93.8</v>
      </c>
      <c r="N1513" s="1">
        <v>3.0009999999999998E-2</v>
      </c>
      <c r="O1513" s="1">
        <v>2.8830000000000001E-4</v>
      </c>
      <c r="P1513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13.920693674564657</v>
      </c>
      <c r="Q1513" s="1">
        <f>LN(Table1[[#This Row],[qe_mg_g]]-Table1[[#This Row],[qt]])</f>
        <v>3.1023108317413275</v>
      </c>
      <c r="R1513" s="1">
        <v>3</v>
      </c>
    </row>
    <row r="1514" spans="1:18" x14ac:dyDescent="0.3">
      <c r="A1514" s="1">
        <v>1513</v>
      </c>
      <c r="B1514" s="1" t="s">
        <v>18</v>
      </c>
      <c r="C1514" s="1">
        <v>2</v>
      </c>
      <c r="D1514" s="1">
        <v>120</v>
      </c>
      <c r="E1514" s="1">
        <v>25</v>
      </c>
      <c r="F1514" s="1">
        <v>3</v>
      </c>
      <c r="G1514" s="1">
        <v>25</v>
      </c>
      <c r="H1514" s="1">
        <v>150</v>
      </c>
      <c r="I1514" s="1">
        <v>100</v>
      </c>
      <c r="J1514" s="1">
        <v>1.5629999999999999</v>
      </c>
      <c r="K1514" s="1">
        <v>21.875</v>
      </c>
      <c r="L1514" s="1">
        <v>12.5</v>
      </c>
      <c r="M1514" s="1">
        <v>87.1</v>
      </c>
      <c r="N1514" s="1">
        <v>3.4130000000000001E-2</v>
      </c>
      <c r="O1514" s="1">
        <v>2.7549999999999997E-4</v>
      </c>
      <c r="P1514" s="1">
        <f>(Table1[[#This Row],[Rate_Constant_k2_g_mg_min]]*Table1[[#This Row],[Contact_Time_min]]*Table1[[#This Row],[qe_mg_g]]^2)/(1+Table1[[#This Row],[Contact_Time_min]]*Table1[[#This Row],[qe_mg_g]]*Table1[[#This Row],[Rate_Constant_k2_g_mg_min]])</f>
        <v>7.6796277963949944E-2</v>
      </c>
      <c r="Q1514" s="1">
        <f>LN(Table1[[#This Row],[qe_mg_g]]-Table1[[#This Row],[qt]])</f>
        <v>0.3962250311359225</v>
      </c>
      <c r="R1514" s="1">
        <v>1</v>
      </c>
    </row>
    <row r="1515" spans="1:18" x14ac:dyDescent="0.3">
      <c r="A1515" s="1">
        <v>1514</v>
      </c>
      <c r="B1515" s="1" t="s">
        <v>18</v>
      </c>
      <c r="C1515" s="1">
        <v>2</v>
      </c>
      <c r="D1515" s="1">
        <v>120</v>
      </c>
      <c r="E1515" s="1">
        <v>25</v>
      </c>
      <c r="F1515" s="1">
        <v>3</v>
      </c>
      <c r="G1515" s="1">
        <v>25</v>
      </c>
      <c r="H1515" s="1">
        <v>150</v>
      </c>
      <c r="I1515" s="1">
        <v>100</v>
      </c>
      <c r="J1515" s="1">
        <v>1.72</v>
      </c>
      <c r="K1515" s="1">
        <v>21.561</v>
      </c>
      <c r="L1515" s="1">
        <v>13.76</v>
      </c>
      <c r="M1515" s="1">
        <v>112.8</v>
      </c>
      <c r="N1515" s="1">
        <v>3.1019999999999999E-2</v>
      </c>
      <c r="O1515" s="1">
        <v>2.875E-4</v>
      </c>
      <c r="P1515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9.6347537145770004E-2</v>
      </c>
      <c r="Q1515" s="1">
        <f>LN(Table1[[#This Row],[qe_mg_g]]-Table1[[#This Row],[qt]])</f>
        <v>0.48467821813254447</v>
      </c>
      <c r="R1515" s="1">
        <v>2</v>
      </c>
    </row>
    <row r="1516" spans="1:18" x14ac:dyDescent="0.3">
      <c r="A1516" s="1">
        <v>1515</v>
      </c>
      <c r="B1516" s="1" t="s">
        <v>18</v>
      </c>
      <c r="C1516" s="1">
        <v>2</v>
      </c>
      <c r="D1516" s="1">
        <v>120</v>
      </c>
      <c r="E1516" s="1">
        <v>25</v>
      </c>
      <c r="F1516" s="1">
        <v>3</v>
      </c>
      <c r="G1516" s="1">
        <v>25</v>
      </c>
      <c r="H1516" s="1">
        <v>150</v>
      </c>
      <c r="I1516" s="1">
        <v>100</v>
      </c>
      <c r="J1516" s="1">
        <v>1.79</v>
      </c>
      <c r="K1516" s="1">
        <v>21.420999999999999</v>
      </c>
      <c r="L1516" s="1">
        <v>14.32</v>
      </c>
      <c r="M1516" s="1">
        <v>115.4</v>
      </c>
      <c r="N1516" s="1">
        <v>3.7929999999999998E-2</v>
      </c>
      <c r="O1516" s="1">
        <v>2.6499999999999999E-4</v>
      </c>
      <c r="P151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9.6402932288286183E-2</v>
      </c>
      <c r="Q1516" s="1">
        <f>LN(Table1[[#This Row],[qe_mg_g]]-Table1[[#This Row],[qt]])</f>
        <v>0.52685470944336921</v>
      </c>
      <c r="R1516" s="1">
        <v>3</v>
      </c>
    </row>
    <row r="1517" spans="1:18" x14ac:dyDescent="0.3">
      <c r="A1517" s="1">
        <v>1516</v>
      </c>
      <c r="B1517" s="1" t="s">
        <v>18</v>
      </c>
      <c r="C1517" s="1">
        <v>2</v>
      </c>
      <c r="D1517" s="1">
        <v>120</v>
      </c>
      <c r="E1517" s="1">
        <v>25</v>
      </c>
      <c r="F1517" s="1">
        <v>7</v>
      </c>
      <c r="G1517" s="1">
        <v>25</v>
      </c>
      <c r="H1517" s="1">
        <v>150</v>
      </c>
      <c r="I1517" s="1">
        <v>100</v>
      </c>
      <c r="J1517" s="1">
        <v>2.9670000000000001</v>
      </c>
      <c r="K1517" s="1">
        <v>19.065999999999999</v>
      </c>
      <c r="L1517" s="1">
        <v>23.73</v>
      </c>
      <c r="M1517" s="1">
        <v>110.8</v>
      </c>
      <c r="N1517" s="1">
        <v>2.8899999999999999E-2</v>
      </c>
      <c r="O1517" s="1">
        <v>3.0969999999999999E-4</v>
      </c>
      <c r="P151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0.29466643218703448</v>
      </c>
      <c r="Q1517" s="1">
        <f>LN(Table1[[#This Row],[qe_mg_g]]-Table1[[#This Row],[qt]])</f>
        <v>0.9829520861361084</v>
      </c>
      <c r="R1517" s="1">
        <v>1</v>
      </c>
    </row>
    <row r="1518" spans="1:18" x14ac:dyDescent="0.3">
      <c r="A1518" s="1">
        <v>1517</v>
      </c>
      <c r="B1518" s="1" t="s">
        <v>18</v>
      </c>
      <c r="C1518" s="1">
        <v>2</v>
      </c>
      <c r="D1518" s="1">
        <v>120</v>
      </c>
      <c r="E1518" s="1">
        <v>25</v>
      </c>
      <c r="F1518" s="1">
        <v>7</v>
      </c>
      <c r="G1518" s="1">
        <v>25</v>
      </c>
      <c r="H1518" s="1">
        <v>150</v>
      </c>
      <c r="I1518" s="1">
        <v>100</v>
      </c>
      <c r="J1518" s="1">
        <v>3.0019999999999998</v>
      </c>
      <c r="K1518" s="1">
        <v>18.997</v>
      </c>
      <c r="L1518" s="1">
        <v>24.01</v>
      </c>
      <c r="M1518" s="1">
        <v>95.9</v>
      </c>
      <c r="N1518" s="1">
        <v>2.7490000000000001E-2</v>
      </c>
      <c r="O1518" s="1">
        <v>2.7740000000000002E-4</v>
      </c>
      <c r="P151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0.27273683966759737</v>
      </c>
      <c r="Q1518" s="1">
        <f>LN(Table1[[#This Row],[qe_mg_g]]-Table1[[#This Row],[qt]])</f>
        <v>1.00403166812591</v>
      </c>
      <c r="R1518" s="1">
        <v>2</v>
      </c>
    </row>
    <row r="1519" spans="1:18" x14ac:dyDescent="0.3">
      <c r="A1519" s="1">
        <v>1518</v>
      </c>
      <c r="B1519" s="1" t="s">
        <v>18</v>
      </c>
      <c r="C1519" s="1">
        <v>2</v>
      </c>
      <c r="D1519" s="1">
        <v>120</v>
      </c>
      <c r="E1519" s="1">
        <v>25</v>
      </c>
      <c r="F1519" s="1">
        <v>7</v>
      </c>
      <c r="G1519" s="1">
        <v>25</v>
      </c>
      <c r="H1519" s="1">
        <v>150</v>
      </c>
      <c r="I1519" s="1">
        <v>100</v>
      </c>
      <c r="J1519" s="1">
        <v>3.1840000000000002</v>
      </c>
      <c r="K1519" s="1">
        <v>18.631</v>
      </c>
      <c r="L1519" s="1">
        <v>25.47</v>
      </c>
      <c r="M1519" s="1">
        <v>92.5</v>
      </c>
      <c r="N1519" s="1">
        <v>3.1730000000000001E-2</v>
      </c>
      <c r="O1519" s="1">
        <v>2.1230000000000001E-4</v>
      </c>
      <c r="P151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0.238893993647214</v>
      </c>
      <c r="Q1519" s="1">
        <f>LN(Table1[[#This Row],[qe_mg_g]]-Table1[[#This Row],[qt]])</f>
        <v>1.0801448118217041</v>
      </c>
      <c r="R1519" s="1">
        <v>3</v>
      </c>
    </row>
    <row r="1520" spans="1:18" x14ac:dyDescent="0.3">
      <c r="A1520" s="1">
        <v>1519</v>
      </c>
      <c r="B1520" s="1" t="s">
        <v>18</v>
      </c>
      <c r="C1520" s="1">
        <v>2</v>
      </c>
      <c r="D1520" s="1">
        <v>120</v>
      </c>
      <c r="E1520" s="1">
        <v>25</v>
      </c>
      <c r="F1520" s="1">
        <v>11</v>
      </c>
      <c r="G1520" s="1">
        <v>25</v>
      </c>
      <c r="H1520" s="1">
        <v>150</v>
      </c>
      <c r="I1520" s="1">
        <v>100</v>
      </c>
      <c r="J1520" s="1">
        <v>2.258</v>
      </c>
      <c r="K1520" s="1">
        <v>20.483000000000001</v>
      </c>
      <c r="L1520" s="1">
        <v>18.07</v>
      </c>
      <c r="M1520" s="1">
        <v>106.8</v>
      </c>
      <c r="N1520" s="1">
        <v>3.5119999999999998E-2</v>
      </c>
      <c r="O1520" s="1">
        <v>2.307E-4</v>
      </c>
      <c r="P152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0.13284447494461965</v>
      </c>
      <c r="Q1520" s="1">
        <f>LN(Table1[[#This Row],[qe_mg_g]]-Table1[[#This Row],[qt]])</f>
        <v>0.75384498795960553</v>
      </c>
      <c r="R1520" s="1">
        <v>1</v>
      </c>
    </row>
    <row r="1521" spans="1:18" x14ac:dyDescent="0.3">
      <c r="A1521" s="1">
        <v>1520</v>
      </c>
      <c r="B1521" s="1" t="s">
        <v>18</v>
      </c>
      <c r="C1521" s="1">
        <v>2</v>
      </c>
      <c r="D1521" s="1">
        <v>120</v>
      </c>
      <c r="E1521" s="1">
        <v>25</v>
      </c>
      <c r="F1521" s="1">
        <v>11</v>
      </c>
      <c r="G1521" s="1">
        <v>25</v>
      </c>
      <c r="H1521" s="1">
        <v>150</v>
      </c>
      <c r="I1521" s="1">
        <v>100</v>
      </c>
      <c r="J1521" s="1">
        <v>1.966</v>
      </c>
      <c r="K1521" s="1">
        <v>21.068999999999999</v>
      </c>
      <c r="L1521" s="1">
        <v>15.73</v>
      </c>
      <c r="M1521" s="1">
        <v>86.6</v>
      </c>
      <c r="N1521" s="1">
        <v>2.5989999999999999E-2</v>
      </c>
      <c r="O1521" s="1">
        <v>2.834E-4</v>
      </c>
      <c r="P152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0.12320853604101925</v>
      </c>
      <c r="Q1521" s="1">
        <f>LN(Table1[[#This Row],[qe_mg_g]]-Table1[[#This Row],[qt]])</f>
        <v>0.61128152196502239</v>
      </c>
      <c r="R1521" s="1">
        <v>2</v>
      </c>
    </row>
    <row r="1522" spans="1:18" x14ac:dyDescent="0.3">
      <c r="A1522" s="1">
        <v>1521</v>
      </c>
      <c r="B1522" s="1" t="s">
        <v>18</v>
      </c>
      <c r="C1522" s="1">
        <v>2</v>
      </c>
      <c r="D1522" s="1">
        <v>120</v>
      </c>
      <c r="E1522" s="1">
        <v>25</v>
      </c>
      <c r="F1522" s="1">
        <v>11</v>
      </c>
      <c r="G1522" s="1">
        <v>25</v>
      </c>
      <c r="H1522" s="1">
        <v>150</v>
      </c>
      <c r="I1522" s="1">
        <v>100</v>
      </c>
      <c r="J1522" s="1">
        <v>2.5310000000000001</v>
      </c>
      <c r="K1522" s="1">
        <v>19.937999999999999</v>
      </c>
      <c r="L1522" s="1">
        <v>20.25</v>
      </c>
      <c r="M1522" s="1">
        <v>104.8</v>
      </c>
      <c r="N1522" s="1">
        <v>3.3660000000000002E-2</v>
      </c>
      <c r="O1522" s="1">
        <v>2.5329999999999998E-4</v>
      </c>
      <c r="P152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0.18080578964465913</v>
      </c>
      <c r="Q1522" s="1">
        <f>LN(Table1[[#This Row],[qe_mg_g]]-Table1[[#This Row],[qt]])</f>
        <v>0.8544979674457478</v>
      </c>
      <c r="R1522" s="1">
        <v>3</v>
      </c>
    </row>
    <row r="1523" spans="1:18" x14ac:dyDescent="0.3">
      <c r="A1523" s="1">
        <v>1522</v>
      </c>
      <c r="B1523" s="1" t="s">
        <v>18</v>
      </c>
      <c r="C1523" s="1">
        <v>2</v>
      </c>
      <c r="D1523" s="1">
        <v>120</v>
      </c>
      <c r="E1523" s="1">
        <v>50</v>
      </c>
      <c r="F1523" s="1">
        <v>3</v>
      </c>
      <c r="G1523" s="1">
        <v>25</v>
      </c>
      <c r="H1523" s="1">
        <v>150</v>
      </c>
      <c r="I1523" s="1">
        <v>100</v>
      </c>
      <c r="J1523" s="1">
        <v>5.7640000000000002</v>
      </c>
      <c r="K1523" s="1">
        <v>38.472999999999999</v>
      </c>
      <c r="L1523" s="1">
        <v>23.05</v>
      </c>
      <c r="M1523" s="1">
        <v>95</v>
      </c>
      <c r="N1523" s="1">
        <v>2.9069999999999999E-2</v>
      </c>
      <c r="O1523" s="1">
        <v>2.1130000000000001E-4</v>
      </c>
      <c r="P152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0.73499854080085081</v>
      </c>
      <c r="Q1523" s="1">
        <f>LN(Table1[[#This Row],[qe_mg_g]]-Table1[[#This Row],[qt]])</f>
        <v>1.6152214473467053</v>
      </c>
      <c r="R1523" s="1">
        <v>1</v>
      </c>
    </row>
    <row r="1524" spans="1:18" x14ac:dyDescent="0.3">
      <c r="A1524" s="1">
        <v>1523</v>
      </c>
      <c r="B1524" s="1" t="s">
        <v>18</v>
      </c>
      <c r="C1524" s="1">
        <v>2</v>
      </c>
      <c r="D1524" s="1">
        <v>120</v>
      </c>
      <c r="E1524" s="1">
        <v>50</v>
      </c>
      <c r="F1524" s="1">
        <v>3</v>
      </c>
      <c r="G1524" s="1">
        <v>25</v>
      </c>
      <c r="H1524" s="1">
        <v>150</v>
      </c>
      <c r="I1524" s="1">
        <v>100</v>
      </c>
      <c r="J1524" s="1">
        <v>5.952</v>
      </c>
      <c r="K1524" s="1">
        <v>38.097000000000001</v>
      </c>
      <c r="L1524" s="1">
        <v>23.81</v>
      </c>
      <c r="M1524" s="1">
        <v>99.4</v>
      </c>
      <c r="N1524" s="1">
        <v>3.2239999999999998E-2</v>
      </c>
      <c r="O1524" s="1">
        <v>2.5230000000000001E-4</v>
      </c>
      <c r="P152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0.908798745034616</v>
      </c>
      <c r="Q1524" s="1">
        <f>LN(Table1[[#This Row],[qe_mg_g]]-Table1[[#This Row],[qt]])</f>
        <v>1.6180410500844098</v>
      </c>
      <c r="R1524" s="1">
        <v>2</v>
      </c>
    </row>
    <row r="1525" spans="1:18" x14ac:dyDescent="0.3">
      <c r="A1525" s="1">
        <v>1524</v>
      </c>
      <c r="B1525" s="1" t="s">
        <v>18</v>
      </c>
      <c r="C1525" s="1">
        <v>2</v>
      </c>
      <c r="D1525" s="1">
        <v>120</v>
      </c>
      <c r="E1525" s="1">
        <v>50</v>
      </c>
      <c r="F1525" s="1">
        <v>3</v>
      </c>
      <c r="G1525" s="1">
        <v>25</v>
      </c>
      <c r="H1525" s="1">
        <v>150</v>
      </c>
      <c r="I1525" s="1">
        <v>100</v>
      </c>
      <c r="J1525" s="1">
        <v>5.7279999999999998</v>
      </c>
      <c r="K1525" s="1">
        <v>38.543999999999997</v>
      </c>
      <c r="L1525" s="1">
        <v>22.91</v>
      </c>
      <c r="M1525" s="1">
        <v>86.9</v>
      </c>
      <c r="N1525" s="1">
        <v>3.022E-2</v>
      </c>
      <c r="O1525" s="1">
        <v>2.6850000000000002E-4</v>
      </c>
      <c r="P152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0.89243357147372404</v>
      </c>
      <c r="Q1525" s="1">
        <f>LN(Table1[[#This Row],[qe_mg_g]]-Table1[[#This Row],[qt]])</f>
        <v>1.5759982737552745</v>
      </c>
      <c r="R1525" s="1">
        <v>3</v>
      </c>
    </row>
    <row r="1526" spans="1:18" x14ac:dyDescent="0.3">
      <c r="A1526" s="1">
        <v>1525</v>
      </c>
      <c r="B1526" s="1" t="s">
        <v>18</v>
      </c>
      <c r="C1526" s="1">
        <v>2</v>
      </c>
      <c r="D1526" s="1">
        <v>120</v>
      </c>
      <c r="E1526" s="1">
        <v>50</v>
      </c>
      <c r="F1526" s="1">
        <v>7</v>
      </c>
      <c r="G1526" s="1">
        <v>25</v>
      </c>
      <c r="H1526" s="1">
        <v>150</v>
      </c>
      <c r="I1526" s="1">
        <v>100</v>
      </c>
      <c r="J1526" s="1">
        <v>8.3130000000000006</v>
      </c>
      <c r="K1526" s="1">
        <v>33.372999999999998</v>
      </c>
      <c r="L1526" s="1">
        <v>33.25</v>
      </c>
      <c r="M1526" s="1">
        <v>101.3</v>
      </c>
      <c r="N1526" s="1">
        <v>3.0700000000000002E-2</v>
      </c>
      <c r="O1526" s="1">
        <v>2.32E-4</v>
      </c>
      <c r="P152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1.5623332650768631</v>
      </c>
      <c r="Q1526" s="1">
        <f>LN(Table1[[#This Row],[qe_mg_g]]-Table1[[#This Row],[qt]])</f>
        <v>1.909641275550624</v>
      </c>
      <c r="R1526" s="1">
        <v>1</v>
      </c>
    </row>
    <row r="1527" spans="1:18" x14ac:dyDescent="0.3">
      <c r="A1527" s="1">
        <v>1526</v>
      </c>
      <c r="B1527" s="1" t="s">
        <v>18</v>
      </c>
      <c r="C1527" s="1">
        <v>2</v>
      </c>
      <c r="D1527" s="1">
        <v>120</v>
      </c>
      <c r="E1527" s="1">
        <v>50</v>
      </c>
      <c r="F1527" s="1">
        <v>7</v>
      </c>
      <c r="G1527" s="1">
        <v>25</v>
      </c>
      <c r="H1527" s="1">
        <v>150</v>
      </c>
      <c r="I1527" s="1">
        <v>100</v>
      </c>
      <c r="J1527" s="1">
        <v>8.7769999999999992</v>
      </c>
      <c r="K1527" s="1">
        <v>32.447000000000003</v>
      </c>
      <c r="L1527" s="1">
        <v>35.11</v>
      </c>
      <c r="M1527" s="1">
        <v>103.5</v>
      </c>
      <c r="N1527" s="1">
        <v>2.6599999999999999E-2</v>
      </c>
      <c r="O1527" s="1">
        <v>2.587E-4</v>
      </c>
      <c r="P152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1.8794086929523575</v>
      </c>
      <c r="Q1527" s="1">
        <f>LN(Table1[[#This Row],[qe_mg_g]]-Table1[[#This Row],[qt]])</f>
        <v>1.9311722647234106</v>
      </c>
      <c r="R1527" s="1">
        <v>2</v>
      </c>
    </row>
    <row r="1528" spans="1:18" x14ac:dyDescent="0.3">
      <c r="A1528" s="1">
        <v>1527</v>
      </c>
      <c r="B1528" s="1" t="s">
        <v>18</v>
      </c>
      <c r="C1528" s="1">
        <v>2</v>
      </c>
      <c r="D1528" s="1">
        <v>120</v>
      </c>
      <c r="E1528" s="1">
        <v>50</v>
      </c>
      <c r="F1528" s="1">
        <v>7</v>
      </c>
      <c r="G1528" s="1">
        <v>25</v>
      </c>
      <c r="H1528" s="1">
        <v>150</v>
      </c>
      <c r="I1528" s="1">
        <v>100</v>
      </c>
      <c r="J1528" s="1">
        <v>8.52</v>
      </c>
      <c r="K1528" s="1">
        <v>32.96</v>
      </c>
      <c r="L1528" s="1">
        <v>34.08</v>
      </c>
      <c r="M1528" s="1">
        <v>115.9</v>
      </c>
      <c r="N1528" s="1">
        <v>3.7010000000000001E-2</v>
      </c>
      <c r="O1528" s="1">
        <v>2.285E-4</v>
      </c>
      <c r="P152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1.6134882294232962</v>
      </c>
      <c r="Q1528" s="1">
        <f>LN(Table1[[#This Row],[qe_mg_g]]-Table1[[#This Row],[qt]])</f>
        <v>1.9324647014316301</v>
      </c>
      <c r="R1528" s="1">
        <v>3</v>
      </c>
    </row>
    <row r="1529" spans="1:18" x14ac:dyDescent="0.3">
      <c r="A1529" s="1">
        <v>1528</v>
      </c>
      <c r="B1529" s="1" t="s">
        <v>18</v>
      </c>
      <c r="C1529" s="1">
        <v>2</v>
      </c>
      <c r="D1529" s="1">
        <v>120</v>
      </c>
      <c r="E1529" s="1">
        <v>50</v>
      </c>
      <c r="F1529" s="1">
        <v>11</v>
      </c>
      <c r="G1529" s="1">
        <v>25</v>
      </c>
      <c r="H1529" s="1">
        <v>150</v>
      </c>
      <c r="I1529" s="1">
        <v>100</v>
      </c>
      <c r="J1529" s="1">
        <v>7.4809999999999999</v>
      </c>
      <c r="K1529" s="1">
        <v>35.037999999999997</v>
      </c>
      <c r="L1529" s="1">
        <v>29.92</v>
      </c>
      <c r="M1529" s="1">
        <v>89.1</v>
      </c>
      <c r="N1529" s="1">
        <v>3.3119999999999997E-2</v>
      </c>
      <c r="O1529" s="1">
        <v>2.184E-4</v>
      </c>
      <c r="P152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1.2263077685146984</v>
      </c>
      <c r="Q1529" s="1">
        <f>LN(Table1[[#This Row],[qe_mg_g]]-Table1[[#This Row],[qt]])</f>
        <v>1.8333319391088654</v>
      </c>
      <c r="R1529" s="1">
        <v>1</v>
      </c>
    </row>
    <row r="1530" spans="1:18" x14ac:dyDescent="0.3">
      <c r="A1530" s="1">
        <v>1529</v>
      </c>
      <c r="B1530" s="1" t="s">
        <v>18</v>
      </c>
      <c r="C1530" s="1">
        <v>2</v>
      </c>
      <c r="D1530" s="1">
        <v>120</v>
      </c>
      <c r="E1530" s="1">
        <v>50</v>
      </c>
      <c r="F1530" s="1">
        <v>11</v>
      </c>
      <c r="G1530" s="1">
        <v>25</v>
      </c>
      <c r="H1530" s="1">
        <v>150</v>
      </c>
      <c r="I1530" s="1">
        <v>100</v>
      </c>
      <c r="J1530" s="1">
        <v>7.4470000000000001</v>
      </c>
      <c r="K1530" s="1">
        <v>35.106999999999999</v>
      </c>
      <c r="L1530" s="1">
        <v>29.79</v>
      </c>
      <c r="M1530" s="1">
        <v>86.9</v>
      </c>
      <c r="N1530" s="1">
        <v>2.938E-2</v>
      </c>
      <c r="O1530" s="1">
        <v>2.242E-4</v>
      </c>
      <c r="P153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1.2429973024226497</v>
      </c>
      <c r="Q1530" s="1">
        <f>LN(Table1[[#This Row],[qe_mg_g]]-Table1[[#This Row],[qt]])</f>
        <v>1.8251946801267946</v>
      </c>
      <c r="R1530" s="1">
        <v>2</v>
      </c>
    </row>
    <row r="1531" spans="1:18" x14ac:dyDescent="0.3">
      <c r="A1531" s="1">
        <v>1530</v>
      </c>
      <c r="B1531" s="1" t="s">
        <v>18</v>
      </c>
      <c r="C1531" s="1">
        <v>2</v>
      </c>
      <c r="D1531" s="1">
        <v>120</v>
      </c>
      <c r="E1531" s="1">
        <v>50</v>
      </c>
      <c r="F1531" s="1">
        <v>11</v>
      </c>
      <c r="G1531" s="1">
        <v>25</v>
      </c>
      <c r="H1531" s="1">
        <v>150</v>
      </c>
      <c r="I1531" s="1">
        <v>100</v>
      </c>
      <c r="J1531" s="1">
        <v>7.6660000000000004</v>
      </c>
      <c r="K1531" s="1">
        <v>34.667999999999999</v>
      </c>
      <c r="L1531" s="1">
        <v>30.66</v>
      </c>
      <c r="M1531" s="1">
        <v>87.4</v>
      </c>
      <c r="N1531" s="1">
        <v>3.1660000000000001E-2</v>
      </c>
      <c r="O1531" s="1">
        <v>2.4140000000000001E-4</v>
      </c>
      <c r="P153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1.3930301781924064</v>
      </c>
      <c r="Q1531" s="1">
        <f>LN(Table1[[#This Row],[qe_mg_g]]-Table1[[#This Row],[qt]])</f>
        <v>1.8362498982960191</v>
      </c>
      <c r="R1531" s="1">
        <v>3</v>
      </c>
    </row>
    <row r="1532" spans="1:18" x14ac:dyDescent="0.3">
      <c r="A1532" s="1">
        <v>1531</v>
      </c>
      <c r="B1532" s="1" t="s">
        <v>18</v>
      </c>
      <c r="C1532" s="1">
        <v>2</v>
      </c>
      <c r="D1532" s="1">
        <v>120</v>
      </c>
      <c r="E1532" s="1">
        <v>100</v>
      </c>
      <c r="F1532" s="1">
        <v>3</v>
      </c>
      <c r="G1532" s="1">
        <v>25</v>
      </c>
      <c r="H1532" s="1">
        <v>150</v>
      </c>
      <c r="I1532" s="1">
        <v>100</v>
      </c>
      <c r="J1532" s="1">
        <v>16.638999999999999</v>
      </c>
      <c r="K1532" s="1">
        <v>66.721999999999994</v>
      </c>
      <c r="L1532" s="1">
        <v>33.28</v>
      </c>
      <c r="M1532" s="1">
        <v>102.2</v>
      </c>
      <c r="N1532" s="1">
        <v>2.7709999999999999E-2</v>
      </c>
      <c r="O1532" s="1">
        <v>2.5530000000000003E-4</v>
      </c>
      <c r="P153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5.6179875770914824</v>
      </c>
      <c r="Q1532" s="1">
        <f>LN(Table1[[#This Row],[qe_mg_g]]-Table1[[#This Row],[qt]])</f>
        <v>2.3998036709121555</v>
      </c>
      <c r="R1532" s="1">
        <v>1</v>
      </c>
    </row>
    <row r="1533" spans="1:18" x14ac:dyDescent="0.3">
      <c r="A1533" s="1">
        <v>1532</v>
      </c>
      <c r="B1533" s="1" t="s">
        <v>18</v>
      </c>
      <c r="C1533" s="1">
        <v>2</v>
      </c>
      <c r="D1533" s="1">
        <v>120</v>
      </c>
      <c r="E1533" s="1">
        <v>100</v>
      </c>
      <c r="F1533" s="1">
        <v>3</v>
      </c>
      <c r="G1533" s="1">
        <v>25</v>
      </c>
      <c r="H1533" s="1">
        <v>150</v>
      </c>
      <c r="I1533" s="1">
        <v>100</v>
      </c>
      <c r="J1533" s="1">
        <v>19.126999999999999</v>
      </c>
      <c r="K1533" s="1">
        <v>61.744999999999997</v>
      </c>
      <c r="L1533" s="1">
        <v>38.25</v>
      </c>
      <c r="M1533" s="1">
        <v>88.3</v>
      </c>
      <c r="N1533" s="1">
        <v>3.3520000000000001E-2</v>
      </c>
      <c r="O1533" s="1">
        <v>2.875E-4</v>
      </c>
      <c r="P1533" s="1">
        <f>(Table1[[#This Row],[Rate_Constant_k2_g_mg_min]]*Table1[[#This Row],[Contact_Time_min]]*Table1[[#This Row],[qe_mg_g]]^2)/(1+Table1[[#This Row],[Contact_Time_min]]*Table1[[#This Row],[qe_mg_g]]*Table1[[#This Row],[Rate_Constant_k2_g_mg_min]])</f>
        <v>7.6038882597944486</v>
      </c>
      <c r="Q1533" s="1">
        <f>LN(Table1[[#This Row],[qe_mg_g]]-Table1[[#This Row],[qt]])</f>
        <v>2.4443547351301826</v>
      </c>
      <c r="R1533" s="1">
        <v>2</v>
      </c>
    </row>
    <row r="1534" spans="1:18" x14ac:dyDescent="0.3">
      <c r="A1534" s="1">
        <v>1533</v>
      </c>
      <c r="B1534" s="1" t="s">
        <v>18</v>
      </c>
      <c r="C1534" s="1">
        <v>2</v>
      </c>
      <c r="D1534" s="1">
        <v>120</v>
      </c>
      <c r="E1534" s="1">
        <v>100</v>
      </c>
      <c r="F1534" s="1">
        <v>3</v>
      </c>
      <c r="G1534" s="1">
        <v>25</v>
      </c>
      <c r="H1534" s="1">
        <v>150</v>
      </c>
      <c r="I1534" s="1">
        <v>100</v>
      </c>
      <c r="J1534" s="1">
        <v>15.577</v>
      </c>
      <c r="K1534" s="1">
        <v>68.846000000000004</v>
      </c>
      <c r="L1534" s="1">
        <v>31.15</v>
      </c>
      <c r="M1534" s="1">
        <v>78.2</v>
      </c>
      <c r="N1534" s="1">
        <v>3.091E-2</v>
      </c>
      <c r="O1534" s="1">
        <v>2.363E-4</v>
      </c>
      <c r="P153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4.7724049081558366</v>
      </c>
      <c r="Q1534" s="1">
        <f>LN(Table1[[#This Row],[qe_mg_g]]-Table1[[#This Row],[qt]])</f>
        <v>2.379971515109907</v>
      </c>
      <c r="R1534" s="1">
        <v>3</v>
      </c>
    </row>
    <row r="1535" spans="1:18" x14ac:dyDescent="0.3">
      <c r="A1535" s="1">
        <v>1534</v>
      </c>
      <c r="B1535" s="1" t="s">
        <v>18</v>
      </c>
      <c r="C1535" s="1">
        <v>2</v>
      </c>
      <c r="D1535" s="1">
        <v>120</v>
      </c>
      <c r="E1535" s="1">
        <v>100</v>
      </c>
      <c r="F1535" s="1">
        <v>7</v>
      </c>
      <c r="G1535" s="1">
        <v>25</v>
      </c>
      <c r="H1535" s="1">
        <v>150</v>
      </c>
      <c r="I1535" s="1">
        <v>100</v>
      </c>
      <c r="J1535" s="1">
        <v>29.849</v>
      </c>
      <c r="K1535" s="1">
        <v>40.302999999999997</v>
      </c>
      <c r="L1535" s="1">
        <v>59.7</v>
      </c>
      <c r="M1535" s="1">
        <v>100.5</v>
      </c>
      <c r="N1535" s="1">
        <v>2.759E-2</v>
      </c>
      <c r="O1535" s="1">
        <v>2.2130000000000001E-4</v>
      </c>
      <c r="P1535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13.198417758218536</v>
      </c>
      <c r="Q1535" s="1">
        <f>LN(Table1[[#This Row],[qe_mg_g]]-Table1[[#This Row],[qt]])</f>
        <v>2.812445185291399</v>
      </c>
      <c r="R1535" s="1">
        <v>1</v>
      </c>
    </row>
    <row r="1536" spans="1:18" x14ac:dyDescent="0.3">
      <c r="A1536" s="1">
        <v>1535</v>
      </c>
      <c r="B1536" s="1" t="s">
        <v>18</v>
      </c>
      <c r="C1536" s="1">
        <v>2</v>
      </c>
      <c r="D1536" s="1">
        <v>120</v>
      </c>
      <c r="E1536" s="1">
        <v>100</v>
      </c>
      <c r="F1536" s="1">
        <v>7</v>
      </c>
      <c r="G1536" s="1">
        <v>25</v>
      </c>
      <c r="H1536" s="1">
        <v>150</v>
      </c>
      <c r="I1536" s="1">
        <v>100</v>
      </c>
      <c r="J1536" s="1">
        <v>28.058</v>
      </c>
      <c r="K1536" s="1">
        <v>43.884</v>
      </c>
      <c r="L1536" s="1">
        <v>56.12</v>
      </c>
      <c r="M1536" s="1">
        <v>91.4</v>
      </c>
      <c r="N1536" s="1">
        <v>3.0130000000000001E-2</v>
      </c>
      <c r="O1536" s="1">
        <v>2.7389999999999999E-4</v>
      </c>
      <c r="P1536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13.461262401755134</v>
      </c>
      <c r="Q1536" s="1">
        <f>LN(Table1[[#This Row],[qe_mg_g]]-Table1[[#This Row],[qt]])</f>
        <v>2.6807980515701249</v>
      </c>
      <c r="R1536" s="1">
        <v>2</v>
      </c>
    </row>
    <row r="1537" spans="1:18" x14ac:dyDescent="0.3">
      <c r="A1537" s="1">
        <v>1536</v>
      </c>
      <c r="B1537" s="1" t="s">
        <v>18</v>
      </c>
      <c r="C1537" s="1">
        <v>2</v>
      </c>
      <c r="D1537" s="1">
        <v>120</v>
      </c>
      <c r="E1537" s="1">
        <v>100</v>
      </c>
      <c r="F1537" s="1">
        <v>7</v>
      </c>
      <c r="G1537" s="1">
        <v>25</v>
      </c>
      <c r="H1537" s="1">
        <v>150</v>
      </c>
      <c r="I1537" s="1">
        <v>100</v>
      </c>
      <c r="J1537" s="1">
        <v>24.437999999999999</v>
      </c>
      <c r="K1537" s="1">
        <v>51.124000000000002</v>
      </c>
      <c r="L1537" s="1">
        <v>48.88</v>
      </c>
      <c r="M1537" s="1">
        <v>99.3</v>
      </c>
      <c r="N1537" s="1">
        <v>2.9950000000000001E-2</v>
      </c>
      <c r="O1537" s="1">
        <v>2.6709999999999999E-4</v>
      </c>
      <c r="P1537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10.734090831326839</v>
      </c>
      <c r="Q1537" s="1">
        <f>LN(Table1[[#This Row],[qe_mg_g]]-Table1[[#This Row],[qt]])</f>
        <v>2.6176811329112044</v>
      </c>
      <c r="R1537" s="1">
        <v>3</v>
      </c>
    </row>
    <row r="1538" spans="1:18" x14ac:dyDescent="0.3">
      <c r="A1538" s="1">
        <v>1537</v>
      </c>
      <c r="B1538" s="1" t="s">
        <v>18</v>
      </c>
      <c r="C1538" s="1">
        <v>2</v>
      </c>
      <c r="D1538" s="1">
        <v>120</v>
      </c>
      <c r="E1538" s="1">
        <v>100</v>
      </c>
      <c r="F1538" s="1">
        <v>11</v>
      </c>
      <c r="G1538" s="1">
        <v>25</v>
      </c>
      <c r="H1538" s="1">
        <v>150</v>
      </c>
      <c r="I1538" s="1">
        <v>100</v>
      </c>
      <c r="J1538" s="1">
        <v>21.295999999999999</v>
      </c>
      <c r="K1538" s="1">
        <v>57.406999999999996</v>
      </c>
      <c r="L1538" s="1">
        <v>42.59</v>
      </c>
      <c r="M1538" s="1">
        <v>96.7</v>
      </c>
      <c r="N1538" s="1">
        <v>3.0190000000000002E-2</v>
      </c>
      <c r="O1538" s="1">
        <v>2.407E-4</v>
      </c>
      <c r="P1538" s="1">
        <f>(Table1[[#This Row],[Rate_Constant_k2_g_mg_min]]*Table1[[#This Row],[Contact_Time_min]]*Table1[[#This Row],[qe_mg_g]]^2)/(1+Table1[[#This Row],[Contact_Time_min]]*Table1[[#This Row],[qe_mg_g]]*Table1[[#This Row],[Rate_Constant_k2_g_mg_min]])</f>
        <v>8.110550285421894</v>
      </c>
      <c r="Q1538" s="1">
        <f>LN(Table1[[#This Row],[qe_mg_g]]-Table1[[#This Row],[qt]])</f>
        <v>2.5791139272689465</v>
      </c>
      <c r="R1538" s="1">
        <v>1</v>
      </c>
    </row>
    <row r="1539" spans="1:18" x14ac:dyDescent="0.3">
      <c r="A1539" s="1">
        <v>1538</v>
      </c>
      <c r="B1539" s="1" t="s">
        <v>18</v>
      </c>
      <c r="C1539" s="1">
        <v>2</v>
      </c>
      <c r="D1539" s="1">
        <v>120</v>
      </c>
      <c r="E1539" s="1">
        <v>100</v>
      </c>
      <c r="F1539" s="1">
        <v>11</v>
      </c>
      <c r="G1539" s="1">
        <v>25</v>
      </c>
      <c r="H1539" s="1">
        <v>150</v>
      </c>
      <c r="I1539" s="1">
        <v>100</v>
      </c>
      <c r="J1539" s="1">
        <v>17.532</v>
      </c>
      <c r="K1539" s="1">
        <v>64.936000000000007</v>
      </c>
      <c r="L1539" s="1">
        <v>35.06</v>
      </c>
      <c r="M1539" s="1">
        <v>103.9</v>
      </c>
      <c r="N1539" s="1">
        <v>3.5680000000000003E-2</v>
      </c>
      <c r="O1539" s="1">
        <v>2.2790000000000001E-4</v>
      </c>
      <c r="P1539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5.6817714455097512</v>
      </c>
      <c r="Q1539" s="1">
        <f>LN(Table1[[#This Row],[qe_mg_g]]-Table1[[#This Row],[qt]])</f>
        <v>2.4723471546938978</v>
      </c>
      <c r="R1539" s="1">
        <v>2</v>
      </c>
    </row>
    <row r="1540" spans="1:18" x14ac:dyDescent="0.3">
      <c r="A1540" s="1">
        <v>1539</v>
      </c>
      <c r="B1540" s="1" t="s">
        <v>18</v>
      </c>
      <c r="C1540" s="1">
        <v>2</v>
      </c>
      <c r="D1540" s="1">
        <v>120</v>
      </c>
      <c r="E1540" s="1">
        <v>100</v>
      </c>
      <c r="F1540" s="1">
        <v>11</v>
      </c>
      <c r="G1540" s="1">
        <v>25</v>
      </c>
      <c r="H1540" s="1">
        <v>150</v>
      </c>
      <c r="I1540" s="1">
        <v>100</v>
      </c>
      <c r="J1540" s="1">
        <v>18.814</v>
      </c>
      <c r="K1540" s="1">
        <v>62.371000000000002</v>
      </c>
      <c r="L1540" s="1">
        <v>37.630000000000003</v>
      </c>
      <c r="M1540" s="1">
        <v>86.9</v>
      </c>
      <c r="N1540" s="1">
        <v>3.2169999999999997E-2</v>
      </c>
      <c r="O1540" s="1">
        <v>2.6120000000000001E-4</v>
      </c>
      <c r="P1540" s="1">
        <f>(Table1[[#This Row],[Rate_Constant_k2_g_mg_min]]*Table1[[#This Row],[Contact_Time_min]]*Table1[[#This Row],[qe_mg_g]]^2)/(1+Table1[[#This Row],[Contact_Time_min]]*Table1[[#This Row],[qe_mg_g]]*Table1[[#This Row],[Rate_Constant_k2_g_mg_min]])</f>
        <v>6.9791073779417587</v>
      </c>
      <c r="Q1540" s="1">
        <f>LN(Table1[[#This Row],[qe_mg_g]]-Table1[[#This Row],[qt]])</f>
        <v>2.471052170010402</v>
      </c>
      <c r="R1540" s="1">
        <v>3</v>
      </c>
    </row>
    <row r="1541" spans="1:18" x14ac:dyDescent="0.3">
      <c r="A1541" s="1">
        <v>1540</v>
      </c>
      <c r="B1541" s="1" t="s">
        <v>18</v>
      </c>
      <c r="C1541" s="1">
        <v>2</v>
      </c>
      <c r="D1541" s="1">
        <v>120</v>
      </c>
      <c r="E1541" s="1">
        <v>200</v>
      </c>
      <c r="F1541" s="1">
        <v>3</v>
      </c>
      <c r="G1541" s="1">
        <v>25</v>
      </c>
      <c r="H1541" s="1">
        <v>150</v>
      </c>
      <c r="I1541" s="1">
        <v>100</v>
      </c>
      <c r="J1541" s="1">
        <v>39.338000000000001</v>
      </c>
      <c r="K1541" s="1">
        <v>121.32299999999999</v>
      </c>
      <c r="L1541" s="1">
        <v>39.340000000000003</v>
      </c>
      <c r="M1541" s="1">
        <v>86.2</v>
      </c>
      <c r="N1541" s="1">
        <v>3.0280000000000001E-2</v>
      </c>
      <c r="O1541" s="1">
        <v>2.109E-4</v>
      </c>
      <c r="P1541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19.625297964648134</v>
      </c>
      <c r="Q1541" s="1">
        <f>LN(Table1[[#This Row],[qe_mg_g]]-Table1[[#This Row],[qt]])</f>
        <v>2.9812632013350178</v>
      </c>
      <c r="R1541" s="1">
        <v>1</v>
      </c>
    </row>
    <row r="1542" spans="1:18" x14ac:dyDescent="0.3">
      <c r="A1542" s="1">
        <v>1541</v>
      </c>
      <c r="B1542" s="1" t="s">
        <v>18</v>
      </c>
      <c r="C1542" s="1">
        <v>2</v>
      </c>
      <c r="D1542" s="1">
        <v>120</v>
      </c>
      <c r="E1542" s="1">
        <v>200</v>
      </c>
      <c r="F1542" s="1">
        <v>3</v>
      </c>
      <c r="G1542" s="1">
        <v>25</v>
      </c>
      <c r="H1542" s="1">
        <v>150</v>
      </c>
      <c r="I1542" s="1">
        <v>100</v>
      </c>
      <c r="J1542" s="1">
        <v>40.423000000000002</v>
      </c>
      <c r="K1542" s="1">
        <v>119.154</v>
      </c>
      <c r="L1542" s="1">
        <v>40.42</v>
      </c>
      <c r="M1542" s="1">
        <v>113.1</v>
      </c>
      <c r="N1542" s="1">
        <v>2.6249999999999999E-2</v>
      </c>
      <c r="O1542" s="1">
        <v>2.117E-4</v>
      </c>
      <c r="P1542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20.479794861791241</v>
      </c>
      <c r="Q1542" s="1">
        <f>LN(Table1[[#This Row],[qe_mg_g]]-Table1[[#This Row],[qt]])</f>
        <v>2.9928884907443645</v>
      </c>
      <c r="R1542" s="1">
        <v>2</v>
      </c>
    </row>
    <row r="1543" spans="1:18" x14ac:dyDescent="0.3">
      <c r="A1543" s="1">
        <v>1542</v>
      </c>
      <c r="B1543" s="1" t="s">
        <v>18</v>
      </c>
      <c r="C1543" s="1">
        <v>2</v>
      </c>
      <c r="D1543" s="1">
        <v>120</v>
      </c>
      <c r="E1543" s="1">
        <v>200</v>
      </c>
      <c r="F1543" s="1">
        <v>3</v>
      </c>
      <c r="G1543" s="1">
        <v>25</v>
      </c>
      <c r="H1543" s="1">
        <v>150</v>
      </c>
      <c r="I1543" s="1">
        <v>100</v>
      </c>
      <c r="J1543" s="1">
        <v>45.581000000000003</v>
      </c>
      <c r="K1543" s="1">
        <v>108.839</v>
      </c>
      <c r="L1543" s="1">
        <v>45.58</v>
      </c>
      <c r="M1543" s="1">
        <v>90.8</v>
      </c>
      <c r="N1543" s="1">
        <v>3.3410000000000002E-2</v>
      </c>
      <c r="O1543" s="1">
        <v>2.4620000000000002E-4</v>
      </c>
      <c r="P1543" s="1">
        <f>(Table1[[#This Row],[Rate_Constant_k2_g_mg_min]]*Table1[[#This Row],[Contact_Time_min]]*Table1[[#This Row],[qe_mg_g]]^2)/(1+Table1[[#This Row],[Contact_Time_min]]*Table1[[#This Row],[qe_mg_g]]*Table1[[#This Row],[Rate_Constant_k2_g_mg_min]])</f>
        <v>26.157099598844145</v>
      </c>
      <c r="Q1543" s="1">
        <f>LN(Table1[[#This Row],[qe_mg_g]]-Table1[[#This Row],[qt]])</f>
        <v>2.9665042872463476</v>
      </c>
      <c r="R1543" s="1">
        <v>3</v>
      </c>
    </row>
    <row r="1544" spans="1:18" x14ac:dyDescent="0.3">
      <c r="A1544" s="1">
        <v>1543</v>
      </c>
      <c r="B1544" s="1" t="s">
        <v>18</v>
      </c>
      <c r="C1544" s="1">
        <v>2</v>
      </c>
      <c r="D1544" s="1">
        <v>120</v>
      </c>
      <c r="E1544" s="1">
        <v>200</v>
      </c>
      <c r="F1544" s="1">
        <v>7</v>
      </c>
      <c r="G1544" s="1">
        <v>25</v>
      </c>
      <c r="H1544" s="1">
        <v>150</v>
      </c>
      <c r="I1544" s="1">
        <v>100</v>
      </c>
      <c r="J1544" s="1">
        <v>57.363</v>
      </c>
      <c r="K1544" s="1">
        <v>85.274000000000001</v>
      </c>
      <c r="L1544" s="1">
        <v>57.36</v>
      </c>
      <c r="M1544" s="1">
        <v>106.6</v>
      </c>
      <c r="N1544" s="1">
        <v>2.7349999999999999E-2</v>
      </c>
      <c r="O1544" s="1">
        <v>2.5329999999999998E-4</v>
      </c>
      <c r="P1544" s="1">
        <f>(Table1[[#This Row],[Rate_Constant_k2_g_mg_min]]*Table1[[#This Row],[Contact_Time_min]]*Table1[[#This Row],[qe_mg_g]]^2)/(1+Table1[[#This Row],[Contact_Time_min]]*Table1[[#This Row],[qe_mg_g]]*Table1[[#This Row],[Rate_Constant_k2_g_mg_min]])</f>
        <v>36.455112617924144</v>
      </c>
      <c r="Q1544" s="1">
        <f>LN(Table1[[#This Row],[qe_mg_g]]-Table1[[#This Row],[qt]])</f>
        <v>3.0401264744805085</v>
      </c>
      <c r="R1544" s="1">
        <v>1</v>
      </c>
    </row>
    <row r="1545" spans="1:18" x14ac:dyDescent="0.3">
      <c r="A1545" s="1">
        <v>1544</v>
      </c>
      <c r="B1545" s="1" t="s">
        <v>18</v>
      </c>
      <c r="C1545" s="1">
        <v>2</v>
      </c>
      <c r="D1545" s="1">
        <v>120</v>
      </c>
      <c r="E1545" s="1">
        <v>200</v>
      </c>
      <c r="F1545" s="1">
        <v>7</v>
      </c>
      <c r="G1545" s="1">
        <v>25</v>
      </c>
      <c r="H1545" s="1">
        <v>150</v>
      </c>
      <c r="I1545" s="1">
        <v>100</v>
      </c>
      <c r="J1545" s="1">
        <v>56.213000000000001</v>
      </c>
      <c r="K1545" s="1">
        <v>87.575000000000003</v>
      </c>
      <c r="L1545" s="1">
        <v>56.21</v>
      </c>
      <c r="M1545" s="1">
        <v>80.2</v>
      </c>
      <c r="N1545" s="1">
        <v>3.1009999999999999E-2</v>
      </c>
      <c r="O1545" s="1">
        <v>2.4340000000000001E-4</v>
      </c>
      <c r="P1545" s="1">
        <f>(Table1[[#This Row],[Rate_Constant_k2_g_mg_min]]*Table1[[#This Row],[Contact_Time_min]]*Table1[[#This Row],[qe_mg_g]]^2)/(1+Table1[[#This Row],[Contact_Time_min]]*Table1[[#This Row],[qe_mg_g]]*Table1[[#This Row],[Rate_Constant_k2_g_mg_min]])</f>
        <v>34.935263090422737</v>
      </c>
      <c r="Q1545" s="1">
        <f>LN(Table1[[#This Row],[qe_mg_g]]-Table1[[#This Row],[qt]])</f>
        <v>3.0576613105839181</v>
      </c>
      <c r="R1545" s="1">
        <v>2</v>
      </c>
    </row>
    <row r="1546" spans="1:18" x14ac:dyDescent="0.3">
      <c r="A1546" s="1">
        <v>1545</v>
      </c>
      <c r="B1546" s="1" t="s">
        <v>18</v>
      </c>
      <c r="C1546" s="1">
        <v>2</v>
      </c>
      <c r="D1546" s="1">
        <v>120</v>
      </c>
      <c r="E1546" s="1">
        <v>200</v>
      </c>
      <c r="F1546" s="1">
        <v>7</v>
      </c>
      <c r="G1546" s="1">
        <v>25</v>
      </c>
      <c r="H1546" s="1">
        <v>150</v>
      </c>
      <c r="I1546" s="1">
        <v>100</v>
      </c>
      <c r="J1546" s="1">
        <v>57.389000000000003</v>
      </c>
      <c r="K1546" s="1">
        <v>85.222999999999999</v>
      </c>
      <c r="L1546" s="1">
        <v>57.39</v>
      </c>
      <c r="M1546" s="1">
        <v>81.8</v>
      </c>
      <c r="N1546" s="1">
        <v>3.4770000000000002E-2</v>
      </c>
      <c r="O1546" s="1">
        <v>2.719E-4</v>
      </c>
      <c r="P1546" s="1">
        <f>(Table1[[#This Row],[Rate_Constant_k2_g_mg_min]]*Table1[[#This Row],[Contact_Time_min]]*Table1[[#This Row],[qe_mg_g]]^2)/(1+Table1[[#This Row],[Contact_Time_min]]*Table1[[#This Row],[qe_mg_g]]*Table1[[#This Row],[Rate_Constant_k2_g_mg_min]])</f>
        <v>37.410154425648741</v>
      </c>
      <c r="Q1546" s="1">
        <f>LN(Table1[[#This Row],[qe_mg_g]]-Table1[[#This Row],[qt]])</f>
        <v>2.9946739924896346</v>
      </c>
      <c r="R1546" s="1">
        <v>3</v>
      </c>
    </row>
    <row r="1547" spans="1:18" x14ac:dyDescent="0.3">
      <c r="A1547" s="1">
        <v>1546</v>
      </c>
      <c r="B1547" s="1" t="s">
        <v>18</v>
      </c>
      <c r="C1547" s="1">
        <v>2</v>
      </c>
      <c r="D1547" s="1">
        <v>120</v>
      </c>
      <c r="E1547" s="1">
        <v>200</v>
      </c>
      <c r="F1547" s="1">
        <v>11</v>
      </c>
      <c r="G1547" s="1">
        <v>25</v>
      </c>
      <c r="H1547" s="1">
        <v>150</v>
      </c>
      <c r="I1547" s="1">
        <v>100</v>
      </c>
      <c r="J1547" s="1">
        <v>51.223999999999997</v>
      </c>
      <c r="K1547" s="1">
        <v>97.551000000000002</v>
      </c>
      <c r="L1547" s="1">
        <v>51.22</v>
      </c>
      <c r="M1547" s="1">
        <v>95.4</v>
      </c>
      <c r="N1547" s="1">
        <v>2.4809999999999999E-2</v>
      </c>
      <c r="O1547" s="1">
        <v>2.988E-4</v>
      </c>
      <c r="P1547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33.166319838217618</v>
      </c>
      <c r="Q1547" s="1">
        <f>LN(Table1[[#This Row],[qe_mg_g]]-Table1[[#This Row],[qt]])</f>
        <v>2.8935710880096592</v>
      </c>
      <c r="R1547" s="1">
        <v>1</v>
      </c>
    </row>
    <row r="1548" spans="1:18" x14ac:dyDescent="0.3">
      <c r="A1548" s="1">
        <v>1547</v>
      </c>
      <c r="B1548" s="1" t="s">
        <v>18</v>
      </c>
      <c r="C1548" s="1">
        <v>2</v>
      </c>
      <c r="D1548" s="1">
        <v>120</v>
      </c>
      <c r="E1548" s="1">
        <v>200</v>
      </c>
      <c r="F1548" s="1">
        <v>11</v>
      </c>
      <c r="G1548" s="1">
        <v>25</v>
      </c>
      <c r="H1548" s="1">
        <v>150</v>
      </c>
      <c r="I1548" s="1">
        <v>100</v>
      </c>
      <c r="J1548" s="1">
        <v>46.875</v>
      </c>
      <c r="K1548" s="1">
        <v>106.25</v>
      </c>
      <c r="L1548" s="1">
        <v>46.88</v>
      </c>
      <c r="M1548" s="1">
        <v>88.8</v>
      </c>
      <c r="N1548" s="1">
        <v>3.125E-2</v>
      </c>
      <c r="O1548" s="1">
        <v>2.7920000000000001E-4</v>
      </c>
      <c r="P1548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28.639248200739157</v>
      </c>
      <c r="Q1548" s="1">
        <f>LN(Table1[[#This Row],[qe_mg_g]]-Table1[[#This Row],[qt]])</f>
        <v>2.9033840517771523</v>
      </c>
      <c r="R1548" s="1">
        <v>2</v>
      </c>
    </row>
    <row r="1549" spans="1:18" x14ac:dyDescent="0.3">
      <c r="A1549" s="1">
        <v>1548</v>
      </c>
      <c r="B1549" s="1" t="s">
        <v>18</v>
      </c>
      <c r="C1549" s="1">
        <v>2</v>
      </c>
      <c r="D1549" s="1">
        <v>120</v>
      </c>
      <c r="E1549" s="1">
        <v>200</v>
      </c>
      <c r="F1549" s="1">
        <v>11</v>
      </c>
      <c r="G1549" s="1">
        <v>25</v>
      </c>
      <c r="H1549" s="1">
        <v>150</v>
      </c>
      <c r="I1549" s="1">
        <v>100</v>
      </c>
      <c r="J1549" s="1">
        <v>47.036999999999999</v>
      </c>
      <c r="K1549" s="1">
        <v>105.92700000000001</v>
      </c>
      <c r="L1549" s="1">
        <v>47.04</v>
      </c>
      <c r="M1549" s="1">
        <v>119.2</v>
      </c>
      <c r="N1549" s="1">
        <v>3.3250000000000002E-2</v>
      </c>
      <c r="O1549" s="1">
        <v>2.231E-4</v>
      </c>
      <c r="P1549" s="1">
        <f>(Table1[[#This Row],[Rate_Constant_k2_g_mg_min]]*Table1[[#This Row],[Contact_Time_min]]*Table1[[#This Row],[qe_mg_g]]^2)/(1+Table1[[#This Row],[Contact_Time_min]]*Table1[[#This Row],[qe_mg_g]]*Table1[[#This Row],[Rate_Constant_k2_g_mg_min]])</f>
        <v>26.21748529846592</v>
      </c>
      <c r="Q1549" s="1">
        <f>LN(Table1[[#This Row],[qe_mg_g]]-Table1[[#This Row],[qt]])</f>
        <v>3.0358907536708775</v>
      </c>
      <c r="R1549" s="1">
        <v>3</v>
      </c>
    </row>
    <row r="1550" spans="1:18" x14ac:dyDescent="0.3">
      <c r="A1550" s="1">
        <v>1549</v>
      </c>
      <c r="B1550" s="1" t="s">
        <v>18</v>
      </c>
      <c r="C1550" s="1">
        <v>2</v>
      </c>
      <c r="D1550" s="1">
        <v>240</v>
      </c>
      <c r="E1550" s="1">
        <v>25</v>
      </c>
      <c r="F1550" s="1">
        <v>3</v>
      </c>
      <c r="G1550" s="1">
        <v>25</v>
      </c>
      <c r="H1550" s="1">
        <v>150</v>
      </c>
      <c r="I1550" s="1">
        <v>100</v>
      </c>
      <c r="J1550" s="1">
        <v>2.76</v>
      </c>
      <c r="K1550" s="1">
        <v>19.48</v>
      </c>
      <c r="L1550" s="1">
        <v>22.08</v>
      </c>
      <c r="M1550" s="1">
        <v>114.4</v>
      </c>
      <c r="N1550" s="1">
        <v>2.1860000000000001E-2</v>
      </c>
      <c r="O1550" s="1">
        <v>2.4630000000000002E-4</v>
      </c>
      <c r="P155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0.38713142060409245</v>
      </c>
      <c r="Q1550" s="1">
        <f>LN(Table1[[#This Row],[qe_mg_g]]-Table1[[#This Row],[qt]])</f>
        <v>0.86409959429164984</v>
      </c>
      <c r="R1550" s="1">
        <v>1</v>
      </c>
    </row>
    <row r="1551" spans="1:18" x14ac:dyDescent="0.3">
      <c r="A1551" s="1">
        <v>1550</v>
      </c>
      <c r="B1551" s="1" t="s">
        <v>18</v>
      </c>
      <c r="C1551" s="1">
        <v>2</v>
      </c>
      <c r="D1551" s="1">
        <v>240</v>
      </c>
      <c r="E1551" s="1">
        <v>25</v>
      </c>
      <c r="F1551" s="1">
        <v>3</v>
      </c>
      <c r="G1551" s="1">
        <v>25</v>
      </c>
      <c r="H1551" s="1">
        <v>150</v>
      </c>
      <c r="I1551" s="1">
        <v>100</v>
      </c>
      <c r="J1551" s="1">
        <v>2.56</v>
      </c>
      <c r="K1551" s="1">
        <v>19.88</v>
      </c>
      <c r="L1551" s="1">
        <v>20.48</v>
      </c>
      <c r="M1551" s="1">
        <v>92.9</v>
      </c>
      <c r="N1551" s="1">
        <v>2.9100000000000001E-2</v>
      </c>
      <c r="O1551" s="1">
        <v>2.41E-4</v>
      </c>
      <c r="P155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0.33017158529651153</v>
      </c>
      <c r="Q1551" s="1">
        <f>LN(Table1[[#This Row],[qe_mg_g]]-Table1[[#This Row],[qt]])</f>
        <v>0.8019246384325267</v>
      </c>
      <c r="R1551" s="1">
        <v>2</v>
      </c>
    </row>
    <row r="1552" spans="1:18" x14ac:dyDescent="0.3">
      <c r="A1552" s="1">
        <v>1551</v>
      </c>
      <c r="B1552" s="1" t="s">
        <v>18</v>
      </c>
      <c r="C1552" s="1">
        <v>2</v>
      </c>
      <c r="D1552" s="1">
        <v>240</v>
      </c>
      <c r="E1552" s="1">
        <v>25</v>
      </c>
      <c r="F1552" s="1">
        <v>3</v>
      </c>
      <c r="G1552" s="1">
        <v>25</v>
      </c>
      <c r="H1552" s="1">
        <v>150</v>
      </c>
      <c r="I1552" s="1">
        <v>100</v>
      </c>
      <c r="J1552" s="1">
        <v>2.7919999999999998</v>
      </c>
      <c r="K1552" s="1">
        <v>19.414999999999999</v>
      </c>
      <c r="L1552" s="1">
        <v>22.34</v>
      </c>
      <c r="M1552" s="1">
        <v>83.5</v>
      </c>
      <c r="N1552" s="1">
        <v>3.6880000000000003E-2</v>
      </c>
      <c r="O1552" s="1">
        <v>2.967E-4</v>
      </c>
      <c r="P155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0.46302908055858344</v>
      </c>
      <c r="Q1552" s="1">
        <f>LN(Table1[[#This Row],[qe_mg_g]]-Table1[[#This Row],[qt]])</f>
        <v>0.84542650453889812</v>
      </c>
      <c r="R1552" s="1">
        <v>3</v>
      </c>
    </row>
    <row r="1553" spans="1:18" x14ac:dyDescent="0.3">
      <c r="A1553" s="1">
        <v>1552</v>
      </c>
      <c r="B1553" s="1" t="s">
        <v>18</v>
      </c>
      <c r="C1553" s="1">
        <v>2</v>
      </c>
      <c r="D1553" s="1">
        <v>240</v>
      </c>
      <c r="E1553" s="1">
        <v>25</v>
      </c>
      <c r="F1553" s="1">
        <v>7</v>
      </c>
      <c r="G1553" s="1">
        <v>25</v>
      </c>
      <c r="H1553" s="1">
        <v>150</v>
      </c>
      <c r="I1553" s="1">
        <v>100</v>
      </c>
      <c r="J1553" s="1">
        <v>4.1920000000000002</v>
      </c>
      <c r="K1553" s="1">
        <v>16.614999999999998</v>
      </c>
      <c r="L1553" s="1">
        <v>33.54</v>
      </c>
      <c r="M1553" s="1">
        <v>123.7</v>
      </c>
      <c r="N1553" s="1">
        <v>2.8799999999999999E-2</v>
      </c>
      <c r="O1553" s="1">
        <v>2.5319999999999997E-4</v>
      </c>
      <c r="P155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0.85106736258718563</v>
      </c>
      <c r="Q1553" s="1">
        <f>LN(Table1[[#This Row],[qe_mg_g]]-Table1[[#This Row],[qt]])</f>
        <v>1.206250000768726</v>
      </c>
      <c r="R1553" s="1">
        <v>1</v>
      </c>
    </row>
    <row r="1554" spans="1:18" x14ac:dyDescent="0.3">
      <c r="A1554" s="1">
        <v>1553</v>
      </c>
      <c r="B1554" s="1" t="s">
        <v>18</v>
      </c>
      <c r="C1554" s="1">
        <v>2</v>
      </c>
      <c r="D1554" s="1">
        <v>240</v>
      </c>
      <c r="E1554" s="1">
        <v>25</v>
      </c>
      <c r="F1554" s="1">
        <v>7</v>
      </c>
      <c r="G1554" s="1">
        <v>25</v>
      </c>
      <c r="H1554" s="1">
        <v>150</v>
      </c>
      <c r="I1554" s="1">
        <v>100</v>
      </c>
      <c r="J1554" s="1">
        <v>4.6550000000000002</v>
      </c>
      <c r="K1554" s="1">
        <v>15.689</v>
      </c>
      <c r="L1554" s="1">
        <v>37.24</v>
      </c>
      <c r="M1554" s="1">
        <v>90.1</v>
      </c>
      <c r="N1554" s="1">
        <v>3.295E-2</v>
      </c>
      <c r="O1554" s="1">
        <v>2.5310000000000003E-4</v>
      </c>
      <c r="P155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1.0261154447415912</v>
      </c>
      <c r="Q1554" s="1">
        <f>LN(Table1[[#This Row],[qe_mg_g]]-Table1[[#This Row],[qt]])</f>
        <v>1.2889253160022538</v>
      </c>
      <c r="R1554" s="1">
        <v>2</v>
      </c>
    </row>
    <row r="1555" spans="1:18" x14ac:dyDescent="0.3">
      <c r="A1555" s="1">
        <v>1554</v>
      </c>
      <c r="B1555" s="1" t="s">
        <v>18</v>
      </c>
      <c r="C1555" s="1">
        <v>2</v>
      </c>
      <c r="D1555" s="1">
        <v>240</v>
      </c>
      <c r="E1555" s="1">
        <v>25</v>
      </c>
      <c r="F1555" s="1">
        <v>7</v>
      </c>
      <c r="G1555" s="1">
        <v>25</v>
      </c>
      <c r="H1555" s="1">
        <v>150</v>
      </c>
      <c r="I1555" s="1">
        <v>100</v>
      </c>
      <c r="J1555" s="1">
        <v>4.4809999999999999</v>
      </c>
      <c r="K1555" s="1">
        <v>16.036999999999999</v>
      </c>
      <c r="L1555" s="1">
        <v>35.85</v>
      </c>
      <c r="M1555" s="1">
        <v>80.400000000000006</v>
      </c>
      <c r="N1555" s="1">
        <v>2.7320000000000001E-2</v>
      </c>
      <c r="O1555" s="1">
        <v>2.0900000000000001E-4</v>
      </c>
      <c r="P155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0.82234480570899804</v>
      </c>
      <c r="Q1555" s="1">
        <f>LN(Table1[[#This Row],[qe_mg_g]]-Table1[[#This Row],[qt]])</f>
        <v>1.2970956466393124</v>
      </c>
      <c r="R1555" s="1">
        <v>3</v>
      </c>
    </row>
    <row r="1556" spans="1:18" x14ac:dyDescent="0.3">
      <c r="A1556" s="1">
        <v>1555</v>
      </c>
      <c r="B1556" s="1" t="s">
        <v>18</v>
      </c>
      <c r="C1556" s="1">
        <v>2</v>
      </c>
      <c r="D1556" s="1">
        <v>240</v>
      </c>
      <c r="E1556" s="1">
        <v>25</v>
      </c>
      <c r="F1556" s="1">
        <v>11</v>
      </c>
      <c r="G1556" s="1">
        <v>25</v>
      </c>
      <c r="H1556" s="1">
        <v>150</v>
      </c>
      <c r="I1556" s="1">
        <v>100</v>
      </c>
      <c r="J1556" s="1">
        <v>3.6110000000000002</v>
      </c>
      <c r="K1556" s="1">
        <v>17.777000000000001</v>
      </c>
      <c r="L1556" s="1">
        <v>28.89</v>
      </c>
      <c r="M1556" s="1">
        <v>82.1</v>
      </c>
      <c r="N1556" s="1">
        <v>2.92E-2</v>
      </c>
      <c r="O1556" s="1">
        <v>2.8430000000000003E-4</v>
      </c>
      <c r="P155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0.71382310736812726</v>
      </c>
      <c r="Q1556" s="1">
        <f>LN(Table1[[#This Row],[qe_mg_g]]-Table1[[#This Row],[qt]])</f>
        <v>1.06373677754852</v>
      </c>
      <c r="R1556" s="1">
        <v>1</v>
      </c>
    </row>
    <row r="1557" spans="1:18" x14ac:dyDescent="0.3">
      <c r="A1557" s="1">
        <v>1556</v>
      </c>
      <c r="B1557" s="1" t="s">
        <v>18</v>
      </c>
      <c r="C1557" s="1">
        <v>2</v>
      </c>
      <c r="D1557" s="1">
        <v>240</v>
      </c>
      <c r="E1557" s="1">
        <v>25</v>
      </c>
      <c r="F1557" s="1">
        <v>11</v>
      </c>
      <c r="G1557" s="1">
        <v>25</v>
      </c>
      <c r="H1557" s="1">
        <v>150</v>
      </c>
      <c r="I1557" s="1">
        <v>100</v>
      </c>
      <c r="J1557" s="1">
        <v>3.9969999999999999</v>
      </c>
      <c r="K1557" s="1">
        <v>17.007000000000001</v>
      </c>
      <c r="L1557" s="1">
        <v>31.97</v>
      </c>
      <c r="M1557" s="1">
        <v>99.5</v>
      </c>
      <c r="N1557" s="1">
        <v>2.9739999999999999E-2</v>
      </c>
      <c r="O1557" s="1">
        <v>2.9700000000000001E-4</v>
      </c>
      <c r="P155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0.88626699518663676</v>
      </c>
      <c r="Q1557" s="1">
        <f>LN(Table1[[#This Row],[qe_mg_g]]-Table1[[#This Row],[qt]])</f>
        <v>1.134858391285976</v>
      </c>
      <c r="R1557" s="1">
        <v>2</v>
      </c>
    </row>
    <row r="1558" spans="1:18" x14ac:dyDescent="0.3">
      <c r="A1558" s="1">
        <v>1557</v>
      </c>
      <c r="B1558" s="1" t="s">
        <v>18</v>
      </c>
      <c r="C1558" s="1">
        <v>2</v>
      </c>
      <c r="D1558" s="1">
        <v>240</v>
      </c>
      <c r="E1558" s="1">
        <v>25</v>
      </c>
      <c r="F1558" s="1">
        <v>11</v>
      </c>
      <c r="G1558" s="1">
        <v>25</v>
      </c>
      <c r="H1558" s="1">
        <v>150</v>
      </c>
      <c r="I1558" s="1">
        <v>100</v>
      </c>
      <c r="J1558" s="1">
        <v>3.7759999999999998</v>
      </c>
      <c r="K1558" s="1">
        <v>17.446999999999999</v>
      </c>
      <c r="L1558" s="1">
        <v>30.21</v>
      </c>
      <c r="M1558" s="1">
        <v>95.1</v>
      </c>
      <c r="N1558" s="1">
        <v>2.572E-2</v>
      </c>
      <c r="O1558" s="1">
        <v>2.5980000000000003E-4</v>
      </c>
      <c r="P155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0.71960189160996968</v>
      </c>
      <c r="Q1558" s="1">
        <f>LN(Table1[[#This Row],[qe_mg_g]]-Table1[[#This Row],[qt]])</f>
        <v>1.1172371338897711</v>
      </c>
      <c r="R1558" s="1">
        <v>3</v>
      </c>
    </row>
    <row r="1559" spans="1:18" x14ac:dyDescent="0.3">
      <c r="A1559" s="1">
        <v>1558</v>
      </c>
      <c r="B1559" s="1" t="s">
        <v>18</v>
      </c>
      <c r="C1559" s="1">
        <v>2</v>
      </c>
      <c r="D1559" s="1">
        <v>240</v>
      </c>
      <c r="E1559" s="1">
        <v>50</v>
      </c>
      <c r="F1559" s="1">
        <v>3</v>
      </c>
      <c r="G1559" s="1">
        <v>25</v>
      </c>
      <c r="H1559" s="1">
        <v>150</v>
      </c>
      <c r="I1559" s="1">
        <v>100</v>
      </c>
      <c r="J1559" s="1">
        <v>9.2850000000000001</v>
      </c>
      <c r="K1559" s="1">
        <v>31.43</v>
      </c>
      <c r="L1559" s="1">
        <v>37.14</v>
      </c>
      <c r="M1559" s="1">
        <v>90.5</v>
      </c>
      <c r="N1559" s="1">
        <v>3.0870000000000002E-2</v>
      </c>
      <c r="O1559" s="1">
        <v>2.409E-4</v>
      </c>
      <c r="P155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3.2433096426627439</v>
      </c>
      <c r="Q1559" s="1">
        <f>LN(Table1[[#This Row],[qe_mg_g]]-Table1[[#This Row],[qt]])</f>
        <v>1.7986838332793831</v>
      </c>
      <c r="R1559" s="1">
        <v>1</v>
      </c>
    </row>
    <row r="1560" spans="1:18" x14ac:dyDescent="0.3">
      <c r="A1560" s="1">
        <v>1559</v>
      </c>
      <c r="B1560" s="1" t="s">
        <v>18</v>
      </c>
      <c r="C1560" s="1">
        <v>2</v>
      </c>
      <c r="D1560" s="1">
        <v>240</v>
      </c>
      <c r="E1560" s="1">
        <v>50</v>
      </c>
      <c r="F1560" s="1">
        <v>3</v>
      </c>
      <c r="G1560" s="1">
        <v>25</v>
      </c>
      <c r="H1560" s="1">
        <v>150</v>
      </c>
      <c r="I1560" s="1">
        <v>100</v>
      </c>
      <c r="J1560" s="1">
        <v>8.4969999999999999</v>
      </c>
      <c r="K1560" s="1">
        <v>33.006</v>
      </c>
      <c r="L1560" s="1">
        <v>33.99</v>
      </c>
      <c r="M1560" s="1">
        <v>62.7</v>
      </c>
      <c r="N1560" s="1">
        <v>2.9329999999999998E-2</v>
      </c>
      <c r="O1560" s="1">
        <v>2.742E-4</v>
      </c>
      <c r="P156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3.0473076245841115</v>
      </c>
      <c r="Q1560" s="1">
        <f>LN(Table1[[#This Row],[qe_mg_g]]-Table1[[#This Row],[qt]])</f>
        <v>1.6955591622042621</v>
      </c>
      <c r="R1560" s="1">
        <v>2</v>
      </c>
    </row>
    <row r="1561" spans="1:18" x14ac:dyDescent="0.3">
      <c r="A1561" s="1">
        <v>1560</v>
      </c>
      <c r="B1561" s="1" t="s">
        <v>18</v>
      </c>
      <c r="C1561" s="1">
        <v>2</v>
      </c>
      <c r="D1561" s="1">
        <v>240</v>
      </c>
      <c r="E1561" s="1">
        <v>50</v>
      </c>
      <c r="F1561" s="1">
        <v>3</v>
      </c>
      <c r="G1561" s="1">
        <v>25</v>
      </c>
      <c r="H1561" s="1">
        <v>150</v>
      </c>
      <c r="I1561" s="1">
        <v>100</v>
      </c>
      <c r="J1561" s="1">
        <v>8.1489999999999991</v>
      </c>
      <c r="K1561" s="1">
        <v>33.701999999999998</v>
      </c>
      <c r="L1561" s="1">
        <v>32.6</v>
      </c>
      <c r="M1561" s="1">
        <v>100.8</v>
      </c>
      <c r="N1561" s="1">
        <v>2.7730000000000001E-2</v>
      </c>
      <c r="O1561" s="1">
        <v>2.5900000000000001E-4</v>
      </c>
      <c r="P156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2.7399235418247652</v>
      </c>
      <c r="Q1561" s="1">
        <f>LN(Table1[[#This Row],[qe_mg_g]]-Table1[[#This Row],[qt]])</f>
        <v>1.6880783681517888</v>
      </c>
      <c r="R1561" s="1">
        <v>3</v>
      </c>
    </row>
    <row r="1562" spans="1:18" x14ac:dyDescent="0.3">
      <c r="A1562" s="1">
        <v>1561</v>
      </c>
      <c r="B1562" s="1" t="s">
        <v>18</v>
      </c>
      <c r="C1562" s="1">
        <v>2</v>
      </c>
      <c r="D1562" s="1">
        <v>240</v>
      </c>
      <c r="E1562" s="1">
        <v>50</v>
      </c>
      <c r="F1562" s="1">
        <v>7</v>
      </c>
      <c r="G1562" s="1">
        <v>25</v>
      </c>
      <c r="H1562" s="1">
        <v>150</v>
      </c>
      <c r="I1562" s="1">
        <v>100</v>
      </c>
      <c r="J1562" s="1">
        <v>12.859</v>
      </c>
      <c r="K1562" s="1">
        <v>24.283000000000001</v>
      </c>
      <c r="L1562" s="1">
        <v>51.43</v>
      </c>
      <c r="M1562" s="1">
        <v>85.9</v>
      </c>
      <c r="N1562" s="1">
        <v>3.4000000000000002E-2</v>
      </c>
      <c r="O1562" s="1">
        <v>2.7320000000000003E-4</v>
      </c>
      <c r="P156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5.8823147831236273</v>
      </c>
      <c r="Q1562" s="1">
        <f>LN(Table1[[#This Row],[qe_mg_g]]-Table1[[#This Row],[qt]])</f>
        <v>1.9425739066791983</v>
      </c>
      <c r="R1562" s="1">
        <v>1</v>
      </c>
    </row>
    <row r="1563" spans="1:18" x14ac:dyDescent="0.3">
      <c r="A1563" s="1">
        <v>1562</v>
      </c>
      <c r="B1563" s="1" t="s">
        <v>18</v>
      </c>
      <c r="C1563" s="1">
        <v>2</v>
      </c>
      <c r="D1563" s="1">
        <v>240</v>
      </c>
      <c r="E1563" s="1">
        <v>50</v>
      </c>
      <c r="F1563" s="1">
        <v>7</v>
      </c>
      <c r="G1563" s="1">
        <v>25</v>
      </c>
      <c r="H1563" s="1">
        <v>150</v>
      </c>
      <c r="I1563" s="1">
        <v>100</v>
      </c>
      <c r="J1563" s="1">
        <v>12.4</v>
      </c>
      <c r="K1563" s="1">
        <v>25.2</v>
      </c>
      <c r="L1563" s="1">
        <v>49.6</v>
      </c>
      <c r="M1563" s="1">
        <v>107.5</v>
      </c>
      <c r="N1563" s="1">
        <v>3.1609999999999999E-2</v>
      </c>
      <c r="O1563" s="1">
        <v>2.6610000000000002E-4</v>
      </c>
      <c r="P156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5.4800235011330907</v>
      </c>
      <c r="Q1563" s="1">
        <f>LN(Table1[[#This Row],[qe_mg_g]]-Table1[[#This Row],[qt]])</f>
        <v>1.9344123735063128</v>
      </c>
      <c r="R1563" s="1">
        <v>2</v>
      </c>
    </row>
    <row r="1564" spans="1:18" x14ac:dyDescent="0.3">
      <c r="A1564" s="1">
        <v>1563</v>
      </c>
      <c r="B1564" s="1" t="s">
        <v>18</v>
      </c>
      <c r="C1564" s="1">
        <v>2</v>
      </c>
      <c r="D1564" s="1">
        <v>240</v>
      </c>
      <c r="E1564" s="1">
        <v>50</v>
      </c>
      <c r="F1564" s="1">
        <v>7</v>
      </c>
      <c r="G1564" s="1">
        <v>25</v>
      </c>
      <c r="H1564" s="1">
        <v>150</v>
      </c>
      <c r="I1564" s="1">
        <v>100</v>
      </c>
      <c r="J1564" s="1">
        <v>11.114000000000001</v>
      </c>
      <c r="K1564" s="1">
        <v>27.771000000000001</v>
      </c>
      <c r="L1564" s="1">
        <v>44.46</v>
      </c>
      <c r="M1564" s="1">
        <v>115.1</v>
      </c>
      <c r="N1564" s="1">
        <v>2.8289999999999999E-2</v>
      </c>
      <c r="O1564" s="1">
        <v>2.4110000000000001E-4</v>
      </c>
      <c r="P156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4.3499584656835255</v>
      </c>
      <c r="Q1564" s="1">
        <f>LN(Table1[[#This Row],[qe_mg_g]]-Table1[[#This Row],[qt]])</f>
        <v>1.9116205715137076</v>
      </c>
      <c r="R1564" s="1">
        <v>3</v>
      </c>
    </row>
    <row r="1565" spans="1:18" x14ac:dyDescent="0.3">
      <c r="A1565" s="1">
        <v>1564</v>
      </c>
      <c r="B1565" s="1" t="s">
        <v>18</v>
      </c>
      <c r="C1565" s="1">
        <v>2</v>
      </c>
      <c r="D1565" s="1">
        <v>240</v>
      </c>
      <c r="E1565" s="1">
        <v>50</v>
      </c>
      <c r="F1565" s="1">
        <v>11</v>
      </c>
      <c r="G1565" s="1">
        <v>25</v>
      </c>
      <c r="H1565" s="1">
        <v>150</v>
      </c>
      <c r="I1565" s="1">
        <v>100</v>
      </c>
      <c r="J1565" s="1">
        <v>12.852</v>
      </c>
      <c r="K1565" s="1">
        <v>24.295999999999999</v>
      </c>
      <c r="L1565" s="1">
        <v>51.41</v>
      </c>
      <c r="M1565" s="1">
        <v>104.5</v>
      </c>
      <c r="N1565" s="1">
        <v>2.8840000000000001E-2</v>
      </c>
      <c r="O1565" s="1">
        <v>1.9489999999999999E-4</v>
      </c>
      <c r="P1565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4.8253451705798804</v>
      </c>
      <c r="Q1565" s="1">
        <f>LN(Table1[[#This Row],[qe_mg_g]]-Table1[[#This Row],[qt]])</f>
        <v>2.082767857031405</v>
      </c>
      <c r="R1565" s="1">
        <v>1</v>
      </c>
    </row>
    <row r="1566" spans="1:18" x14ac:dyDescent="0.3">
      <c r="A1566" s="1">
        <v>1565</v>
      </c>
      <c r="B1566" s="1" t="s">
        <v>18</v>
      </c>
      <c r="C1566" s="1">
        <v>2</v>
      </c>
      <c r="D1566" s="1">
        <v>240</v>
      </c>
      <c r="E1566" s="1">
        <v>50</v>
      </c>
      <c r="F1566" s="1">
        <v>11</v>
      </c>
      <c r="G1566" s="1">
        <v>25</v>
      </c>
      <c r="H1566" s="1">
        <v>150</v>
      </c>
      <c r="I1566" s="1">
        <v>100</v>
      </c>
      <c r="J1566" s="1">
        <v>11.685</v>
      </c>
      <c r="K1566" s="1">
        <v>26.63</v>
      </c>
      <c r="L1566" s="1">
        <v>46.74</v>
      </c>
      <c r="M1566" s="1">
        <v>79.8</v>
      </c>
      <c r="N1566" s="1">
        <v>2.699E-2</v>
      </c>
      <c r="O1566" s="1">
        <v>2.4169999999999999E-4</v>
      </c>
      <c r="P156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4.7206201714378206</v>
      </c>
      <c r="Q1566" s="1">
        <f>LN(Table1[[#This Row],[qe_mg_g]]-Table1[[#This Row],[qt]])</f>
        <v>1.9408085621420574</v>
      </c>
      <c r="R1566" s="1">
        <v>2</v>
      </c>
    </row>
    <row r="1567" spans="1:18" x14ac:dyDescent="0.3">
      <c r="A1567" s="1">
        <v>1566</v>
      </c>
      <c r="B1567" s="1" t="s">
        <v>18</v>
      </c>
      <c r="C1567" s="1">
        <v>2</v>
      </c>
      <c r="D1567" s="1">
        <v>240</v>
      </c>
      <c r="E1567" s="1">
        <v>50</v>
      </c>
      <c r="F1567" s="1">
        <v>11</v>
      </c>
      <c r="G1567" s="1">
        <v>25</v>
      </c>
      <c r="H1567" s="1">
        <v>150</v>
      </c>
      <c r="I1567" s="1">
        <v>100</v>
      </c>
      <c r="J1567" s="1">
        <v>11.71</v>
      </c>
      <c r="K1567" s="1">
        <v>26.58</v>
      </c>
      <c r="L1567" s="1">
        <v>46.84</v>
      </c>
      <c r="M1567" s="1">
        <v>111.6</v>
      </c>
      <c r="N1567" s="1">
        <v>2.9530000000000001E-2</v>
      </c>
      <c r="O1567" s="1">
        <v>2.5769999999999998E-4</v>
      </c>
      <c r="P156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4.9186023658607914</v>
      </c>
      <c r="Q1567" s="1">
        <f>LN(Table1[[#This Row],[qe_mg_g]]-Table1[[#This Row],[qt]])</f>
        <v>1.9156567575229526</v>
      </c>
      <c r="R1567" s="1">
        <v>3</v>
      </c>
    </row>
    <row r="1568" spans="1:18" x14ac:dyDescent="0.3">
      <c r="A1568" s="1">
        <v>1567</v>
      </c>
      <c r="B1568" s="1" t="s">
        <v>18</v>
      </c>
      <c r="C1568" s="1">
        <v>2</v>
      </c>
      <c r="D1568" s="1">
        <v>240</v>
      </c>
      <c r="E1568" s="1">
        <v>100</v>
      </c>
      <c r="F1568" s="1">
        <v>3</v>
      </c>
      <c r="G1568" s="1">
        <v>25</v>
      </c>
      <c r="H1568" s="1">
        <v>150</v>
      </c>
      <c r="I1568" s="1">
        <v>100</v>
      </c>
      <c r="J1568" s="1">
        <v>21.076000000000001</v>
      </c>
      <c r="K1568" s="1">
        <v>57.847999999999999</v>
      </c>
      <c r="L1568" s="1">
        <v>42.15</v>
      </c>
      <c r="M1568" s="1">
        <v>102.1</v>
      </c>
      <c r="N1568" s="1">
        <v>3.022E-2</v>
      </c>
      <c r="O1568" s="1">
        <v>2.742E-4</v>
      </c>
      <c r="P1568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12.246393751439317</v>
      </c>
      <c r="Q1568" s="1">
        <f>LN(Table1[[#This Row],[qe_mg_g]]-Table1[[#This Row],[qt]])</f>
        <v>2.1781104211596114</v>
      </c>
      <c r="R1568" s="1">
        <v>1</v>
      </c>
    </row>
    <row r="1569" spans="1:18" x14ac:dyDescent="0.3">
      <c r="A1569" s="1">
        <v>1568</v>
      </c>
      <c r="B1569" s="1" t="s">
        <v>18</v>
      </c>
      <c r="C1569" s="1">
        <v>2</v>
      </c>
      <c r="D1569" s="1">
        <v>240</v>
      </c>
      <c r="E1569" s="1">
        <v>100</v>
      </c>
      <c r="F1569" s="1">
        <v>3</v>
      </c>
      <c r="G1569" s="1">
        <v>25</v>
      </c>
      <c r="H1569" s="1">
        <v>150</v>
      </c>
      <c r="I1569" s="1">
        <v>100</v>
      </c>
      <c r="J1569" s="1">
        <v>24.219000000000001</v>
      </c>
      <c r="K1569" s="1">
        <v>51.561</v>
      </c>
      <c r="L1569" s="1">
        <v>48.44</v>
      </c>
      <c r="M1569" s="1">
        <v>107.4</v>
      </c>
      <c r="N1569" s="1">
        <v>2.8910000000000002E-2</v>
      </c>
      <c r="O1569" s="1">
        <v>2.6850000000000002E-4</v>
      </c>
      <c r="P1569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14.760937196525996</v>
      </c>
      <c r="Q1569" s="1">
        <f>LN(Table1[[#This Row],[qe_mg_g]]-Table1[[#This Row],[qt]])</f>
        <v>2.2468675844485282</v>
      </c>
      <c r="R1569" s="1">
        <v>2</v>
      </c>
    </row>
    <row r="1570" spans="1:18" x14ac:dyDescent="0.3">
      <c r="A1570" s="1">
        <v>1569</v>
      </c>
      <c r="B1570" s="1" t="s">
        <v>18</v>
      </c>
      <c r="C1570" s="1">
        <v>2</v>
      </c>
      <c r="D1570" s="1">
        <v>240</v>
      </c>
      <c r="E1570" s="1">
        <v>100</v>
      </c>
      <c r="F1570" s="1">
        <v>3</v>
      </c>
      <c r="G1570" s="1">
        <v>25</v>
      </c>
      <c r="H1570" s="1">
        <v>150</v>
      </c>
      <c r="I1570" s="1">
        <v>100</v>
      </c>
      <c r="J1570" s="1">
        <v>22.096</v>
      </c>
      <c r="K1570" s="1">
        <v>55.808999999999997</v>
      </c>
      <c r="L1570" s="1">
        <v>44.19</v>
      </c>
      <c r="M1570" s="1">
        <v>83.8</v>
      </c>
      <c r="N1570" s="1">
        <v>2.879E-2</v>
      </c>
      <c r="O1570" s="1">
        <v>2.521E-4</v>
      </c>
      <c r="P1570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12.640724125860089</v>
      </c>
      <c r="Q1570" s="1">
        <f>LN(Table1[[#This Row],[qe_mg_g]]-Table1[[#This Row],[qt]])</f>
        <v>2.2465728792775619</v>
      </c>
      <c r="R1570" s="1">
        <v>3</v>
      </c>
    </row>
    <row r="1571" spans="1:18" x14ac:dyDescent="0.3">
      <c r="A1571" s="1">
        <v>1570</v>
      </c>
      <c r="B1571" s="1" t="s">
        <v>18</v>
      </c>
      <c r="C1571" s="1">
        <v>2</v>
      </c>
      <c r="D1571" s="1">
        <v>240</v>
      </c>
      <c r="E1571" s="1">
        <v>100</v>
      </c>
      <c r="F1571" s="1">
        <v>7</v>
      </c>
      <c r="G1571" s="1">
        <v>25</v>
      </c>
      <c r="H1571" s="1">
        <v>150</v>
      </c>
      <c r="I1571" s="1">
        <v>100</v>
      </c>
      <c r="J1571" s="1">
        <v>34.984999999999999</v>
      </c>
      <c r="K1571" s="1">
        <v>30.03</v>
      </c>
      <c r="L1571" s="1">
        <v>69.97</v>
      </c>
      <c r="M1571" s="1">
        <v>97.2</v>
      </c>
      <c r="N1571" s="1">
        <v>2.6370000000000001E-2</v>
      </c>
      <c r="O1571" s="1">
        <v>2.5139999999999999E-4</v>
      </c>
      <c r="P1571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23.738895488589414</v>
      </c>
      <c r="Q1571" s="1">
        <f>LN(Table1[[#This Row],[qe_mg_g]]-Table1[[#This Row],[qt]])</f>
        <v>2.4200218030342433</v>
      </c>
      <c r="R1571" s="1">
        <v>1</v>
      </c>
    </row>
    <row r="1572" spans="1:18" x14ac:dyDescent="0.3">
      <c r="A1572" s="1">
        <v>1571</v>
      </c>
      <c r="B1572" s="1" t="s">
        <v>18</v>
      </c>
      <c r="C1572" s="1">
        <v>2</v>
      </c>
      <c r="D1572" s="1">
        <v>240</v>
      </c>
      <c r="E1572" s="1">
        <v>100</v>
      </c>
      <c r="F1572" s="1">
        <v>7</v>
      </c>
      <c r="G1572" s="1">
        <v>25</v>
      </c>
      <c r="H1572" s="1">
        <v>150</v>
      </c>
      <c r="I1572" s="1">
        <v>100</v>
      </c>
      <c r="J1572" s="1">
        <v>32.665999999999997</v>
      </c>
      <c r="K1572" s="1">
        <v>34.667000000000002</v>
      </c>
      <c r="L1572" s="1">
        <v>65.33</v>
      </c>
      <c r="M1572" s="1">
        <v>102.8</v>
      </c>
      <c r="N1572" s="1">
        <v>3.2759999999999997E-2</v>
      </c>
      <c r="O1572" s="1">
        <v>2.7549999999999997E-4</v>
      </c>
      <c r="P1572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22.328252307679218</v>
      </c>
      <c r="Q1572" s="1">
        <f>LN(Table1[[#This Row],[qe_mg_g]]-Table1[[#This Row],[qt]])</f>
        <v>2.3358020206258341</v>
      </c>
      <c r="R1572" s="1">
        <v>2</v>
      </c>
    </row>
    <row r="1573" spans="1:18" x14ac:dyDescent="0.3">
      <c r="A1573" s="1">
        <v>1572</v>
      </c>
      <c r="B1573" s="1" t="s">
        <v>18</v>
      </c>
      <c r="C1573" s="1">
        <v>2</v>
      </c>
      <c r="D1573" s="1">
        <v>240</v>
      </c>
      <c r="E1573" s="1">
        <v>100</v>
      </c>
      <c r="F1573" s="1">
        <v>7</v>
      </c>
      <c r="G1573" s="1">
        <v>25</v>
      </c>
      <c r="H1573" s="1">
        <v>150</v>
      </c>
      <c r="I1573" s="1">
        <v>100</v>
      </c>
      <c r="J1573" s="1">
        <v>30.606999999999999</v>
      </c>
      <c r="K1573" s="1">
        <v>38.786000000000001</v>
      </c>
      <c r="L1573" s="1">
        <v>61.21</v>
      </c>
      <c r="M1573" s="1">
        <v>90.8</v>
      </c>
      <c r="N1573" s="1">
        <v>2.6880000000000001E-2</v>
      </c>
      <c r="O1573" s="1">
        <v>2.675E-4</v>
      </c>
      <c r="P1573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20.284127865130749</v>
      </c>
      <c r="Q1573" s="1">
        <f>LN(Table1[[#This Row],[qe_mg_g]]-Table1[[#This Row],[qt]])</f>
        <v>2.3343620289753981</v>
      </c>
      <c r="R1573" s="1">
        <v>3</v>
      </c>
    </row>
    <row r="1574" spans="1:18" x14ac:dyDescent="0.3">
      <c r="A1574" s="1">
        <v>1573</v>
      </c>
      <c r="B1574" s="1" t="s">
        <v>18</v>
      </c>
      <c r="C1574" s="1">
        <v>2</v>
      </c>
      <c r="D1574" s="1">
        <v>240</v>
      </c>
      <c r="E1574" s="1">
        <v>100</v>
      </c>
      <c r="F1574" s="1">
        <v>11</v>
      </c>
      <c r="G1574" s="1">
        <v>25</v>
      </c>
      <c r="H1574" s="1">
        <v>150</v>
      </c>
      <c r="I1574" s="1">
        <v>100</v>
      </c>
      <c r="J1574" s="1">
        <v>29.678999999999998</v>
      </c>
      <c r="K1574" s="1">
        <v>40.642000000000003</v>
      </c>
      <c r="L1574" s="1">
        <v>59.36</v>
      </c>
      <c r="M1574" s="1">
        <v>95.3</v>
      </c>
      <c r="N1574" s="1">
        <v>2.928E-2</v>
      </c>
      <c r="O1574" s="1">
        <v>2.8669999999999998E-4</v>
      </c>
      <c r="P1574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19.923079245791108</v>
      </c>
      <c r="Q1574" s="1">
        <f>LN(Table1[[#This Row],[qe_mg_g]]-Table1[[#This Row],[qt]])</f>
        <v>2.2778743575458673</v>
      </c>
      <c r="R1574" s="1">
        <v>1</v>
      </c>
    </row>
    <row r="1575" spans="1:18" x14ac:dyDescent="0.3">
      <c r="A1575" s="1">
        <v>1574</v>
      </c>
      <c r="B1575" s="1" t="s">
        <v>18</v>
      </c>
      <c r="C1575" s="1">
        <v>2</v>
      </c>
      <c r="D1575" s="1">
        <v>240</v>
      </c>
      <c r="E1575" s="1">
        <v>100</v>
      </c>
      <c r="F1575" s="1">
        <v>11</v>
      </c>
      <c r="G1575" s="1">
        <v>25</v>
      </c>
      <c r="H1575" s="1">
        <v>150</v>
      </c>
      <c r="I1575" s="1">
        <v>100</v>
      </c>
      <c r="J1575" s="1">
        <v>27.45</v>
      </c>
      <c r="K1575" s="1">
        <v>45.1</v>
      </c>
      <c r="L1575" s="1">
        <v>54.9</v>
      </c>
      <c r="M1575" s="1">
        <v>106.5</v>
      </c>
      <c r="N1575" s="1">
        <v>2.6429999999999999E-2</v>
      </c>
      <c r="O1575" s="1">
        <v>2.6699999999999998E-4</v>
      </c>
      <c r="P1575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17.500728598374188</v>
      </c>
      <c r="Q1575" s="1">
        <f>LN(Table1[[#This Row],[qe_mg_g]]-Table1[[#This Row],[qt]])</f>
        <v>2.2974993225220941</v>
      </c>
      <c r="R1575" s="1">
        <v>2</v>
      </c>
    </row>
    <row r="1576" spans="1:18" x14ac:dyDescent="0.3">
      <c r="A1576" s="1">
        <v>1575</v>
      </c>
      <c r="B1576" s="1" t="s">
        <v>18</v>
      </c>
      <c r="C1576" s="1">
        <v>2</v>
      </c>
      <c r="D1576" s="1">
        <v>240</v>
      </c>
      <c r="E1576" s="1">
        <v>100</v>
      </c>
      <c r="F1576" s="1">
        <v>11</v>
      </c>
      <c r="G1576" s="1">
        <v>25</v>
      </c>
      <c r="H1576" s="1">
        <v>150</v>
      </c>
      <c r="I1576" s="1">
        <v>100</v>
      </c>
      <c r="J1576" s="1">
        <v>24.06</v>
      </c>
      <c r="K1576" s="1">
        <v>51.88</v>
      </c>
      <c r="L1576" s="1">
        <v>48.12</v>
      </c>
      <c r="M1576" s="1">
        <v>83</v>
      </c>
      <c r="N1576" s="1">
        <v>2.896E-2</v>
      </c>
      <c r="O1576" s="1">
        <v>2.354E-4</v>
      </c>
      <c r="P1576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13.862032960914537</v>
      </c>
      <c r="Q1576" s="1">
        <f>LN(Table1[[#This Row],[qe_mg_g]]-Table1[[#This Row],[qt]])</f>
        <v>2.3221883905317871</v>
      </c>
      <c r="R1576" s="1">
        <v>3</v>
      </c>
    </row>
    <row r="1577" spans="1:18" x14ac:dyDescent="0.3">
      <c r="A1577" s="1">
        <v>1576</v>
      </c>
      <c r="B1577" s="1" t="s">
        <v>18</v>
      </c>
      <c r="C1577" s="1">
        <v>2</v>
      </c>
      <c r="D1577" s="1">
        <v>240</v>
      </c>
      <c r="E1577" s="1">
        <v>200</v>
      </c>
      <c r="F1577" s="1">
        <v>3</v>
      </c>
      <c r="G1577" s="1">
        <v>25</v>
      </c>
      <c r="H1577" s="1">
        <v>150</v>
      </c>
      <c r="I1577" s="1">
        <v>100</v>
      </c>
      <c r="J1577" s="1">
        <v>47.225999999999999</v>
      </c>
      <c r="K1577" s="1">
        <v>105.547</v>
      </c>
      <c r="L1577" s="1">
        <v>47.23</v>
      </c>
      <c r="M1577" s="1">
        <v>78.400000000000006</v>
      </c>
      <c r="N1577" s="1">
        <v>3.288E-2</v>
      </c>
      <c r="O1577" s="1">
        <v>2.7819999999999999E-4</v>
      </c>
      <c r="P1577" s="1">
        <f>(Table1[[#This Row],[Rate_Constant_k2_g_mg_min]]*Table1[[#This Row],[Contact_Time_min]]*Table1[[#This Row],[qe_mg_g]]^2)/(1+Table1[[#This Row],[Contact_Time_min]]*Table1[[#This Row],[qe_mg_g]]*Table1[[#This Row],[Rate_Constant_k2_g_mg_min]])</f>
        <v>35.854969443630694</v>
      </c>
      <c r="Q1577" s="1">
        <f>LN(Table1[[#This Row],[qe_mg_g]]-Table1[[#This Row],[qt]])</f>
        <v>2.4310689418581561</v>
      </c>
      <c r="R1577" s="1">
        <v>1</v>
      </c>
    </row>
    <row r="1578" spans="1:18" x14ac:dyDescent="0.3">
      <c r="A1578" s="1">
        <v>1577</v>
      </c>
      <c r="B1578" s="1" t="s">
        <v>18</v>
      </c>
      <c r="C1578" s="1">
        <v>2</v>
      </c>
      <c r="D1578" s="1">
        <v>240</v>
      </c>
      <c r="E1578" s="1">
        <v>200</v>
      </c>
      <c r="F1578" s="1">
        <v>3</v>
      </c>
      <c r="G1578" s="1">
        <v>25</v>
      </c>
      <c r="H1578" s="1">
        <v>150</v>
      </c>
      <c r="I1578" s="1">
        <v>100</v>
      </c>
      <c r="J1578" s="1">
        <v>39.741999999999997</v>
      </c>
      <c r="K1578" s="1">
        <v>120.51600000000001</v>
      </c>
      <c r="L1578" s="1">
        <v>39.74</v>
      </c>
      <c r="M1578" s="1">
        <v>114.7</v>
      </c>
      <c r="N1578" s="1">
        <v>2.7570000000000001E-2</v>
      </c>
      <c r="O1578" s="1">
        <v>2.7139999999999998E-4</v>
      </c>
      <c r="P1578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28.667594000351741</v>
      </c>
      <c r="Q1578" s="1">
        <f>LN(Table1[[#This Row],[qe_mg_g]]-Table1[[#This Row],[qt]])</f>
        <v>2.404636680149554</v>
      </c>
      <c r="R1578" s="1">
        <v>2</v>
      </c>
    </row>
    <row r="1579" spans="1:18" x14ac:dyDescent="0.3">
      <c r="A1579" s="1">
        <v>1578</v>
      </c>
      <c r="B1579" s="1" t="s">
        <v>18</v>
      </c>
      <c r="C1579" s="1">
        <v>2</v>
      </c>
      <c r="D1579" s="1">
        <v>240</v>
      </c>
      <c r="E1579" s="1">
        <v>200</v>
      </c>
      <c r="F1579" s="1">
        <v>3</v>
      </c>
      <c r="G1579" s="1">
        <v>25</v>
      </c>
      <c r="H1579" s="1">
        <v>150</v>
      </c>
      <c r="I1579" s="1">
        <v>100</v>
      </c>
      <c r="J1579" s="1">
        <v>47.890999999999998</v>
      </c>
      <c r="K1579" s="1">
        <v>104.21899999999999</v>
      </c>
      <c r="L1579" s="1">
        <v>47.89</v>
      </c>
      <c r="M1579" s="1">
        <v>100.4</v>
      </c>
      <c r="N1579" s="1">
        <v>2.9440000000000001E-2</v>
      </c>
      <c r="O1579" s="1">
        <v>2.8029999999999998E-4</v>
      </c>
      <c r="P1579" s="1">
        <f>(Table1[[#This Row],[Rate_Constant_k2_g_mg_min]]*Table1[[#This Row],[Contact_Time_min]]*Table1[[#This Row],[qe_mg_g]]^2)/(1+Table1[[#This Row],[Contact_Time_min]]*Table1[[#This Row],[qe_mg_g]]*Table1[[#This Row],[Rate_Constant_k2_g_mg_min]])</f>
        <v>36.547054410265396</v>
      </c>
      <c r="Q1579" s="1">
        <f>LN(Table1[[#This Row],[qe_mg_g]]-Table1[[#This Row],[qt]])</f>
        <v>2.4286841733867495</v>
      </c>
      <c r="R1579" s="1">
        <v>3</v>
      </c>
    </row>
    <row r="1580" spans="1:18" x14ac:dyDescent="0.3">
      <c r="A1580" s="1">
        <v>1579</v>
      </c>
      <c r="B1580" s="1" t="s">
        <v>18</v>
      </c>
      <c r="C1580" s="1">
        <v>2</v>
      </c>
      <c r="D1580" s="1">
        <v>240</v>
      </c>
      <c r="E1580" s="1">
        <v>200</v>
      </c>
      <c r="F1580" s="1">
        <v>7</v>
      </c>
      <c r="G1580" s="1">
        <v>25</v>
      </c>
      <c r="H1580" s="1">
        <v>150</v>
      </c>
      <c r="I1580" s="1">
        <v>100</v>
      </c>
      <c r="J1580" s="1">
        <v>60.204999999999998</v>
      </c>
      <c r="K1580" s="1">
        <v>79.590999999999994</v>
      </c>
      <c r="L1580" s="1">
        <v>60.2</v>
      </c>
      <c r="M1580" s="1">
        <v>109.1</v>
      </c>
      <c r="N1580" s="1">
        <v>3.3300000000000003E-2</v>
      </c>
      <c r="O1580" s="1">
        <v>2.6790000000000001E-4</v>
      </c>
      <c r="P1580" s="1">
        <f>(Table1[[#This Row],[Rate_Constant_k2_g_mg_min]]*Table1[[#This Row],[Contact_Time_min]]*Table1[[#This Row],[qe_mg_g]]^2)/(1+Table1[[#This Row],[Contact_Time_min]]*Table1[[#This Row],[qe_mg_g]]*Table1[[#This Row],[Rate_Constant_k2_g_mg_min]])</f>
        <v>47.844964443171989</v>
      </c>
      <c r="Q1580" s="1">
        <f>LN(Table1[[#This Row],[qe_mg_g]]-Table1[[#This Row],[qt]])</f>
        <v>2.5144683287914269</v>
      </c>
      <c r="R1580" s="1">
        <v>1</v>
      </c>
    </row>
    <row r="1581" spans="1:18" x14ac:dyDescent="0.3">
      <c r="A1581" s="1">
        <v>1580</v>
      </c>
      <c r="B1581" s="1" t="s">
        <v>18</v>
      </c>
      <c r="C1581" s="1">
        <v>2</v>
      </c>
      <c r="D1581" s="1">
        <v>240</v>
      </c>
      <c r="E1581" s="1">
        <v>200</v>
      </c>
      <c r="F1581" s="1">
        <v>7</v>
      </c>
      <c r="G1581" s="1">
        <v>25</v>
      </c>
      <c r="H1581" s="1">
        <v>150</v>
      </c>
      <c r="I1581" s="1">
        <v>100</v>
      </c>
      <c r="J1581" s="1">
        <v>81.941999999999993</v>
      </c>
      <c r="K1581" s="1">
        <v>36.115000000000002</v>
      </c>
      <c r="L1581" s="1">
        <v>81.94</v>
      </c>
      <c r="M1581" s="1">
        <v>92.1</v>
      </c>
      <c r="N1581" s="1">
        <v>3.2870000000000003E-2</v>
      </c>
      <c r="O1581" s="1">
        <v>2.4729999999999999E-4</v>
      </c>
      <c r="P1581" s="1">
        <f>(Table1[[#This Row],[Rate_Constant_k2_g_mg_min]]*Table1[[#This Row],[Contact_Time_min]]*Table1[[#This Row],[qe_mg_g]]^2)/(1+Table1[[#This Row],[Contact_Time_min]]*Table1[[#This Row],[qe_mg_g]]*Table1[[#This Row],[Rate_Constant_k2_g_mg_min]])</f>
        <v>67.966883453101531</v>
      </c>
      <c r="Q1581" s="1">
        <f>LN(Table1[[#This Row],[qe_mg_g]]-Table1[[#This Row],[qt]])</f>
        <v>2.6372783586771189</v>
      </c>
      <c r="R1581" s="1">
        <v>2</v>
      </c>
    </row>
    <row r="1582" spans="1:18" x14ac:dyDescent="0.3">
      <c r="A1582" s="1">
        <v>1581</v>
      </c>
      <c r="B1582" s="1" t="s">
        <v>18</v>
      </c>
      <c r="C1582" s="1">
        <v>2</v>
      </c>
      <c r="D1582" s="1">
        <v>240</v>
      </c>
      <c r="E1582" s="1">
        <v>200</v>
      </c>
      <c r="F1582" s="1">
        <v>7</v>
      </c>
      <c r="G1582" s="1">
        <v>25</v>
      </c>
      <c r="H1582" s="1">
        <v>150</v>
      </c>
      <c r="I1582" s="1">
        <v>100</v>
      </c>
      <c r="J1582" s="1">
        <v>75.287000000000006</v>
      </c>
      <c r="K1582" s="1">
        <v>49.426000000000002</v>
      </c>
      <c r="L1582" s="1">
        <v>75.290000000000006</v>
      </c>
      <c r="M1582" s="1">
        <v>99.9</v>
      </c>
      <c r="N1582" s="1">
        <v>2.8840000000000001E-2</v>
      </c>
      <c r="O1582" s="1">
        <v>2.8269999999999999E-4</v>
      </c>
      <c r="P1582" s="1">
        <f>(Table1[[#This Row],[Rate_Constant_k2_g_mg_min]]*Table1[[#This Row],[Contact_Time_min]]*Table1[[#This Row],[qe_mg_g]]^2)/(1+Table1[[#This Row],[Contact_Time_min]]*Table1[[#This Row],[qe_mg_g]]*Table1[[#This Row],[Rate_Constant_k2_g_mg_min]])</f>
        <v>62.961180106997475</v>
      </c>
      <c r="Q1582" s="1">
        <f>LN(Table1[[#This Row],[qe_mg_g]]-Table1[[#This Row],[qt]])</f>
        <v>2.5116962404750391</v>
      </c>
      <c r="R1582" s="1">
        <v>3</v>
      </c>
    </row>
    <row r="1583" spans="1:18" x14ac:dyDescent="0.3">
      <c r="A1583" s="1">
        <v>1582</v>
      </c>
      <c r="B1583" s="1" t="s">
        <v>18</v>
      </c>
      <c r="C1583" s="1">
        <v>2</v>
      </c>
      <c r="D1583" s="1">
        <v>240</v>
      </c>
      <c r="E1583" s="1">
        <v>200</v>
      </c>
      <c r="F1583" s="1">
        <v>11</v>
      </c>
      <c r="G1583" s="1">
        <v>25</v>
      </c>
      <c r="H1583" s="1">
        <v>150</v>
      </c>
      <c r="I1583" s="1">
        <v>100</v>
      </c>
      <c r="J1583" s="1">
        <v>53.502000000000002</v>
      </c>
      <c r="K1583" s="1">
        <v>92.995999999999995</v>
      </c>
      <c r="L1583" s="1">
        <v>53.5</v>
      </c>
      <c r="M1583" s="1">
        <v>78.8</v>
      </c>
      <c r="N1583" s="1">
        <v>2.845E-2</v>
      </c>
      <c r="O1583" s="1">
        <v>2.655E-4</v>
      </c>
      <c r="P1583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41.367681352674389</v>
      </c>
      <c r="Q1583" s="1">
        <f>LN(Table1[[#This Row],[qe_mg_g]]-Table1[[#This Row],[qt]])</f>
        <v>2.4960376898746253</v>
      </c>
      <c r="R1583" s="1">
        <v>1</v>
      </c>
    </row>
    <row r="1584" spans="1:18" x14ac:dyDescent="0.3">
      <c r="A1584" s="1">
        <v>1583</v>
      </c>
      <c r="B1584" s="1" t="s">
        <v>18</v>
      </c>
      <c r="C1584" s="1">
        <v>2</v>
      </c>
      <c r="D1584" s="1">
        <v>240</v>
      </c>
      <c r="E1584" s="1">
        <v>200</v>
      </c>
      <c r="F1584" s="1">
        <v>11</v>
      </c>
      <c r="G1584" s="1">
        <v>25</v>
      </c>
      <c r="H1584" s="1">
        <v>150</v>
      </c>
      <c r="I1584" s="1">
        <v>100</v>
      </c>
      <c r="J1584" s="1">
        <v>62.991999999999997</v>
      </c>
      <c r="K1584" s="1">
        <v>74.016000000000005</v>
      </c>
      <c r="L1584" s="1">
        <v>62.99</v>
      </c>
      <c r="M1584" s="1">
        <v>101.7</v>
      </c>
      <c r="N1584" s="1">
        <v>3.3950000000000001E-2</v>
      </c>
      <c r="O1584" s="1">
        <v>2.1599999999999999E-4</v>
      </c>
      <c r="P1584" s="1">
        <f>(Table1[[#This Row],[Rate_Constant_k2_g_mg_min]]*Table1[[#This Row],[Contact_Time_min]]*Table1[[#This Row],[qe_mg_g]]^2)/(1+Table1[[#This Row],[Contact_Time_min]]*Table1[[#This Row],[qe_mg_g]]*Table1[[#This Row],[Rate_Constant_k2_g_mg_min]])</f>
        <v>48.224230213063997</v>
      </c>
      <c r="Q1584" s="1">
        <f>LN(Table1[[#This Row],[qe_mg_g]]-Table1[[#This Row],[qt]])</f>
        <v>2.6924470889970635</v>
      </c>
      <c r="R1584" s="1">
        <v>2</v>
      </c>
    </row>
    <row r="1585" spans="1:18" x14ac:dyDescent="0.3">
      <c r="A1585" s="1">
        <v>1584</v>
      </c>
      <c r="B1585" s="1" t="s">
        <v>18</v>
      </c>
      <c r="C1585" s="1">
        <v>2</v>
      </c>
      <c r="D1585" s="1">
        <v>240</v>
      </c>
      <c r="E1585" s="1">
        <v>200</v>
      </c>
      <c r="F1585" s="1">
        <v>11</v>
      </c>
      <c r="G1585" s="1">
        <v>25</v>
      </c>
      <c r="H1585" s="1">
        <v>150</v>
      </c>
      <c r="I1585" s="1">
        <v>100</v>
      </c>
      <c r="J1585" s="1">
        <v>53.744999999999997</v>
      </c>
      <c r="K1585" s="1">
        <v>92.509</v>
      </c>
      <c r="L1585" s="1">
        <v>53.75</v>
      </c>
      <c r="M1585" s="1">
        <v>95.7</v>
      </c>
      <c r="N1585" s="1">
        <v>2.9659999999999999E-2</v>
      </c>
      <c r="O1585" s="1">
        <v>2.521E-4</v>
      </c>
      <c r="P1585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41.104434060895258</v>
      </c>
      <c r="Q1585" s="1">
        <f>LN(Table1[[#This Row],[qe_mg_g]]-Table1[[#This Row],[qt]])</f>
        <v>2.5369111613797504</v>
      </c>
      <c r="R1585" s="1">
        <v>3</v>
      </c>
    </row>
    <row r="1586" spans="1:18" x14ac:dyDescent="0.3">
      <c r="A1586" s="1">
        <v>1585</v>
      </c>
      <c r="B1586" s="1" t="s">
        <v>18</v>
      </c>
      <c r="C1586" s="1">
        <v>4</v>
      </c>
      <c r="D1586" s="1">
        <v>30</v>
      </c>
      <c r="E1586" s="1">
        <v>25</v>
      </c>
      <c r="F1586" s="1">
        <v>3</v>
      </c>
      <c r="G1586" s="1">
        <v>25</v>
      </c>
      <c r="H1586" s="1">
        <v>150</v>
      </c>
      <c r="I1586" s="1">
        <v>100</v>
      </c>
      <c r="J1586" s="1">
        <v>0.14299999999999999</v>
      </c>
      <c r="K1586" s="1">
        <v>24.425999999999998</v>
      </c>
      <c r="L1586" s="1">
        <v>2.2999999999999998</v>
      </c>
      <c r="M1586" s="1">
        <v>93.3</v>
      </c>
      <c r="N1586" s="1">
        <v>3.0419999999999999E-2</v>
      </c>
      <c r="O1586" s="1">
        <v>2.4889999999999998E-4</v>
      </c>
      <c r="P158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1.5252981456207707E-4</v>
      </c>
      <c r="Q1586" s="1">
        <f>LN(Table1[[#This Row],[qe_mg_g]]-Table1[[#This Row],[qt]])</f>
        <v>-1.9459778600495854</v>
      </c>
      <c r="R1586" s="1">
        <v>1</v>
      </c>
    </row>
    <row r="1587" spans="1:18" x14ac:dyDescent="0.3">
      <c r="A1587" s="1">
        <v>1586</v>
      </c>
      <c r="B1587" s="1" t="s">
        <v>18</v>
      </c>
      <c r="C1587" s="1">
        <v>4</v>
      </c>
      <c r="D1587" s="1">
        <v>30</v>
      </c>
      <c r="E1587" s="1">
        <v>25</v>
      </c>
      <c r="F1587" s="1">
        <v>3</v>
      </c>
      <c r="G1587" s="1">
        <v>25</v>
      </c>
      <c r="H1587" s="1">
        <v>150</v>
      </c>
      <c r="I1587" s="1">
        <v>100</v>
      </c>
      <c r="J1587" s="1">
        <v>0.124</v>
      </c>
      <c r="K1587" s="1">
        <v>24.504999999999999</v>
      </c>
      <c r="L1587" s="1">
        <v>1.98</v>
      </c>
      <c r="M1587" s="1">
        <v>98.3</v>
      </c>
      <c r="N1587" s="1">
        <v>2.9569999999999999E-2</v>
      </c>
      <c r="O1587" s="1">
        <v>2.4590000000000001E-4</v>
      </c>
      <c r="P158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1.1332508810230859E-4</v>
      </c>
      <c r="Q1587" s="1">
        <f>LN(Table1[[#This Row],[qe_mg_g]]-Table1[[#This Row],[qt]])</f>
        <v>-2.0883880432501161</v>
      </c>
      <c r="R1587" s="1">
        <v>2</v>
      </c>
    </row>
    <row r="1588" spans="1:18" x14ac:dyDescent="0.3">
      <c r="A1588" s="1">
        <v>1587</v>
      </c>
      <c r="B1588" s="1" t="s">
        <v>18</v>
      </c>
      <c r="C1588" s="1">
        <v>4</v>
      </c>
      <c r="D1588" s="1">
        <v>30</v>
      </c>
      <c r="E1588" s="1">
        <v>25</v>
      </c>
      <c r="F1588" s="1">
        <v>3</v>
      </c>
      <c r="G1588" s="1">
        <v>25</v>
      </c>
      <c r="H1588" s="1">
        <v>150</v>
      </c>
      <c r="I1588" s="1">
        <v>100</v>
      </c>
      <c r="J1588" s="1">
        <v>0.13500000000000001</v>
      </c>
      <c r="K1588" s="1">
        <v>24.457999999999998</v>
      </c>
      <c r="L1588" s="1">
        <v>2.17</v>
      </c>
      <c r="M1588" s="1">
        <v>101.1</v>
      </c>
      <c r="N1588" s="1">
        <v>2.87E-2</v>
      </c>
      <c r="O1588" s="1">
        <v>2.8180000000000002E-4</v>
      </c>
      <c r="P158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1.5389850717274881E-4</v>
      </c>
      <c r="Q1588" s="1">
        <f>LN(Table1[[#This Row],[qe_mg_g]]-Table1[[#This Row],[qt]])</f>
        <v>-2.003621139767378</v>
      </c>
      <c r="R1588" s="1">
        <v>3</v>
      </c>
    </row>
    <row r="1589" spans="1:18" x14ac:dyDescent="0.3">
      <c r="A1589" s="1">
        <v>1588</v>
      </c>
      <c r="B1589" s="1" t="s">
        <v>18</v>
      </c>
      <c r="C1589" s="1">
        <v>4</v>
      </c>
      <c r="D1589" s="1">
        <v>30</v>
      </c>
      <c r="E1589" s="1">
        <v>25</v>
      </c>
      <c r="F1589" s="1">
        <v>7</v>
      </c>
      <c r="G1589" s="1">
        <v>25</v>
      </c>
      <c r="H1589" s="1">
        <v>150</v>
      </c>
      <c r="I1589" s="1">
        <v>100</v>
      </c>
      <c r="J1589" s="1">
        <v>0.21299999999999999</v>
      </c>
      <c r="K1589" s="1">
        <v>24.15</v>
      </c>
      <c r="L1589" s="1">
        <v>3.4</v>
      </c>
      <c r="M1589" s="1">
        <v>89.2</v>
      </c>
      <c r="N1589" s="1">
        <v>3.8339999999999999E-2</v>
      </c>
      <c r="O1589" s="1">
        <v>2.241E-4</v>
      </c>
      <c r="P158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3.0457962927545718E-4</v>
      </c>
      <c r="Q1589" s="1">
        <f>LN(Table1[[#This Row],[qe_mg_g]]-Table1[[#This Row],[qt]])</f>
        <v>-1.547894087939923</v>
      </c>
      <c r="R1589" s="1">
        <v>1</v>
      </c>
    </row>
    <row r="1590" spans="1:18" x14ac:dyDescent="0.3">
      <c r="A1590" s="1">
        <v>1589</v>
      </c>
      <c r="B1590" s="1" t="s">
        <v>18</v>
      </c>
      <c r="C1590" s="1">
        <v>4</v>
      </c>
      <c r="D1590" s="1">
        <v>30</v>
      </c>
      <c r="E1590" s="1">
        <v>25</v>
      </c>
      <c r="F1590" s="1">
        <v>7</v>
      </c>
      <c r="G1590" s="1">
        <v>25</v>
      </c>
      <c r="H1590" s="1">
        <v>150</v>
      </c>
      <c r="I1590" s="1">
        <v>100</v>
      </c>
      <c r="J1590" s="1">
        <v>0.20899999999999999</v>
      </c>
      <c r="K1590" s="1">
        <v>24.166</v>
      </c>
      <c r="L1590" s="1">
        <v>3.34</v>
      </c>
      <c r="M1590" s="1">
        <v>111</v>
      </c>
      <c r="N1590" s="1">
        <v>2.3769999999999999E-2</v>
      </c>
      <c r="O1590" s="1">
        <v>2.441E-4</v>
      </c>
      <c r="P159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3.1938713874843551E-4</v>
      </c>
      <c r="Q1590" s="1">
        <f>LN(Table1[[#This Row],[qe_mg_g]]-Table1[[#This Row],[qt]])</f>
        <v>-1.5669503639851636</v>
      </c>
      <c r="R1590" s="1">
        <v>2</v>
      </c>
    </row>
    <row r="1591" spans="1:18" x14ac:dyDescent="0.3">
      <c r="A1591" s="1">
        <v>1590</v>
      </c>
      <c r="B1591" s="1" t="s">
        <v>18</v>
      </c>
      <c r="C1591" s="1">
        <v>4</v>
      </c>
      <c r="D1591" s="1">
        <v>30</v>
      </c>
      <c r="E1591" s="1">
        <v>25</v>
      </c>
      <c r="F1591" s="1">
        <v>7</v>
      </c>
      <c r="G1591" s="1">
        <v>25</v>
      </c>
      <c r="H1591" s="1">
        <v>150</v>
      </c>
      <c r="I1591" s="1">
        <v>100</v>
      </c>
      <c r="J1591" s="1">
        <v>0.28299999999999997</v>
      </c>
      <c r="K1591" s="1">
        <v>23.866</v>
      </c>
      <c r="L1591" s="1">
        <v>4.53</v>
      </c>
      <c r="M1591" s="1">
        <v>76.8</v>
      </c>
      <c r="N1591" s="1">
        <v>2.4049999999999998E-2</v>
      </c>
      <c r="O1591" s="1">
        <v>2.1249999999999999E-4</v>
      </c>
      <c r="P1591" s="1">
        <f>(Table1[[#This Row],[Rate_Constant_k2_g_mg_min]]*Table1[[#This Row],[Contact_Time_min]]*Table1[[#This Row],[qe_mg_g]]^2)/(1+Table1[[#This Row],[Contact_Time_min]]*Table1[[#This Row],[qe_mg_g]]*Table1[[#This Row],[Rate_Constant_k2_g_mg_min]])</f>
        <v>5.0964790647073832E-4</v>
      </c>
      <c r="Q1591" s="1">
        <f>LN(Table1[[#This Row],[qe_mg_g]]-Table1[[#This Row],[qt]])</f>
        <v>-1.2641108808601427</v>
      </c>
      <c r="R1591" s="1">
        <v>3</v>
      </c>
    </row>
    <row r="1592" spans="1:18" x14ac:dyDescent="0.3">
      <c r="A1592" s="1">
        <v>1591</v>
      </c>
      <c r="B1592" s="1" t="s">
        <v>18</v>
      </c>
      <c r="C1592" s="1">
        <v>4</v>
      </c>
      <c r="D1592" s="1">
        <v>30</v>
      </c>
      <c r="E1592" s="1">
        <v>25</v>
      </c>
      <c r="F1592" s="1">
        <v>11</v>
      </c>
      <c r="G1592" s="1">
        <v>25</v>
      </c>
      <c r="H1592" s="1">
        <v>150</v>
      </c>
      <c r="I1592" s="1">
        <v>100</v>
      </c>
      <c r="J1592" s="1">
        <v>0.187</v>
      </c>
      <c r="K1592" s="1">
        <v>24.253</v>
      </c>
      <c r="L1592" s="1">
        <v>2.99</v>
      </c>
      <c r="M1592" s="1">
        <v>116.9</v>
      </c>
      <c r="N1592" s="1">
        <v>2.8459999999999999E-2</v>
      </c>
      <c r="O1592" s="1">
        <v>2.6709999999999999E-4</v>
      </c>
      <c r="P159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2.7978735495392903E-4</v>
      </c>
      <c r="Q1592" s="1">
        <f>LN(Table1[[#This Row],[qe_mg_g]]-Table1[[#This Row],[qt]])</f>
        <v>-1.6781439716000341</v>
      </c>
      <c r="R1592" s="1">
        <v>1</v>
      </c>
    </row>
    <row r="1593" spans="1:18" x14ac:dyDescent="0.3">
      <c r="A1593" s="1">
        <v>1592</v>
      </c>
      <c r="B1593" s="1" t="s">
        <v>18</v>
      </c>
      <c r="C1593" s="1">
        <v>4</v>
      </c>
      <c r="D1593" s="1">
        <v>30</v>
      </c>
      <c r="E1593" s="1">
        <v>25</v>
      </c>
      <c r="F1593" s="1">
        <v>11</v>
      </c>
      <c r="G1593" s="1">
        <v>25</v>
      </c>
      <c r="H1593" s="1">
        <v>150</v>
      </c>
      <c r="I1593" s="1">
        <v>100</v>
      </c>
      <c r="J1593" s="1">
        <v>0.19400000000000001</v>
      </c>
      <c r="K1593" s="1">
        <v>24.222000000000001</v>
      </c>
      <c r="L1593" s="1">
        <v>3.11</v>
      </c>
      <c r="M1593" s="1">
        <v>126.8</v>
      </c>
      <c r="N1593" s="1">
        <v>2.9260000000000001E-2</v>
      </c>
      <c r="O1593" s="1">
        <v>1.9249999999999999E-4</v>
      </c>
      <c r="P1593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2.1710466678656566E-4</v>
      </c>
      <c r="Q1593" s="1">
        <f>LN(Table1[[#This Row],[qe_mg_g]]-Table1[[#This Row],[qt]])</f>
        <v>-1.6410168427951026</v>
      </c>
      <c r="R1593" s="1">
        <v>2</v>
      </c>
    </row>
    <row r="1594" spans="1:18" x14ac:dyDescent="0.3">
      <c r="A1594" s="1">
        <v>1593</v>
      </c>
      <c r="B1594" s="1" t="s">
        <v>18</v>
      </c>
      <c r="C1594" s="1">
        <v>4</v>
      </c>
      <c r="D1594" s="1">
        <v>30</v>
      </c>
      <c r="E1594" s="1">
        <v>25</v>
      </c>
      <c r="F1594" s="1">
        <v>11</v>
      </c>
      <c r="G1594" s="1">
        <v>25</v>
      </c>
      <c r="H1594" s="1">
        <v>150</v>
      </c>
      <c r="I1594" s="1">
        <v>100</v>
      </c>
      <c r="J1594" s="1">
        <v>0.16</v>
      </c>
      <c r="K1594" s="1">
        <v>24.36</v>
      </c>
      <c r="L1594" s="1">
        <v>2.56</v>
      </c>
      <c r="M1594" s="1">
        <v>93.6</v>
      </c>
      <c r="N1594" s="1">
        <v>2.9219999999999999E-2</v>
      </c>
      <c r="O1594" s="1">
        <v>2.453E-4</v>
      </c>
      <c r="P159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1.8816884247811259E-4</v>
      </c>
      <c r="Q1594" s="1">
        <f>LN(Table1[[#This Row],[qe_mg_g]]-Table1[[#This Row],[qt]])</f>
        <v>-1.8337582111094737</v>
      </c>
      <c r="R1594" s="1">
        <v>3</v>
      </c>
    </row>
    <row r="1595" spans="1:18" x14ac:dyDescent="0.3">
      <c r="A1595" s="1">
        <v>1594</v>
      </c>
      <c r="B1595" s="1" t="s">
        <v>18</v>
      </c>
      <c r="C1595" s="1">
        <v>4</v>
      </c>
      <c r="D1595" s="1">
        <v>30</v>
      </c>
      <c r="E1595" s="1">
        <v>50</v>
      </c>
      <c r="F1595" s="1">
        <v>3</v>
      </c>
      <c r="G1595" s="1">
        <v>25</v>
      </c>
      <c r="H1595" s="1">
        <v>150</v>
      </c>
      <c r="I1595" s="1">
        <v>100</v>
      </c>
      <c r="J1595" s="1">
        <v>0.57399999999999995</v>
      </c>
      <c r="K1595" s="1">
        <v>47.704000000000001</v>
      </c>
      <c r="L1595" s="1">
        <v>4.59</v>
      </c>
      <c r="M1595" s="1">
        <v>119.1</v>
      </c>
      <c r="N1595" s="1">
        <v>2.9479999999999999E-2</v>
      </c>
      <c r="O1595" s="1">
        <v>2.7750000000000002E-4</v>
      </c>
      <c r="P159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2.7298430086908202E-3</v>
      </c>
      <c r="Q1595" s="1">
        <f>LN(Table1[[#This Row],[qe_mg_g]]-Table1[[#This Row],[qt]])</f>
        <v>-0.55989305163465897</v>
      </c>
      <c r="R1595" s="1">
        <v>1</v>
      </c>
    </row>
    <row r="1596" spans="1:18" x14ac:dyDescent="0.3">
      <c r="A1596" s="1">
        <v>1595</v>
      </c>
      <c r="B1596" s="1" t="s">
        <v>18</v>
      </c>
      <c r="C1596" s="1">
        <v>4</v>
      </c>
      <c r="D1596" s="1">
        <v>30</v>
      </c>
      <c r="E1596" s="1">
        <v>50</v>
      </c>
      <c r="F1596" s="1">
        <v>3</v>
      </c>
      <c r="G1596" s="1">
        <v>25</v>
      </c>
      <c r="H1596" s="1">
        <v>150</v>
      </c>
      <c r="I1596" s="1">
        <v>100</v>
      </c>
      <c r="J1596" s="1">
        <v>0.53800000000000003</v>
      </c>
      <c r="K1596" s="1">
        <v>47.847000000000001</v>
      </c>
      <c r="L1596" s="1">
        <v>4.3099999999999996</v>
      </c>
      <c r="M1596" s="1">
        <v>101</v>
      </c>
      <c r="N1596" s="1">
        <v>3.2719999999999999E-2</v>
      </c>
      <c r="O1596" s="1">
        <v>2.5179999999999999E-4</v>
      </c>
      <c r="P159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2.177610055498731E-3</v>
      </c>
      <c r="Q1596" s="1">
        <f>LN(Table1[[#This Row],[qe_mg_g]]-Table1[[#This Row],[qt]])</f>
        <v>-0.62395253486770896</v>
      </c>
      <c r="R1596" s="1">
        <v>2</v>
      </c>
    </row>
    <row r="1597" spans="1:18" x14ac:dyDescent="0.3">
      <c r="A1597" s="1">
        <v>1596</v>
      </c>
      <c r="B1597" s="1" t="s">
        <v>18</v>
      </c>
      <c r="C1597" s="1">
        <v>4</v>
      </c>
      <c r="D1597" s="1">
        <v>30</v>
      </c>
      <c r="E1597" s="1">
        <v>50</v>
      </c>
      <c r="F1597" s="1">
        <v>3</v>
      </c>
      <c r="G1597" s="1">
        <v>25</v>
      </c>
      <c r="H1597" s="1">
        <v>150</v>
      </c>
      <c r="I1597" s="1">
        <v>100</v>
      </c>
      <c r="J1597" s="1">
        <v>0.61799999999999999</v>
      </c>
      <c r="K1597" s="1">
        <v>47.527000000000001</v>
      </c>
      <c r="L1597" s="1">
        <v>4.95</v>
      </c>
      <c r="M1597" s="1">
        <v>78.400000000000006</v>
      </c>
      <c r="N1597" s="1">
        <v>2.845E-2</v>
      </c>
      <c r="O1597" s="1">
        <v>2.4679999999999998E-4</v>
      </c>
      <c r="P159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2.8148853041306773E-3</v>
      </c>
      <c r="Q1597" s="1">
        <f>LN(Table1[[#This Row],[qe_mg_g]]-Table1[[#This Row],[qt]])</f>
        <v>-0.48583205696140352</v>
      </c>
      <c r="R1597" s="1">
        <v>3</v>
      </c>
    </row>
    <row r="1598" spans="1:18" x14ac:dyDescent="0.3">
      <c r="A1598" s="1">
        <v>1597</v>
      </c>
      <c r="B1598" s="1" t="s">
        <v>18</v>
      </c>
      <c r="C1598" s="1">
        <v>4</v>
      </c>
      <c r="D1598" s="1">
        <v>30</v>
      </c>
      <c r="E1598" s="1">
        <v>50</v>
      </c>
      <c r="F1598" s="1">
        <v>7</v>
      </c>
      <c r="G1598" s="1">
        <v>25</v>
      </c>
      <c r="H1598" s="1">
        <v>150</v>
      </c>
      <c r="I1598" s="1">
        <v>100</v>
      </c>
      <c r="J1598" s="1">
        <v>0.94399999999999995</v>
      </c>
      <c r="K1598" s="1">
        <v>46.225000000000001</v>
      </c>
      <c r="L1598" s="1">
        <v>7.55</v>
      </c>
      <c r="M1598" s="1">
        <v>119</v>
      </c>
      <c r="N1598" s="1">
        <v>2.9929999999999998E-2</v>
      </c>
      <c r="O1598" s="1">
        <v>2.1440000000000001E-4</v>
      </c>
      <c r="P1598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5.6971944809728727E-3</v>
      </c>
      <c r="Q1598" s="1">
        <f>LN(Table1[[#This Row],[qe_mg_g]]-Table1[[#This Row],[qt]])</f>
        <v>-6.3682561688442704E-2</v>
      </c>
      <c r="R1598" s="1">
        <v>1</v>
      </c>
    </row>
    <row r="1599" spans="1:18" x14ac:dyDescent="0.3">
      <c r="A1599" s="1">
        <v>1598</v>
      </c>
      <c r="B1599" s="1" t="s">
        <v>18</v>
      </c>
      <c r="C1599" s="1">
        <v>4</v>
      </c>
      <c r="D1599" s="1">
        <v>30</v>
      </c>
      <c r="E1599" s="1">
        <v>50</v>
      </c>
      <c r="F1599" s="1">
        <v>7</v>
      </c>
      <c r="G1599" s="1">
        <v>25</v>
      </c>
      <c r="H1599" s="1">
        <v>150</v>
      </c>
      <c r="I1599" s="1">
        <v>100</v>
      </c>
      <c r="J1599" s="1">
        <v>0.97699999999999998</v>
      </c>
      <c r="K1599" s="1">
        <v>46.093000000000004</v>
      </c>
      <c r="L1599" s="1">
        <v>7.81</v>
      </c>
      <c r="M1599" s="1">
        <v>111.3</v>
      </c>
      <c r="N1599" s="1">
        <v>2.4170000000000001E-2</v>
      </c>
      <c r="O1599" s="1">
        <v>2.499E-4</v>
      </c>
      <c r="P159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7.1040696645611155E-3</v>
      </c>
      <c r="Q1599" s="1">
        <f>LN(Table1[[#This Row],[qe_mg_g]]-Table1[[#This Row],[qt]])</f>
        <v>-3.0566501554491952E-2</v>
      </c>
      <c r="R1599" s="1">
        <v>2</v>
      </c>
    </row>
    <row r="1600" spans="1:18" x14ac:dyDescent="0.3">
      <c r="A1600" s="1">
        <v>1599</v>
      </c>
      <c r="B1600" s="1" t="s">
        <v>18</v>
      </c>
      <c r="C1600" s="1">
        <v>4</v>
      </c>
      <c r="D1600" s="1">
        <v>30</v>
      </c>
      <c r="E1600" s="1">
        <v>50</v>
      </c>
      <c r="F1600" s="1">
        <v>7</v>
      </c>
      <c r="G1600" s="1">
        <v>25</v>
      </c>
      <c r="H1600" s="1">
        <v>150</v>
      </c>
      <c r="I1600" s="1">
        <v>100</v>
      </c>
      <c r="J1600" s="1">
        <v>0.77800000000000002</v>
      </c>
      <c r="K1600" s="1">
        <v>46.887999999999998</v>
      </c>
      <c r="L1600" s="1">
        <v>6.22</v>
      </c>
      <c r="M1600" s="1">
        <v>90</v>
      </c>
      <c r="N1600" s="1">
        <v>2.7289999999999998E-2</v>
      </c>
      <c r="O1600" s="1">
        <v>2.7020000000000001E-4</v>
      </c>
      <c r="P160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4.8756837603870003E-3</v>
      </c>
      <c r="Q1600" s="1">
        <f>LN(Table1[[#This Row],[qe_mg_g]]-Table1[[#This Row],[qt]])</f>
        <v>-0.25731542024694737</v>
      </c>
      <c r="R1600" s="1">
        <v>3</v>
      </c>
    </row>
    <row r="1601" spans="1:18" x14ac:dyDescent="0.3">
      <c r="A1601" s="1">
        <v>1600</v>
      </c>
      <c r="B1601" s="1" t="s">
        <v>18</v>
      </c>
      <c r="C1601" s="1">
        <v>4</v>
      </c>
      <c r="D1601" s="1">
        <v>30</v>
      </c>
      <c r="E1601" s="1">
        <v>50</v>
      </c>
      <c r="F1601" s="1">
        <v>11</v>
      </c>
      <c r="G1601" s="1">
        <v>25</v>
      </c>
      <c r="H1601" s="1">
        <v>150</v>
      </c>
      <c r="I1601" s="1">
        <v>100</v>
      </c>
      <c r="J1601" s="1">
        <v>0.67100000000000004</v>
      </c>
      <c r="K1601" s="1">
        <v>47.314999999999998</v>
      </c>
      <c r="L1601" s="1">
        <v>5.37</v>
      </c>
      <c r="M1601" s="1">
        <v>80.7</v>
      </c>
      <c r="N1601" s="1">
        <v>3.2640000000000002E-2</v>
      </c>
      <c r="O1601" s="1">
        <v>2.142E-4</v>
      </c>
      <c r="P160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2.880826983693669E-3</v>
      </c>
      <c r="Q1601" s="1">
        <f>LN(Table1[[#This Row],[qe_mg_g]]-Table1[[#This Row],[qt]])</f>
        <v>-0.40328871863834237</v>
      </c>
      <c r="R1601" s="1">
        <v>1</v>
      </c>
    </row>
    <row r="1602" spans="1:18" x14ac:dyDescent="0.3">
      <c r="A1602" s="1">
        <v>1601</v>
      </c>
      <c r="B1602" s="1" t="s">
        <v>18</v>
      </c>
      <c r="C1602" s="1">
        <v>4</v>
      </c>
      <c r="D1602" s="1">
        <v>30</v>
      </c>
      <c r="E1602" s="1">
        <v>50</v>
      </c>
      <c r="F1602" s="1">
        <v>11</v>
      </c>
      <c r="G1602" s="1">
        <v>25</v>
      </c>
      <c r="H1602" s="1">
        <v>150</v>
      </c>
      <c r="I1602" s="1">
        <v>100</v>
      </c>
      <c r="J1602" s="1">
        <v>0.68400000000000005</v>
      </c>
      <c r="K1602" s="1">
        <v>47.264000000000003</v>
      </c>
      <c r="L1602" s="1">
        <v>5.47</v>
      </c>
      <c r="M1602" s="1">
        <v>87.8</v>
      </c>
      <c r="N1602" s="1">
        <v>2.8899999999999999E-2</v>
      </c>
      <c r="O1602" s="1">
        <v>2.6259999999999999E-4</v>
      </c>
      <c r="P160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3.6660150552420452E-3</v>
      </c>
      <c r="Q1602" s="1">
        <f>LN(Table1[[#This Row],[qe_mg_g]]-Table1[[#This Row],[qt]])</f>
        <v>-0.38517144705826672</v>
      </c>
      <c r="R1602" s="1">
        <v>2</v>
      </c>
    </row>
    <row r="1603" spans="1:18" x14ac:dyDescent="0.3">
      <c r="A1603" s="1">
        <v>1602</v>
      </c>
      <c r="B1603" s="1" t="s">
        <v>18</v>
      </c>
      <c r="C1603" s="1">
        <v>4</v>
      </c>
      <c r="D1603" s="1">
        <v>30</v>
      </c>
      <c r="E1603" s="1">
        <v>50</v>
      </c>
      <c r="F1603" s="1">
        <v>11</v>
      </c>
      <c r="G1603" s="1">
        <v>25</v>
      </c>
      <c r="H1603" s="1">
        <v>150</v>
      </c>
      <c r="I1603" s="1">
        <v>100</v>
      </c>
      <c r="J1603" s="1">
        <v>0.69499999999999995</v>
      </c>
      <c r="K1603" s="1">
        <v>47.218000000000004</v>
      </c>
      <c r="L1603" s="1">
        <v>5.56</v>
      </c>
      <c r="M1603" s="1">
        <v>120.1</v>
      </c>
      <c r="N1603" s="1">
        <v>2.9749999999999999E-2</v>
      </c>
      <c r="O1603" s="1">
        <v>2.5769999999999998E-4</v>
      </c>
      <c r="P160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3.7143091249278509E-3</v>
      </c>
      <c r="Q1603" s="1">
        <f>LN(Table1[[#This Row],[qe_mg_g]]-Table1[[#This Row],[qt]])</f>
        <v>-0.3692020951094962</v>
      </c>
      <c r="R1603" s="1">
        <v>3</v>
      </c>
    </row>
    <row r="1604" spans="1:18" x14ac:dyDescent="0.3">
      <c r="A1604" s="1">
        <v>1603</v>
      </c>
      <c r="B1604" s="1" t="s">
        <v>18</v>
      </c>
      <c r="C1604" s="1">
        <v>4</v>
      </c>
      <c r="D1604" s="1">
        <v>30</v>
      </c>
      <c r="E1604" s="1">
        <v>100</v>
      </c>
      <c r="F1604" s="1">
        <v>3</v>
      </c>
      <c r="G1604" s="1">
        <v>25</v>
      </c>
      <c r="H1604" s="1">
        <v>150</v>
      </c>
      <c r="I1604" s="1">
        <v>100</v>
      </c>
      <c r="J1604" s="1">
        <v>1.871</v>
      </c>
      <c r="K1604" s="1">
        <v>92.516000000000005</v>
      </c>
      <c r="L1604" s="1">
        <v>7.48</v>
      </c>
      <c r="M1604" s="1">
        <v>102.7</v>
      </c>
      <c r="N1604" s="1">
        <v>3.1320000000000001E-2</v>
      </c>
      <c r="O1604" s="1">
        <v>2.475E-4</v>
      </c>
      <c r="P160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2.5636117987595672E-2</v>
      </c>
      <c r="Q1604" s="1">
        <f>LN(Table1[[#This Row],[qe_mg_g]]-Table1[[#This Row],[qt]])</f>
        <v>0.61267648406897868</v>
      </c>
      <c r="R1604" s="1">
        <v>1</v>
      </c>
    </row>
    <row r="1605" spans="1:18" x14ac:dyDescent="0.3">
      <c r="A1605" s="1">
        <v>1604</v>
      </c>
      <c r="B1605" s="1" t="s">
        <v>18</v>
      </c>
      <c r="C1605" s="1">
        <v>4</v>
      </c>
      <c r="D1605" s="1">
        <v>30</v>
      </c>
      <c r="E1605" s="1">
        <v>100</v>
      </c>
      <c r="F1605" s="1">
        <v>3</v>
      </c>
      <c r="G1605" s="1">
        <v>25</v>
      </c>
      <c r="H1605" s="1">
        <v>150</v>
      </c>
      <c r="I1605" s="1">
        <v>100</v>
      </c>
      <c r="J1605" s="1">
        <v>1.6319999999999999</v>
      </c>
      <c r="K1605" s="1">
        <v>93.472999999999999</v>
      </c>
      <c r="L1605" s="1">
        <v>6.53</v>
      </c>
      <c r="M1605" s="1">
        <v>105</v>
      </c>
      <c r="N1605" s="1">
        <v>3.109E-2</v>
      </c>
      <c r="O1605" s="1">
        <v>2.33E-4</v>
      </c>
      <c r="P160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1.8407348617325108E-2</v>
      </c>
      <c r="Q1605" s="1">
        <f>LN(Table1[[#This Row],[qe_mg_g]]-Table1[[#This Row],[qt]])</f>
        <v>0.47846315347215679</v>
      </c>
      <c r="R1605" s="1">
        <v>2</v>
      </c>
    </row>
    <row r="1606" spans="1:18" x14ac:dyDescent="0.3">
      <c r="A1606" s="1">
        <v>1605</v>
      </c>
      <c r="B1606" s="1" t="s">
        <v>18</v>
      </c>
      <c r="C1606" s="1">
        <v>4</v>
      </c>
      <c r="D1606" s="1">
        <v>30</v>
      </c>
      <c r="E1606" s="1">
        <v>100</v>
      </c>
      <c r="F1606" s="1">
        <v>3</v>
      </c>
      <c r="G1606" s="1">
        <v>25</v>
      </c>
      <c r="H1606" s="1">
        <v>150</v>
      </c>
      <c r="I1606" s="1">
        <v>100</v>
      </c>
      <c r="J1606" s="1">
        <v>1.7230000000000001</v>
      </c>
      <c r="K1606" s="1">
        <v>93.108999999999995</v>
      </c>
      <c r="L1606" s="1">
        <v>6.89</v>
      </c>
      <c r="M1606" s="1">
        <v>122.1</v>
      </c>
      <c r="N1606" s="1">
        <v>3.1469999999999998E-2</v>
      </c>
      <c r="O1606" s="1">
        <v>2.4429999999999998E-4</v>
      </c>
      <c r="P160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2.1486486349086422E-2</v>
      </c>
      <c r="Q1606" s="1">
        <f>LN(Table1[[#This Row],[qe_mg_g]]-Table1[[#This Row],[qt]])</f>
        <v>0.5315181571258818</v>
      </c>
      <c r="R1606" s="1">
        <v>3</v>
      </c>
    </row>
    <row r="1607" spans="1:18" x14ac:dyDescent="0.3">
      <c r="A1607" s="1">
        <v>1606</v>
      </c>
      <c r="B1607" s="1" t="s">
        <v>18</v>
      </c>
      <c r="C1607" s="1">
        <v>4</v>
      </c>
      <c r="D1607" s="1">
        <v>30</v>
      </c>
      <c r="E1607" s="1">
        <v>100</v>
      </c>
      <c r="F1607" s="1">
        <v>7</v>
      </c>
      <c r="G1607" s="1">
        <v>25</v>
      </c>
      <c r="H1607" s="1">
        <v>150</v>
      </c>
      <c r="I1607" s="1">
        <v>100</v>
      </c>
      <c r="J1607" s="1">
        <v>2.9889999999999999</v>
      </c>
      <c r="K1607" s="1">
        <v>88.043999999999997</v>
      </c>
      <c r="L1607" s="1">
        <v>11.96</v>
      </c>
      <c r="M1607" s="1">
        <v>87.7</v>
      </c>
      <c r="N1607" s="1">
        <v>3.3910000000000003E-2</v>
      </c>
      <c r="O1607" s="1">
        <v>2.5339999999999998E-4</v>
      </c>
      <c r="P1607" s="1">
        <f>(Table1[[#This Row],[Rate_Constant_k2_g_mg_min]]*Table1[[#This Row],[Contact_Time_min]]*Table1[[#This Row],[qe_mg_g]]^2)/(1+Table1[[#This Row],[Contact_Time_min]]*Table1[[#This Row],[qe_mg_g]]*Table1[[#This Row],[Rate_Constant_k2_g_mg_min]])</f>
        <v>6.6408234827927057E-2</v>
      </c>
      <c r="Q1607" s="1">
        <f>LN(Table1[[#This Row],[qe_mg_g]]-Table1[[#This Row],[qt]])</f>
        <v>1.0724708134167504</v>
      </c>
      <c r="R1607" s="1">
        <v>1</v>
      </c>
    </row>
    <row r="1608" spans="1:18" x14ac:dyDescent="0.3">
      <c r="A1608" s="1">
        <v>1607</v>
      </c>
      <c r="B1608" s="1" t="s">
        <v>18</v>
      </c>
      <c r="C1608" s="1">
        <v>4</v>
      </c>
      <c r="D1608" s="1">
        <v>30</v>
      </c>
      <c r="E1608" s="1">
        <v>100</v>
      </c>
      <c r="F1608" s="1">
        <v>7</v>
      </c>
      <c r="G1608" s="1">
        <v>25</v>
      </c>
      <c r="H1608" s="1">
        <v>150</v>
      </c>
      <c r="I1608" s="1">
        <v>100</v>
      </c>
      <c r="J1608" s="1">
        <v>3.165</v>
      </c>
      <c r="K1608" s="1">
        <v>87.340999999999994</v>
      </c>
      <c r="L1608" s="1">
        <v>12.66</v>
      </c>
      <c r="M1608" s="1">
        <v>107.6</v>
      </c>
      <c r="N1608" s="1">
        <v>2.7560000000000001E-2</v>
      </c>
      <c r="O1608" s="1">
        <v>2.875E-4</v>
      </c>
      <c r="P1608" s="1">
        <f>(Table1[[#This Row],[Rate_Constant_k2_g_mg_min]]*Table1[[#This Row],[Contact_Time_min]]*Table1[[#This Row],[qe_mg_g]]^2)/(1+Table1[[#This Row],[Contact_Time_min]]*Table1[[#This Row],[qe_mg_g]]*Table1[[#This Row],[Rate_Constant_k2_g_mg_min]])</f>
        <v>8.4102719086535868E-2</v>
      </c>
      <c r="Q1608" s="1">
        <f>LN(Table1[[#This Row],[qe_mg_g]]-Table1[[#This Row],[qt]])</f>
        <v>1.1252208795305072</v>
      </c>
      <c r="R1608" s="1">
        <v>2</v>
      </c>
    </row>
    <row r="1609" spans="1:18" x14ac:dyDescent="0.3">
      <c r="A1609" s="1">
        <v>1608</v>
      </c>
      <c r="B1609" s="1" t="s">
        <v>18</v>
      </c>
      <c r="C1609" s="1">
        <v>4</v>
      </c>
      <c r="D1609" s="1">
        <v>30</v>
      </c>
      <c r="E1609" s="1">
        <v>100</v>
      </c>
      <c r="F1609" s="1">
        <v>7</v>
      </c>
      <c r="G1609" s="1">
        <v>25</v>
      </c>
      <c r="H1609" s="1">
        <v>150</v>
      </c>
      <c r="I1609" s="1">
        <v>100</v>
      </c>
      <c r="J1609" s="1">
        <v>3.7349999999999999</v>
      </c>
      <c r="K1609" s="1">
        <v>85.058999999999997</v>
      </c>
      <c r="L1609" s="1">
        <v>14.94</v>
      </c>
      <c r="M1609" s="1">
        <v>93</v>
      </c>
      <c r="N1609" s="1">
        <v>2.811E-2</v>
      </c>
      <c r="O1609" s="1">
        <v>1.8450000000000001E-4</v>
      </c>
      <c r="P160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7.5650554441652959E-2</v>
      </c>
      <c r="Q1609" s="1">
        <f>LN(Table1[[#This Row],[qe_mg_g]]-Table1[[#This Row],[qt]])</f>
        <v>1.2972853844991785</v>
      </c>
      <c r="R1609" s="1">
        <v>3</v>
      </c>
    </row>
    <row r="1610" spans="1:18" x14ac:dyDescent="0.3">
      <c r="A1610" s="1">
        <v>1609</v>
      </c>
      <c r="B1610" s="1" t="s">
        <v>18</v>
      </c>
      <c r="C1610" s="1">
        <v>4</v>
      </c>
      <c r="D1610" s="1">
        <v>30</v>
      </c>
      <c r="E1610" s="1">
        <v>100</v>
      </c>
      <c r="F1610" s="1">
        <v>11</v>
      </c>
      <c r="G1610" s="1">
        <v>25</v>
      </c>
      <c r="H1610" s="1">
        <v>150</v>
      </c>
      <c r="I1610" s="1">
        <v>100</v>
      </c>
      <c r="J1610" s="1">
        <v>2.1339999999999999</v>
      </c>
      <c r="K1610" s="1">
        <v>91.462999999999994</v>
      </c>
      <c r="L1610" s="1">
        <v>8.5399999999999991</v>
      </c>
      <c r="M1610" s="1">
        <v>79.900000000000006</v>
      </c>
      <c r="N1610" s="1">
        <v>3.041E-2</v>
      </c>
      <c r="O1610" s="1">
        <v>2.418E-4</v>
      </c>
      <c r="P161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3.253081858125273E-2</v>
      </c>
      <c r="Q1610" s="1">
        <f>LN(Table1[[#This Row],[qe_mg_g]]-Table1[[#This Row],[qt]])</f>
        <v>0.74263671031564782</v>
      </c>
      <c r="R1610" s="1">
        <v>1</v>
      </c>
    </row>
    <row r="1611" spans="1:18" x14ac:dyDescent="0.3">
      <c r="A1611" s="1">
        <v>1610</v>
      </c>
      <c r="B1611" s="1" t="s">
        <v>18</v>
      </c>
      <c r="C1611" s="1">
        <v>4</v>
      </c>
      <c r="D1611" s="1">
        <v>30</v>
      </c>
      <c r="E1611" s="1">
        <v>100</v>
      </c>
      <c r="F1611" s="1">
        <v>11</v>
      </c>
      <c r="G1611" s="1">
        <v>25</v>
      </c>
      <c r="H1611" s="1">
        <v>150</v>
      </c>
      <c r="I1611" s="1">
        <v>100</v>
      </c>
      <c r="J1611" s="1">
        <v>2.1640000000000001</v>
      </c>
      <c r="K1611" s="1">
        <v>91.341999999999999</v>
      </c>
      <c r="L1611" s="1">
        <v>8.66</v>
      </c>
      <c r="M1611" s="1">
        <v>95.8</v>
      </c>
      <c r="N1611" s="1">
        <v>3.1519999999999999E-2</v>
      </c>
      <c r="O1611" s="1">
        <v>2.632E-4</v>
      </c>
      <c r="P161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3.6354951790630793E-2</v>
      </c>
      <c r="Q1611" s="1">
        <f>LN(Table1[[#This Row],[qe_mg_g]]-Table1[[#This Row],[qt]])</f>
        <v>0.75501575691312994</v>
      </c>
      <c r="R1611" s="1">
        <v>2</v>
      </c>
    </row>
    <row r="1612" spans="1:18" x14ac:dyDescent="0.3">
      <c r="A1612" s="1">
        <v>1611</v>
      </c>
      <c r="B1612" s="1" t="s">
        <v>18</v>
      </c>
      <c r="C1612" s="1">
        <v>4</v>
      </c>
      <c r="D1612" s="1">
        <v>30</v>
      </c>
      <c r="E1612" s="1">
        <v>100</v>
      </c>
      <c r="F1612" s="1">
        <v>11</v>
      </c>
      <c r="G1612" s="1">
        <v>25</v>
      </c>
      <c r="H1612" s="1">
        <v>150</v>
      </c>
      <c r="I1612" s="1">
        <v>100</v>
      </c>
      <c r="J1612" s="1">
        <v>2.0419999999999998</v>
      </c>
      <c r="K1612" s="1">
        <v>91.834000000000003</v>
      </c>
      <c r="L1612" s="1">
        <v>8.17</v>
      </c>
      <c r="M1612" s="1">
        <v>98.1</v>
      </c>
      <c r="N1612" s="1">
        <v>2.5850000000000001E-2</v>
      </c>
      <c r="O1612" s="1">
        <v>2.7250000000000001E-4</v>
      </c>
      <c r="P161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3.3528123991368682E-2</v>
      </c>
      <c r="Q1612" s="1">
        <f>LN(Table1[[#This Row],[qe_mg_g]]-Table1[[#This Row],[qt]])</f>
        <v>0.69737417223404141</v>
      </c>
      <c r="R1612" s="1">
        <v>3</v>
      </c>
    </row>
    <row r="1613" spans="1:18" x14ac:dyDescent="0.3">
      <c r="A1613" s="1">
        <v>1612</v>
      </c>
      <c r="B1613" s="1" t="s">
        <v>18</v>
      </c>
      <c r="C1613" s="1">
        <v>4</v>
      </c>
      <c r="D1613" s="1">
        <v>30</v>
      </c>
      <c r="E1613" s="1">
        <v>200</v>
      </c>
      <c r="F1613" s="1">
        <v>3</v>
      </c>
      <c r="G1613" s="1">
        <v>25</v>
      </c>
      <c r="H1613" s="1">
        <v>150</v>
      </c>
      <c r="I1613" s="1">
        <v>100</v>
      </c>
      <c r="J1613" s="1">
        <v>7.3120000000000003</v>
      </c>
      <c r="K1613" s="1">
        <v>170.751</v>
      </c>
      <c r="L1613" s="1">
        <v>14.62</v>
      </c>
      <c r="M1613" s="1">
        <v>86.5</v>
      </c>
      <c r="N1613" s="1">
        <v>2.7699999999999999E-2</v>
      </c>
      <c r="O1613" s="1">
        <v>2.385E-4</v>
      </c>
      <c r="P161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0.3635258248709306</v>
      </c>
      <c r="Q1613" s="1">
        <f>LN(Table1[[#This Row],[qe_mg_g]]-Table1[[#This Row],[qt]])</f>
        <v>1.9385220923266797</v>
      </c>
      <c r="R1613" s="1">
        <v>1</v>
      </c>
    </row>
    <row r="1614" spans="1:18" x14ac:dyDescent="0.3">
      <c r="A1614" s="1">
        <v>1613</v>
      </c>
      <c r="B1614" s="1" t="s">
        <v>18</v>
      </c>
      <c r="C1614" s="1">
        <v>4</v>
      </c>
      <c r="D1614" s="1">
        <v>30</v>
      </c>
      <c r="E1614" s="1">
        <v>200</v>
      </c>
      <c r="F1614" s="1">
        <v>3</v>
      </c>
      <c r="G1614" s="1">
        <v>25</v>
      </c>
      <c r="H1614" s="1">
        <v>150</v>
      </c>
      <c r="I1614" s="1">
        <v>100</v>
      </c>
      <c r="J1614" s="1">
        <v>5.4450000000000003</v>
      </c>
      <c r="K1614" s="1">
        <v>178.21899999999999</v>
      </c>
      <c r="L1614" s="1">
        <v>10.89</v>
      </c>
      <c r="M1614" s="1">
        <v>105</v>
      </c>
      <c r="N1614" s="1">
        <v>2.9180000000000001E-2</v>
      </c>
      <c r="O1614" s="1">
        <v>2.743E-4</v>
      </c>
      <c r="P161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0.23351070571743596</v>
      </c>
      <c r="Q1614" s="1">
        <f>LN(Table1[[#This Row],[qe_mg_g]]-Table1[[#This Row],[qt]])</f>
        <v>1.6508656679463656</v>
      </c>
      <c r="R1614" s="1">
        <v>2</v>
      </c>
    </row>
    <row r="1615" spans="1:18" x14ac:dyDescent="0.3">
      <c r="A1615" s="1">
        <v>1614</v>
      </c>
      <c r="B1615" s="1" t="s">
        <v>18</v>
      </c>
      <c r="C1615" s="1">
        <v>4</v>
      </c>
      <c r="D1615" s="1">
        <v>30</v>
      </c>
      <c r="E1615" s="1">
        <v>200</v>
      </c>
      <c r="F1615" s="1">
        <v>3</v>
      </c>
      <c r="G1615" s="1">
        <v>25</v>
      </c>
      <c r="H1615" s="1">
        <v>150</v>
      </c>
      <c r="I1615" s="1">
        <v>100</v>
      </c>
      <c r="J1615" s="1">
        <v>6.1550000000000002</v>
      </c>
      <c r="K1615" s="1">
        <v>175.38</v>
      </c>
      <c r="L1615" s="1">
        <v>12.31</v>
      </c>
      <c r="M1615" s="1">
        <v>90.7</v>
      </c>
      <c r="N1615" s="1">
        <v>2.5479999999999999E-2</v>
      </c>
      <c r="O1615" s="1">
        <v>2.2489999999999999E-4</v>
      </c>
      <c r="P161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0.24541209591926536</v>
      </c>
      <c r="Q1615" s="1">
        <f>LN(Table1[[#This Row],[qe_mg_g]]-Table1[[#This Row],[qt]])</f>
        <v>1.7765761004049163</v>
      </c>
      <c r="R1615" s="1">
        <v>3</v>
      </c>
    </row>
    <row r="1616" spans="1:18" x14ac:dyDescent="0.3">
      <c r="A1616" s="1">
        <v>1615</v>
      </c>
      <c r="B1616" s="1" t="s">
        <v>18</v>
      </c>
      <c r="C1616" s="1">
        <v>4</v>
      </c>
      <c r="D1616" s="1">
        <v>30</v>
      </c>
      <c r="E1616" s="1">
        <v>200</v>
      </c>
      <c r="F1616" s="1">
        <v>7</v>
      </c>
      <c r="G1616" s="1">
        <v>25</v>
      </c>
      <c r="H1616" s="1">
        <v>150</v>
      </c>
      <c r="I1616" s="1">
        <v>100</v>
      </c>
      <c r="J1616" s="1">
        <v>10.134</v>
      </c>
      <c r="K1616" s="1">
        <v>159.46600000000001</v>
      </c>
      <c r="L1616" s="1">
        <v>20.27</v>
      </c>
      <c r="M1616" s="1">
        <v>114.9</v>
      </c>
      <c r="N1616" s="1">
        <v>2.7910000000000001E-2</v>
      </c>
      <c r="O1616" s="1">
        <v>2.5310000000000003E-4</v>
      </c>
      <c r="P161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0.72407021458582554</v>
      </c>
      <c r="Q1616" s="1">
        <f>LN(Table1[[#This Row],[qe_mg_g]]-Table1[[#This Row],[qt]])</f>
        <v>2.2417654918706371</v>
      </c>
      <c r="R1616" s="1">
        <v>1</v>
      </c>
    </row>
    <row r="1617" spans="1:18" x14ac:dyDescent="0.3">
      <c r="A1617" s="1">
        <v>1616</v>
      </c>
      <c r="B1617" s="1" t="s">
        <v>18</v>
      </c>
      <c r="C1617" s="1">
        <v>4</v>
      </c>
      <c r="D1617" s="1">
        <v>30</v>
      </c>
      <c r="E1617" s="1">
        <v>200</v>
      </c>
      <c r="F1617" s="1">
        <v>7</v>
      </c>
      <c r="G1617" s="1">
        <v>25</v>
      </c>
      <c r="H1617" s="1">
        <v>150</v>
      </c>
      <c r="I1617" s="1">
        <v>100</v>
      </c>
      <c r="J1617" s="1">
        <v>10.951000000000001</v>
      </c>
      <c r="K1617" s="1">
        <v>156.19499999999999</v>
      </c>
      <c r="L1617" s="1">
        <v>21.9</v>
      </c>
      <c r="M1617" s="1">
        <v>81</v>
      </c>
      <c r="N1617" s="1">
        <v>2.9499999999999998E-2</v>
      </c>
      <c r="O1617" s="1">
        <v>2.6499999999999999E-4</v>
      </c>
      <c r="P161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0.87704321130439444</v>
      </c>
      <c r="Q1617" s="1">
        <f>LN(Table1[[#This Row],[qe_mg_g]]-Table1[[#This Row],[qt]])</f>
        <v>2.3099535579252981</v>
      </c>
      <c r="R1617" s="1">
        <v>2</v>
      </c>
    </row>
    <row r="1618" spans="1:18" x14ac:dyDescent="0.3">
      <c r="A1618" s="1">
        <v>1617</v>
      </c>
      <c r="B1618" s="1" t="s">
        <v>18</v>
      </c>
      <c r="C1618" s="1">
        <v>4</v>
      </c>
      <c r="D1618" s="1">
        <v>30</v>
      </c>
      <c r="E1618" s="1">
        <v>200</v>
      </c>
      <c r="F1618" s="1">
        <v>7</v>
      </c>
      <c r="G1618" s="1">
        <v>25</v>
      </c>
      <c r="H1618" s="1">
        <v>150</v>
      </c>
      <c r="I1618" s="1">
        <v>100</v>
      </c>
      <c r="J1618" s="1">
        <v>10.106999999999999</v>
      </c>
      <c r="K1618" s="1">
        <v>159.571</v>
      </c>
      <c r="L1618" s="1">
        <v>20.21</v>
      </c>
      <c r="M1618" s="1">
        <v>112.1</v>
      </c>
      <c r="N1618" s="1">
        <v>2.7449999999999999E-2</v>
      </c>
      <c r="O1618" s="1">
        <v>2.3790000000000001E-4</v>
      </c>
      <c r="P161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0.68000373404282799</v>
      </c>
      <c r="Q1618" s="1">
        <f>LN(Table1[[#This Row],[qe_mg_g]]-Table1[[#This Row],[qt]])</f>
        <v>2.2435775163130725</v>
      </c>
      <c r="R1618" s="1">
        <v>3</v>
      </c>
    </row>
    <row r="1619" spans="1:18" x14ac:dyDescent="0.3">
      <c r="A1619" s="1">
        <v>1618</v>
      </c>
      <c r="B1619" s="1" t="s">
        <v>18</v>
      </c>
      <c r="C1619" s="1">
        <v>4</v>
      </c>
      <c r="D1619" s="1">
        <v>30</v>
      </c>
      <c r="E1619" s="1">
        <v>200</v>
      </c>
      <c r="F1619" s="1">
        <v>11</v>
      </c>
      <c r="G1619" s="1">
        <v>25</v>
      </c>
      <c r="H1619" s="1">
        <v>150</v>
      </c>
      <c r="I1619" s="1">
        <v>100</v>
      </c>
      <c r="J1619" s="1">
        <v>8.9390000000000001</v>
      </c>
      <c r="K1619" s="1">
        <v>164.245</v>
      </c>
      <c r="L1619" s="1">
        <v>17.88</v>
      </c>
      <c r="M1619" s="1">
        <v>90</v>
      </c>
      <c r="N1619" s="1">
        <v>3.0110000000000001E-2</v>
      </c>
      <c r="O1619" s="1">
        <v>2.421E-4</v>
      </c>
      <c r="P161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0.54497342069185895</v>
      </c>
      <c r="Q1619" s="1">
        <f>LN(Table1[[#This Row],[qe_mg_g]]-Table1[[#This Row],[qt]])</f>
        <v>2.127520331371497</v>
      </c>
      <c r="R1619" s="1">
        <v>1</v>
      </c>
    </row>
    <row r="1620" spans="1:18" x14ac:dyDescent="0.3">
      <c r="A1620" s="1">
        <v>1619</v>
      </c>
      <c r="B1620" s="1" t="s">
        <v>18</v>
      </c>
      <c r="C1620" s="1">
        <v>4</v>
      </c>
      <c r="D1620" s="1">
        <v>30</v>
      </c>
      <c r="E1620" s="1">
        <v>200</v>
      </c>
      <c r="F1620" s="1">
        <v>11</v>
      </c>
      <c r="G1620" s="1">
        <v>25</v>
      </c>
      <c r="H1620" s="1">
        <v>150</v>
      </c>
      <c r="I1620" s="1">
        <v>100</v>
      </c>
      <c r="J1620" s="1">
        <v>8.6310000000000002</v>
      </c>
      <c r="K1620" s="1">
        <v>165.477</v>
      </c>
      <c r="L1620" s="1">
        <v>17.260000000000002</v>
      </c>
      <c r="M1620" s="1">
        <v>64.3</v>
      </c>
      <c r="N1620" s="1">
        <v>2.4510000000000001E-2</v>
      </c>
      <c r="O1620" s="1">
        <v>2.654E-4</v>
      </c>
      <c r="P162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0.55498399737288739</v>
      </c>
      <c r="Q1620" s="1">
        <f>LN(Table1[[#This Row],[qe_mg_g]]-Table1[[#This Row],[qt]])</f>
        <v>2.088898681952728</v>
      </c>
      <c r="R1620" s="1">
        <v>2</v>
      </c>
    </row>
    <row r="1621" spans="1:18" x14ac:dyDescent="0.3">
      <c r="A1621" s="1">
        <v>1620</v>
      </c>
      <c r="B1621" s="1" t="s">
        <v>18</v>
      </c>
      <c r="C1621" s="1">
        <v>4</v>
      </c>
      <c r="D1621" s="1">
        <v>30</v>
      </c>
      <c r="E1621" s="1">
        <v>200</v>
      </c>
      <c r="F1621" s="1">
        <v>11</v>
      </c>
      <c r="G1621" s="1">
        <v>25</v>
      </c>
      <c r="H1621" s="1">
        <v>150</v>
      </c>
      <c r="I1621" s="1">
        <v>100</v>
      </c>
      <c r="J1621" s="1">
        <v>9.3279999999999994</v>
      </c>
      <c r="K1621" s="1">
        <v>162.68899999999999</v>
      </c>
      <c r="L1621" s="1">
        <v>18.66</v>
      </c>
      <c r="M1621" s="1">
        <v>86.3</v>
      </c>
      <c r="N1621" s="1">
        <v>2.9270000000000001E-2</v>
      </c>
      <c r="O1621" s="1">
        <v>2.5740000000000002E-4</v>
      </c>
      <c r="P162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0.62675759093850514</v>
      </c>
      <c r="Q1621" s="1">
        <f>LN(Table1[[#This Row],[qe_mg_g]]-Table1[[#This Row],[qt]])</f>
        <v>2.1634658211040358</v>
      </c>
      <c r="R1621" s="1">
        <v>3</v>
      </c>
    </row>
    <row r="1622" spans="1:18" x14ac:dyDescent="0.3">
      <c r="A1622" s="1">
        <v>1621</v>
      </c>
      <c r="B1622" s="1" t="s">
        <v>18</v>
      </c>
      <c r="C1622" s="1">
        <v>4</v>
      </c>
      <c r="D1622" s="1">
        <v>60</v>
      </c>
      <c r="E1622" s="1">
        <v>25</v>
      </c>
      <c r="F1622" s="1">
        <v>3</v>
      </c>
      <c r="G1622" s="1">
        <v>25</v>
      </c>
      <c r="H1622" s="1">
        <v>150</v>
      </c>
      <c r="I1622" s="1">
        <v>100</v>
      </c>
      <c r="J1622" s="1">
        <v>0.27800000000000002</v>
      </c>
      <c r="K1622" s="1">
        <v>23.888999999999999</v>
      </c>
      <c r="L1622" s="1">
        <v>4.45</v>
      </c>
      <c r="M1622" s="1">
        <v>69.599999999999994</v>
      </c>
      <c r="N1622" s="1">
        <v>2.734E-2</v>
      </c>
      <c r="O1622" s="1">
        <v>2.4169999999999999E-4</v>
      </c>
      <c r="P162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1.1162722538971676E-3</v>
      </c>
      <c r="Q1622" s="1">
        <f>LN(Table1[[#This Row],[qe_mg_g]]-Table1[[#This Row],[qt]])</f>
        <v>-1.2841576163460009</v>
      </c>
      <c r="R1622" s="1">
        <v>1</v>
      </c>
    </row>
    <row r="1623" spans="1:18" x14ac:dyDescent="0.3">
      <c r="A1623" s="1">
        <v>1622</v>
      </c>
      <c r="B1623" s="1" t="s">
        <v>18</v>
      </c>
      <c r="C1623" s="1">
        <v>4</v>
      </c>
      <c r="D1623" s="1">
        <v>60</v>
      </c>
      <c r="E1623" s="1">
        <v>25</v>
      </c>
      <c r="F1623" s="1">
        <v>3</v>
      </c>
      <c r="G1623" s="1">
        <v>25</v>
      </c>
      <c r="H1623" s="1">
        <v>150</v>
      </c>
      <c r="I1623" s="1">
        <v>100</v>
      </c>
      <c r="J1623" s="1">
        <v>0.27800000000000002</v>
      </c>
      <c r="K1623" s="1">
        <v>23.888000000000002</v>
      </c>
      <c r="L1623" s="1">
        <v>4.45</v>
      </c>
      <c r="M1623" s="1">
        <v>137.5</v>
      </c>
      <c r="N1623" s="1">
        <v>2.9319999999999999E-2</v>
      </c>
      <c r="O1623" s="1">
        <v>2.1479999999999999E-4</v>
      </c>
      <c r="P1623" s="1">
        <f>(Table1[[#This Row],[Rate_Constant_k2_g_mg_min]]*Table1[[#This Row],[Contact_Time_min]]*Table1[[#This Row],[qe_mg_g]]^2)/(1+Table1[[#This Row],[Contact_Time_min]]*Table1[[#This Row],[qe_mg_g]]*Table1[[#This Row],[Rate_Constant_k2_g_mg_min]])</f>
        <v>9.9248027016930035E-4</v>
      </c>
      <c r="Q1623" s="1">
        <f>LN(Table1[[#This Row],[qe_mg_g]]-Table1[[#This Row],[qt]])</f>
        <v>-1.2837106261241726</v>
      </c>
      <c r="R1623" s="1">
        <v>2</v>
      </c>
    </row>
    <row r="1624" spans="1:18" x14ac:dyDescent="0.3">
      <c r="A1624" s="1">
        <v>1623</v>
      </c>
      <c r="B1624" s="1" t="s">
        <v>18</v>
      </c>
      <c r="C1624" s="1">
        <v>4</v>
      </c>
      <c r="D1624" s="1">
        <v>60</v>
      </c>
      <c r="E1624" s="1">
        <v>25</v>
      </c>
      <c r="F1624" s="1">
        <v>3</v>
      </c>
      <c r="G1624" s="1">
        <v>25</v>
      </c>
      <c r="H1624" s="1">
        <v>150</v>
      </c>
      <c r="I1624" s="1">
        <v>100</v>
      </c>
      <c r="J1624" s="1">
        <v>0.27100000000000002</v>
      </c>
      <c r="K1624" s="1">
        <v>23.916</v>
      </c>
      <c r="L1624" s="1">
        <v>4.34</v>
      </c>
      <c r="M1624" s="1">
        <v>119.8</v>
      </c>
      <c r="N1624" s="1">
        <v>3.032E-2</v>
      </c>
      <c r="O1624" s="1">
        <v>2.273E-4</v>
      </c>
      <c r="P1624" s="1">
        <f>(Table1[[#This Row],[Rate_Constant_k2_g_mg_min]]*Table1[[#This Row],[Contact_Time_min]]*Table1[[#This Row],[qe_mg_g]]^2)/(1+Table1[[#This Row],[Contact_Time_min]]*Table1[[#This Row],[qe_mg_g]]*Table1[[#This Row],[Rate_Constant_k2_g_mg_min]])</f>
        <v>9.9790022057059361E-4</v>
      </c>
      <c r="Q1624" s="1">
        <f>LN(Table1[[#This Row],[qe_mg_g]]-Table1[[#This Row],[qt]])</f>
        <v>-1.309325543053153</v>
      </c>
      <c r="R1624" s="1">
        <v>3</v>
      </c>
    </row>
    <row r="1625" spans="1:18" x14ac:dyDescent="0.3">
      <c r="A1625" s="1">
        <v>1624</v>
      </c>
      <c r="B1625" s="1" t="s">
        <v>18</v>
      </c>
      <c r="C1625" s="1">
        <v>4</v>
      </c>
      <c r="D1625" s="1">
        <v>60</v>
      </c>
      <c r="E1625" s="1">
        <v>25</v>
      </c>
      <c r="F1625" s="1">
        <v>7</v>
      </c>
      <c r="G1625" s="1">
        <v>25</v>
      </c>
      <c r="H1625" s="1">
        <v>150</v>
      </c>
      <c r="I1625" s="1">
        <v>100</v>
      </c>
      <c r="J1625" s="1">
        <v>0.49399999999999999</v>
      </c>
      <c r="K1625" s="1">
        <v>23.021999999999998</v>
      </c>
      <c r="L1625" s="1">
        <v>7.91</v>
      </c>
      <c r="M1625" s="1">
        <v>110</v>
      </c>
      <c r="N1625" s="1">
        <v>2.6919999999999999E-2</v>
      </c>
      <c r="O1625" s="1">
        <v>2.5950000000000002E-4</v>
      </c>
      <c r="P162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3.7706383534533458E-3</v>
      </c>
      <c r="Q1625" s="1">
        <f>LN(Table1[[#This Row],[qe_mg_g]]-Table1[[#This Row],[qt]])</f>
        <v>-0.7128819124021184</v>
      </c>
      <c r="R1625" s="1">
        <v>1</v>
      </c>
    </row>
    <row r="1626" spans="1:18" x14ac:dyDescent="0.3">
      <c r="A1626" s="1">
        <v>1625</v>
      </c>
      <c r="B1626" s="1" t="s">
        <v>18</v>
      </c>
      <c r="C1626" s="1">
        <v>4</v>
      </c>
      <c r="D1626" s="1">
        <v>60</v>
      </c>
      <c r="E1626" s="1">
        <v>25</v>
      </c>
      <c r="F1626" s="1">
        <v>7</v>
      </c>
      <c r="G1626" s="1">
        <v>25</v>
      </c>
      <c r="H1626" s="1">
        <v>150</v>
      </c>
      <c r="I1626" s="1">
        <v>100</v>
      </c>
      <c r="J1626" s="1">
        <v>0.496</v>
      </c>
      <c r="K1626" s="1">
        <v>23.015999999999998</v>
      </c>
      <c r="L1626" s="1">
        <v>7.94</v>
      </c>
      <c r="M1626" s="1">
        <v>117.7</v>
      </c>
      <c r="N1626" s="1">
        <v>2.98E-2</v>
      </c>
      <c r="O1626" s="1">
        <v>2.41E-4</v>
      </c>
      <c r="P162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3.5320588686645186E-3</v>
      </c>
      <c r="Q1626" s="1">
        <f>LN(Table1[[#This Row],[qe_mg_g]]-Table1[[#This Row],[qt]])</f>
        <v>-0.70832591463828221</v>
      </c>
      <c r="R1626" s="1">
        <v>2</v>
      </c>
    </row>
    <row r="1627" spans="1:18" x14ac:dyDescent="0.3">
      <c r="A1627" s="1">
        <v>1626</v>
      </c>
      <c r="B1627" s="1" t="s">
        <v>18</v>
      </c>
      <c r="C1627" s="1">
        <v>4</v>
      </c>
      <c r="D1627" s="1">
        <v>60</v>
      </c>
      <c r="E1627" s="1">
        <v>25</v>
      </c>
      <c r="F1627" s="1">
        <v>7</v>
      </c>
      <c r="G1627" s="1">
        <v>25</v>
      </c>
      <c r="H1627" s="1">
        <v>150</v>
      </c>
      <c r="I1627" s="1">
        <v>100</v>
      </c>
      <c r="J1627" s="1">
        <v>0.50600000000000001</v>
      </c>
      <c r="K1627" s="1">
        <v>22.978000000000002</v>
      </c>
      <c r="L1627" s="1">
        <v>8.09</v>
      </c>
      <c r="M1627" s="1">
        <v>81.8</v>
      </c>
      <c r="N1627" s="1">
        <v>3.1320000000000001E-2</v>
      </c>
      <c r="O1627" s="1">
        <v>2.1570000000000001E-4</v>
      </c>
      <c r="P162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3.2920593608822398E-3</v>
      </c>
      <c r="Q1627" s="1">
        <f>LN(Table1[[#This Row],[qe_mg_g]]-Table1[[#This Row],[qt]])</f>
        <v>-0.68774591242841887</v>
      </c>
      <c r="R1627" s="1">
        <v>3</v>
      </c>
    </row>
    <row r="1628" spans="1:18" x14ac:dyDescent="0.3">
      <c r="A1628" s="1">
        <v>1627</v>
      </c>
      <c r="B1628" s="1" t="s">
        <v>18</v>
      </c>
      <c r="C1628" s="1">
        <v>4</v>
      </c>
      <c r="D1628" s="1">
        <v>60</v>
      </c>
      <c r="E1628" s="1">
        <v>25</v>
      </c>
      <c r="F1628" s="1">
        <v>11</v>
      </c>
      <c r="G1628" s="1">
        <v>25</v>
      </c>
      <c r="H1628" s="1">
        <v>150</v>
      </c>
      <c r="I1628" s="1">
        <v>100</v>
      </c>
      <c r="J1628" s="1">
        <v>0.36499999999999999</v>
      </c>
      <c r="K1628" s="1">
        <v>23.54</v>
      </c>
      <c r="L1628" s="1">
        <v>5.84</v>
      </c>
      <c r="M1628" s="1">
        <v>96.1</v>
      </c>
      <c r="N1628" s="1">
        <v>3.381E-2</v>
      </c>
      <c r="O1628" s="1">
        <v>2.6229999999999998E-4</v>
      </c>
      <c r="P162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2.0847196489899313E-3</v>
      </c>
      <c r="Q1628" s="1">
        <f>LN(Table1[[#This Row],[qe_mg_g]]-Table1[[#This Row],[qt]])</f>
        <v>-1.0135858594191607</v>
      </c>
      <c r="R1628" s="1">
        <v>1</v>
      </c>
    </row>
    <row r="1629" spans="1:18" x14ac:dyDescent="0.3">
      <c r="A1629" s="1">
        <v>1628</v>
      </c>
      <c r="B1629" s="1" t="s">
        <v>18</v>
      </c>
      <c r="C1629" s="1">
        <v>4</v>
      </c>
      <c r="D1629" s="1">
        <v>60</v>
      </c>
      <c r="E1629" s="1">
        <v>25</v>
      </c>
      <c r="F1629" s="1">
        <v>11</v>
      </c>
      <c r="G1629" s="1">
        <v>25</v>
      </c>
      <c r="H1629" s="1">
        <v>150</v>
      </c>
      <c r="I1629" s="1">
        <v>100</v>
      </c>
      <c r="J1629" s="1">
        <v>0.29599999999999999</v>
      </c>
      <c r="K1629" s="1">
        <v>23.814</v>
      </c>
      <c r="L1629" s="1">
        <v>4.74</v>
      </c>
      <c r="M1629" s="1">
        <v>121.4</v>
      </c>
      <c r="N1629" s="1">
        <v>3.465E-2</v>
      </c>
      <c r="O1629" s="1">
        <v>2.721E-4</v>
      </c>
      <c r="P162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1.4235395667378972E-3</v>
      </c>
      <c r="Q1629" s="1">
        <f>LN(Table1[[#This Row],[qe_mg_g]]-Table1[[#This Row],[qt]])</f>
        <v>-1.2222166816312539</v>
      </c>
      <c r="R1629" s="1">
        <v>2</v>
      </c>
    </row>
    <row r="1630" spans="1:18" x14ac:dyDescent="0.3">
      <c r="A1630" s="1">
        <v>1629</v>
      </c>
      <c r="B1630" s="1" t="s">
        <v>18</v>
      </c>
      <c r="C1630" s="1">
        <v>4</v>
      </c>
      <c r="D1630" s="1">
        <v>60</v>
      </c>
      <c r="E1630" s="1">
        <v>25</v>
      </c>
      <c r="F1630" s="1">
        <v>11</v>
      </c>
      <c r="G1630" s="1">
        <v>25</v>
      </c>
      <c r="H1630" s="1">
        <v>150</v>
      </c>
      <c r="I1630" s="1">
        <v>100</v>
      </c>
      <c r="J1630" s="1">
        <v>0.31</v>
      </c>
      <c r="K1630" s="1">
        <v>23.759</v>
      </c>
      <c r="L1630" s="1">
        <v>4.96</v>
      </c>
      <c r="M1630" s="1">
        <v>95.4</v>
      </c>
      <c r="N1630" s="1">
        <v>3.0439999999999998E-2</v>
      </c>
      <c r="O1630" s="1">
        <v>2.3240000000000001E-4</v>
      </c>
      <c r="P163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1.3342509136307036E-3</v>
      </c>
      <c r="Q1630" s="1">
        <f>LN(Table1[[#This Row],[qe_mg_g]]-Table1[[#This Row],[qt]])</f>
        <v>-1.1754963057308316</v>
      </c>
      <c r="R1630" s="1">
        <v>3</v>
      </c>
    </row>
    <row r="1631" spans="1:18" x14ac:dyDescent="0.3">
      <c r="A1631" s="1">
        <v>1630</v>
      </c>
      <c r="B1631" s="1" t="s">
        <v>18</v>
      </c>
      <c r="C1631" s="1">
        <v>4</v>
      </c>
      <c r="D1631" s="1">
        <v>60</v>
      </c>
      <c r="E1631" s="1">
        <v>50</v>
      </c>
      <c r="F1631" s="1">
        <v>3</v>
      </c>
      <c r="G1631" s="1">
        <v>25</v>
      </c>
      <c r="H1631" s="1">
        <v>150</v>
      </c>
      <c r="I1631" s="1">
        <v>100</v>
      </c>
      <c r="J1631" s="1">
        <v>1.1299999999999999</v>
      </c>
      <c r="K1631" s="1">
        <v>45.481000000000002</v>
      </c>
      <c r="L1631" s="1">
        <v>9.0399999999999991</v>
      </c>
      <c r="M1631" s="1">
        <v>102.2</v>
      </c>
      <c r="N1631" s="1">
        <v>2.189E-2</v>
      </c>
      <c r="O1631" s="1">
        <v>2.5849999999999999E-4</v>
      </c>
      <c r="P163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1.9463594208817988E-2</v>
      </c>
      <c r="Q1631" s="1">
        <f>LN(Table1[[#This Row],[qe_mg_g]]-Table1[[#This Row],[qt]])</f>
        <v>0.10484314705783365</v>
      </c>
      <c r="R1631" s="1">
        <v>1</v>
      </c>
    </row>
    <row r="1632" spans="1:18" x14ac:dyDescent="0.3">
      <c r="A1632" s="1">
        <v>1631</v>
      </c>
      <c r="B1632" s="1" t="s">
        <v>18</v>
      </c>
      <c r="C1632" s="1">
        <v>4</v>
      </c>
      <c r="D1632" s="1">
        <v>60</v>
      </c>
      <c r="E1632" s="1">
        <v>50</v>
      </c>
      <c r="F1632" s="1">
        <v>3</v>
      </c>
      <c r="G1632" s="1">
        <v>25</v>
      </c>
      <c r="H1632" s="1">
        <v>150</v>
      </c>
      <c r="I1632" s="1">
        <v>100</v>
      </c>
      <c r="J1632" s="1">
        <v>0.95</v>
      </c>
      <c r="K1632" s="1">
        <v>46.201000000000001</v>
      </c>
      <c r="L1632" s="1">
        <v>7.6</v>
      </c>
      <c r="M1632" s="1">
        <v>98.9</v>
      </c>
      <c r="N1632" s="1">
        <v>2.8889999999999999E-2</v>
      </c>
      <c r="O1632" s="1">
        <v>2.7020000000000001E-4</v>
      </c>
      <c r="P163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1.4409404989987211E-2</v>
      </c>
      <c r="Q1632" s="1">
        <f>LN(Table1[[#This Row],[qe_mg_g]]-Table1[[#This Row],[qt]])</f>
        <v>-6.6577296684745366E-2</v>
      </c>
      <c r="R1632" s="1">
        <v>2</v>
      </c>
    </row>
    <row r="1633" spans="1:18" x14ac:dyDescent="0.3">
      <c r="A1633" s="1">
        <v>1632</v>
      </c>
      <c r="B1633" s="1" t="s">
        <v>18</v>
      </c>
      <c r="C1633" s="1">
        <v>4</v>
      </c>
      <c r="D1633" s="1">
        <v>60</v>
      </c>
      <c r="E1633" s="1">
        <v>50</v>
      </c>
      <c r="F1633" s="1">
        <v>3</v>
      </c>
      <c r="G1633" s="1">
        <v>25</v>
      </c>
      <c r="H1633" s="1">
        <v>150</v>
      </c>
      <c r="I1633" s="1">
        <v>100</v>
      </c>
      <c r="J1633" s="1">
        <v>1.079</v>
      </c>
      <c r="K1633" s="1">
        <v>45.683</v>
      </c>
      <c r="L1633" s="1">
        <v>8.6300000000000008</v>
      </c>
      <c r="M1633" s="1">
        <v>104.2</v>
      </c>
      <c r="N1633" s="1">
        <v>2.8979999999999999E-2</v>
      </c>
      <c r="O1633" s="1">
        <v>2.4899999999999998E-4</v>
      </c>
      <c r="P163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1.7117816881241987E-2</v>
      </c>
      <c r="Q1633" s="1">
        <f>LN(Table1[[#This Row],[qe_mg_g]]-Table1[[#This Row],[qt]])</f>
        <v>6.0042977982694111E-2</v>
      </c>
      <c r="R1633" s="1">
        <v>3</v>
      </c>
    </row>
    <row r="1634" spans="1:18" x14ac:dyDescent="0.3">
      <c r="A1634" s="1">
        <v>1633</v>
      </c>
      <c r="B1634" s="1" t="s">
        <v>18</v>
      </c>
      <c r="C1634" s="1">
        <v>4</v>
      </c>
      <c r="D1634" s="1">
        <v>60</v>
      </c>
      <c r="E1634" s="1">
        <v>50</v>
      </c>
      <c r="F1634" s="1">
        <v>7</v>
      </c>
      <c r="G1634" s="1">
        <v>25</v>
      </c>
      <c r="H1634" s="1">
        <v>150</v>
      </c>
      <c r="I1634" s="1">
        <v>100</v>
      </c>
      <c r="J1634" s="1">
        <v>1.679</v>
      </c>
      <c r="K1634" s="1">
        <v>43.284999999999997</v>
      </c>
      <c r="L1634" s="1">
        <v>13.43</v>
      </c>
      <c r="M1634" s="1">
        <v>88</v>
      </c>
      <c r="N1634" s="1">
        <v>3.1739999999999997E-2</v>
      </c>
      <c r="O1634" s="1">
        <v>2.6150000000000001E-4</v>
      </c>
      <c r="P163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4.3095467413244534E-2</v>
      </c>
      <c r="Q1634" s="1">
        <f>LN(Table1[[#This Row],[qe_mg_g]]-Table1[[#This Row],[qt]])</f>
        <v>0.49219588231331002</v>
      </c>
      <c r="R1634" s="1">
        <v>1</v>
      </c>
    </row>
    <row r="1635" spans="1:18" x14ac:dyDescent="0.3">
      <c r="A1635" s="1">
        <v>1634</v>
      </c>
      <c r="B1635" s="1" t="s">
        <v>18</v>
      </c>
      <c r="C1635" s="1">
        <v>4</v>
      </c>
      <c r="D1635" s="1">
        <v>60</v>
      </c>
      <c r="E1635" s="1">
        <v>50</v>
      </c>
      <c r="F1635" s="1">
        <v>7</v>
      </c>
      <c r="G1635" s="1">
        <v>25</v>
      </c>
      <c r="H1635" s="1">
        <v>150</v>
      </c>
      <c r="I1635" s="1">
        <v>100</v>
      </c>
      <c r="J1635" s="1">
        <v>1.9079999999999999</v>
      </c>
      <c r="K1635" s="1">
        <v>42.366999999999997</v>
      </c>
      <c r="L1635" s="1">
        <v>15.27</v>
      </c>
      <c r="M1635" s="1">
        <v>118.8</v>
      </c>
      <c r="N1635" s="1">
        <v>2.794E-2</v>
      </c>
      <c r="O1635" s="1">
        <v>2.7050000000000002E-4</v>
      </c>
      <c r="P1635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5.7310020485236944E-2</v>
      </c>
      <c r="Q1635" s="1">
        <f>LN(Table1[[#This Row],[qe_mg_g]]-Table1[[#This Row],[qt]])</f>
        <v>0.61555853145710415</v>
      </c>
      <c r="R1635" s="1">
        <v>2</v>
      </c>
    </row>
    <row r="1636" spans="1:18" x14ac:dyDescent="0.3">
      <c r="A1636" s="1">
        <v>1635</v>
      </c>
      <c r="B1636" s="1" t="s">
        <v>18</v>
      </c>
      <c r="C1636" s="1">
        <v>4</v>
      </c>
      <c r="D1636" s="1">
        <v>60</v>
      </c>
      <c r="E1636" s="1">
        <v>50</v>
      </c>
      <c r="F1636" s="1">
        <v>7</v>
      </c>
      <c r="G1636" s="1">
        <v>25</v>
      </c>
      <c r="H1636" s="1">
        <v>150</v>
      </c>
      <c r="I1636" s="1">
        <v>100</v>
      </c>
      <c r="J1636" s="1">
        <v>1.532</v>
      </c>
      <c r="K1636" s="1">
        <v>43.87</v>
      </c>
      <c r="L1636" s="1">
        <v>12.26</v>
      </c>
      <c r="M1636" s="1">
        <v>110.4</v>
      </c>
      <c r="N1636" s="1">
        <v>2.845E-2</v>
      </c>
      <c r="O1636" s="1">
        <v>2.2440000000000001E-4</v>
      </c>
      <c r="P163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3.0961689081492792E-2</v>
      </c>
      <c r="Q1636" s="1">
        <f>LN(Table1[[#This Row],[qe_mg_g]]-Table1[[#This Row],[qt]])</f>
        <v>0.40615707592221056</v>
      </c>
      <c r="R1636" s="1">
        <v>3</v>
      </c>
    </row>
    <row r="1637" spans="1:18" x14ac:dyDescent="0.3">
      <c r="A1637" s="1">
        <v>1636</v>
      </c>
      <c r="B1637" s="1" t="s">
        <v>18</v>
      </c>
      <c r="C1637" s="1">
        <v>4</v>
      </c>
      <c r="D1637" s="1">
        <v>60</v>
      </c>
      <c r="E1637" s="1">
        <v>50</v>
      </c>
      <c r="F1637" s="1">
        <v>11</v>
      </c>
      <c r="G1637" s="1">
        <v>25</v>
      </c>
      <c r="H1637" s="1">
        <v>150</v>
      </c>
      <c r="I1637" s="1">
        <v>100</v>
      </c>
      <c r="J1637" s="1">
        <v>1.2709999999999999</v>
      </c>
      <c r="K1637" s="1">
        <v>44.917000000000002</v>
      </c>
      <c r="L1637" s="1">
        <v>10.17</v>
      </c>
      <c r="M1637" s="1">
        <v>59.9</v>
      </c>
      <c r="N1637" s="1">
        <v>2.4750000000000001E-2</v>
      </c>
      <c r="O1637" s="1">
        <v>2.4560000000000001E-4</v>
      </c>
      <c r="P163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2.3367478417154947E-2</v>
      </c>
      <c r="Q1637" s="1">
        <f>LN(Table1[[#This Row],[qe_mg_g]]-Table1[[#This Row],[qt]])</f>
        <v>0.22124777272728638</v>
      </c>
      <c r="R1637" s="1">
        <v>1</v>
      </c>
    </row>
    <row r="1638" spans="1:18" x14ac:dyDescent="0.3">
      <c r="A1638" s="1">
        <v>1637</v>
      </c>
      <c r="B1638" s="1" t="s">
        <v>18</v>
      </c>
      <c r="C1638" s="1">
        <v>4</v>
      </c>
      <c r="D1638" s="1">
        <v>60</v>
      </c>
      <c r="E1638" s="1">
        <v>50</v>
      </c>
      <c r="F1638" s="1">
        <v>11</v>
      </c>
      <c r="G1638" s="1">
        <v>25</v>
      </c>
      <c r="H1638" s="1">
        <v>150</v>
      </c>
      <c r="I1638" s="1">
        <v>100</v>
      </c>
      <c r="J1638" s="1">
        <v>1.2490000000000001</v>
      </c>
      <c r="K1638" s="1">
        <v>45.005000000000003</v>
      </c>
      <c r="L1638" s="1">
        <v>9.99</v>
      </c>
      <c r="M1638" s="1">
        <v>94.5</v>
      </c>
      <c r="N1638" s="1">
        <v>2.5260000000000001E-2</v>
      </c>
      <c r="O1638" s="1">
        <v>2.296E-4</v>
      </c>
      <c r="P163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2.112705690247527E-2</v>
      </c>
      <c r="Q1638" s="1">
        <f>LN(Table1[[#This Row],[qe_mg_g]]-Table1[[#This Row],[qt]])</f>
        <v>0.20528335783895951</v>
      </c>
      <c r="R1638" s="1">
        <v>2</v>
      </c>
    </row>
    <row r="1639" spans="1:18" x14ac:dyDescent="0.3">
      <c r="A1639" s="1">
        <v>1638</v>
      </c>
      <c r="B1639" s="1" t="s">
        <v>18</v>
      </c>
      <c r="C1639" s="1">
        <v>4</v>
      </c>
      <c r="D1639" s="1">
        <v>60</v>
      </c>
      <c r="E1639" s="1">
        <v>50</v>
      </c>
      <c r="F1639" s="1">
        <v>11</v>
      </c>
      <c r="G1639" s="1">
        <v>25</v>
      </c>
      <c r="H1639" s="1">
        <v>150</v>
      </c>
      <c r="I1639" s="1">
        <v>100</v>
      </c>
      <c r="J1639" s="1">
        <v>1.2829999999999999</v>
      </c>
      <c r="K1639" s="1">
        <v>44.868000000000002</v>
      </c>
      <c r="L1639" s="1">
        <v>10.26</v>
      </c>
      <c r="M1639" s="1">
        <v>108.7</v>
      </c>
      <c r="N1639" s="1">
        <v>2.9950000000000001E-2</v>
      </c>
      <c r="O1639" s="1">
        <v>2.789E-4</v>
      </c>
      <c r="P163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2.6966686072756638E-2</v>
      </c>
      <c r="Q1639" s="1">
        <f>LN(Table1[[#This Row],[qe_mg_g]]-Table1[[#This Row],[qt]])</f>
        <v>0.22795859152167944</v>
      </c>
      <c r="R1639" s="1">
        <v>3</v>
      </c>
    </row>
    <row r="1640" spans="1:18" x14ac:dyDescent="0.3">
      <c r="A1640" s="1">
        <v>1639</v>
      </c>
      <c r="B1640" s="1" t="s">
        <v>18</v>
      </c>
      <c r="C1640" s="1">
        <v>4</v>
      </c>
      <c r="D1640" s="1">
        <v>60</v>
      </c>
      <c r="E1640" s="1">
        <v>100</v>
      </c>
      <c r="F1640" s="1">
        <v>3</v>
      </c>
      <c r="G1640" s="1">
        <v>25</v>
      </c>
      <c r="H1640" s="1">
        <v>150</v>
      </c>
      <c r="I1640" s="1">
        <v>100</v>
      </c>
      <c r="J1640" s="1">
        <v>3.6030000000000002</v>
      </c>
      <c r="K1640" s="1">
        <v>85.587000000000003</v>
      </c>
      <c r="L1640" s="1">
        <v>14.41</v>
      </c>
      <c r="M1640" s="1">
        <v>88.8</v>
      </c>
      <c r="N1640" s="1">
        <v>2.9159999999999998E-2</v>
      </c>
      <c r="O1640" s="1">
        <v>2.1489999999999999E-4</v>
      </c>
      <c r="P164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0.15995387610745798</v>
      </c>
      <c r="Q1640" s="1">
        <f>LN(Table1[[#This Row],[qe_mg_g]]-Table1[[#This Row],[qt]])</f>
        <v>1.2363565806920236</v>
      </c>
      <c r="R1640" s="1">
        <v>1</v>
      </c>
    </row>
    <row r="1641" spans="1:18" x14ac:dyDescent="0.3">
      <c r="A1641" s="1">
        <v>1640</v>
      </c>
      <c r="B1641" s="1" t="s">
        <v>18</v>
      </c>
      <c r="C1641" s="1">
        <v>4</v>
      </c>
      <c r="D1641" s="1">
        <v>60</v>
      </c>
      <c r="E1641" s="1">
        <v>100</v>
      </c>
      <c r="F1641" s="1">
        <v>3</v>
      </c>
      <c r="G1641" s="1">
        <v>25</v>
      </c>
      <c r="H1641" s="1">
        <v>150</v>
      </c>
      <c r="I1641" s="1">
        <v>100</v>
      </c>
      <c r="J1641" s="1">
        <v>3.4449999999999998</v>
      </c>
      <c r="K1641" s="1">
        <v>86.22</v>
      </c>
      <c r="L1641" s="1">
        <v>13.78</v>
      </c>
      <c r="M1641" s="1">
        <v>116.7</v>
      </c>
      <c r="N1641" s="1">
        <v>3.2059999999999998E-2</v>
      </c>
      <c r="O1641" s="1">
        <v>2.8509999999999999E-4</v>
      </c>
      <c r="P164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0.19171654694662255</v>
      </c>
      <c r="Q1641" s="1">
        <f>LN(Table1[[#This Row],[qe_mg_g]]-Table1[[#This Row],[qt]])</f>
        <v>1.1796647795860891</v>
      </c>
      <c r="R1641" s="1">
        <v>2</v>
      </c>
    </row>
    <row r="1642" spans="1:18" x14ac:dyDescent="0.3">
      <c r="A1642" s="1">
        <v>1641</v>
      </c>
      <c r="B1642" s="1" t="s">
        <v>18</v>
      </c>
      <c r="C1642" s="1">
        <v>4</v>
      </c>
      <c r="D1642" s="1">
        <v>60</v>
      </c>
      <c r="E1642" s="1">
        <v>100</v>
      </c>
      <c r="F1642" s="1">
        <v>3</v>
      </c>
      <c r="G1642" s="1">
        <v>25</v>
      </c>
      <c r="H1642" s="1">
        <v>150</v>
      </c>
      <c r="I1642" s="1">
        <v>100</v>
      </c>
      <c r="J1642" s="1">
        <v>3.3839999999999999</v>
      </c>
      <c r="K1642" s="1">
        <v>86.463999999999999</v>
      </c>
      <c r="L1642" s="1">
        <v>13.54</v>
      </c>
      <c r="M1642" s="1">
        <v>120.2</v>
      </c>
      <c r="N1642" s="1">
        <v>2.9420000000000002E-2</v>
      </c>
      <c r="O1642" s="1">
        <v>2.8679999999999998E-4</v>
      </c>
      <c r="P164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0.18621311648417255</v>
      </c>
      <c r="Q1642" s="1">
        <f>LN(Table1[[#This Row],[qe_mg_g]]-Table1[[#This Row],[qt]])</f>
        <v>1.1624589716395335</v>
      </c>
      <c r="R1642" s="1">
        <v>3</v>
      </c>
    </row>
    <row r="1643" spans="1:18" x14ac:dyDescent="0.3">
      <c r="A1643" s="1">
        <v>1642</v>
      </c>
      <c r="B1643" s="1" t="s">
        <v>18</v>
      </c>
      <c r="C1643" s="1">
        <v>4</v>
      </c>
      <c r="D1643" s="1">
        <v>60</v>
      </c>
      <c r="E1643" s="1">
        <v>100</v>
      </c>
      <c r="F1643" s="1">
        <v>7</v>
      </c>
      <c r="G1643" s="1">
        <v>25</v>
      </c>
      <c r="H1643" s="1">
        <v>150</v>
      </c>
      <c r="I1643" s="1">
        <v>100</v>
      </c>
      <c r="J1643" s="1">
        <v>5.7610000000000001</v>
      </c>
      <c r="K1643" s="1">
        <v>76.954999999999998</v>
      </c>
      <c r="L1643" s="1">
        <v>23.04</v>
      </c>
      <c r="M1643" s="1">
        <v>110.6</v>
      </c>
      <c r="N1643" s="1">
        <v>3.4430000000000002E-2</v>
      </c>
      <c r="O1643" s="1">
        <v>2.452E-4</v>
      </c>
      <c r="P164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0.45012742383854731</v>
      </c>
      <c r="Q1643" s="1">
        <f>LN(Table1[[#This Row],[qe_mg_g]]-Table1[[#This Row],[qt]])</f>
        <v>1.6697561487143768</v>
      </c>
      <c r="R1643" s="1">
        <v>1</v>
      </c>
    </row>
    <row r="1644" spans="1:18" x14ac:dyDescent="0.3">
      <c r="A1644" s="1">
        <v>1643</v>
      </c>
      <c r="B1644" s="1" t="s">
        <v>18</v>
      </c>
      <c r="C1644" s="1">
        <v>4</v>
      </c>
      <c r="D1644" s="1">
        <v>60</v>
      </c>
      <c r="E1644" s="1">
        <v>100</v>
      </c>
      <c r="F1644" s="1">
        <v>7</v>
      </c>
      <c r="G1644" s="1">
        <v>25</v>
      </c>
      <c r="H1644" s="1">
        <v>150</v>
      </c>
      <c r="I1644" s="1">
        <v>100</v>
      </c>
      <c r="J1644" s="1">
        <v>5.8860000000000001</v>
      </c>
      <c r="K1644" s="1">
        <v>76.456000000000003</v>
      </c>
      <c r="L1644" s="1">
        <v>23.54</v>
      </c>
      <c r="M1644" s="1">
        <v>119.3</v>
      </c>
      <c r="N1644" s="1">
        <v>2.9600000000000001E-2</v>
      </c>
      <c r="O1644" s="1">
        <v>2.1699999999999999E-4</v>
      </c>
      <c r="P164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0.41896979594918132</v>
      </c>
      <c r="Q1644" s="1">
        <f>LN(Table1[[#This Row],[qe_mg_g]]-Table1[[#This Row],[qt]])</f>
        <v>1.6987355446919703</v>
      </c>
      <c r="R1644" s="1">
        <v>2</v>
      </c>
    </row>
    <row r="1645" spans="1:18" x14ac:dyDescent="0.3">
      <c r="A1645" s="1">
        <v>1644</v>
      </c>
      <c r="B1645" s="1" t="s">
        <v>18</v>
      </c>
      <c r="C1645" s="1">
        <v>4</v>
      </c>
      <c r="D1645" s="1">
        <v>60</v>
      </c>
      <c r="E1645" s="1">
        <v>100</v>
      </c>
      <c r="F1645" s="1">
        <v>7</v>
      </c>
      <c r="G1645" s="1">
        <v>25</v>
      </c>
      <c r="H1645" s="1">
        <v>150</v>
      </c>
      <c r="I1645" s="1">
        <v>100</v>
      </c>
      <c r="J1645" s="1">
        <v>6.8860000000000001</v>
      </c>
      <c r="K1645" s="1">
        <v>72.456000000000003</v>
      </c>
      <c r="L1645" s="1">
        <v>27.54</v>
      </c>
      <c r="M1645" s="1">
        <v>93</v>
      </c>
      <c r="N1645" s="1">
        <v>3.048E-2</v>
      </c>
      <c r="O1645" s="1">
        <v>2.789E-4</v>
      </c>
      <c r="P164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0.71149070643814372</v>
      </c>
      <c r="Q1645" s="1">
        <f>LN(Table1[[#This Row],[qe_mg_g]]-Table1[[#This Row],[qt]])</f>
        <v>1.820429412726742</v>
      </c>
      <c r="R1645" s="1">
        <v>3</v>
      </c>
    </row>
    <row r="1646" spans="1:18" x14ac:dyDescent="0.3">
      <c r="A1646" s="1">
        <v>1645</v>
      </c>
      <c r="B1646" s="1" t="s">
        <v>18</v>
      </c>
      <c r="C1646" s="1">
        <v>4</v>
      </c>
      <c r="D1646" s="1">
        <v>60</v>
      </c>
      <c r="E1646" s="1">
        <v>100</v>
      </c>
      <c r="F1646" s="1">
        <v>11</v>
      </c>
      <c r="G1646" s="1">
        <v>25</v>
      </c>
      <c r="H1646" s="1">
        <v>150</v>
      </c>
      <c r="I1646" s="1">
        <v>100</v>
      </c>
      <c r="J1646" s="1">
        <v>4.1059999999999999</v>
      </c>
      <c r="K1646" s="1">
        <v>83.575000000000003</v>
      </c>
      <c r="L1646" s="1">
        <v>16.43</v>
      </c>
      <c r="M1646" s="1">
        <v>84.9</v>
      </c>
      <c r="N1646" s="1">
        <v>3.0759999999999999E-2</v>
      </c>
      <c r="O1646" s="1">
        <v>2.052E-4</v>
      </c>
      <c r="P164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0.19758251074059016</v>
      </c>
      <c r="Q1646" s="1">
        <f>LN(Table1[[#This Row],[qe_mg_g]]-Table1[[#This Row],[qt]])</f>
        <v>1.3631325578655251</v>
      </c>
      <c r="R1646" s="1">
        <v>1</v>
      </c>
    </row>
    <row r="1647" spans="1:18" x14ac:dyDescent="0.3">
      <c r="A1647" s="1">
        <v>1646</v>
      </c>
      <c r="B1647" s="1" t="s">
        <v>18</v>
      </c>
      <c r="C1647" s="1">
        <v>4</v>
      </c>
      <c r="D1647" s="1">
        <v>60</v>
      </c>
      <c r="E1647" s="1">
        <v>100</v>
      </c>
      <c r="F1647" s="1">
        <v>11</v>
      </c>
      <c r="G1647" s="1">
        <v>25</v>
      </c>
      <c r="H1647" s="1">
        <v>150</v>
      </c>
      <c r="I1647" s="1">
        <v>100</v>
      </c>
      <c r="J1647" s="1">
        <v>4.2320000000000002</v>
      </c>
      <c r="K1647" s="1">
        <v>83.072999999999993</v>
      </c>
      <c r="L1647" s="1">
        <v>16.93</v>
      </c>
      <c r="M1647" s="1">
        <v>103.7</v>
      </c>
      <c r="N1647" s="1">
        <v>2.9190000000000001E-2</v>
      </c>
      <c r="O1647" s="1">
        <v>2.1139999999999999E-4</v>
      </c>
      <c r="P164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0.21559533300155351</v>
      </c>
      <c r="Q1647" s="1">
        <f>LN(Table1[[#This Row],[qe_mg_g]]-Table1[[#This Row],[qt]])</f>
        <v>1.3903871410079403</v>
      </c>
      <c r="R1647" s="1">
        <v>2</v>
      </c>
    </row>
    <row r="1648" spans="1:18" x14ac:dyDescent="0.3">
      <c r="A1648" s="1">
        <v>1647</v>
      </c>
      <c r="B1648" s="1" t="s">
        <v>18</v>
      </c>
      <c r="C1648" s="1">
        <v>4</v>
      </c>
      <c r="D1648" s="1">
        <v>60</v>
      </c>
      <c r="E1648" s="1">
        <v>100</v>
      </c>
      <c r="F1648" s="1">
        <v>11</v>
      </c>
      <c r="G1648" s="1">
        <v>25</v>
      </c>
      <c r="H1648" s="1">
        <v>150</v>
      </c>
      <c r="I1648" s="1">
        <v>100</v>
      </c>
      <c r="J1648" s="1">
        <v>4.968</v>
      </c>
      <c r="K1648" s="1">
        <v>80.13</v>
      </c>
      <c r="L1648" s="1">
        <v>19.87</v>
      </c>
      <c r="M1648" s="1">
        <v>101.6</v>
      </c>
      <c r="N1648" s="1">
        <v>3.4290000000000001E-2</v>
      </c>
      <c r="O1648" s="1">
        <v>2.4350000000000001E-4</v>
      </c>
      <c r="P164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0.33618837466000756</v>
      </c>
      <c r="Q1648" s="1">
        <f>LN(Table1[[#This Row],[qe_mg_g]]-Table1[[#This Row],[qt]])</f>
        <v>1.5329480713392321</v>
      </c>
      <c r="R1648" s="1">
        <v>3</v>
      </c>
    </row>
    <row r="1649" spans="1:18" x14ac:dyDescent="0.3">
      <c r="A1649" s="1">
        <v>1648</v>
      </c>
      <c r="B1649" s="1" t="s">
        <v>18</v>
      </c>
      <c r="C1649" s="1">
        <v>4</v>
      </c>
      <c r="D1649" s="1">
        <v>60</v>
      </c>
      <c r="E1649" s="1">
        <v>200</v>
      </c>
      <c r="F1649" s="1">
        <v>3</v>
      </c>
      <c r="G1649" s="1">
        <v>25</v>
      </c>
      <c r="H1649" s="1">
        <v>150</v>
      </c>
      <c r="I1649" s="1">
        <v>100</v>
      </c>
      <c r="J1649" s="1">
        <v>10.375</v>
      </c>
      <c r="K1649" s="1">
        <v>158.499</v>
      </c>
      <c r="L1649" s="1">
        <v>20.75</v>
      </c>
      <c r="M1649" s="1">
        <v>104</v>
      </c>
      <c r="N1649" s="1">
        <v>2.9350000000000001E-2</v>
      </c>
      <c r="O1649" s="1">
        <v>2.206E-4</v>
      </c>
      <c r="P164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1.252705419786015</v>
      </c>
      <c r="Q1649" s="1">
        <f>LN(Table1[[#This Row],[qe_mg_g]]-Table1[[#This Row],[qt]])</f>
        <v>2.2107213711482667</v>
      </c>
      <c r="R1649" s="1">
        <v>1</v>
      </c>
    </row>
    <row r="1650" spans="1:18" x14ac:dyDescent="0.3">
      <c r="A1650" s="1">
        <v>1649</v>
      </c>
      <c r="B1650" s="1" t="s">
        <v>18</v>
      </c>
      <c r="C1650" s="1">
        <v>4</v>
      </c>
      <c r="D1650" s="1">
        <v>60</v>
      </c>
      <c r="E1650" s="1">
        <v>200</v>
      </c>
      <c r="F1650" s="1">
        <v>3</v>
      </c>
      <c r="G1650" s="1">
        <v>25</v>
      </c>
      <c r="H1650" s="1">
        <v>150</v>
      </c>
      <c r="I1650" s="1">
        <v>100</v>
      </c>
      <c r="J1650" s="1">
        <v>12.757999999999999</v>
      </c>
      <c r="K1650" s="1">
        <v>148.96700000000001</v>
      </c>
      <c r="L1650" s="1">
        <v>25.52</v>
      </c>
      <c r="M1650" s="1">
        <v>90.7</v>
      </c>
      <c r="N1650" s="1">
        <v>2.4479999999999998E-2</v>
      </c>
      <c r="O1650" s="1">
        <v>2.832E-4</v>
      </c>
      <c r="P165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2.2729832089827982</v>
      </c>
      <c r="Q1650" s="1">
        <f>LN(Table1[[#This Row],[qe_mg_g]]-Table1[[#This Row],[qt]])</f>
        <v>2.3499472657848566</v>
      </c>
      <c r="R1650" s="1">
        <v>2</v>
      </c>
    </row>
    <row r="1651" spans="1:18" x14ac:dyDescent="0.3">
      <c r="A1651" s="1">
        <v>1650</v>
      </c>
      <c r="B1651" s="1" t="s">
        <v>18</v>
      </c>
      <c r="C1651" s="1">
        <v>4</v>
      </c>
      <c r="D1651" s="1">
        <v>60</v>
      </c>
      <c r="E1651" s="1">
        <v>200</v>
      </c>
      <c r="F1651" s="1">
        <v>3</v>
      </c>
      <c r="G1651" s="1">
        <v>25</v>
      </c>
      <c r="H1651" s="1">
        <v>150</v>
      </c>
      <c r="I1651" s="1">
        <v>100</v>
      </c>
      <c r="J1651" s="1">
        <v>10.756</v>
      </c>
      <c r="K1651" s="1">
        <v>156.97499999999999</v>
      </c>
      <c r="L1651" s="1">
        <v>21.51</v>
      </c>
      <c r="M1651" s="1">
        <v>90.9</v>
      </c>
      <c r="N1651" s="1">
        <v>2.47E-2</v>
      </c>
      <c r="O1651" s="1">
        <v>2.9349999999999998E-4</v>
      </c>
      <c r="P165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1.7128849902417422</v>
      </c>
      <c r="Q1651" s="1">
        <f>LN(Table1[[#This Row],[qe_mg_g]]-Table1[[#This Row],[qt]])</f>
        <v>2.2020036957752525</v>
      </c>
      <c r="R1651" s="1">
        <v>3</v>
      </c>
    </row>
    <row r="1652" spans="1:18" x14ac:dyDescent="0.3">
      <c r="A1652" s="1">
        <v>1651</v>
      </c>
      <c r="B1652" s="1" t="s">
        <v>18</v>
      </c>
      <c r="C1652" s="1">
        <v>4</v>
      </c>
      <c r="D1652" s="1">
        <v>60</v>
      </c>
      <c r="E1652" s="1">
        <v>200</v>
      </c>
      <c r="F1652" s="1">
        <v>7</v>
      </c>
      <c r="G1652" s="1">
        <v>25</v>
      </c>
      <c r="H1652" s="1">
        <v>150</v>
      </c>
      <c r="I1652" s="1">
        <v>100</v>
      </c>
      <c r="J1652" s="1">
        <v>15.856</v>
      </c>
      <c r="K1652" s="1">
        <v>136.578</v>
      </c>
      <c r="L1652" s="1">
        <v>31.71</v>
      </c>
      <c r="M1652" s="1">
        <v>100.9</v>
      </c>
      <c r="N1652" s="1">
        <v>3.2739999999999998E-2</v>
      </c>
      <c r="O1652" s="1">
        <v>2.6049999999999999E-4</v>
      </c>
      <c r="P165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3.1491335607063169</v>
      </c>
      <c r="Q1652" s="1">
        <f>LN(Table1[[#This Row],[qe_mg_g]]-Table1[[#This Row],[qt]])</f>
        <v>2.5421425118694629</v>
      </c>
      <c r="R1652" s="1">
        <v>1</v>
      </c>
    </row>
    <row r="1653" spans="1:18" x14ac:dyDescent="0.3">
      <c r="A1653" s="1">
        <v>1652</v>
      </c>
      <c r="B1653" s="1" t="s">
        <v>18</v>
      </c>
      <c r="C1653" s="1">
        <v>4</v>
      </c>
      <c r="D1653" s="1">
        <v>60</v>
      </c>
      <c r="E1653" s="1">
        <v>200</v>
      </c>
      <c r="F1653" s="1">
        <v>7</v>
      </c>
      <c r="G1653" s="1">
        <v>25</v>
      </c>
      <c r="H1653" s="1">
        <v>150</v>
      </c>
      <c r="I1653" s="1">
        <v>100</v>
      </c>
      <c r="J1653" s="1">
        <v>17.841000000000001</v>
      </c>
      <c r="K1653" s="1">
        <v>128.636</v>
      </c>
      <c r="L1653" s="1">
        <v>35.68</v>
      </c>
      <c r="M1653" s="1">
        <v>74.5</v>
      </c>
      <c r="N1653" s="1">
        <v>2.7570000000000001E-2</v>
      </c>
      <c r="O1653" s="1">
        <v>2.5470000000000001E-4</v>
      </c>
      <c r="P165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3.822178011048762</v>
      </c>
      <c r="Q1653" s="1">
        <f>LN(Table1[[#This Row],[qe_mg_g]]-Table1[[#This Row],[qt]])</f>
        <v>2.6404008544636546</v>
      </c>
      <c r="R1653" s="1">
        <v>2</v>
      </c>
    </row>
    <row r="1654" spans="1:18" x14ac:dyDescent="0.3">
      <c r="A1654" s="1">
        <v>1653</v>
      </c>
      <c r="B1654" s="1" t="s">
        <v>18</v>
      </c>
      <c r="C1654" s="1">
        <v>4</v>
      </c>
      <c r="D1654" s="1">
        <v>60</v>
      </c>
      <c r="E1654" s="1">
        <v>200</v>
      </c>
      <c r="F1654" s="1">
        <v>7</v>
      </c>
      <c r="G1654" s="1">
        <v>25</v>
      </c>
      <c r="H1654" s="1">
        <v>150</v>
      </c>
      <c r="I1654" s="1">
        <v>100</v>
      </c>
      <c r="J1654" s="1">
        <v>16.666</v>
      </c>
      <c r="K1654" s="1">
        <v>133.334</v>
      </c>
      <c r="L1654" s="1">
        <v>33.33</v>
      </c>
      <c r="M1654" s="1">
        <v>103.1</v>
      </c>
      <c r="N1654" s="1">
        <v>3.2050000000000002E-2</v>
      </c>
      <c r="O1654" s="1">
        <v>2.7409999999999999E-4</v>
      </c>
      <c r="P165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3.5852815187211138</v>
      </c>
      <c r="Q1654" s="1">
        <f>LN(Table1[[#This Row],[qe_mg_g]]-Table1[[#This Row],[qt]])</f>
        <v>2.5711392742818511</v>
      </c>
      <c r="R1654" s="1">
        <v>3</v>
      </c>
    </row>
    <row r="1655" spans="1:18" x14ac:dyDescent="0.3">
      <c r="A1655" s="1">
        <v>1654</v>
      </c>
      <c r="B1655" s="1" t="s">
        <v>18</v>
      </c>
      <c r="C1655" s="1">
        <v>4</v>
      </c>
      <c r="D1655" s="1">
        <v>60</v>
      </c>
      <c r="E1655" s="1">
        <v>200</v>
      </c>
      <c r="F1655" s="1">
        <v>11</v>
      </c>
      <c r="G1655" s="1">
        <v>25</v>
      </c>
      <c r="H1655" s="1">
        <v>150</v>
      </c>
      <c r="I1655" s="1">
        <v>100</v>
      </c>
      <c r="J1655" s="1">
        <v>12.301</v>
      </c>
      <c r="K1655" s="1">
        <v>150.79499999999999</v>
      </c>
      <c r="L1655" s="1">
        <v>24.6</v>
      </c>
      <c r="M1655" s="1">
        <v>132.9</v>
      </c>
      <c r="N1655" s="1">
        <v>3.2300000000000002E-2</v>
      </c>
      <c r="O1655" s="1">
        <v>2.5000000000000001E-4</v>
      </c>
      <c r="P165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1.9161589469107612</v>
      </c>
      <c r="Q1655" s="1">
        <f>LN(Table1[[#This Row],[qe_mg_g]]-Table1[[#This Row],[qt]])</f>
        <v>2.340347151779</v>
      </c>
      <c r="R1655" s="1">
        <v>1</v>
      </c>
    </row>
    <row r="1656" spans="1:18" x14ac:dyDescent="0.3">
      <c r="A1656" s="1">
        <v>1655</v>
      </c>
      <c r="B1656" s="1" t="s">
        <v>18</v>
      </c>
      <c r="C1656" s="1">
        <v>4</v>
      </c>
      <c r="D1656" s="1">
        <v>60</v>
      </c>
      <c r="E1656" s="1">
        <v>200</v>
      </c>
      <c r="F1656" s="1">
        <v>11</v>
      </c>
      <c r="G1656" s="1">
        <v>25</v>
      </c>
      <c r="H1656" s="1">
        <v>150</v>
      </c>
      <c r="I1656" s="1">
        <v>100</v>
      </c>
      <c r="J1656" s="1">
        <v>15.183</v>
      </c>
      <c r="K1656" s="1">
        <v>139.268</v>
      </c>
      <c r="L1656" s="1">
        <v>30.37</v>
      </c>
      <c r="M1656" s="1">
        <v>135.5</v>
      </c>
      <c r="N1656" s="1">
        <v>2.5680000000000001E-2</v>
      </c>
      <c r="O1656" s="1">
        <v>2.4439999999999998E-4</v>
      </c>
      <c r="P165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2.7648258952982525</v>
      </c>
      <c r="Q1656" s="1">
        <f>LN(Table1[[#This Row],[qe_mg_g]]-Table1[[#This Row],[qt]])</f>
        <v>2.5191610531940505</v>
      </c>
      <c r="R1656" s="1">
        <v>2</v>
      </c>
    </row>
    <row r="1657" spans="1:18" x14ac:dyDescent="0.3">
      <c r="A1657" s="1">
        <v>1656</v>
      </c>
      <c r="B1657" s="1" t="s">
        <v>18</v>
      </c>
      <c r="C1657" s="1">
        <v>4</v>
      </c>
      <c r="D1657" s="1">
        <v>60</v>
      </c>
      <c r="E1657" s="1">
        <v>200</v>
      </c>
      <c r="F1657" s="1">
        <v>11</v>
      </c>
      <c r="G1657" s="1">
        <v>25</v>
      </c>
      <c r="H1657" s="1">
        <v>150</v>
      </c>
      <c r="I1657" s="1">
        <v>100</v>
      </c>
      <c r="J1657" s="1">
        <v>10.867000000000001</v>
      </c>
      <c r="K1657" s="1">
        <v>156.53100000000001</v>
      </c>
      <c r="L1657" s="1">
        <v>21.73</v>
      </c>
      <c r="M1657" s="1">
        <v>102.9</v>
      </c>
      <c r="N1657" s="1">
        <v>3.1099999999999999E-2</v>
      </c>
      <c r="O1657" s="1">
        <v>2.4899999999999998E-4</v>
      </c>
      <c r="P165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1.5178606361554645</v>
      </c>
      <c r="Q1657" s="1">
        <f>LN(Table1[[#This Row],[qe_mg_g]]-Table1[[#This Row],[qt]])</f>
        <v>2.2352842924163996</v>
      </c>
      <c r="R1657" s="1">
        <v>3</v>
      </c>
    </row>
    <row r="1658" spans="1:18" x14ac:dyDescent="0.3">
      <c r="A1658" s="1">
        <v>1657</v>
      </c>
      <c r="B1658" s="1" t="s">
        <v>18</v>
      </c>
      <c r="C1658" s="1">
        <v>4</v>
      </c>
      <c r="D1658" s="1">
        <v>120</v>
      </c>
      <c r="E1658" s="1">
        <v>25</v>
      </c>
      <c r="F1658" s="1">
        <v>3</v>
      </c>
      <c r="G1658" s="1">
        <v>25</v>
      </c>
      <c r="H1658" s="1">
        <v>150</v>
      </c>
      <c r="I1658" s="1">
        <v>100</v>
      </c>
      <c r="J1658" s="1">
        <v>0.46300000000000002</v>
      </c>
      <c r="K1658" s="1">
        <v>23.149000000000001</v>
      </c>
      <c r="L1658" s="1">
        <v>7.4</v>
      </c>
      <c r="M1658" s="1">
        <v>69.3</v>
      </c>
      <c r="N1658" s="1">
        <v>3.1119999999999998E-2</v>
      </c>
      <c r="O1658" s="1">
        <v>2.8640000000000002E-4</v>
      </c>
      <c r="P1658" s="1">
        <f>(Table1[[#This Row],[Rate_Constant_k2_g_mg_min]]*Table1[[#This Row],[Contact_Time_min]]*Table1[[#This Row],[qe_mg_g]]^2)/(1+Table1[[#This Row],[Contact_Time_min]]*Table1[[#This Row],[qe_mg_g]]*Table1[[#This Row],[Rate_Constant_k2_g_mg_min]])</f>
        <v>7.2520366008256105E-3</v>
      </c>
      <c r="Q1658" s="1">
        <f>LN(Table1[[#This Row],[qe_mg_g]]-Table1[[#This Row],[qt]])</f>
        <v>-0.78581533411316407</v>
      </c>
      <c r="R1658" s="1">
        <v>1</v>
      </c>
    </row>
    <row r="1659" spans="1:18" x14ac:dyDescent="0.3">
      <c r="A1659" s="1">
        <v>1658</v>
      </c>
      <c r="B1659" s="1" t="s">
        <v>18</v>
      </c>
      <c r="C1659" s="1">
        <v>4</v>
      </c>
      <c r="D1659" s="1">
        <v>120</v>
      </c>
      <c r="E1659" s="1">
        <v>25</v>
      </c>
      <c r="F1659" s="1">
        <v>3</v>
      </c>
      <c r="G1659" s="1">
        <v>25</v>
      </c>
      <c r="H1659" s="1">
        <v>150</v>
      </c>
      <c r="I1659" s="1">
        <v>100</v>
      </c>
      <c r="J1659" s="1">
        <v>0.46500000000000002</v>
      </c>
      <c r="K1659" s="1">
        <v>23.138000000000002</v>
      </c>
      <c r="L1659" s="1">
        <v>7.45</v>
      </c>
      <c r="M1659" s="1">
        <v>106.6</v>
      </c>
      <c r="N1659" s="1">
        <v>2.53E-2</v>
      </c>
      <c r="O1659" s="1">
        <v>2.6140000000000001E-4</v>
      </c>
      <c r="P1659" s="1">
        <f>(Table1[[#This Row],[Rate_Constant_k2_g_mg_min]]*Table1[[#This Row],[Contact_Time_min]]*Table1[[#This Row],[qe_mg_g]]^2)/(1+Table1[[#This Row],[Contact_Time_min]]*Table1[[#This Row],[qe_mg_g]]*Table1[[#This Row],[Rate_Constant_k2_g_mg_min]])</f>
        <v>6.6850370474218612E-3</v>
      </c>
      <c r="Q1659" s="1">
        <f>LN(Table1[[#This Row],[qe_mg_g]]-Table1[[#This Row],[qt]])</f>
        <v>-0.78019863918357157</v>
      </c>
      <c r="R1659" s="1">
        <v>2</v>
      </c>
    </row>
    <row r="1660" spans="1:18" x14ac:dyDescent="0.3">
      <c r="A1660" s="1">
        <v>1659</v>
      </c>
      <c r="B1660" s="1" t="s">
        <v>18</v>
      </c>
      <c r="C1660" s="1">
        <v>4</v>
      </c>
      <c r="D1660" s="1">
        <v>120</v>
      </c>
      <c r="E1660" s="1">
        <v>25</v>
      </c>
      <c r="F1660" s="1">
        <v>3</v>
      </c>
      <c r="G1660" s="1">
        <v>25</v>
      </c>
      <c r="H1660" s="1">
        <v>150</v>
      </c>
      <c r="I1660" s="1">
        <v>100</v>
      </c>
      <c r="J1660" s="1">
        <v>0.47399999999999998</v>
      </c>
      <c r="K1660" s="1">
        <v>23.103000000000002</v>
      </c>
      <c r="L1660" s="1">
        <v>7.59</v>
      </c>
      <c r="M1660" s="1">
        <v>88.6</v>
      </c>
      <c r="N1660" s="1">
        <v>2.7720000000000002E-2</v>
      </c>
      <c r="O1660" s="1">
        <v>2.4020000000000001E-4</v>
      </c>
      <c r="P1660" s="1">
        <f>(Table1[[#This Row],[Rate_Constant_k2_g_mg_min]]*Table1[[#This Row],[Contact_Time_min]]*Table1[[#This Row],[qe_mg_g]]^2)/(1+Table1[[#This Row],[Contact_Time_min]]*Table1[[#This Row],[qe_mg_g]]*Table1[[#This Row],[Rate_Constant_k2_g_mg_min]])</f>
        <v>6.3887739148416585E-3</v>
      </c>
      <c r="Q1660" s="1">
        <f>LN(Table1[[#This Row],[qe_mg_g]]-Table1[[#This Row],[qt]])</f>
        <v>-0.76011804179140241</v>
      </c>
      <c r="R1660" s="1">
        <v>3</v>
      </c>
    </row>
    <row r="1661" spans="1:18" x14ac:dyDescent="0.3">
      <c r="A1661" s="1">
        <v>1660</v>
      </c>
      <c r="B1661" s="1" t="s">
        <v>18</v>
      </c>
      <c r="C1661" s="1">
        <v>4</v>
      </c>
      <c r="D1661" s="1">
        <v>120</v>
      </c>
      <c r="E1661" s="1">
        <v>25</v>
      </c>
      <c r="F1661" s="1">
        <v>7</v>
      </c>
      <c r="G1661" s="1">
        <v>25</v>
      </c>
      <c r="H1661" s="1">
        <v>150</v>
      </c>
      <c r="I1661" s="1">
        <v>100</v>
      </c>
      <c r="J1661" s="1">
        <v>0.86899999999999999</v>
      </c>
      <c r="K1661" s="1">
        <v>21.523</v>
      </c>
      <c r="L1661" s="1">
        <v>13.91</v>
      </c>
      <c r="M1661" s="1">
        <v>80.3</v>
      </c>
      <c r="N1661" s="1">
        <v>2.8809999999999999E-2</v>
      </c>
      <c r="O1661" s="1">
        <v>2.4899999999999998E-4</v>
      </c>
      <c r="P166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2.1993142889803367E-2</v>
      </c>
      <c r="Q1661" s="1">
        <f>LN(Table1[[#This Row],[qe_mg_g]]-Table1[[#This Row],[qt]])</f>
        <v>-0.16604648860110979</v>
      </c>
      <c r="R1661" s="1">
        <v>1</v>
      </c>
    </row>
    <row r="1662" spans="1:18" x14ac:dyDescent="0.3">
      <c r="A1662" s="1">
        <v>1661</v>
      </c>
      <c r="B1662" s="1" t="s">
        <v>18</v>
      </c>
      <c r="C1662" s="1">
        <v>4</v>
      </c>
      <c r="D1662" s="1">
        <v>120</v>
      </c>
      <c r="E1662" s="1">
        <v>25</v>
      </c>
      <c r="F1662" s="1">
        <v>7</v>
      </c>
      <c r="G1662" s="1">
        <v>25</v>
      </c>
      <c r="H1662" s="1">
        <v>150</v>
      </c>
      <c r="I1662" s="1">
        <v>100</v>
      </c>
      <c r="J1662" s="1">
        <v>0.75700000000000001</v>
      </c>
      <c r="K1662" s="1">
        <v>21.972000000000001</v>
      </c>
      <c r="L1662" s="1">
        <v>12.11</v>
      </c>
      <c r="M1662" s="1">
        <v>126.9</v>
      </c>
      <c r="N1662" s="1">
        <v>2.7439999999999999E-2</v>
      </c>
      <c r="O1662" s="1">
        <v>2.3330000000000001E-4</v>
      </c>
      <c r="P166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1.5710135345506474E-2</v>
      </c>
      <c r="Q1662" s="1">
        <f>LN(Table1[[#This Row],[qe_mg_g]]-Table1[[#This Row],[qt]])</f>
        <v>-0.29936354980670743</v>
      </c>
      <c r="R1662" s="1">
        <v>2</v>
      </c>
    </row>
    <row r="1663" spans="1:18" x14ac:dyDescent="0.3">
      <c r="A1663" s="1">
        <v>1662</v>
      </c>
      <c r="B1663" s="1" t="s">
        <v>18</v>
      </c>
      <c r="C1663" s="1">
        <v>4</v>
      </c>
      <c r="D1663" s="1">
        <v>120</v>
      </c>
      <c r="E1663" s="1">
        <v>25</v>
      </c>
      <c r="F1663" s="1">
        <v>7</v>
      </c>
      <c r="G1663" s="1">
        <v>25</v>
      </c>
      <c r="H1663" s="1">
        <v>150</v>
      </c>
      <c r="I1663" s="1">
        <v>100</v>
      </c>
      <c r="J1663" s="1">
        <v>0.76600000000000001</v>
      </c>
      <c r="K1663" s="1">
        <v>21.934999999999999</v>
      </c>
      <c r="L1663" s="1">
        <v>12.26</v>
      </c>
      <c r="M1663" s="1">
        <v>127</v>
      </c>
      <c r="N1663" s="1">
        <v>3.1660000000000001E-2</v>
      </c>
      <c r="O1663" s="1">
        <v>2.2660000000000001E-4</v>
      </c>
      <c r="P166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1.5629520739197759E-2</v>
      </c>
      <c r="Q1663" s="1">
        <f>LN(Table1[[#This Row],[qe_mg_g]]-Table1[[#This Row],[qt]])</f>
        <v>-0.28718822206822181</v>
      </c>
      <c r="R1663" s="1">
        <v>3</v>
      </c>
    </row>
    <row r="1664" spans="1:18" x14ac:dyDescent="0.3">
      <c r="A1664" s="1">
        <v>1663</v>
      </c>
      <c r="B1664" s="1" t="s">
        <v>18</v>
      </c>
      <c r="C1664" s="1">
        <v>4</v>
      </c>
      <c r="D1664" s="1">
        <v>120</v>
      </c>
      <c r="E1664" s="1">
        <v>25</v>
      </c>
      <c r="F1664" s="1">
        <v>11</v>
      </c>
      <c r="G1664" s="1">
        <v>25</v>
      </c>
      <c r="H1664" s="1">
        <v>150</v>
      </c>
      <c r="I1664" s="1">
        <v>100</v>
      </c>
      <c r="J1664" s="1">
        <v>0.68300000000000005</v>
      </c>
      <c r="K1664" s="1">
        <v>22.266999999999999</v>
      </c>
      <c r="L1664" s="1">
        <v>10.93</v>
      </c>
      <c r="M1664" s="1">
        <v>103</v>
      </c>
      <c r="N1664" s="1">
        <v>3.0769999999999999E-2</v>
      </c>
      <c r="O1664" s="1">
        <v>2.4140000000000001E-4</v>
      </c>
      <c r="P166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1.325107884882073E-2</v>
      </c>
      <c r="Q1664" s="1">
        <f>LN(Table1[[#This Row],[qe_mg_g]]-Table1[[#This Row],[qt]])</f>
        <v>-0.40085238138189011</v>
      </c>
      <c r="R1664" s="1">
        <v>1</v>
      </c>
    </row>
    <row r="1665" spans="1:18" x14ac:dyDescent="0.3">
      <c r="A1665" s="1">
        <v>1664</v>
      </c>
      <c r="B1665" s="1" t="s">
        <v>18</v>
      </c>
      <c r="C1665" s="1">
        <v>4</v>
      </c>
      <c r="D1665" s="1">
        <v>120</v>
      </c>
      <c r="E1665" s="1">
        <v>25</v>
      </c>
      <c r="F1665" s="1">
        <v>11</v>
      </c>
      <c r="G1665" s="1">
        <v>25</v>
      </c>
      <c r="H1665" s="1">
        <v>150</v>
      </c>
      <c r="I1665" s="1">
        <v>100</v>
      </c>
      <c r="J1665" s="1">
        <v>0.57999999999999996</v>
      </c>
      <c r="K1665" s="1">
        <v>22.681999999999999</v>
      </c>
      <c r="L1665" s="1">
        <v>9.27</v>
      </c>
      <c r="M1665" s="1">
        <v>105.1</v>
      </c>
      <c r="N1665" s="1">
        <v>2.836E-2</v>
      </c>
      <c r="O1665" s="1">
        <v>2.9540000000000002E-4</v>
      </c>
      <c r="P166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1.1684476238061649E-2</v>
      </c>
      <c r="Q1665" s="1">
        <f>LN(Table1[[#This Row],[qe_mg_g]]-Table1[[#This Row],[qt]])</f>
        <v>-0.56507851491288574</v>
      </c>
      <c r="R1665" s="1">
        <v>2</v>
      </c>
    </row>
    <row r="1666" spans="1:18" x14ac:dyDescent="0.3">
      <c r="A1666" s="1">
        <v>1665</v>
      </c>
      <c r="B1666" s="1" t="s">
        <v>18</v>
      </c>
      <c r="C1666" s="1">
        <v>4</v>
      </c>
      <c r="D1666" s="1">
        <v>120</v>
      </c>
      <c r="E1666" s="1">
        <v>25</v>
      </c>
      <c r="F1666" s="1">
        <v>11</v>
      </c>
      <c r="G1666" s="1">
        <v>25</v>
      </c>
      <c r="H1666" s="1">
        <v>150</v>
      </c>
      <c r="I1666" s="1">
        <v>100</v>
      </c>
      <c r="J1666" s="1">
        <v>0.55000000000000004</v>
      </c>
      <c r="K1666" s="1">
        <v>22.797999999999998</v>
      </c>
      <c r="L1666" s="1">
        <v>8.81</v>
      </c>
      <c r="M1666" s="1">
        <v>123</v>
      </c>
      <c r="N1666" s="1">
        <v>2.9669999999999998E-2</v>
      </c>
      <c r="O1666" s="1">
        <v>2.5750000000000002E-4</v>
      </c>
      <c r="P166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9.1910481369131634E-3</v>
      </c>
      <c r="Q1666" s="1">
        <f>LN(Table1[[#This Row],[qe_mg_g]]-Table1[[#This Row],[qt]])</f>
        <v>-0.61468920138911209</v>
      </c>
      <c r="R1666" s="1">
        <v>3</v>
      </c>
    </row>
    <row r="1667" spans="1:18" x14ac:dyDescent="0.3">
      <c r="A1667" s="1">
        <v>1666</v>
      </c>
      <c r="B1667" s="1" t="s">
        <v>18</v>
      </c>
      <c r="C1667" s="1">
        <v>4</v>
      </c>
      <c r="D1667" s="1">
        <v>120</v>
      </c>
      <c r="E1667" s="1">
        <v>50</v>
      </c>
      <c r="F1667" s="1">
        <v>3</v>
      </c>
      <c r="G1667" s="1">
        <v>25</v>
      </c>
      <c r="H1667" s="1">
        <v>150</v>
      </c>
      <c r="I1667" s="1">
        <v>100</v>
      </c>
      <c r="J1667" s="1">
        <v>1.8819999999999999</v>
      </c>
      <c r="K1667" s="1">
        <v>42.472999999999999</v>
      </c>
      <c r="L1667" s="1">
        <v>15.05</v>
      </c>
      <c r="M1667" s="1">
        <v>90.5</v>
      </c>
      <c r="N1667" s="1">
        <v>3.2590000000000001E-2</v>
      </c>
      <c r="O1667" s="1">
        <v>1.8230000000000001E-4</v>
      </c>
      <c r="P1667" s="1">
        <f>(Table1[[#This Row],[Rate_Constant_k2_g_mg_min]]*Table1[[#This Row],[Contact_Time_min]]*Table1[[#This Row],[qe_mg_g]]^2)/(1+Table1[[#This Row],[Contact_Time_min]]*Table1[[#This Row],[qe_mg_g]]*Table1[[#This Row],[Rate_Constant_k2_g_mg_min]])</f>
        <v>7.4419242190073606E-2</v>
      </c>
      <c r="Q1667" s="1">
        <f>LN(Table1[[#This Row],[qe_mg_g]]-Table1[[#This Row],[qt]])</f>
        <v>0.59198935333895941</v>
      </c>
      <c r="R1667" s="1">
        <v>1</v>
      </c>
    </row>
    <row r="1668" spans="1:18" x14ac:dyDescent="0.3">
      <c r="A1668" s="1">
        <v>1667</v>
      </c>
      <c r="B1668" s="1" t="s">
        <v>18</v>
      </c>
      <c r="C1668" s="1">
        <v>4</v>
      </c>
      <c r="D1668" s="1">
        <v>120</v>
      </c>
      <c r="E1668" s="1">
        <v>50</v>
      </c>
      <c r="F1668" s="1">
        <v>3</v>
      </c>
      <c r="G1668" s="1">
        <v>25</v>
      </c>
      <c r="H1668" s="1">
        <v>150</v>
      </c>
      <c r="I1668" s="1">
        <v>100</v>
      </c>
      <c r="J1668" s="1">
        <v>1.637</v>
      </c>
      <c r="K1668" s="1">
        <v>43.451999999999998</v>
      </c>
      <c r="L1668" s="1">
        <v>13.1</v>
      </c>
      <c r="M1668" s="1">
        <v>86.1</v>
      </c>
      <c r="N1668" s="1">
        <v>2.6239999999999999E-2</v>
      </c>
      <c r="O1668" s="1">
        <v>2.4459999999999998E-4</v>
      </c>
      <c r="P1668" s="1">
        <f>(Table1[[#This Row],[Rate_Constant_k2_g_mg_min]]*Table1[[#This Row],[Contact_Time_min]]*Table1[[#This Row],[qe_mg_g]]^2)/(1+Table1[[#This Row],[Contact_Time_min]]*Table1[[#This Row],[qe_mg_g]]*Table1[[#This Row],[Rate_Constant_k2_g_mg_min]])</f>
        <v>7.505046317175651E-2</v>
      </c>
      <c r="Q1668" s="1">
        <f>LN(Table1[[#This Row],[qe_mg_g]]-Table1[[#This Row],[qt]])</f>
        <v>0.44593474412752937</v>
      </c>
      <c r="R1668" s="1">
        <v>2</v>
      </c>
    </row>
    <row r="1669" spans="1:18" x14ac:dyDescent="0.3">
      <c r="A1669" s="1">
        <v>1668</v>
      </c>
      <c r="B1669" s="1" t="s">
        <v>18</v>
      </c>
      <c r="C1669" s="1">
        <v>4</v>
      </c>
      <c r="D1669" s="1">
        <v>120</v>
      </c>
      <c r="E1669" s="1">
        <v>50</v>
      </c>
      <c r="F1669" s="1">
        <v>3</v>
      </c>
      <c r="G1669" s="1">
        <v>25</v>
      </c>
      <c r="H1669" s="1">
        <v>150</v>
      </c>
      <c r="I1669" s="1">
        <v>100</v>
      </c>
      <c r="J1669" s="1">
        <v>1.8109999999999999</v>
      </c>
      <c r="K1669" s="1">
        <v>42.755000000000003</v>
      </c>
      <c r="L1669" s="1">
        <v>14.49</v>
      </c>
      <c r="M1669" s="1">
        <v>110.5</v>
      </c>
      <c r="N1669" s="1">
        <v>3.0720000000000001E-2</v>
      </c>
      <c r="O1669" s="1">
        <v>2.3340000000000001E-4</v>
      </c>
      <c r="P166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8.7424059936937429E-2</v>
      </c>
      <c r="Q1669" s="1">
        <f>LN(Table1[[#This Row],[qe_mg_g]]-Table1[[#This Row],[qt]])</f>
        <v>0.54440116754344781</v>
      </c>
      <c r="R1669" s="1">
        <v>3</v>
      </c>
    </row>
    <row r="1670" spans="1:18" x14ac:dyDescent="0.3">
      <c r="A1670" s="1">
        <v>1669</v>
      </c>
      <c r="B1670" s="1" t="s">
        <v>18</v>
      </c>
      <c r="C1670" s="1">
        <v>4</v>
      </c>
      <c r="D1670" s="1">
        <v>120</v>
      </c>
      <c r="E1670" s="1">
        <v>50</v>
      </c>
      <c r="F1670" s="1">
        <v>7</v>
      </c>
      <c r="G1670" s="1">
        <v>25</v>
      </c>
      <c r="H1670" s="1">
        <v>150</v>
      </c>
      <c r="I1670" s="1">
        <v>100</v>
      </c>
      <c r="J1670" s="1">
        <v>3</v>
      </c>
      <c r="K1670" s="1">
        <v>37.997999999999998</v>
      </c>
      <c r="L1670" s="1">
        <v>24</v>
      </c>
      <c r="M1670" s="1">
        <v>101.9</v>
      </c>
      <c r="N1670" s="1">
        <v>3.2809999999999999E-2</v>
      </c>
      <c r="O1670" s="1">
        <v>2.6939999999999999E-4</v>
      </c>
      <c r="P167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0.26522902795300568</v>
      </c>
      <c r="Q1670" s="1">
        <f>LN(Table1[[#This Row],[qe_mg_g]]-Table1[[#This Row],[qt]])</f>
        <v>1.0060476927138342</v>
      </c>
      <c r="R1670" s="1">
        <v>1</v>
      </c>
    </row>
    <row r="1671" spans="1:18" x14ac:dyDescent="0.3">
      <c r="A1671" s="1">
        <v>1670</v>
      </c>
      <c r="B1671" s="1" t="s">
        <v>18</v>
      </c>
      <c r="C1671" s="1">
        <v>4</v>
      </c>
      <c r="D1671" s="1">
        <v>120</v>
      </c>
      <c r="E1671" s="1">
        <v>50</v>
      </c>
      <c r="F1671" s="1">
        <v>7</v>
      </c>
      <c r="G1671" s="1">
        <v>25</v>
      </c>
      <c r="H1671" s="1">
        <v>150</v>
      </c>
      <c r="I1671" s="1">
        <v>100</v>
      </c>
      <c r="J1671" s="1">
        <v>2.9119999999999999</v>
      </c>
      <c r="K1671" s="1">
        <v>38.351999999999997</v>
      </c>
      <c r="L1671" s="1">
        <v>23.3</v>
      </c>
      <c r="M1671" s="1">
        <v>86.5</v>
      </c>
      <c r="N1671" s="1">
        <v>2.8039999999999999E-2</v>
      </c>
      <c r="O1671" s="1">
        <v>2.363E-4</v>
      </c>
      <c r="P167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0.222111297544374</v>
      </c>
      <c r="Q1671" s="1">
        <f>LN(Table1[[#This Row],[qe_mg_g]]-Table1[[#This Row],[qt]])</f>
        <v>0.98949981820598543</v>
      </c>
      <c r="R1671" s="1">
        <v>2</v>
      </c>
    </row>
    <row r="1672" spans="1:18" x14ac:dyDescent="0.3">
      <c r="A1672" s="1">
        <v>1671</v>
      </c>
      <c r="B1672" s="1" t="s">
        <v>18</v>
      </c>
      <c r="C1672" s="1">
        <v>4</v>
      </c>
      <c r="D1672" s="1">
        <v>120</v>
      </c>
      <c r="E1672" s="1">
        <v>50</v>
      </c>
      <c r="F1672" s="1">
        <v>7</v>
      </c>
      <c r="G1672" s="1">
        <v>25</v>
      </c>
      <c r="H1672" s="1">
        <v>150</v>
      </c>
      <c r="I1672" s="1">
        <v>100</v>
      </c>
      <c r="J1672" s="1">
        <v>2.8220000000000001</v>
      </c>
      <c r="K1672" s="1">
        <v>38.713000000000001</v>
      </c>
      <c r="L1672" s="1">
        <v>22.57</v>
      </c>
      <c r="M1672" s="1">
        <v>104</v>
      </c>
      <c r="N1672" s="1">
        <v>3.2149999999999998E-2</v>
      </c>
      <c r="O1672" s="1">
        <v>2.4869999999999997E-4</v>
      </c>
      <c r="P167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0.21920665192667835</v>
      </c>
      <c r="Q1672" s="1">
        <f>LN(Table1[[#This Row],[qe_mg_g]]-Table1[[#This Row],[qt]])</f>
        <v>0.95658523295436038</v>
      </c>
      <c r="R1672" s="1">
        <v>3</v>
      </c>
    </row>
    <row r="1673" spans="1:18" x14ac:dyDescent="0.3">
      <c r="A1673" s="1">
        <v>1672</v>
      </c>
      <c r="B1673" s="1" t="s">
        <v>18</v>
      </c>
      <c r="C1673" s="1">
        <v>4</v>
      </c>
      <c r="D1673" s="1">
        <v>120</v>
      </c>
      <c r="E1673" s="1">
        <v>50</v>
      </c>
      <c r="F1673" s="1">
        <v>11</v>
      </c>
      <c r="G1673" s="1">
        <v>25</v>
      </c>
      <c r="H1673" s="1">
        <v>150</v>
      </c>
      <c r="I1673" s="1">
        <v>100</v>
      </c>
      <c r="J1673" s="1">
        <v>2.1890000000000001</v>
      </c>
      <c r="K1673" s="1">
        <v>41.244</v>
      </c>
      <c r="L1673" s="1">
        <v>17.510000000000002</v>
      </c>
      <c r="M1673" s="1">
        <v>102.1</v>
      </c>
      <c r="N1673" s="1">
        <v>2.845E-2</v>
      </c>
      <c r="O1673" s="1">
        <v>2.2690000000000001E-4</v>
      </c>
      <c r="P167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0.12313016402387397</v>
      </c>
      <c r="Q1673" s="1">
        <f>LN(Table1[[#This Row],[qe_mg_g]]-Table1[[#This Row],[qt]])</f>
        <v>0.72555136579696156</v>
      </c>
      <c r="R1673" s="1">
        <v>1</v>
      </c>
    </row>
    <row r="1674" spans="1:18" x14ac:dyDescent="0.3">
      <c r="A1674" s="1">
        <v>1673</v>
      </c>
      <c r="B1674" s="1" t="s">
        <v>18</v>
      </c>
      <c r="C1674" s="1">
        <v>4</v>
      </c>
      <c r="D1674" s="1">
        <v>120</v>
      </c>
      <c r="E1674" s="1">
        <v>50</v>
      </c>
      <c r="F1674" s="1">
        <v>11</v>
      </c>
      <c r="G1674" s="1">
        <v>25</v>
      </c>
      <c r="H1674" s="1">
        <v>150</v>
      </c>
      <c r="I1674" s="1">
        <v>100</v>
      </c>
      <c r="J1674" s="1">
        <v>1.84</v>
      </c>
      <c r="K1674" s="1">
        <v>42.637999999999998</v>
      </c>
      <c r="L1674" s="1">
        <v>14.72</v>
      </c>
      <c r="M1674" s="1">
        <v>89.6</v>
      </c>
      <c r="N1674" s="1">
        <v>3.1419999999999997E-2</v>
      </c>
      <c r="O1674" s="1">
        <v>2.3240000000000001E-4</v>
      </c>
      <c r="P1674" s="1">
        <f>(Table1[[#This Row],[Rate_Constant_k2_g_mg_min]]*Table1[[#This Row],[Contact_Time_min]]*Table1[[#This Row],[qe_mg_g]]^2)/(1+Table1[[#This Row],[Contact_Time_min]]*Table1[[#This Row],[qe_mg_g]]*Table1[[#This Row],[Rate_Constant_k2_g_mg_min]])</f>
        <v>8.9809153102433967E-2</v>
      </c>
      <c r="Q1674" s="1">
        <f>LN(Table1[[#This Row],[qe_mg_g]]-Table1[[#This Row],[qt]])</f>
        <v>0.55972483735935596</v>
      </c>
      <c r="R1674" s="1">
        <v>2</v>
      </c>
    </row>
    <row r="1675" spans="1:18" x14ac:dyDescent="0.3">
      <c r="A1675" s="1">
        <v>1674</v>
      </c>
      <c r="B1675" s="1" t="s">
        <v>18</v>
      </c>
      <c r="C1675" s="1">
        <v>4</v>
      </c>
      <c r="D1675" s="1">
        <v>120</v>
      </c>
      <c r="E1675" s="1">
        <v>50</v>
      </c>
      <c r="F1675" s="1">
        <v>11</v>
      </c>
      <c r="G1675" s="1">
        <v>25</v>
      </c>
      <c r="H1675" s="1">
        <v>150</v>
      </c>
      <c r="I1675" s="1">
        <v>100</v>
      </c>
      <c r="J1675" s="1">
        <v>2.1389999999999998</v>
      </c>
      <c r="K1675" s="1">
        <v>41.444000000000003</v>
      </c>
      <c r="L1675" s="1">
        <v>17.11</v>
      </c>
      <c r="M1675" s="1">
        <v>107</v>
      </c>
      <c r="N1675" s="1">
        <v>3.1559999999999998E-2</v>
      </c>
      <c r="O1675" s="1">
        <v>2.23E-4</v>
      </c>
      <c r="P167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0.1158068476887605</v>
      </c>
      <c r="Q1675" s="1">
        <f>LN(Table1[[#This Row],[qe_mg_g]]-Table1[[#This Row],[qt]])</f>
        <v>0.70467703178467556</v>
      </c>
      <c r="R1675" s="1">
        <v>3</v>
      </c>
    </row>
    <row r="1676" spans="1:18" x14ac:dyDescent="0.3">
      <c r="A1676" s="1">
        <v>1675</v>
      </c>
      <c r="B1676" s="1" t="s">
        <v>18</v>
      </c>
      <c r="C1676" s="1">
        <v>4</v>
      </c>
      <c r="D1676" s="1">
        <v>120</v>
      </c>
      <c r="E1676" s="1">
        <v>100</v>
      </c>
      <c r="F1676" s="1">
        <v>3</v>
      </c>
      <c r="G1676" s="1">
        <v>25</v>
      </c>
      <c r="H1676" s="1">
        <v>150</v>
      </c>
      <c r="I1676" s="1">
        <v>100</v>
      </c>
      <c r="J1676" s="1">
        <v>6.2450000000000001</v>
      </c>
      <c r="K1676" s="1">
        <v>75.02</v>
      </c>
      <c r="L1676" s="1">
        <v>24.98</v>
      </c>
      <c r="M1676" s="1">
        <v>116.9</v>
      </c>
      <c r="N1676" s="1">
        <v>2.6610000000000002E-2</v>
      </c>
      <c r="O1676" s="1">
        <v>2.2939999999999999E-4</v>
      </c>
      <c r="P167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0.91610322140471334</v>
      </c>
      <c r="Q1676" s="1">
        <f>LN(Table1[[#This Row],[qe_mg_g]]-Table1[[#This Row],[qt]])</f>
        <v>1.6731442333757425</v>
      </c>
      <c r="R1676" s="1">
        <v>1</v>
      </c>
    </row>
    <row r="1677" spans="1:18" x14ac:dyDescent="0.3">
      <c r="A1677" s="1">
        <v>1676</v>
      </c>
      <c r="B1677" s="1" t="s">
        <v>18</v>
      </c>
      <c r="C1677" s="1">
        <v>4</v>
      </c>
      <c r="D1677" s="1">
        <v>120</v>
      </c>
      <c r="E1677" s="1">
        <v>100</v>
      </c>
      <c r="F1677" s="1">
        <v>3</v>
      </c>
      <c r="G1677" s="1">
        <v>25</v>
      </c>
      <c r="H1677" s="1">
        <v>150</v>
      </c>
      <c r="I1677" s="1">
        <v>100</v>
      </c>
      <c r="J1677" s="1">
        <v>6.3449999999999998</v>
      </c>
      <c r="K1677" s="1">
        <v>74.62</v>
      </c>
      <c r="L1677" s="1">
        <v>25.38</v>
      </c>
      <c r="M1677" s="1">
        <v>97.8</v>
      </c>
      <c r="N1677" s="1">
        <v>2.334E-2</v>
      </c>
      <c r="O1677" s="1">
        <v>2.1499999999999999E-4</v>
      </c>
      <c r="P167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0.89256849053150233</v>
      </c>
      <c r="Q1677" s="1">
        <f>LN(Table1[[#This Row],[qe_mg_g]]-Table1[[#This Row],[qt]])</f>
        <v>1.6960616577068206</v>
      </c>
      <c r="R1677" s="1">
        <v>2</v>
      </c>
    </row>
    <row r="1678" spans="1:18" x14ac:dyDescent="0.3">
      <c r="A1678" s="1">
        <v>1677</v>
      </c>
      <c r="B1678" s="1" t="s">
        <v>18</v>
      </c>
      <c r="C1678" s="1">
        <v>4</v>
      </c>
      <c r="D1678" s="1">
        <v>120</v>
      </c>
      <c r="E1678" s="1">
        <v>100</v>
      </c>
      <c r="F1678" s="1">
        <v>3</v>
      </c>
      <c r="G1678" s="1">
        <v>25</v>
      </c>
      <c r="H1678" s="1">
        <v>150</v>
      </c>
      <c r="I1678" s="1">
        <v>100</v>
      </c>
      <c r="J1678" s="1">
        <v>5.6020000000000003</v>
      </c>
      <c r="K1678" s="1">
        <v>77.591999999999999</v>
      </c>
      <c r="L1678" s="1">
        <v>22.41</v>
      </c>
      <c r="M1678" s="1">
        <v>82.6</v>
      </c>
      <c r="N1678" s="1">
        <v>2.8760000000000001E-2</v>
      </c>
      <c r="O1678" s="1">
        <v>2.5080000000000002E-4</v>
      </c>
      <c r="P167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0.8082206189758061</v>
      </c>
      <c r="Q1678" s="1">
        <f>LN(Table1[[#This Row],[qe_mg_g]]-Table1[[#This Row],[qt]])</f>
        <v>1.5673191151418582</v>
      </c>
      <c r="R1678" s="1">
        <v>3</v>
      </c>
    </row>
    <row r="1679" spans="1:18" x14ac:dyDescent="0.3">
      <c r="A1679" s="1">
        <v>1678</v>
      </c>
      <c r="B1679" s="1" t="s">
        <v>18</v>
      </c>
      <c r="C1679" s="1">
        <v>4</v>
      </c>
      <c r="D1679" s="1">
        <v>120</v>
      </c>
      <c r="E1679" s="1">
        <v>100</v>
      </c>
      <c r="F1679" s="1">
        <v>7</v>
      </c>
      <c r="G1679" s="1">
        <v>25</v>
      </c>
      <c r="H1679" s="1">
        <v>150</v>
      </c>
      <c r="I1679" s="1">
        <v>100</v>
      </c>
      <c r="J1679" s="1">
        <v>10.316000000000001</v>
      </c>
      <c r="K1679" s="1">
        <v>58.734999999999999</v>
      </c>
      <c r="L1679" s="1">
        <v>41.26</v>
      </c>
      <c r="M1679" s="1">
        <v>95.6</v>
      </c>
      <c r="N1679" s="1">
        <v>3.322E-2</v>
      </c>
      <c r="O1679" s="1">
        <v>2.8570000000000001E-4</v>
      </c>
      <c r="P167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2.6952567849347311</v>
      </c>
      <c r="Q1679" s="1">
        <f>LN(Table1[[#This Row],[qe_mg_g]]-Table1[[#This Row],[qt]])</f>
        <v>2.0308738997278155</v>
      </c>
      <c r="R1679" s="1">
        <v>1</v>
      </c>
    </row>
    <row r="1680" spans="1:18" x14ac:dyDescent="0.3">
      <c r="A1680" s="1">
        <v>1679</v>
      </c>
      <c r="B1680" s="1" t="s">
        <v>18</v>
      </c>
      <c r="C1680" s="1">
        <v>4</v>
      </c>
      <c r="D1680" s="1">
        <v>120</v>
      </c>
      <c r="E1680" s="1">
        <v>100</v>
      </c>
      <c r="F1680" s="1">
        <v>7</v>
      </c>
      <c r="G1680" s="1">
        <v>25</v>
      </c>
      <c r="H1680" s="1">
        <v>150</v>
      </c>
      <c r="I1680" s="1">
        <v>100</v>
      </c>
      <c r="J1680" s="1">
        <v>10.292999999999999</v>
      </c>
      <c r="K1680" s="1">
        <v>58.826999999999998</v>
      </c>
      <c r="L1680" s="1">
        <v>41.17</v>
      </c>
      <c r="M1680" s="1">
        <v>104.3</v>
      </c>
      <c r="N1680" s="1">
        <v>2.4109999999999999E-2</v>
      </c>
      <c r="O1680" s="1">
        <v>2.6150000000000001E-4</v>
      </c>
      <c r="P168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2.5129213641382626</v>
      </c>
      <c r="Q1680" s="1">
        <f>LN(Table1[[#This Row],[qe_mg_g]]-Table1[[#This Row],[qt]])</f>
        <v>2.0515664455764617</v>
      </c>
      <c r="R1680" s="1">
        <v>2</v>
      </c>
    </row>
    <row r="1681" spans="1:18" x14ac:dyDescent="0.3">
      <c r="A1681" s="1">
        <v>1680</v>
      </c>
      <c r="B1681" s="1" t="s">
        <v>18</v>
      </c>
      <c r="C1681" s="1">
        <v>4</v>
      </c>
      <c r="D1681" s="1">
        <v>120</v>
      </c>
      <c r="E1681" s="1">
        <v>100</v>
      </c>
      <c r="F1681" s="1">
        <v>7</v>
      </c>
      <c r="G1681" s="1">
        <v>25</v>
      </c>
      <c r="H1681" s="1">
        <v>150</v>
      </c>
      <c r="I1681" s="1">
        <v>100</v>
      </c>
      <c r="J1681" s="1">
        <v>9.9770000000000003</v>
      </c>
      <c r="K1681" s="1">
        <v>60.094000000000001</v>
      </c>
      <c r="L1681" s="1">
        <v>39.909999999999997</v>
      </c>
      <c r="M1681" s="1">
        <v>98.8</v>
      </c>
      <c r="N1681" s="1">
        <v>3.5229999999999997E-2</v>
      </c>
      <c r="O1681" s="1">
        <v>2.7149999999999999E-4</v>
      </c>
      <c r="P168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2.4474765627602495</v>
      </c>
      <c r="Q1681" s="1">
        <f>LN(Table1[[#This Row],[qe_mg_g]]-Table1[[#This Row],[qt]])</f>
        <v>2.0188317512618199</v>
      </c>
      <c r="R1681" s="1">
        <v>3</v>
      </c>
    </row>
    <row r="1682" spans="1:18" x14ac:dyDescent="0.3">
      <c r="A1682" s="1">
        <v>1681</v>
      </c>
      <c r="B1682" s="1" t="s">
        <v>18</v>
      </c>
      <c r="C1682" s="1">
        <v>4</v>
      </c>
      <c r="D1682" s="1">
        <v>120</v>
      </c>
      <c r="E1682" s="1">
        <v>100</v>
      </c>
      <c r="F1682" s="1">
        <v>11</v>
      </c>
      <c r="G1682" s="1">
        <v>25</v>
      </c>
      <c r="H1682" s="1">
        <v>150</v>
      </c>
      <c r="I1682" s="1">
        <v>100</v>
      </c>
      <c r="J1682" s="1">
        <v>7.39</v>
      </c>
      <c r="K1682" s="1">
        <v>70.441000000000003</v>
      </c>
      <c r="L1682" s="1">
        <v>29.56</v>
      </c>
      <c r="M1682" s="1">
        <v>116.3</v>
      </c>
      <c r="N1682" s="1">
        <v>3.1E-2</v>
      </c>
      <c r="O1682" s="1">
        <v>1.8770000000000001E-4</v>
      </c>
      <c r="P168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1.0545505179482855</v>
      </c>
      <c r="Q1682" s="1">
        <f>LN(Table1[[#This Row],[qe_mg_g]]-Table1[[#This Row],[qt]])</f>
        <v>1.8461607634347603</v>
      </c>
      <c r="R1682" s="1">
        <v>1</v>
      </c>
    </row>
    <row r="1683" spans="1:18" x14ac:dyDescent="0.3">
      <c r="A1683" s="1">
        <v>1682</v>
      </c>
      <c r="B1683" s="1" t="s">
        <v>18</v>
      </c>
      <c r="C1683" s="1">
        <v>4</v>
      </c>
      <c r="D1683" s="1">
        <v>120</v>
      </c>
      <c r="E1683" s="1">
        <v>100</v>
      </c>
      <c r="F1683" s="1">
        <v>11</v>
      </c>
      <c r="G1683" s="1">
        <v>25</v>
      </c>
      <c r="H1683" s="1">
        <v>150</v>
      </c>
      <c r="I1683" s="1">
        <v>100</v>
      </c>
      <c r="J1683" s="1">
        <v>6.7140000000000004</v>
      </c>
      <c r="K1683" s="1">
        <v>73.141999999999996</v>
      </c>
      <c r="L1683" s="1">
        <v>26.86</v>
      </c>
      <c r="M1683" s="1">
        <v>118</v>
      </c>
      <c r="N1683" s="1">
        <v>2.758E-2</v>
      </c>
      <c r="O1683" s="1">
        <v>2.4439999999999998E-4</v>
      </c>
      <c r="P168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1.1045472074837299</v>
      </c>
      <c r="Q1683" s="1">
        <f>LN(Table1[[#This Row],[qe_mg_g]]-Table1[[#This Row],[qt]])</f>
        <v>1.7244531733361792</v>
      </c>
      <c r="R1683" s="1">
        <v>2</v>
      </c>
    </row>
    <row r="1684" spans="1:18" x14ac:dyDescent="0.3">
      <c r="A1684" s="1">
        <v>1683</v>
      </c>
      <c r="B1684" s="1" t="s">
        <v>18</v>
      </c>
      <c r="C1684" s="1">
        <v>4</v>
      </c>
      <c r="D1684" s="1">
        <v>120</v>
      </c>
      <c r="E1684" s="1">
        <v>100</v>
      </c>
      <c r="F1684" s="1">
        <v>11</v>
      </c>
      <c r="G1684" s="1">
        <v>25</v>
      </c>
      <c r="H1684" s="1">
        <v>150</v>
      </c>
      <c r="I1684" s="1">
        <v>100</v>
      </c>
      <c r="J1684" s="1">
        <v>6.3689999999999998</v>
      </c>
      <c r="K1684" s="1">
        <v>74.522999999999996</v>
      </c>
      <c r="L1684" s="1">
        <v>25.48</v>
      </c>
      <c r="M1684" s="1">
        <v>126.8</v>
      </c>
      <c r="N1684" s="1">
        <v>3.5040000000000002E-2</v>
      </c>
      <c r="O1684" s="1">
        <v>2.2790000000000001E-4</v>
      </c>
      <c r="P168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0.9447863449917141</v>
      </c>
      <c r="Q1684" s="1">
        <f>LN(Table1[[#This Row],[qe_mg_g]]-Table1[[#This Row],[qt]])</f>
        <v>1.6908729405349214</v>
      </c>
      <c r="R1684" s="1">
        <v>3</v>
      </c>
    </row>
    <row r="1685" spans="1:18" x14ac:dyDescent="0.3">
      <c r="A1685" s="1">
        <v>1684</v>
      </c>
      <c r="B1685" s="1" t="s">
        <v>18</v>
      </c>
      <c r="C1685" s="1">
        <v>4</v>
      </c>
      <c r="D1685" s="1">
        <v>120</v>
      </c>
      <c r="E1685" s="1">
        <v>200</v>
      </c>
      <c r="F1685" s="1">
        <v>3</v>
      </c>
      <c r="G1685" s="1">
        <v>25</v>
      </c>
      <c r="H1685" s="1">
        <v>150</v>
      </c>
      <c r="I1685" s="1">
        <v>100</v>
      </c>
      <c r="J1685" s="1">
        <v>16.911000000000001</v>
      </c>
      <c r="K1685" s="1">
        <v>132.357</v>
      </c>
      <c r="L1685" s="1">
        <v>33.82</v>
      </c>
      <c r="M1685" s="1">
        <v>89.8</v>
      </c>
      <c r="N1685" s="1">
        <v>3.184E-2</v>
      </c>
      <c r="O1685" s="1">
        <v>2.6269999999999999E-4</v>
      </c>
      <c r="P1685" s="1">
        <f>(Table1[[#This Row],[Rate_Constant_k2_g_mg_min]]*Table1[[#This Row],[Contact_Time_min]]*Table1[[#This Row],[qe_mg_g]]^2)/(1+Table1[[#This Row],[Contact_Time_min]]*Table1[[#This Row],[qe_mg_g]]*Table1[[#This Row],[Rate_Constant_k2_g_mg_min]])</f>
        <v>5.8804253970897937</v>
      </c>
      <c r="Q1685" s="1">
        <f>LN(Table1[[#This Row],[qe_mg_g]]-Table1[[#This Row],[qt]])</f>
        <v>2.4006709264606862</v>
      </c>
      <c r="R1685" s="1">
        <v>1</v>
      </c>
    </row>
    <row r="1686" spans="1:18" x14ac:dyDescent="0.3">
      <c r="A1686" s="1">
        <v>1685</v>
      </c>
      <c r="B1686" s="1" t="s">
        <v>18</v>
      </c>
      <c r="C1686" s="1">
        <v>4</v>
      </c>
      <c r="D1686" s="1">
        <v>120</v>
      </c>
      <c r="E1686" s="1">
        <v>200</v>
      </c>
      <c r="F1686" s="1">
        <v>3</v>
      </c>
      <c r="G1686" s="1">
        <v>25</v>
      </c>
      <c r="H1686" s="1">
        <v>150</v>
      </c>
      <c r="I1686" s="1">
        <v>100</v>
      </c>
      <c r="J1686" s="1">
        <v>17.908999999999999</v>
      </c>
      <c r="K1686" s="1">
        <v>128.36500000000001</v>
      </c>
      <c r="L1686" s="1">
        <v>35.82</v>
      </c>
      <c r="M1686" s="1">
        <v>105</v>
      </c>
      <c r="N1686" s="1">
        <v>3.8809999999999997E-2</v>
      </c>
      <c r="O1686" s="1">
        <v>2.243E-4</v>
      </c>
      <c r="P1686" s="1">
        <f>(Table1[[#This Row],[Rate_Constant_k2_g_mg_min]]*Table1[[#This Row],[Contact_Time_min]]*Table1[[#This Row],[qe_mg_g]]^2)/(1+Table1[[#This Row],[Contact_Time_min]]*Table1[[#This Row],[qe_mg_g]]*Table1[[#This Row],[Rate_Constant_k2_g_mg_min]])</f>
        <v>5.824969618940651</v>
      </c>
      <c r="Q1686" s="1">
        <f>LN(Table1[[#This Row],[qe_mg_g]]-Table1[[#This Row],[qt]])</f>
        <v>2.4918847776771198</v>
      </c>
      <c r="R1686" s="1">
        <v>2</v>
      </c>
    </row>
    <row r="1687" spans="1:18" x14ac:dyDescent="0.3">
      <c r="A1687" s="1">
        <v>1686</v>
      </c>
      <c r="B1687" s="1" t="s">
        <v>18</v>
      </c>
      <c r="C1687" s="1">
        <v>4</v>
      </c>
      <c r="D1687" s="1">
        <v>120</v>
      </c>
      <c r="E1687" s="1">
        <v>200</v>
      </c>
      <c r="F1687" s="1">
        <v>3</v>
      </c>
      <c r="G1687" s="1">
        <v>25</v>
      </c>
      <c r="H1687" s="1">
        <v>150</v>
      </c>
      <c r="I1687" s="1">
        <v>100</v>
      </c>
      <c r="J1687" s="1">
        <v>14.12</v>
      </c>
      <c r="K1687" s="1">
        <v>143.52000000000001</v>
      </c>
      <c r="L1687" s="1">
        <v>28.24</v>
      </c>
      <c r="M1687" s="1">
        <v>94.1</v>
      </c>
      <c r="N1687" s="1">
        <v>2.53E-2</v>
      </c>
      <c r="O1687" s="1">
        <v>2.1269999999999999E-4</v>
      </c>
      <c r="P168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3.7406912490254327</v>
      </c>
      <c r="Q1687" s="1">
        <f>LN(Table1[[#This Row],[qe_mg_g]]-Table1[[#This Row],[qt]])</f>
        <v>2.3398142812018001</v>
      </c>
      <c r="R1687" s="1">
        <v>3</v>
      </c>
    </row>
    <row r="1688" spans="1:18" x14ac:dyDescent="0.3">
      <c r="A1688" s="1">
        <v>1687</v>
      </c>
      <c r="B1688" s="1" t="s">
        <v>18</v>
      </c>
      <c r="C1688" s="1">
        <v>4</v>
      </c>
      <c r="D1688" s="1">
        <v>120</v>
      </c>
      <c r="E1688" s="1">
        <v>200</v>
      </c>
      <c r="F1688" s="1">
        <v>7</v>
      </c>
      <c r="G1688" s="1">
        <v>25</v>
      </c>
      <c r="H1688" s="1">
        <v>150</v>
      </c>
      <c r="I1688" s="1">
        <v>100</v>
      </c>
      <c r="J1688" s="1">
        <v>23.015999999999998</v>
      </c>
      <c r="K1688" s="1">
        <v>107.93600000000001</v>
      </c>
      <c r="L1688" s="1">
        <v>46.03</v>
      </c>
      <c r="M1688" s="1">
        <v>86.2</v>
      </c>
      <c r="N1688" s="1">
        <v>2.7140000000000001E-2</v>
      </c>
      <c r="O1688" s="1">
        <v>2.63E-4</v>
      </c>
      <c r="P1688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9.684095162274815</v>
      </c>
      <c r="Q1688" s="1">
        <f>LN(Table1[[#This Row],[qe_mg_g]]-Table1[[#This Row],[qt]])</f>
        <v>2.5901600225356187</v>
      </c>
      <c r="R1688" s="1">
        <v>1</v>
      </c>
    </row>
    <row r="1689" spans="1:18" x14ac:dyDescent="0.3">
      <c r="A1689" s="1">
        <v>1688</v>
      </c>
      <c r="B1689" s="1" t="s">
        <v>18</v>
      </c>
      <c r="C1689" s="1">
        <v>4</v>
      </c>
      <c r="D1689" s="1">
        <v>120</v>
      </c>
      <c r="E1689" s="1">
        <v>200</v>
      </c>
      <c r="F1689" s="1">
        <v>7</v>
      </c>
      <c r="G1689" s="1">
        <v>25</v>
      </c>
      <c r="H1689" s="1">
        <v>150</v>
      </c>
      <c r="I1689" s="1">
        <v>100</v>
      </c>
      <c r="J1689" s="1">
        <v>24.143000000000001</v>
      </c>
      <c r="K1689" s="1">
        <v>103.42700000000001</v>
      </c>
      <c r="L1689" s="1">
        <v>48.29</v>
      </c>
      <c r="M1689" s="1">
        <v>97.3</v>
      </c>
      <c r="N1689" s="1">
        <v>3.2680000000000001E-2</v>
      </c>
      <c r="O1689" s="1">
        <v>2.308E-4</v>
      </c>
      <c r="P1689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9.6745435817785914</v>
      </c>
      <c r="Q1689" s="1">
        <f>LN(Table1[[#This Row],[qe_mg_g]]-Table1[[#This Row],[qt]])</f>
        <v>2.6719708603313714</v>
      </c>
      <c r="R1689" s="1">
        <v>2</v>
      </c>
    </row>
    <row r="1690" spans="1:18" x14ac:dyDescent="0.3">
      <c r="A1690" s="1">
        <v>1689</v>
      </c>
      <c r="B1690" s="1" t="s">
        <v>18</v>
      </c>
      <c r="C1690" s="1">
        <v>4</v>
      </c>
      <c r="D1690" s="1">
        <v>120</v>
      </c>
      <c r="E1690" s="1">
        <v>200</v>
      </c>
      <c r="F1690" s="1">
        <v>7</v>
      </c>
      <c r="G1690" s="1">
        <v>25</v>
      </c>
      <c r="H1690" s="1">
        <v>150</v>
      </c>
      <c r="I1690" s="1">
        <v>100</v>
      </c>
      <c r="J1690" s="1">
        <v>24.693000000000001</v>
      </c>
      <c r="K1690" s="1">
        <v>101.227</v>
      </c>
      <c r="L1690" s="1">
        <v>49.39</v>
      </c>
      <c r="M1690" s="1">
        <v>105.5</v>
      </c>
      <c r="N1690" s="1">
        <v>2.418E-2</v>
      </c>
      <c r="O1690" s="1">
        <v>1.9039999999999999E-4</v>
      </c>
      <c r="P1690" s="1">
        <f>(Table1[[#This Row],[Rate_Constant_k2_g_mg_min]]*Table1[[#This Row],[Contact_Time_min]]*Table1[[#This Row],[qe_mg_g]]^2)/(1+Table1[[#This Row],[Contact_Time_min]]*Table1[[#This Row],[qe_mg_g]]*Table1[[#This Row],[Rate_Constant_k2_g_mg_min]])</f>
        <v>8.9065108585166026</v>
      </c>
      <c r="Q1690" s="1">
        <f>LN(Table1[[#This Row],[qe_mg_g]]-Table1[[#This Row],[qt]])</f>
        <v>2.7591544565836479</v>
      </c>
      <c r="R1690" s="1">
        <v>3</v>
      </c>
    </row>
    <row r="1691" spans="1:18" x14ac:dyDescent="0.3">
      <c r="A1691" s="1">
        <v>1690</v>
      </c>
      <c r="B1691" s="1" t="s">
        <v>18</v>
      </c>
      <c r="C1691" s="1">
        <v>4</v>
      </c>
      <c r="D1691" s="1">
        <v>120</v>
      </c>
      <c r="E1691" s="1">
        <v>200</v>
      </c>
      <c r="F1691" s="1">
        <v>11</v>
      </c>
      <c r="G1691" s="1">
        <v>25</v>
      </c>
      <c r="H1691" s="1">
        <v>150</v>
      </c>
      <c r="I1691" s="1">
        <v>100</v>
      </c>
      <c r="J1691" s="1">
        <v>20.673999999999999</v>
      </c>
      <c r="K1691" s="1">
        <v>117.303</v>
      </c>
      <c r="L1691" s="1">
        <v>41.35</v>
      </c>
      <c r="M1691" s="1">
        <v>107.4</v>
      </c>
      <c r="N1691" s="1">
        <v>3.619E-2</v>
      </c>
      <c r="O1691" s="1">
        <v>2.5399999999999999E-4</v>
      </c>
      <c r="P1691" s="1">
        <f>(Table1[[#This Row],[Rate_Constant_k2_g_mg_min]]*Table1[[#This Row],[Contact_Time_min]]*Table1[[#This Row],[qe_mg_g]]^2)/(1+Table1[[#This Row],[Contact_Time_min]]*Table1[[#This Row],[qe_mg_g]]*Table1[[#This Row],[Rate_Constant_k2_g_mg_min]])</f>
        <v>7.9916810836876486</v>
      </c>
      <c r="Q1691" s="1">
        <f>LN(Table1[[#This Row],[qe_mg_g]]-Table1[[#This Row],[qt]])</f>
        <v>2.5402088121239603</v>
      </c>
      <c r="R1691" s="1">
        <v>1</v>
      </c>
    </row>
    <row r="1692" spans="1:18" x14ac:dyDescent="0.3">
      <c r="A1692" s="1">
        <v>1691</v>
      </c>
      <c r="B1692" s="1" t="s">
        <v>18</v>
      </c>
      <c r="C1692" s="1">
        <v>4</v>
      </c>
      <c r="D1692" s="1">
        <v>120</v>
      </c>
      <c r="E1692" s="1">
        <v>200</v>
      </c>
      <c r="F1692" s="1">
        <v>11</v>
      </c>
      <c r="G1692" s="1">
        <v>25</v>
      </c>
      <c r="H1692" s="1">
        <v>150</v>
      </c>
      <c r="I1692" s="1">
        <v>100</v>
      </c>
      <c r="J1692" s="1">
        <v>21.529</v>
      </c>
      <c r="K1692" s="1">
        <v>113.884</v>
      </c>
      <c r="L1692" s="1">
        <v>43.06</v>
      </c>
      <c r="M1692" s="1">
        <v>97.1</v>
      </c>
      <c r="N1692" s="1">
        <v>3.0890000000000001E-2</v>
      </c>
      <c r="O1692" s="1">
        <v>2.9169999999999999E-4</v>
      </c>
      <c r="P1692" s="1">
        <f>(Table1[[#This Row],[Rate_Constant_k2_g_mg_min]]*Table1[[#This Row],[Contact_Time_min]]*Table1[[#This Row],[qe_mg_g]]^2)/(1+Table1[[#This Row],[Contact_Time_min]]*Table1[[#This Row],[qe_mg_g]]*Table1[[#This Row],[Rate_Constant_k2_g_mg_min]])</f>
        <v>9.2519777036706667</v>
      </c>
      <c r="Q1692" s="1">
        <f>LN(Table1[[#This Row],[qe_mg_g]]-Table1[[#This Row],[qt]])</f>
        <v>2.5077294093027254</v>
      </c>
      <c r="R1692" s="1">
        <v>2</v>
      </c>
    </row>
    <row r="1693" spans="1:18" x14ac:dyDescent="0.3">
      <c r="A1693" s="1">
        <v>1692</v>
      </c>
      <c r="B1693" s="1" t="s">
        <v>18</v>
      </c>
      <c r="C1693" s="1">
        <v>4</v>
      </c>
      <c r="D1693" s="1">
        <v>120</v>
      </c>
      <c r="E1693" s="1">
        <v>200</v>
      </c>
      <c r="F1693" s="1">
        <v>11</v>
      </c>
      <c r="G1693" s="1">
        <v>25</v>
      </c>
      <c r="H1693" s="1">
        <v>150</v>
      </c>
      <c r="I1693" s="1">
        <v>100</v>
      </c>
      <c r="J1693" s="1">
        <v>16.216999999999999</v>
      </c>
      <c r="K1693" s="1">
        <v>135.13200000000001</v>
      </c>
      <c r="L1693" s="1">
        <v>32.43</v>
      </c>
      <c r="M1693" s="1">
        <v>106.2</v>
      </c>
      <c r="N1693" s="1">
        <v>3.6409999999999998E-2</v>
      </c>
      <c r="O1693" s="1">
        <v>2.5710000000000002E-4</v>
      </c>
      <c r="P169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5.4080221879354111</v>
      </c>
      <c r="Q1693" s="1">
        <f>LN(Table1[[#This Row],[qe_mg_g]]-Table1[[#This Row],[qt]])</f>
        <v>2.3803770677041012</v>
      </c>
      <c r="R1693" s="1">
        <v>3</v>
      </c>
    </row>
    <row r="1694" spans="1:18" x14ac:dyDescent="0.3">
      <c r="A1694" s="1">
        <v>1693</v>
      </c>
      <c r="B1694" s="1" t="s">
        <v>18</v>
      </c>
      <c r="C1694" s="1">
        <v>4</v>
      </c>
      <c r="D1694" s="1">
        <v>240</v>
      </c>
      <c r="E1694" s="1">
        <v>25</v>
      </c>
      <c r="F1694" s="1">
        <v>3</v>
      </c>
      <c r="G1694" s="1">
        <v>25</v>
      </c>
      <c r="H1694" s="1">
        <v>150</v>
      </c>
      <c r="I1694" s="1">
        <v>100</v>
      </c>
      <c r="J1694" s="1">
        <v>1.008</v>
      </c>
      <c r="K1694" s="1">
        <v>20.968</v>
      </c>
      <c r="L1694" s="1">
        <v>16.13</v>
      </c>
      <c r="M1694" s="1">
        <v>90.6</v>
      </c>
      <c r="N1694" s="1">
        <v>2.9899999999999999E-2</v>
      </c>
      <c r="O1694" s="1">
        <v>2.5080000000000002E-4</v>
      </c>
      <c r="P1694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5.7660460275686581E-2</v>
      </c>
      <c r="Q1694" s="1">
        <f>LN(Table1[[#This Row],[qe_mg_g]]-Table1[[#This Row],[qt]])</f>
        <v>-5.0935948007254914E-2</v>
      </c>
      <c r="R1694" s="1">
        <v>1</v>
      </c>
    </row>
    <row r="1695" spans="1:18" x14ac:dyDescent="0.3">
      <c r="A1695" s="1">
        <v>1694</v>
      </c>
      <c r="B1695" s="1" t="s">
        <v>18</v>
      </c>
      <c r="C1695" s="1">
        <v>4</v>
      </c>
      <c r="D1695" s="1">
        <v>240</v>
      </c>
      <c r="E1695" s="1">
        <v>25</v>
      </c>
      <c r="F1695" s="1">
        <v>3</v>
      </c>
      <c r="G1695" s="1">
        <v>25</v>
      </c>
      <c r="H1695" s="1">
        <v>150</v>
      </c>
      <c r="I1695" s="1">
        <v>100</v>
      </c>
      <c r="J1695" s="1">
        <v>0.70199999999999996</v>
      </c>
      <c r="K1695" s="1">
        <v>22.19</v>
      </c>
      <c r="L1695" s="1">
        <v>11.24</v>
      </c>
      <c r="M1695" s="1">
        <v>82.5</v>
      </c>
      <c r="N1695" s="1">
        <v>2.6710000000000001E-2</v>
      </c>
      <c r="O1695" s="1">
        <v>2.7060000000000002E-4</v>
      </c>
      <c r="P169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3.0609169862844069E-2</v>
      </c>
      <c r="Q1695" s="1">
        <f>LN(Table1[[#This Row],[qe_mg_g]]-Table1[[#This Row],[qt]])</f>
        <v>-0.39840385235318926</v>
      </c>
      <c r="R1695" s="1">
        <v>2</v>
      </c>
    </row>
    <row r="1696" spans="1:18" x14ac:dyDescent="0.3">
      <c r="A1696" s="1">
        <v>1695</v>
      </c>
      <c r="B1696" s="1" t="s">
        <v>18</v>
      </c>
      <c r="C1696" s="1">
        <v>4</v>
      </c>
      <c r="D1696" s="1">
        <v>240</v>
      </c>
      <c r="E1696" s="1">
        <v>25</v>
      </c>
      <c r="F1696" s="1">
        <v>3</v>
      </c>
      <c r="G1696" s="1">
        <v>25</v>
      </c>
      <c r="H1696" s="1">
        <v>150</v>
      </c>
      <c r="I1696" s="1">
        <v>100</v>
      </c>
      <c r="J1696" s="1">
        <v>0.94599999999999995</v>
      </c>
      <c r="K1696" s="1">
        <v>21.213999999999999</v>
      </c>
      <c r="L1696" s="1">
        <v>15.14</v>
      </c>
      <c r="M1696" s="1">
        <v>104.9</v>
      </c>
      <c r="N1696" s="1">
        <v>3.2469999999999999E-2</v>
      </c>
      <c r="O1696" s="1">
        <v>2.4590000000000001E-4</v>
      </c>
      <c r="P1696" s="1">
        <f>(Table1[[#This Row],[Rate_Constant_k2_g_mg_min]]*Table1[[#This Row],[Contact_Time_min]]*Table1[[#This Row],[qe_mg_g]]^2)/(1+Table1[[#This Row],[Contact_Time_min]]*Table1[[#This Row],[qe_mg_g]]*Table1[[#This Row],[Rate_Constant_k2_g_mg_min]])</f>
        <v>5.0021694661777166E-2</v>
      </c>
      <c r="Q1696" s="1">
        <f>LN(Table1[[#This Row],[qe_mg_g]]-Table1[[#This Row],[qt]])</f>
        <v>-0.10983907909250307</v>
      </c>
      <c r="R1696" s="1">
        <v>3</v>
      </c>
    </row>
    <row r="1697" spans="1:18" x14ac:dyDescent="0.3">
      <c r="A1697" s="1">
        <v>1696</v>
      </c>
      <c r="B1697" s="1" t="s">
        <v>18</v>
      </c>
      <c r="C1697" s="1">
        <v>4</v>
      </c>
      <c r="D1697" s="1">
        <v>240</v>
      </c>
      <c r="E1697" s="1">
        <v>25</v>
      </c>
      <c r="F1697" s="1">
        <v>7</v>
      </c>
      <c r="G1697" s="1">
        <v>25</v>
      </c>
      <c r="H1697" s="1">
        <v>150</v>
      </c>
      <c r="I1697" s="1">
        <v>100</v>
      </c>
      <c r="J1697" s="1">
        <v>1.613</v>
      </c>
      <c r="K1697" s="1">
        <v>18.547000000000001</v>
      </c>
      <c r="L1697" s="1">
        <v>25.81</v>
      </c>
      <c r="M1697" s="1">
        <v>100.1</v>
      </c>
      <c r="N1697" s="1">
        <v>3.0169999999999999E-2</v>
      </c>
      <c r="O1697" s="1">
        <v>2.4340000000000001E-4</v>
      </c>
      <c r="P169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0.1388973353677912</v>
      </c>
      <c r="Q1697" s="1">
        <f>LN(Table1[[#This Row],[qe_mg_g]]-Table1[[#This Row],[qt]])</f>
        <v>0.38804944170273542</v>
      </c>
      <c r="R1697" s="1">
        <v>1</v>
      </c>
    </row>
    <row r="1698" spans="1:18" x14ac:dyDescent="0.3">
      <c r="A1698" s="1">
        <v>1697</v>
      </c>
      <c r="B1698" s="1" t="s">
        <v>18</v>
      </c>
      <c r="C1698" s="1">
        <v>4</v>
      </c>
      <c r="D1698" s="1">
        <v>240</v>
      </c>
      <c r="E1698" s="1">
        <v>25</v>
      </c>
      <c r="F1698" s="1">
        <v>7</v>
      </c>
      <c r="G1698" s="1">
        <v>25</v>
      </c>
      <c r="H1698" s="1">
        <v>150</v>
      </c>
      <c r="I1698" s="1">
        <v>100</v>
      </c>
      <c r="J1698" s="1">
        <v>1.5449999999999999</v>
      </c>
      <c r="K1698" s="1">
        <v>18.818000000000001</v>
      </c>
      <c r="L1698" s="1">
        <v>24.73</v>
      </c>
      <c r="M1698" s="1">
        <v>93.7</v>
      </c>
      <c r="N1698" s="1">
        <v>3.2930000000000001E-2</v>
      </c>
      <c r="O1698" s="1">
        <v>2.2169999999999999E-4</v>
      </c>
      <c r="P169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0.11736100515986617</v>
      </c>
      <c r="Q1698" s="1">
        <f>LN(Table1[[#This Row],[qe_mg_g]]-Table1[[#This Row],[qt]])</f>
        <v>0.35602202722308945</v>
      </c>
      <c r="R1698" s="1">
        <v>2</v>
      </c>
    </row>
    <row r="1699" spans="1:18" x14ac:dyDescent="0.3">
      <c r="A1699" s="1">
        <v>1698</v>
      </c>
      <c r="B1699" s="1" t="s">
        <v>18</v>
      </c>
      <c r="C1699" s="1">
        <v>4</v>
      </c>
      <c r="D1699" s="1">
        <v>240</v>
      </c>
      <c r="E1699" s="1">
        <v>25</v>
      </c>
      <c r="F1699" s="1">
        <v>7</v>
      </c>
      <c r="G1699" s="1">
        <v>25</v>
      </c>
      <c r="H1699" s="1">
        <v>150</v>
      </c>
      <c r="I1699" s="1">
        <v>100</v>
      </c>
      <c r="J1699" s="1">
        <v>1.3120000000000001</v>
      </c>
      <c r="K1699" s="1">
        <v>19.753</v>
      </c>
      <c r="L1699" s="1">
        <v>20.99</v>
      </c>
      <c r="M1699" s="1">
        <v>110.3</v>
      </c>
      <c r="N1699" s="1">
        <v>2.9729999999999999E-2</v>
      </c>
      <c r="O1699" s="1">
        <v>2.387E-4</v>
      </c>
      <c r="P1699" s="1">
        <f>(Table1[[#This Row],[Rate_Constant_k2_g_mg_min]]*Table1[[#This Row],[Contact_Time_min]]*Table1[[#This Row],[qe_mg_g]]^2)/(1+Table1[[#This Row],[Contact_Time_min]]*Table1[[#This Row],[qe_mg_g]]*Table1[[#This Row],[Rate_Constant_k2_g_mg_min]])</f>
        <v>9.171861382701435E-2</v>
      </c>
      <c r="Q1699" s="1">
        <f>LN(Table1[[#This Row],[qe_mg_g]]-Table1[[#This Row],[qt]])</f>
        <v>0.19908147655492045</v>
      </c>
      <c r="R1699" s="1">
        <v>3</v>
      </c>
    </row>
    <row r="1700" spans="1:18" x14ac:dyDescent="0.3">
      <c r="A1700" s="1">
        <v>1699</v>
      </c>
      <c r="B1700" s="1" t="s">
        <v>18</v>
      </c>
      <c r="C1700" s="1">
        <v>4</v>
      </c>
      <c r="D1700" s="1">
        <v>240</v>
      </c>
      <c r="E1700" s="1">
        <v>25</v>
      </c>
      <c r="F1700" s="1">
        <v>11</v>
      </c>
      <c r="G1700" s="1">
        <v>25</v>
      </c>
      <c r="H1700" s="1">
        <v>150</v>
      </c>
      <c r="I1700" s="1">
        <v>100</v>
      </c>
      <c r="J1700" s="1">
        <v>1.1839999999999999</v>
      </c>
      <c r="K1700" s="1">
        <v>20.265999999999998</v>
      </c>
      <c r="L1700" s="1">
        <v>18.940000000000001</v>
      </c>
      <c r="M1700" s="1">
        <v>90.9</v>
      </c>
      <c r="N1700" s="1">
        <v>2.9399999999999999E-2</v>
      </c>
      <c r="O1700" s="1">
        <v>2.8499999999999999E-4</v>
      </c>
      <c r="P1700" s="1">
        <f>(Table1[[#This Row],[Rate_Constant_k2_g_mg_min]]*Table1[[#This Row],[Contact_Time_min]]*Table1[[#This Row],[qe_mg_g]]^2)/(1+Table1[[#This Row],[Contact_Time_min]]*Table1[[#This Row],[qe_mg_g]]*Table1[[#This Row],[Rate_Constant_k2_g_mg_min]])</f>
        <v>8.8703263392222786E-2</v>
      </c>
      <c r="Q1700" s="1">
        <f>LN(Table1[[#This Row],[qe_mg_g]]-Table1[[#This Row],[qt]])</f>
        <v>9.1025318892543006E-2</v>
      </c>
      <c r="R1700" s="1">
        <v>1</v>
      </c>
    </row>
    <row r="1701" spans="1:18" x14ac:dyDescent="0.3">
      <c r="A1701" s="1">
        <v>1700</v>
      </c>
      <c r="B1701" s="1" t="s">
        <v>18</v>
      </c>
      <c r="C1701" s="1">
        <v>4</v>
      </c>
      <c r="D1701" s="1">
        <v>240</v>
      </c>
      <c r="E1701" s="1">
        <v>25</v>
      </c>
      <c r="F1701" s="1">
        <v>11</v>
      </c>
      <c r="G1701" s="1">
        <v>25</v>
      </c>
      <c r="H1701" s="1">
        <v>150</v>
      </c>
      <c r="I1701" s="1">
        <v>100</v>
      </c>
      <c r="J1701" s="1">
        <v>1.248</v>
      </c>
      <c r="K1701" s="1">
        <v>20.010000000000002</v>
      </c>
      <c r="L1701" s="1">
        <v>19.96</v>
      </c>
      <c r="M1701" s="1">
        <v>123.6</v>
      </c>
      <c r="N1701" s="1">
        <v>2.9149999999999999E-2</v>
      </c>
      <c r="O1701" s="1">
        <v>2.8079999999999999E-4</v>
      </c>
      <c r="P1701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9.682022373739782E-2</v>
      </c>
      <c r="Q1701" s="1">
        <f>LN(Table1[[#This Row],[qe_mg_g]]-Table1[[#This Row],[qt]])</f>
        <v>0.14078730890943617</v>
      </c>
      <c r="R1701" s="1">
        <v>2</v>
      </c>
    </row>
    <row r="1702" spans="1:18" x14ac:dyDescent="0.3">
      <c r="A1702" s="1">
        <v>1701</v>
      </c>
      <c r="B1702" s="1" t="s">
        <v>18</v>
      </c>
      <c r="C1702" s="1">
        <v>4</v>
      </c>
      <c r="D1702" s="1">
        <v>240</v>
      </c>
      <c r="E1702" s="1">
        <v>25</v>
      </c>
      <c r="F1702" s="1">
        <v>11</v>
      </c>
      <c r="G1702" s="1">
        <v>25</v>
      </c>
      <c r="H1702" s="1">
        <v>150</v>
      </c>
      <c r="I1702" s="1">
        <v>100</v>
      </c>
      <c r="J1702" s="1">
        <v>1.002</v>
      </c>
      <c r="K1702" s="1">
        <v>20.991</v>
      </c>
      <c r="L1702" s="1">
        <v>16.03</v>
      </c>
      <c r="M1702" s="1">
        <v>86.4</v>
      </c>
      <c r="N1702" s="1">
        <v>2.2950000000000002E-2</v>
      </c>
      <c r="O1702" s="1">
        <v>2.9179999999999999E-4</v>
      </c>
      <c r="P1702" s="1">
        <f>(Table1[[#This Row],[Rate_Constant_k2_g_mg_min]]*Table1[[#This Row],[Contact_Time_min]]*Table1[[#This Row],[qe_mg_g]]^2)/(1+Table1[[#This Row],[Contact_Time_min]]*Table1[[#This Row],[qe_mg_g]]*Table1[[#This Row],[Rate_Constant_k2_g_mg_min]])</f>
        <v>6.5701965593450581E-2</v>
      </c>
      <c r="Q1702" s="1">
        <f>LN(Table1[[#This Row],[qe_mg_g]]-Table1[[#This Row],[qt]])</f>
        <v>-6.5821440359640881E-2</v>
      </c>
      <c r="R1702" s="1">
        <v>3</v>
      </c>
    </row>
    <row r="1703" spans="1:18" x14ac:dyDescent="0.3">
      <c r="A1703" s="1">
        <v>1702</v>
      </c>
      <c r="B1703" s="1" t="s">
        <v>18</v>
      </c>
      <c r="C1703" s="1">
        <v>4</v>
      </c>
      <c r="D1703" s="1">
        <v>240</v>
      </c>
      <c r="E1703" s="1">
        <v>50</v>
      </c>
      <c r="F1703" s="1">
        <v>3</v>
      </c>
      <c r="G1703" s="1">
        <v>25</v>
      </c>
      <c r="H1703" s="1">
        <v>150</v>
      </c>
      <c r="I1703" s="1">
        <v>100</v>
      </c>
      <c r="J1703" s="1">
        <v>2.6579999999999999</v>
      </c>
      <c r="K1703" s="1">
        <v>39.368000000000002</v>
      </c>
      <c r="L1703" s="1">
        <v>21.26</v>
      </c>
      <c r="M1703" s="1">
        <v>98.1</v>
      </c>
      <c r="N1703" s="1">
        <v>2.7269999999999999E-2</v>
      </c>
      <c r="O1703" s="1">
        <v>2.6739999999999999E-4</v>
      </c>
      <c r="P170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0.38733038667278974</v>
      </c>
      <c r="Q1703" s="1">
        <f>LN(Table1[[#This Row],[qe_mg_g]]-Table1[[#This Row],[qt]])</f>
        <v>0.82007477183871713</v>
      </c>
      <c r="R1703" s="1">
        <v>1</v>
      </c>
    </row>
    <row r="1704" spans="1:18" x14ac:dyDescent="0.3">
      <c r="A1704" s="1">
        <v>1703</v>
      </c>
      <c r="B1704" s="1" t="s">
        <v>18</v>
      </c>
      <c r="C1704" s="1">
        <v>4</v>
      </c>
      <c r="D1704" s="1">
        <v>240</v>
      </c>
      <c r="E1704" s="1">
        <v>50</v>
      </c>
      <c r="F1704" s="1">
        <v>3</v>
      </c>
      <c r="G1704" s="1">
        <v>25</v>
      </c>
      <c r="H1704" s="1">
        <v>150</v>
      </c>
      <c r="I1704" s="1">
        <v>100</v>
      </c>
      <c r="J1704" s="1">
        <v>2.7850000000000001</v>
      </c>
      <c r="K1704" s="1">
        <v>38.860999999999997</v>
      </c>
      <c r="L1704" s="1">
        <v>22.28</v>
      </c>
      <c r="M1704" s="1">
        <v>80.400000000000006</v>
      </c>
      <c r="N1704" s="1">
        <v>3.1320000000000001E-2</v>
      </c>
      <c r="O1704" s="1">
        <v>2.142E-4</v>
      </c>
      <c r="P170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0.34879463976736719</v>
      </c>
      <c r="Q1704" s="1">
        <f>LN(Table1[[#This Row],[qe_mg_g]]-Table1[[#This Row],[qt]])</f>
        <v>0.89044164852456209</v>
      </c>
      <c r="R1704" s="1">
        <v>2</v>
      </c>
    </row>
    <row r="1705" spans="1:18" x14ac:dyDescent="0.3">
      <c r="A1705" s="1">
        <v>1704</v>
      </c>
      <c r="B1705" s="1" t="s">
        <v>18</v>
      </c>
      <c r="C1705" s="1">
        <v>4</v>
      </c>
      <c r="D1705" s="1">
        <v>240</v>
      </c>
      <c r="E1705" s="1">
        <v>50</v>
      </c>
      <c r="F1705" s="1">
        <v>3</v>
      </c>
      <c r="G1705" s="1">
        <v>25</v>
      </c>
      <c r="H1705" s="1">
        <v>150</v>
      </c>
      <c r="I1705" s="1">
        <v>100</v>
      </c>
      <c r="J1705" s="1">
        <v>2.665</v>
      </c>
      <c r="K1705" s="1">
        <v>39.340000000000003</v>
      </c>
      <c r="L1705" s="1">
        <v>21.32</v>
      </c>
      <c r="M1705" s="1">
        <v>68.400000000000006</v>
      </c>
      <c r="N1705" s="1">
        <v>2.5729999999999999E-2</v>
      </c>
      <c r="O1705" s="1">
        <v>2.5450000000000001E-4</v>
      </c>
      <c r="P170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0.37307536639403799</v>
      </c>
      <c r="Q1705" s="1">
        <f>LN(Table1[[#This Row],[qe_mg_g]]-Table1[[#This Row],[qt]])</f>
        <v>0.82939191594098449</v>
      </c>
      <c r="R1705" s="1">
        <v>3</v>
      </c>
    </row>
    <row r="1706" spans="1:18" x14ac:dyDescent="0.3">
      <c r="A1706" s="1">
        <v>1705</v>
      </c>
      <c r="B1706" s="1" t="s">
        <v>18</v>
      </c>
      <c r="C1706" s="1">
        <v>4</v>
      </c>
      <c r="D1706" s="1">
        <v>240</v>
      </c>
      <c r="E1706" s="1">
        <v>50</v>
      </c>
      <c r="F1706" s="1">
        <v>7</v>
      </c>
      <c r="G1706" s="1">
        <v>25</v>
      </c>
      <c r="H1706" s="1">
        <v>150</v>
      </c>
      <c r="I1706" s="1">
        <v>100</v>
      </c>
      <c r="J1706" s="1">
        <v>3.7730000000000001</v>
      </c>
      <c r="K1706" s="1">
        <v>34.906999999999996</v>
      </c>
      <c r="L1706" s="1">
        <v>30.19</v>
      </c>
      <c r="M1706" s="1">
        <v>77.8</v>
      </c>
      <c r="N1706" s="1">
        <v>2.9989999999999999E-2</v>
      </c>
      <c r="O1706" s="1">
        <v>2.364E-4</v>
      </c>
      <c r="P170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0.66525846741534411</v>
      </c>
      <c r="Q1706" s="1">
        <f>LN(Table1[[#This Row],[qe_mg_g]]-Table1[[#This Row],[qt]])</f>
        <v>1.1338962670732036</v>
      </c>
      <c r="R1706" s="1">
        <v>1</v>
      </c>
    </row>
    <row r="1707" spans="1:18" x14ac:dyDescent="0.3">
      <c r="A1707" s="1">
        <v>1706</v>
      </c>
      <c r="B1707" s="1" t="s">
        <v>18</v>
      </c>
      <c r="C1707" s="1">
        <v>4</v>
      </c>
      <c r="D1707" s="1">
        <v>240</v>
      </c>
      <c r="E1707" s="1">
        <v>50</v>
      </c>
      <c r="F1707" s="1">
        <v>7</v>
      </c>
      <c r="G1707" s="1">
        <v>25</v>
      </c>
      <c r="H1707" s="1">
        <v>150</v>
      </c>
      <c r="I1707" s="1">
        <v>100</v>
      </c>
      <c r="J1707" s="1">
        <v>5.4059999999999997</v>
      </c>
      <c r="K1707" s="1">
        <v>28.378</v>
      </c>
      <c r="L1707" s="1">
        <v>43.24</v>
      </c>
      <c r="M1707" s="1">
        <v>127.5</v>
      </c>
      <c r="N1707" s="1">
        <v>2.7400000000000001E-2</v>
      </c>
      <c r="O1707" s="1">
        <v>2.6390000000000002E-4</v>
      </c>
      <c r="P170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1.3788676344553568</v>
      </c>
      <c r="Q1707" s="1">
        <f>LN(Table1[[#This Row],[qe_mg_g]]-Table1[[#This Row],[qt]])</f>
        <v>1.3930545508460479</v>
      </c>
      <c r="R1707" s="1">
        <v>2</v>
      </c>
    </row>
    <row r="1708" spans="1:18" x14ac:dyDescent="0.3">
      <c r="A1708" s="1">
        <v>1707</v>
      </c>
      <c r="B1708" s="1" t="s">
        <v>18</v>
      </c>
      <c r="C1708" s="1">
        <v>4</v>
      </c>
      <c r="D1708" s="1">
        <v>240</v>
      </c>
      <c r="E1708" s="1">
        <v>50</v>
      </c>
      <c r="F1708" s="1">
        <v>7</v>
      </c>
      <c r="G1708" s="1">
        <v>25</v>
      </c>
      <c r="H1708" s="1">
        <v>150</v>
      </c>
      <c r="I1708" s="1">
        <v>100</v>
      </c>
      <c r="J1708" s="1">
        <v>4.8929999999999998</v>
      </c>
      <c r="K1708" s="1">
        <v>30.428999999999998</v>
      </c>
      <c r="L1708" s="1">
        <v>39.14</v>
      </c>
      <c r="M1708" s="1">
        <v>91</v>
      </c>
      <c r="N1708" s="1">
        <v>2.5510000000000001E-2</v>
      </c>
      <c r="O1708" s="1">
        <v>2.497E-4</v>
      </c>
      <c r="P170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1.1094435660744242</v>
      </c>
      <c r="Q1708" s="1">
        <f>LN(Table1[[#This Row],[qe_mg_g]]-Table1[[#This Row],[qt]])</f>
        <v>1.3306644228402154</v>
      </c>
      <c r="R1708" s="1">
        <v>3</v>
      </c>
    </row>
    <row r="1709" spans="1:18" x14ac:dyDescent="0.3">
      <c r="A1709" s="1">
        <v>1708</v>
      </c>
      <c r="B1709" s="1" t="s">
        <v>18</v>
      </c>
      <c r="C1709" s="1">
        <v>4</v>
      </c>
      <c r="D1709" s="1">
        <v>240</v>
      </c>
      <c r="E1709" s="1">
        <v>50</v>
      </c>
      <c r="F1709" s="1">
        <v>11</v>
      </c>
      <c r="G1709" s="1">
        <v>25</v>
      </c>
      <c r="H1709" s="1">
        <v>150</v>
      </c>
      <c r="I1709" s="1">
        <v>100</v>
      </c>
      <c r="J1709" s="1">
        <v>3.48</v>
      </c>
      <c r="K1709" s="1">
        <v>36.079000000000001</v>
      </c>
      <c r="L1709" s="1">
        <v>27.84</v>
      </c>
      <c r="M1709" s="1">
        <v>93.5</v>
      </c>
      <c r="N1709" s="1">
        <v>3.1329999999999997E-2</v>
      </c>
      <c r="O1709" s="1">
        <v>2.3120000000000001E-4</v>
      </c>
      <c r="P170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0.56322426156625627</v>
      </c>
      <c r="Q1709" s="1">
        <f>LN(Table1[[#This Row],[qe_mg_g]]-Table1[[#This Row],[qt]])</f>
        <v>1.0704788070366256</v>
      </c>
      <c r="R1709" s="1">
        <v>1</v>
      </c>
    </row>
    <row r="1710" spans="1:18" x14ac:dyDescent="0.3">
      <c r="A1710" s="1">
        <v>1709</v>
      </c>
      <c r="B1710" s="1" t="s">
        <v>18</v>
      </c>
      <c r="C1710" s="1">
        <v>4</v>
      </c>
      <c r="D1710" s="1">
        <v>240</v>
      </c>
      <c r="E1710" s="1">
        <v>50</v>
      </c>
      <c r="F1710" s="1">
        <v>11</v>
      </c>
      <c r="G1710" s="1">
        <v>25</v>
      </c>
      <c r="H1710" s="1">
        <v>150</v>
      </c>
      <c r="I1710" s="1">
        <v>100</v>
      </c>
      <c r="J1710" s="1">
        <v>3.169</v>
      </c>
      <c r="K1710" s="1">
        <v>37.325000000000003</v>
      </c>
      <c r="L1710" s="1">
        <v>25.35</v>
      </c>
      <c r="M1710" s="1">
        <v>101.6</v>
      </c>
      <c r="N1710" s="1">
        <v>3.116E-2</v>
      </c>
      <c r="O1710" s="1">
        <v>2.206E-4</v>
      </c>
      <c r="P171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0.45530284886239009</v>
      </c>
      <c r="Q1710" s="1">
        <f>LN(Table1[[#This Row],[qe_mg_g]]-Table1[[#This Row],[qt]])</f>
        <v>0.99831196754357543</v>
      </c>
      <c r="R1710" s="1">
        <v>2</v>
      </c>
    </row>
    <row r="1711" spans="1:18" x14ac:dyDescent="0.3">
      <c r="A1711" s="1">
        <v>1710</v>
      </c>
      <c r="B1711" s="1" t="s">
        <v>18</v>
      </c>
      <c r="C1711" s="1">
        <v>4</v>
      </c>
      <c r="D1711" s="1">
        <v>240</v>
      </c>
      <c r="E1711" s="1">
        <v>50</v>
      </c>
      <c r="F1711" s="1">
        <v>11</v>
      </c>
      <c r="G1711" s="1">
        <v>25</v>
      </c>
      <c r="H1711" s="1">
        <v>150</v>
      </c>
      <c r="I1711" s="1">
        <v>100</v>
      </c>
      <c r="J1711" s="1">
        <v>3.831</v>
      </c>
      <c r="K1711" s="1">
        <v>34.677999999999997</v>
      </c>
      <c r="L1711" s="1">
        <v>30.64</v>
      </c>
      <c r="M1711" s="1">
        <v>73.400000000000006</v>
      </c>
      <c r="N1711" s="1">
        <v>2.827E-2</v>
      </c>
      <c r="O1711" s="1">
        <v>2.4350000000000001E-4</v>
      </c>
      <c r="P171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0.70080046567172027</v>
      </c>
      <c r="Q1711" s="1">
        <f>LN(Table1[[#This Row],[qe_mg_g]]-Table1[[#This Row],[qt]])</f>
        <v>1.1410967515068524</v>
      </c>
      <c r="R1711" s="1">
        <v>3</v>
      </c>
    </row>
    <row r="1712" spans="1:18" x14ac:dyDescent="0.3">
      <c r="A1712" s="1">
        <v>1711</v>
      </c>
      <c r="B1712" s="1" t="s">
        <v>18</v>
      </c>
      <c r="C1712" s="1">
        <v>4</v>
      </c>
      <c r="D1712" s="1">
        <v>240</v>
      </c>
      <c r="E1712" s="1">
        <v>100</v>
      </c>
      <c r="F1712" s="1">
        <v>3</v>
      </c>
      <c r="G1712" s="1">
        <v>25</v>
      </c>
      <c r="H1712" s="1">
        <v>150</v>
      </c>
      <c r="I1712" s="1">
        <v>100</v>
      </c>
      <c r="J1712" s="1">
        <v>7.9880000000000004</v>
      </c>
      <c r="K1712" s="1">
        <v>68.046999999999997</v>
      </c>
      <c r="L1712" s="1">
        <v>31.95</v>
      </c>
      <c r="M1712" s="1">
        <v>91.5</v>
      </c>
      <c r="N1712" s="1">
        <v>3.5610000000000003E-2</v>
      </c>
      <c r="O1712" s="1">
        <v>2.287E-4</v>
      </c>
      <c r="P171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2.4347824006526873</v>
      </c>
      <c r="Q1712" s="1">
        <f>LN(Table1[[#This Row],[qe_mg_g]]-Table1[[#This Row],[qt]])</f>
        <v>1.7143775073997565</v>
      </c>
      <c r="R1712" s="1">
        <v>1</v>
      </c>
    </row>
    <row r="1713" spans="1:18" x14ac:dyDescent="0.3">
      <c r="A1713" s="1">
        <v>1712</v>
      </c>
      <c r="B1713" s="1" t="s">
        <v>18</v>
      </c>
      <c r="C1713" s="1">
        <v>4</v>
      </c>
      <c r="D1713" s="1">
        <v>240</v>
      </c>
      <c r="E1713" s="1">
        <v>100</v>
      </c>
      <c r="F1713" s="1">
        <v>3</v>
      </c>
      <c r="G1713" s="1">
        <v>25</v>
      </c>
      <c r="H1713" s="1">
        <v>150</v>
      </c>
      <c r="I1713" s="1">
        <v>100</v>
      </c>
      <c r="J1713" s="1">
        <v>10.335000000000001</v>
      </c>
      <c r="K1713" s="1">
        <v>58.66</v>
      </c>
      <c r="L1713" s="1">
        <v>41.34</v>
      </c>
      <c r="M1713" s="1">
        <v>106.6</v>
      </c>
      <c r="N1713" s="1">
        <v>3.0280000000000001E-2</v>
      </c>
      <c r="O1713" s="1">
        <v>2.6190000000000002E-4</v>
      </c>
      <c r="P171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4.0699084644363097</v>
      </c>
      <c r="Q1713" s="1">
        <f>LN(Table1[[#This Row],[qe_mg_g]]-Table1[[#This Row],[qt]])</f>
        <v>1.8349931988659889</v>
      </c>
      <c r="R1713" s="1">
        <v>2</v>
      </c>
    </row>
    <row r="1714" spans="1:18" x14ac:dyDescent="0.3">
      <c r="A1714" s="1">
        <v>1713</v>
      </c>
      <c r="B1714" s="1" t="s">
        <v>18</v>
      </c>
      <c r="C1714" s="1">
        <v>4</v>
      </c>
      <c r="D1714" s="1">
        <v>240</v>
      </c>
      <c r="E1714" s="1">
        <v>100</v>
      </c>
      <c r="F1714" s="1">
        <v>3</v>
      </c>
      <c r="G1714" s="1">
        <v>25</v>
      </c>
      <c r="H1714" s="1">
        <v>150</v>
      </c>
      <c r="I1714" s="1">
        <v>100</v>
      </c>
      <c r="J1714" s="1">
        <v>10.403</v>
      </c>
      <c r="K1714" s="1">
        <v>58.389000000000003</v>
      </c>
      <c r="L1714" s="1">
        <v>41.61</v>
      </c>
      <c r="M1714" s="1">
        <v>85.1</v>
      </c>
      <c r="N1714" s="1">
        <v>2.664E-2</v>
      </c>
      <c r="O1714" s="1">
        <v>2.3110000000000001E-4</v>
      </c>
      <c r="P171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3.8062639019260165</v>
      </c>
      <c r="Q1714" s="1">
        <f>LN(Table1[[#This Row],[qe_mg_g]]-Table1[[#This Row],[qt]])</f>
        <v>1.8865749961169451</v>
      </c>
      <c r="R1714" s="1">
        <v>3</v>
      </c>
    </row>
    <row r="1715" spans="1:18" x14ac:dyDescent="0.3">
      <c r="A1715" s="1">
        <v>1714</v>
      </c>
      <c r="B1715" s="1" t="s">
        <v>18</v>
      </c>
      <c r="C1715" s="1">
        <v>4</v>
      </c>
      <c r="D1715" s="1">
        <v>240</v>
      </c>
      <c r="E1715" s="1">
        <v>100</v>
      </c>
      <c r="F1715" s="1">
        <v>7</v>
      </c>
      <c r="G1715" s="1">
        <v>25</v>
      </c>
      <c r="H1715" s="1">
        <v>150</v>
      </c>
      <c r="I1715" s="1">
        <v>100</v>
      </c>
      <c r="J1715" s="1">
        <v>12.871</v>
      </c>
      <c r="K1715" s="1">
        <v>48.518000000000001</v>
      </c>
      <c r="L1715" s="1">
        <v>51.48</v>
      </c>
      <c r="M1715" s="1">
        <v>74.099999999999994</v>
      </c>
      <c r="N1715" s="1">
        <v>3.007E-2</v>
      </c>
      <c r="O1715" s="1">
        <v>2.923E-4</v>
      </c>
      <c r="P1715" s="1">
        <f>(Table1[[#This Row],[Rate_Constant_k2_g_mg_min]]*Table1[[#This Row],[Contact_Time_min]]*Table1[[#This Row],[qe_mg_g]]^2)/(1+Table1[[#This Row],[Contact_Time_min]]*Table1[[#This Row],[qe_mg_g]]*Table1[[#This Row],[Rate_Constant_k2_g_mg_min]])</f>
        <v>6.107207110211756</v>
      </c>
      <c r="Q1715" s="1">
        <f>LN(Table1[[#This Row],[qe_mg_g]]-Table1[[#This Row],[qt]])</f>
        <v>1.9115838110802983</v>
      </c>
      <c r="R1715" s="1">
        <v>1</v>
      </c>
    </row>
    <row r="1716" spans="1:18" x14ac:dyDescent="0.3">
      <c r="A1716" s="1">
        <v>1715</v>
      </c>
      <c r="B1716" s="1" t="s">
        <v>18</v>
      </c>
      <c r="C1716" s="1">
        <v>4</v>
      </c>
      <c r="D1716" s="1">
        <v>240</v>
      </c>
      <c r="E1716" s="1">
        <v>100</v>
      </c>
      <c r="F1716" s="1">
        <v>7</v>
      </c>
      <c r="G1716" s="1">
        <v>25</v>
      </c>
      <c r="H1716" s="1">
        <v>150</v>
      </c>
      <c r="I1716" s="1">
        <v>100</v>
      </c>
      <c r="J1716" s="1">
        <v>13.007999999999999</v>
      </c>
      <c r="K1716" s="1">
        <v>47.966999999999999</v>
      </c>
      <c r="L1716" s="1">
        <v>52.03</v>
      </c>
      <c r="M1716" s="1">
        <v>95.6</v>
      </c>
      <c r="N1716" s="1">
        <v>2.8150000000000001E-2</v>
      </c>
      <c r="O1716" s="1">
        <v>2.7250000000000001E-4</v>
      </c>
      <c r="P1716" s="1">
        <f>(Table1[[#This Row],[Rate_Constant_k2_g_mg_min]]*Table1[[#This Row],[Contact_Time_min]]*Table1[[#This Row],[qe_mg_g]]^2)/(1+Table1[[#This Row],[Contact_Time_min]]*Table1[[#This Row],[qe_mg_g]]*Table1[[#This Row],[Rate_Constant_k2_g_mg_min]])</f>
        <v>5.9793962628230943</v>
      </c>
      <c r="Q1716" s="1">
        <f>LN(Table1[[#This Row],[qe_mg_g]]-Table1[[#This Row],[qt]])</f>
        <v>1.9499880711851958</v>
      </c>
      <c r="R1716" s="1">
        <v>2</v>
      </c>
    </row>
    <row r="1717" spans="1:18" x14ac:dyDescent="0.3">
      <c r="A1717" s="1">
        <v>1716</v>
      </c>
      <c r="B1717" s="1" t="s">
        <v>18</v>
      </c>
      <c r="C1717" s="1">
        <v>4</v>
      </c>
      <c r="D1717" s="1">
        <v>240</v>
      </c>
      <c r="E1717" s="1">
        <v>100</v>
      </c>
      <c r="F1717" s="1">
        <v>7</v>
      </c>
      <c r="G1717" s="1">
        <v>25</v>
      </c>
      <c r="H1717" s="1">
        <v>150</v>
      </c>
      <c r="I1717" s="1">
        <v>100</v>
      </c>
      <c r="J1717" s="1">
        <v>11.88</v>
      </c>
      <c r="K1717" s="1">
        <v>52.481999999999999</v>
      </c>
      <c r="L1717" s="1">
        <v>47.52</v>
      </c>
      <c r="M1717" s="1">
        <v>127.7</v>
      </c>
      <c r="N1717" s="1">
        <v>3.5799999999999998E-2</v>
      </c>
      <c r="O1717" s="1">
        <v>2.564E-4</v>
      </c>
      <c r="P1717" s="1">
        <f>(Table1[[#This Row],[Rate_Constant_k2_g_mg_min]]*Table1[[#This Row],[Contact_Time_min]]*Table1[[#This Row],[qe_mg_g]]^2)/(1+Table1[[#This Row],[Contact_Time_min]]*Table1[[#This Row],[qe_mg_g]]*Table1[[#This Row],[Rate_Constant_k2_g_mg_min]])</f>
        <v>5.0171041148907003</v>
      </c>
      <c r="Q1717" s="1">
        <f>LN(Table1[[#This Row],[qe_mg_g]]-Table1[[#This Row],[qt]])</f>
        <v>1.9261294933479689</v>
      </c>
      <c r="R1717" s="1">
        <v>3</v>
      </c>
    </row>
    <row r="1718" spans="1:18" x14ac:dyDescent="0.3">
      <c r="A1718" s="1">
        <v>1717</v>
      </c>
      <c r="B1718" s="1" t="s">
        <v>18</v>
      </c>
      <c r="C1718" s="1">
        <v>4</v>
      </c>
      <c r="D1718" s="1">
        <v>240</v>
      </c>
      <c r="E1718" s="1">
        <v>100</v>
      </c>
      <c r="F1718" s="1">
        <v>11</v>
      </c>
      <c r="G1718" s="1">
        <v>25</v>
      </c>
      <c r="H1718" s="1">
        <v>150</v>
      </c>
      <c r="I1718" s="1">
        <v>100</v>
      </c>
      <c r="J1718" s="1">
        <v>10.166</v>
      </c>
      <c r="K1718" s="1">
        <v>59.337000000000003</v>
      </c>
      <c r="L1718" s="1">
        <v>40.659999999999997</v>
      </c>
      <c r="M1718" s="1">
        <v>115.5</v>
      </c>
      <c r="N1718" s="1">
        <v>3.3279999999999997E-2</v>
      </c>
      <c r="O1718" s="1">
        <v>2.299E-4</v>
      </c>
      <c r="P1718" s="1">
        <f>(Table1[[#This Row],[Rate_Constant_k2_g_mg_min]]*Table1[[#This Row],[Contact_Time_min]]*Table1[[#This Row],[qe_mg_g]]^2)/(1+Table1[[#This Row],[Contact_Time_min]]*Table1[[#This Row],[qe_mg_g]]*Table1[[#This Row],[Rate_Constant_k2_g_mg_min]])</f>
        <v>3.6531709593970434</v>
      </c>
      <c r="Q1718" s="1">
        <f>LN(Table1[[#This Row],[qe_mg_g]]-Table1[[#This Row],[qt]])</f>
        <v>1.8737739302719516</v>
      </c>
      <c r="R1718" s="1">
        <v>1</v>
      </c>
    </row>
    <row r="1719" spans="1:18" x14ac:dyDescent="0.3">
      <c r="A1719" s="1">
        <v>1718</v>
      </c>
      <c r="B1719" s="1" t="s">
        <v>18</v>
      </c>
      <c r="C1719" s="1">
        <v>4</v>
      </c>
      <c r="D1719" s="1">
        <v>240</v>
      </c>
      <c r="E1719" s="1">
        <v>100</v>
      </c>
      <c r="F1719" s="1">
        <v>11</v>
      </c>
      <c r="G1719" s="1">
        <v>25</v>
      </c>
      <c r="H1719" s="1">
        <v>150</v>
      </c>
      <c r="I1719" s="1">
        <v>100</v>
      </c>
      <c r="J1719" s="1">
        <v>9.6940000000000008</v>
      </c>
      <c r="K1719" s="1">
        <v>61.223999999999997</v>
      </c>
      <c r="L1719" s="1">
        <v>38.78</v>
      </c>
      <c r="M1719" s="1">
        <v>80.2</v>
      </c>
      <c r="N1719" s="1">
        <v>3.1230000000000001E-2</v>
      </c>
      <c r="O1719" s="1">
        <v>2.6669999999999998E-4</v>
      </c>
      <c r="P171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3.7118719081999778</v>
      </c>
      <c r="Q1719" s="1">
        <f>LN(Table1[[#This Row],[qe_mg_g]]-Table1[[#This Row],[qt]])</f>
        <v>1.7887763728504571</v>
      </c>
      <c r="R1719" s="1">
        <v>2</v>
      </c>
    </row>
    <row r="1720" spans="1:18" x14ac:dyDescent="0.3">
      <c r="A1720" s="1">
        <v>1719</v>
      </c>
      <c r="B1720" s="1" t="s">
        <v>18</v>
      </c>
      <c r="C1720" s="1">
        <v>4</v>
      </c>
      <c r="D1720" s="1">
        <v>240</v>
      </c>
      <c r="E1720" s="1">
        <v>100</v>
      </c>
      <c r="F1720" s="1">
        <v>11</v>
      </c>
      <c r="G1720" s="1">
        <v>25</v>
      </c>
      <c r="H1720" s="1">
        <v>150</v>
      </c>
      <c r="I1720" s="1">
        <v>100</v>
      </c>
      <c r="J1720" s="1">
        <v>8.94</v>
      </c>
      <c r="K1720" s="1">
        <v>64.241</v>
      </c>
      <c r="L1720" s="1">
        <v>35.76</v>
      </c>
      <c r="M1720" s="1">
        <v>93.2</v>
      </c>
      <c r="N1720" s="1">
        <v>2.596E-2</v>
      </c>
      <c r="O1720" s="1">
        <v>2.275E-4</v>
      </c>
      <c r="P172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2.9324361141947848</v>
      </c>
      <c r="Q1720" s="1">
        <f>LN(Table1[[#This Row],[qe_mg_g]]-Table1[[#This Row],[qt]])</f>
        <v>1.7930193229132187</v>
      </c>
      <c r="R1720" s="1">
        <v>3</v>
      </c>
    </row>
    <row r="1721" spans="1:18" x14ac:dyDescent="0.3">
      <c r="A1721" s="1">
        <v>1720</v>
      </c>
      <c r="B1721" s="1" t="s">
        <v>18</v>
      </c>
      <c r="C1721" s="1">
        <v>4</v>
      </c>
      <c r="D1721" s="1">
        <v>240</v>
      </c>
      <c r="E1721" s="1">
        <v>200</v>
      </c>
      <c r="F1721" s="1">
        <v>3</v>
      </c>
      <c r="G1721" s="1">
        <v>25</v>
      </c>
      <c r="H1721" s="1">
        <v>150</v>
      </c>
      <c r="I1721" s="1">
        <v>100</v>
      </c>
      <c r="J1721" s="1">
        <v>23.067</v>
      </c>
      <c r="K1721" s="1">
        <v>107.733</v>
      </c>
      <c r="L1721" s="1">
        <v>46.13</v>
      </c>
      <c r="M1721" s="1">
        <v>89</v>
      </c>
      <c r="N1721" s="1">
        <v>2.9100000000000001E-2</v>
      </c>
      <c r="O1721" s="1">
        <v>2.0929999999999999E-4</v>
      </c>
      <c r="P1721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12.381409829319139</v>
      </c>
      <c r="Q1721" s="1">
        <f>LN(Table1[[#This Row],[qe_mg_g]]-Table1[[#This Row],[qt]])</f>
        <v>2.3688961208144281</v>
      </c>
      <c r="R1721" s="1">
        <v>1</v>
      </c>
    </row>
    <row r="1722" spans="1:18" x14ac:dyDescent="0.3">
      <c r="A1722" s="1">
        <v>1721</v>
      </c>
      <c r="B1722" s="1" t="s">
        <v>18</v>
      </c>
      <c r="C1722" s="1">
        <v>4</v>
      </c>
      <c r="D1722" s="1">
        <v>240</v>
      </c>
      <c r="E1722" s="1">
        <v>200</v>
      </c>
      <c r="F1722" s="1">
        <v>3</v>
      </c>
      <c r="G1722" s="1">
        <v>25</v>
      </c>
      <c r="H1722" s="1">
        <v>150</v>
      </c>
      <c r="I1722" s="1">
        <v>100</v>
      </c>
      <c r="J1722" s="1">
        <v>22.347000000000001</v>
      </c>
      <c r="K1722" s="1">
        <v>110.613</v>
      </c>
      <c r="L1722" s="1">
        <v>44.69</v>
      </c>
      <c r="M1722" s="1">
        <v>99.3</v>
      </c>
      <c r="N1722" s="1">
        <v>2.7810000000000001E-2</v>
      </c>
      <c r="O1722" s="1">
        <v>2.453E-4</v>
      </c>
      <c r="P1722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12.696421939399862</v>
      </c>
      <c r="Q1722" s="1">
        <f>LN(Table1[[#This Row],[qe_mg_g]]-Table1[[#This Row],[qt]])</f>
        <v>2.2670178162096666</v>
      </c>
      <c r="R1722" s="1">
        <v>2</v>
      </c>
    </row>
    <row r="1723" spans="1:18" x14ac:dyDescent="0.3">
      <c r="A1723" s="1">
        <v>1722</v>
      </c>
      <c r="B1723" s="1" t="s">
        <v>18</v>
      </c>
      <c r="C1723" s="1">
        <v>4</v>
      </c>
      <c r="D1723" s="1">
        <v>240</v>
      </c>
      <c r="E1723" s="1">
        <v>200</v>
      </c>
      <c r="F1723" s="1">
        <v>3</v>
      </c>
      <c r="G1723" s="1">
        <v>25</v>
      </c>
      <c r="H1723" s="1">
        <v>150</v>
      </c>
      <c r="I1723" s="1">
        <v>100</v>
      </c>
      <c r="J1723" s="1">
        <v>22.332999999999998</v>
      </c>
      <c r="K1723" s="1">
        <v>110.666</v>
      </c>
      <c r="L1723" s="1">
        <v>44.67</v>
      </c>
      <c r="M1723" s="1">
        <v>87.8</v>
      </c>
      <c r="N1723" s="1">
        <v>2.5569999999999999E-2</v>
      </c>
      <c r="O1723" s="1">
        <v>2.9510000000000002E-4</v>
      </c>
      <c r="P1723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13.682539914204352</v>
      </c>
      <c r="Q1723" s="1">
        <f>LN(Table1[[#This Row],[qe_mg_g]]-Table1[[#This Row],[qt]])</f>
        <v>2.1576125086386209</v>
      </c>
      <c r="R1723" s="1">
        <v>3</v>
      </c>
    </row>
    <row r="1724" spans="1:18" x14ac:dyDescent="0.3">
      <c r="A1724" s="1">
        <v>1723</v>
      </c>
      <c r="B1724" s="1" t="s">
        <v>18</v>
      </c>
      <c r="C1724" s="1">
        <v>4</v>
      </c>
      <c r="D1724" s="1">
        <v>240</v>
      </c>
      <c r="E1724" s="1">
        <v>200</v>
      </c>
      <c r="F1724" s="1">
        <v>7</v>
      </c>
      <c r="G1724" s="1">
        <v>25</v>
      </c>
      <c r="H1724" s="1">
        <v>150</v>
      </c>
      <c r="I1724" s="1">
        <v>100</v>
      </c>
      <c r="J1724" s="1">
        <v>30.009</v>
      </c>
      <c r="K1724" s="1">
        <v>79.962999999999994</v>
      </c>
      <c r="L1724" s="1">
        <v>60.02</v>
      </c>
      <c r="M1724" s="1">
        <v>98.5</v>
      </c>
      <c r="N1724" s="1">
        <v>3.3029999999999997E-2</v>
      </c>
      <c r="O1724" s="1">
        <v>3.3819999999999998E-4</v>
      </c>
      <c r="P1724" s="1">
        <f>(Table1[[#This Row],[Rate_Constant_k2_g_mg_min]]*Table1[[#This Row],[Contact_Time_min]]*Table1[[#This Row],[qe_mg_g]]^2)/(1+Table1[[#This Row],[Contact_Time_min]]*Table1[[#This Row],[qe_mg_g]]*Table1[[#This Row],[Rate_Constant_k2_g_mg_min]])</f>
        <v>21.274714664239482</v>
      </c>
      <c r="Q1724" s="1">
        <f>LN(Table1[[#This Row],[qe_mg_g]]-Table1[[#This Row],[qt]])</f>
        <v>2.1672561240695205</v>
      </c>
      <c r="R1724" s="1">
        <v>1</v>
      </c>
    </row>
    <row r="1725" spans="1:18" x14ac:dyDescent="0.3">
      <c r="A1725" s="1">
        <v>1724</v>
      </c>
      <c r="B1725" s="1" t="s">
        <v>18</v>
      </c>
      <c r="C1725" s="1">
        <v>4</v>
      </c>
      <c r="D1725" s="1">
        <v>240</v>
      </c>
      <c r="E1725" s="1">
        <v>200</v>
      </c>
      <c r="F1725" s="1">
        <v>7</v>
      </c>
      <c r="G1725" s="1">
        <v>25</v>
      </c>
      <c r="H1725" s="1">
        <v>150</v>
      </c>
      <c r="I1725" s="1">
        <v>100</v>
      </c>
      <c r="J1725" s="1">
        <v>28.259</v>
      </c>
      <c r="K1725" s="1">
        <v>86.965999999999994</v>
      </c>
      <c r="L1725" s="1">
        <v>56.52</v>
      </c>
      <c r="M1725" s="1">
        <v>106.7</v>
      </c>
      <c r="N1725" s="1">
        <v>2.7879999999999999E-2</v>
      </c>
      <c r="O1725" s="1">
        <v>2.365E-4</v>
      </c>
      <c r="P1725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17.406769612621265</v>
      </c>
      <c r="Q1725" s="1">
        <f>LN(Table1[[#This Row],[qe_mg_g]]-Table1[[#This Row],[qt]])</f>
        <v>2.3843706245177705</v>
      </c>
      <c r="R1725" s="1">
        <v>2</v>
      </c>
    </row>
    <row r="1726" spans="1:18" x14ac:dyDescent="0.3">
      <c r="A1726" s="1">
        <v>1725</v>
      </c>
      <c r="B1726" s="1" t="s">
        <v>18</v>
      </c>
      <c r="C1726" s="1">
        <v>4</v>
      </c>
      <c r="D1726" s="1">
        <v>240</v>
      </c>
      <c r="E1726" s="1">
        <v>200</v>
      </c>
      <c r="F1726" s="1">
        <v>7</v>
      </c>
      <c r="G1726" s="1">
        <v>25</v>
      </c>
      <c r="H1726" s="1">
        <v>150</v>
      </c>
      <c r="I1726" s="1">
        <v>100</v>
      </c>
      <c r="J1726" s="1">
        <v>29.76</v>
      </c>
      <c r="K1726" s="1">
        <v>80.959000000000003</v>
      </c>
      <c r="L1726" s="1">
        <v>59.52</v>
      </c>
      <c r="M1726" s="1">
        <v>83.1</v>
      </c>
      <c r="N1726" s="1">
        <v>2.988E-2</v>
      </c>
      <c r="O1726" s="1">
        <v>2.131E-4</v>
      </c>
      <c r="P1726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17.960054000613091</v>
      </c>
      <c r="Q1726" s="1">
        <f>LN(Table1[[#This Row],[qe_mg_g]]-Table1[[#This Row],[qt]])</f>
        <v>2.4680949551380045</v>
      </c>
      <c r="R1726" s="1">
        <v>3</v>
      </c>
    </row>
    <row r="1727" spans="1:18" x14ac:dyDescent="0.3">
      <c r="A1727" s="1">
        <v>1726</v>
      </c>
      <c r="B1727" s="1" t="s">
        <v>18</v>
      </c>
      <c r="C1727" s="1">
        <v>4</v>
      </c>
      <c r="D1727" s="1">
        <v>240</v>
      </c>
      <c r="E1727" s="1">
        <v>200</v>
      </c>
      <c r="F1727" s="1">
        <v>11</v>
      </c>
      <c r="G1727" s="1">
        <v>25</v>
      </c>
      <c r="H1727" s="1">
        <v>150</v>
      </c>
      <c r="I1727" s="1">
        <v>100</v>
      </c>
      <c r="J1727" s="1">
        <v>28.076000000000001</v>
      </c>
      <c r="K1727" s="1">
        <v>87.695999999999998</v>
      </c>
      <c r="L1727" s="1">
        <v>56.15</v>
      </c>
      <c r="M1727" s="1">
        <v>100.8</v>
      </c>
      <c r="N1727" s="1">
        <v>3.1269999999999999E-2</v>
      </c>
      <c r="O1727" s="1">
        <v>2.3829999999999999E-4</v>
      </c>
      <c r="P1727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17.301253645112503</v>
      </c>
      <c r="Q1727" s="1">
        <f>LN(Table1[[#This Row],[qe_mg_g]]-Table1[[#This Row],[qt]])</f>
        <v>2.3772050955630855</v>
      </c>
      <c r="R1727" s="1">
        <v>1</v>
      </c>
    </row>
    <row r="1728" spans="1:18" x14ac:dyDescent="0.3">
      <c r="A1728" s="1">
        <v>1727</v>
      </c>
      <c r="B1728" s="1" t="s">
        <v>18</v>
      </c>
      <c r="C1728" s="1">
        <v>4</v>
      </c>
      <c r="D1728" s="1">
        <v>240</v>
      </c>
      <c r="E1728" s="1">
        <v>200</v>
      </c>
      <c r="F1728" s="1">
        <v>11</v>
      </c>
      <c r="G1728" s="1">
        <v>25</v>
      </c>
      <c r="H1728" s="1">
        <v>150</v>
      </c>
      <c r="I1728" s="1">
        <v>100</v>
      </c>
      <c r="J1728" s="1">
        <v>25.015999999999998</v>
      </c>
      <c r="K1728" s="1">
        <v>99.935000000000002</v>
      </c>
      <c r="L1728" s="1">
        <v>50.03</v>
      </c>
      <c r="M1728" s="1">
        <v>104.3</v>
      </c>
      <c r="N1728" s="1">
        <v>2.6509999999999999E-2</v>
      </c>
      <c r="O1728" s="1">
        <v>2.4110000000000001E-4</v>
      </c>
      <c r="P1728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14.795065963391442</v>
      </c>
      <c r="Q1728" s="1">
        <f>LN(Table1[[#This Row],[qe_mg_g]]-Table1[[#This Row],[qt]])</f>
        <v>2.3244379736140073</v>
      </c>
      <c r="R1728" s="1">
        <v>2</v>
      </c>
    </row>
    <row r="1729" spans="1:18" x14ac:dyDescent="0.3">
      <c r="A1729" s="1">
        <v>1728</v>
      </c>
      <c r="B1729" s="1" t="s">
        <v>18</v>
      </c>
      <c r="C1729" s="1">
        <v>4</v>
      </c>
      <c r="D1729" s="1">
        <v>240</v>
      </c>
      <c r="E1729" s="1">
        <v>200</v>
      </c>
      <c r="F1729" s="1">
        <v>11</v>
      </c>
      <c r="G1729" s="1">
        <v>25</v>
      </c>
      <c r="H1729" s="1">
        <v>150</v>
      </c>
      <c r="I1729" s="1">
        <v>100</v>
      </c>
      <c r="J1729" s="1">
        <v>23.87</v>
      </c>
      <c r="K1729" s="1">
        <v>104.521</v>
      </c>
      <c r="L1729" s="1">
        <v>47.74</v>
      </c>
      <c r="M1729" s="1">
        <v>86.6</v>
      </c>
      <c r="N1729" s="1">
        <v>2.367E-2</v>
      </c>
      <c r="O1729" s="1">
        <v>2.8350000000000001E-4</v>
      </c>
      <c r="P1729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14.773599187047765</v>
      </c>
      <c r="Q1729" s="1">
        <f>LN(Table1[[#This Row],[qe_mg_g]]-Table1[[#This Row],[qt]])</f>
        <v>2.2078788202258992</v>
      </c>
      <c r="R1729" s="1">
        <v>3</v>
      </c>
    </row>
    <row r="1730" spans="1:18" x14ac:dyDescent="0.3">
      <c r="A1730" s="1">
        <v>1729</v>
      </c>
      <c r="B1730" s="1" t="s">
        <v>19</v>
      </c>
      <c r="C1730" s="1">
        <v>0.5</v>
      </c>
      <c r="D1730" s="1">
        <v>30</v>
      </c>
      <c r="E1730" s="1">
        <v>25</v>
      </c>
      <c r="F1730" s="1">
        <v>3</v>
      </c>
      <c r="G1730" s="1">
        <v>25</v>
      </c>
      <c r="H1730" s="1">
        <v>150</v>
      </c>
      <c r="I1730" s="1">
        <v>100</v>
      </c>
      <c r="J1730" s="1">
        <v>9.4309999999999992</v>
      </c>
      <c r="K1730" s="1">
        <v>20.283999999999999</v>
      </c>
      <c r="L1730" s="1">
        <v>18.86</v>
      </c>
      <c r="M1730" s="1">
        <v>64.099999999999994</v>
      </c>
      <c r="N1730" s="1">
        <v>6.0879999999999997E-2</v>
      </c>
      <c r="O1730" s="1">
        <v>3.0499999999999999E-4</v>
      </c>
      <c r="P173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0.74918546486026116</v>
      </c>
      <c r="Q1730" s="1">
        <f>LN(Table1[[#This Row],[qe_mg_g]]-Table1[[#This Row],[qt]])</f>
        <v>2.1612305546519655</v>
      </c>
      <c r="R1730" s="1">
        <v>1</v>
      </c>
    </row>
    <row r="1731" spans="1:18" x14ac:dyDescent="0.3">
      <c r="A1731" s="1">
        <v>1730</v>
      </c>
      <c r="B1731" s="1" t="s">
        <v>19</v>
      </c>
      <c r="C1731" s="1">
        <v>0.5</v>
      </c>
      <c r="D1731" s="1">
        <v>30</v>
      </c>
      <c r="E1731" s="1">
        <v>25</v>
      </c>
      <c r="F1731" s="1">
        <v>3</v>
      </c>
      <c r="G1731" s="1">
        <v>25</v>
      </c>
      <c r="H1731" s="1">
        <v>150</v>
      </c>
      <c r="I1731" s="1">
        <v>100</v>
      </c>
      <c r="J1731" s="1">
        <v>9.1530000000000005</v>
      </c>
      <c r="K1731" s="1">
        <v>20.423999999999999</v>
      </c>
      <c r="L1731" s="1">
        <v>18.309999999999999</v>
      </c>
      <c r="M1731" s="1">
        <v>75.5</v>
      </c>
      <c r="N1731" s="1">
        <v>6.4630000000000007E-2</v>
      </c>
      <c r="O1731" s="1">
        <v>3.4890000000000002E-4</v>
      </c>
      <c r="P173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0.80023232174569814</v>
      </c>
      <c r="Q1731" s="1">
        <f>LN(Table1[[#This Row],[qe_mg_g]]-Table1[[#This Row],[qt]])</f>
        <v>2.1225929424161087</v>
      </c>
      <c r="R1731" s="1">
        <v>2</v>
      </c>
    </row>
    <row r="1732" spans="1:18" x14ac:dyDescent="0.3">
      <c r="A1732" s="1">
        <v>1731</v>
      </c>
      <c r="B1732" s="1" t="s">
        <v>19</v>
      </c>
      <c r="C1732" s="1">
        <v>0.5</v>
      </c>
      <c r="D1732" s="1">
        <v>30</v>
      </c>
      <c r="E1732" s="1">
        <v>25</v>
      </c>
      <c r="F1732" s="1">
        <v>3</v>
      </c>
      <c r="G1732" s="1">
        <v>25</v>
      </c>
      <c r="H1732" s="1">
        <v>150</v>
      </c>
      <c r="I1732" s="1">
        <v>100</v>
      </c>
      <c r="J1732" s="1">
        <v>10.086</v>
      </c>
      <c r="K1732" s="1">
        <v>19.957000000000001</v>
      </c>
      <c r="L1732" s="1">
        <v>20.170000000000002</v>
      </c>
      <c r="M1732" s="1">
        <v>49.4</v>
      </c>
      <c r="N1732" s="1">
        <v>5.738E-2</v>
      </c>
      <c r="O1732" s="1">
        <v>3.2489999999999998E-4</v>
      </c>
      <c r="P173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0.9027856578827349</v>
      </c>
      <c r="Q1732" s="1">
        <f>LN(Table1[[#This Row],[qe_mg_g]]-Table1[[#This Row],[qt]])</f>
        <v>2.217377289545662</v>
      </c>
      <c r="R1732" s="1">
        <v>3</v>
      </c>
    </row>
    <row r="1733" spans="1:18" x14ac:dyDescent="0.3">
      <c r="A1733" s="1">
        <v>1732</v>
      </c>
      <c r="B1733" s="1" t="s">
        <v>19</v>
      </c>
      <c r="C1733" s="1">
        <v>0.5</v>
      </c>
      <c r="D1733" s="1">
        <v>30</v>
      </c>
      <c r="E1733" s="1">
        <v>25</v>
      </c>
      <c r="F1733" s="1">
        <v>7</v>
      </c>
      <c r="G1733" s="1">
        <v>25</v>
      </c>
      <c r="H1733" s="1">
        <v>150</v>
      </c>
      <c r="I1733" s="1">
        <v>100</v>
      </c>
      <c r="J1733" s="1">
        <v>13.84</v>
      </c>
      <c r="K1733" s="1">
        <v>18.079999999999998</v>
      </c>
      <c r="L1733" s="1">
        <v>27.68</v>
      </c>
      <c r="M1733" s="1">
        <v>43.7</v>
      </c>
      <c r="N1733" s="1">
        <v>5.5120000000000002E-2</v>
      </c>
      <c r="O1733" s="1">
        <v>3.1040000000000001E-4</v>
      </c>
      <c r="P173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1.5800400936122352</v>
      </c>
      <c r="Q1733" s="1">
        <f>LN(Table1[[#This Row],[qe_mg_g]]-Table1[[#This Row],[qt]])</f>
        <v>2.5063386602243956</v>
      </c>
      <c r="R1733" s="1">
        <v>1</v>
      </c>
    </row>
    <row r="1734" spans="1:18" x14ac:dyDescent="0.3">
      <c r="A1734" s="1">
        <v>1733</v>
      </c>
      <c r="B1734" s="1" t="s">
        <v>19</v>
      </c>
      <c r="C1734" s="1">
        <v>0.5</v>
      </c>
      <c r="D1734" s="1">
        <v>30</v>
      </c>
      <c r="E1734" s="1">
        <v>25</v>
      </c>
      <c r="F1734" s="1">
        <v>7</v>
      </c>
      <c r="G1734" s="1">
        <v>25</v>
      </c>
      <c r="H1734" s="1">
        <v>150</v>
      </c>
      <c r="I1734" s="1">
        <v>100</v>
      </c>
      <c r="J1734" s="1">
        <v>16.059999999999999</v>
      </c>
      <c r="K1734" s="1">
        <v>16.97</v>
      </c>
      <c r="L1734" s="1">
        <v>32.119999999999997</v>
      </c>
      <c r="M1734" s="1">
        <v>45.8</v>
      </c>
      <c r="N1734" s="1">
        <v>5.0700000000000002E-2</v>
      </c>
      <c r="O1734" s="1">
        <v>3.7990000000000002E-4</v>
      </c>
      <c r="P173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2.4847559300444515</v>
      </c>
      <c r="Q1734" s="1">
        <f>LN(Table1[[#This Row],[qe_mg_g]]-Table1[[#This Row],[qt]])</f>
        <v>2.6082478450289464</v>
      </c>
      <c r="R1734" s="1">
        <v>2</v>
      </c>
    </row>
    <row r="1735" spans="1:18" x14ac:dyDescent="0.3">
      <c r="A1735" s="1">
        <v>1734</v>
      </c>
      <c r="B1735" s="1" t="s">
        <v>19</v>
      </c>
      <c r="C1735" s="1">
        <v>0.5</v>
      </c>
      <c r="D1735" s="1">
        <v>30</v>
      </c>
      <c r="E1735" s="1">
        <v>25</v>
      </c>
      <c r="F1735" s="1">
        <v>7</v>
      </c>
      <c r="G1735" s="1">
        <v>25</v>
      </c>
      <c r="H1735" s="1">
        <v>150</v>
      </c>
      <c r="I1735" s="1">
        <v>100</v>
      </c>
      <c r="J1735" s="1">
        <v>16.414999999999999</v>
      </c>
      <c r="K1735" s="1">
        <v>16.792000000000002</v>
      </c>
      <c r="L1735" s="1">
        <v>32.83</v>
      </c>
      <c r="M1735" s="1">
        <v>54.5</v>
      </c>
      <c r="N1735" s="1">
        <v>5.9830000000000001E-2</v>
      </c>
      <c r="O1735" s="1">
        <v>3.6680000000000003E-4</v>
      </c>
      <c r="P173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2.5114139284676886</v>
      </c>
      <c r="Q1735" s="1">
        <f>LN(Table1[[#This Row],[qe_mg_g]]-Table1[[#This Row],[qt]])</f>
        <v>2.6321467976204733</v>
      </c>
      <c r="R1735" s="1">
        <v>3</v>
      </c>
    </row>
    <row r="1736" spans="1:18" x14ac:dyDescent="0.3">
      <c r="A1736" s="1">
        <v>1735</v>
      </c>
      <c r="B1736" s="1" t="s">
        <v>19</v>
      </c>
      <c r="C1736" s="1">
        <v>0.5</v>
      </c>
      <c r="D1736" s="1">
        <v>30</v>
      </c>
      <c r="E1736" s="1">
        <v>25</v>
      </c>
      <c r="F1736" s="1">
        <v>11</v>
      </c>
      <c r="G1736" s="1">
        <v>25</v>
      </c>
      <c r="H1736" s="1">
        <v>150</v>
      </c>
      <c r="I1736" s="1">
        <v>100</v>
      </c>
      <c r="J1736" s="1">
        <v>13.519</v>
      </c>
      <c r="K1736" s="1">
        <v>18.239999999999998</v>
      </c>
      <c r="L1736" s="1">
        <v>27.04</v>
      </c>
      <c r="M1736" s="1">
        <v>50.8</v>
      </c>
      <c r="N1736" s="1">
        <v>5.2639999999999999E-2</v>
      </c>
      <c r="O1736" s="1">
        <v>3.0449999999999997E-4</v>
      </c>
      <c r="P173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1.4860250558465464</v>
      </c>
      <c r="Q1736" s="1">
        <f>LN(Table1[[#This Row],[qe_mg_g]]-Table1[[#This Row],[qt]])</f>
        <v>2.4876507931928633</v>
      </c>
      <c r="R1736" s="1">
        <v>1</v>
      </c>
    </row>
    <row r="1737" spans="1:18" x14ac:dyDescent="0.3">
      <c r="A1737" s="1">
        <v>1736</v>
      </c>
      <c r="B1737" s="1" t="s">
        <v>19</v>
      </c>
      <c r="C1737" s="1">
        <v>0.5</v>
      </c>
      <c r="D1737" s="1">
        <v>30</v>
      </c>
      <c r="E1737" s="1">
        <v>25</v>
      </c>
      <c r="F1737" s="1">
        <v>11</v>
      </c>
      <c r="G1737" s="1">
        <v>25</v>
      </c>
      <c r="H1737" s="1">
        <v>150</v>
      </c>
      <c r="I1737" s="1">
        <v>100</v>
      </c>
      <c r="J1737" s="1">
        <v>11.907</v>
      </c>
      <c r="K1737" s="1">
        <v>19.045999999999999</v>
      </c>
      <c r="L1737" s="1">
        <v>23.81</v>
      </c>
      <c r="M1737" s="1">
        <v>62.4</v>
      </c>
      <c r="N1737" s="1">
        <v>6.2149999999999997E-2</v>
      </c>
      <c r="O1737" s="1">
        <v>3.836E-4</v>
      </c>
      <c r="P173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1.4349417047787614</v>
      </c>
      <c r="Q1737" s="1">
        <f>LN(Table1[[#This Row],[qe_mg_g]]-Table1[[#This Row],[qt]])</f>
        <v>2.3487105953626579</v>
      </c>
      <c r="R1737" s="1">
        <v>2</v>
      </c>
    </row>
    <row r="1738" spans="1:18" x14ac:dyDescent="0.3">
      <c r="A1738" s="1">
        <v>1737</v>
      </c>
      <c r="B1738" s="1" t="s">
        <v>19</v>
      </c>
      <c r="C1738" s="1">
        <v>0.5</v>
      </c>
      <c r="D1738" s="1">
        <v>30</v>
      </c>
      <c r="E1738" s="1">
        <v>25</v>
      </c>
      <c r="F1738" s="1">
        <v>11</v>
      </c>
      <c r="G1738" s="1">
        <v>25</v>
      </c>
      <c r="H1738" s="1">
        <v>150</v>
      </c>
      <c r="I1738" s="1">
        <v>100</v>
      </c>
      <c r="J1738" s="1">
        <v>10.734</v>
      </c>
      <c r="K1738" s="1">
        <v>19.632999999999999</v>
      </c>
      <c r="L1738" s="1">
        <v>21.47</v>
      </c>
      <c r="M1738" s="1">
        <v>63.4</v>
      </c>
      <c r="N1738" s="1">
        <v>4.4889999999999999E-2</v>
      </c>
      <c r="O1738" s="1">
        <v>3.814E-4</v>
      </c>
      <c r="P173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1.1741284015976268</v>
      </c>
      <c r="Q1738" s="1">
        <f>LN(Table1[[#This Row],[qe_mg_g]]-Table1[[#This Row],[qt]])</f>
        <v>2.2575742958436527</v>
      </c>
      <c r="R1738" s="1">
        <v>3</v>
      </c>
    </row>
    <row r="1739" spans="1:18" x14ac:dyDescent="0.3">
      <c r="A1739" s="1">
        <v>1738</v>
      </c>
      <c r="B1739" s="1" t="s">
        <v>19</v>
      </c>
      <c r="C1739" s="1">
        <v>0.5</v>
      </c>
      <c r="D1739" s="1">
        <v>30</v>
      </c>
      <c r="E1739" s="1">
        <v>50</v>
      </c>
      <c r="F1739" s="1">
        <v>3</v>
      </c>
      <c r="G1739" s="1">
        <v>25</v>
      </c>
      <c r="H1739" s="1">
        <v>150</v>
      </c>
      <c r="I1739" s="1">
        <v>100</v>
      </c>
      <c r="J1739" s="1">
        <v>29.875</v>
      </c>
      <c r="K1739" s="1">
        <v>35.061999999999998</v>
      </c>
      <c r="L1739" s="1">
        <v>29.88</v>
      </c>
      <c r="M1739" s="1">
        <v>60.3</v>
      </c>
      <c r="N1739" s="1">
        <v>4.7669999999999997E-2</v>
      </c>
      <c r="O1739" s="1">
        <v>3.9100000000000002E-4</v>
      </c>
      <c r="P173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7.7524782546718791</v>
      </c>
      <c r="Q1739" s="1">
        <f>LN(Table1[[#This Row],[qe_mg_g]]-Table1[[#This Row],[qt]])</f>
        <v>3.0965961731096421</v>
      </c>
      <c r="R1739" s="1">
        <v>1</v>
      </c>
    </row>
    <row r="1740" spans="1:18" x14ac:dyDescent="0.3">
      <c r="A1740" s="1">
        <v>1739</v>
      </c>
      <c r="B1740" s="1" t="s">
        <v>19</v>
      </c>
      <c r="C1740" s="1">
        <v>0.5</v>
      </c>
      <c r="D1740" s="1">
        <v>30</v>
      </c>
      <c r="E1740" s="1">
        <v>50</v>
      </c>
      <c r="F1740" s="1">
        <v>3</v>
      </c>
      <c r="G1740" s="1">
        <v>25</v>
      </c>
      <c r="H1740" s="1">
        <v>150</v>
      </c>
      <c r="I1740" s="1">
        <v>100</v>
      </c>
      <c r="J1740" s="1">
        <v>27.52</v>
      </c>
      <c r="K1740" s="1">
        <v>36.24</v>
      </c>
      <c r="L1740" s="1">
        <v>27.52</v>
      </c>
      <c r="M1740" s="1">
        <v>49.1</v>
      </c>
      <c r="N1740" s="1">
        <v>4.9509999999999998E-2</v>
      </c>
      <c r="O1740" s="1">
        <v>2.8860000000000002E-4</v>
      </c>
      <c r="P1740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5.2954117492611612</v>
      </c>
      <c r="Q1740" s="1">
        <f>LN(Table1[[#This Row],[qe_mg_g]]-Table1[[#This Row],[qt]])</f>
        <v>3.1011992548274003</v>
      </c>
      <c r="R1740" s="1">
        <v>2</v>
      </c>
    </row>
    <row r="1741" spans="1:18" x14ac:dyDescent="0.3">
      <c r="A1741" s="1">
        <v>1740</v>
      </c>
      <c r="B1741" s="1" t="s">
        <v>19</v>
      </c>
      <c r="C1741" s="1">
        <v>0.5</v>
      </c>
      <c r="D1741" s="1">
        <v>30</v>
      </c>
      <c r="E1741" s="1">
        <v>50</v>
      </c>
      <c r="F1741" s="1">
        <v>3</v>
      </c>
      <c r="G1741" s="1">
        <v>25</v>
      </c>
      <c r="H1741" s="1">
        <v>150</v>
      </c>
      <c r="I1741" s="1">
        <v>100</v>
      </c>
      <c r="J1741" s="1">
        <v>30.867000000000001</v>
      </c>
      <c r="K1741" s="1">
        <v>34.566000000000003</v>
      </c>
      <c r="L1741" s="1">
        <v>30.87</v>
      </c>
      <c r="M1741" s="1">
        <v>69.3</v>
      </c>
      <c r="N1741" s="1">
        <v>6.9669999999999996E-2</v>
      </c>
      <c r="O1741" s="1">
        <v>3.5340000000000002E-4</v>
      </c>
      <c r="P1741" s="1">
        <f>(Table1[[#This Row],[Rate_Constant_k2_g_mg_min]]*Table1[[#This Row],[Contact_Time_min]]*Table1[[#This Row],[qe_mg_g]]^2)/(1+Table1[[#This Row],[Contact_Time_min]]*Table1[[#This Row],[qe_mg_g]]*Table1[[#This Row],[Rate_Constant_k2_g_mg_min]])</f>
        <v>7.6106767585075525</v>
      </c>
      <c r="Q1741" s="1">
        <f>LN(Table1[[#This Row],[qe_mg_g]]-Table1[[#This Row],[qt]])</f>
        <v>3.1465770624329621</v>
      </c>
      <c r="R1741" s="1">
        <v>3</v>
      </c>
    </row>
    <row r="1742" spans="1:18" x14ac:dyDescent="0.3">
      <c r="A1742" s="1">
        <v>1741</v>
      </c>
      <c r="B1742" s="1" t="s">
        <v>19</v>
      </c>
      <c r="C1742" s="1">
        <v>0.5</v>
      </c>
      <c r="D1742" s="1">
        <v>30</v>
      </c>
      <c r="E1742" s="1">
        <v>50</v>
      </c>
      <c r="F1742" s="1">
        <v>7</v>
      </c>
      <c r="G1742" s="1">
        <v>25</v>
      </c>
      <c r="H1742" s="1">
        <v>150</v>
      </c>
      <c r="I1742" s="1">
        <v>100</v>
      </c>
      <c r="J1742" s="1">
        <v>51.424999999999997</v>
      </c>
      <c r="K1742" s="1">
        <v>24.288</v>
      </c>
      <c r="L1742" s="1">
        <v>51.42</v>
      </c>
      <c r="M1742" s="1">
        <v>56.4</v>
      </c>
      <c r="N1742" s="1">
        <v>5.774E-2</v>
      </c>
      <c r="O1742" s="1">
        <v>3.3799999999999998E-4</v>
      </c>
      <c r="P1742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17.624995464851114</v>
      </c>
      <c r="Q1742" s="1">
        <f>LN(Table1[[#This Row],[qe_mg_g]]-Table1[[#This Row],[qt]])</f>
        <v>3.5204609366649668</v>
      </c>
      <c r="R1742" s="1">
        <v>1</v>
      </c>
    </row>
    <row r="1743" spans="1:18" x14ac:dyDescent="0.3">
      <c r="A1743" s="1">
        <v>1742</v>
      </c>
      <c r="B1743" s="1" t="s">
        <v>19</v>
      </c>
      <c r="C1743" s="1">
        <v>0.5</v>
      </c>
      <c r="D1743" s="1">
        <v>30</v>
      </c>
      <c r="E1743" s="1">
        <v>50</v>
      </c>
      <c r="F1743" s="1">
        <v>7</v>
      </c>
      <c r="G1743" s="1">
        <v>25</v>
      </c>
      <c r="H1743" s="1">
        <v>150</v>
      </c>
      <c r="I1743" s="1">
        <v>100</v>
      </c>
      <c r="J1743" s="1">
        <v>48.347999999999999</v>
      </c>
      <c r="K1743" s="1">
        <v>25.826000000000001</v>
      </c>
      <c r="L1743" s="1">
        <v>48.35</v>
      </c>
      <c r="M1743" s="1">
        <v>58.9</v>
      </c>
      <c r="N1743" s="1">
        <v>5.1819999999999998E-2</v>
      </c>
      <c r="O1743" s="1">
        <v>3.4729999999999999E-4</v>
      </c>
      <c r="P1743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16.196118459097441</v>
      </c>
      <c r="Q1743" s="1">
        <f>LN(Table1[[#This Row],[qe_mg_g]]-Table1[[#This Row],[qt]])</f>
        <v>3.470470972793962</v>
      </c>
      <c r="R1743" s="1">
        <v>2</v>
      </c>
    </row>
    <row r="1744" spans="1:18" x14ac:dyDescent="0.3">
      <c r="A1744" s="1">
        <v>1743</v>
      </c>
      <c r="B1744" s="1" t="s">
        <v>19</v>
      </c>
      <c r="C1744" s="1">
        <v>0.5</v>
      </c>
      <c r="D1744" s="1">
        <v>30</v>
      </c>
      <c r="E1744" s="1">
        <v>50</v>
      </c>
      <c r="F1744" s="1">
        <v>7</v>
      </c>
      <c r="G1744" s="1">
        <v>25</v>
      </c>
      <c r="H1744" s="1">
        <v>150</v>
      </c>
      <c r="I1744" s="1">
        <v>100</v>
      </c>
      <c r="J1744" s="1">
        <v>47.500999999999998</v>
      </c>
      <c r="K1744" s="1">
        <v>26.248999999999999</v>
      </c>
      <c r="L1744" s="1">
        <v>47.5</v>
      </c>
      <c r="M1744" s="1">
        <v>61.3</v>
      </c>
      <c r="N1744" s="1">
        <v>4.9140000000000003E-2</v>
      </c>
      <c r="O1744" s="1">
        <v>3.4820000000000001E-4</v>
      </c>
      <c r="P1744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15.753142374185519</v>
      </c>
      <c r="Q1744" s="1">
        <f>LN(Table1[[#This Row],[qe_mg_g]]-Table1[[#This Row],[qt]])</f>
        <v>3.4578252467097692</v>
      </c>
      <c r="R1744" s="1">
        <v>3</v>
      </c>
    </row>
    <row r="1745" spans="1:18" x14ac:dyDescent="0.3">
      <c r="A1745" s="1">
        <v>1744</v>
      </c>
      <c r="B1745" s="1" t="s">
        <v>19</v>
      </c>
      <c r="C1745" s="1">
        <v>0.5</v>
      </c>
      <c r="D1745" s="1">
        <v>30</v>
      </c>
      <c r="E1745" s="1">
        <v>50</v>
      </c>
      <c r="F1745" s="1">
        <v>11</v>
      </c>
      <c r="G1745" s="1">
        <v>25</v>
      </c>
      <c r="H1745" s="1">
        <v>150</v>
      </c>
      <c r="I1745" s="1">
        <v>100</v>
      </c>
      <c r="J1745" s="1">
        <v>42.243000000000002</v>
      </c>
      <c r="K1745" s="1">
        <v>28.879000000000001</v>
      </c>
      <c r="L1745" s="1">
        <v>42.24</v>
      </c>
      <c r="M1745" s="1">
        <v>64.099999999999994</v>
      </c>
      <c r="N1745" s="1">
        <v>6.2420000000000003E-2</v>
      </c>
      <c r="O1745" s="1">
        <v>3.5090000000000002E-4</v>
      </c>
      <c r="P1745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13.002858699050471</v>
      </c>
      <c r="Q1745" s="1">
        <f>LN(Table1[[#This Row],[qe_mg_g]]-Table1[[#This Row],[qt]])</f>
        <v>3.375542467323716</v>
      </c>
      <c r="R1745" s="1">
        <v>1</v>
      </c>
    </row>
    <row r="1746" spans="1:18" x14ac:dyDescent="0.3">
      <c r="A1746" s="1">
        <v>1745</v>
      </c>
      <c r="B1746" s="1" t="s">
        <v>19</v>
      </c>
      <c r="C1746" s="1">
        <v>0.5</v>
      </c>
      <c r="D1746" s="1">
        <v>30</v>
      </c>
      <c r="E1746" s="1">
        <v>50</v>
      </c>
      <c r="F1746" s="1">
        <v>11</v>
      </c>
      <c r="G1746" s="1">
        <v>25</v>
      </c>
      <c r="H1746" s="1">
        <v>150</v>
      </c>
      <c r="I1746" s="1">
        <v>100</v>
      </c>
      <c r="J1746" s="1">
        <v>38.094000000000001</v>
      </c>
      <c r="K1746" s="1">
        <v>30.952999999999999</v>
      </c>
      <c r="L1746" s="1">
        <v>38.090000000000003</v>
      </c>
      <c r="M1746" s="1">
        <v>62.7</v>
      </c>
      <c r="N1746" s="1">
        <v>6.3579999999999998E-2</v>
      </c>
      <c r="O1746" s="1">
        <v>2.8170000000000002E-4</v>
      </c>
      <c r="P1746" s="1">
        <f>(Table1[[#This Row],[Rate_Constant_k2_g_mg_min]]*Table1[[#This Row],[Contact_Time_min]]*Table1[[#This Row],[qe_mg_g]]^2)/(1+Table1[[#This Row],[Contact_Time_min]]*Table1[[#This Row],[qe_mg_g]]*Table1[[#This Row],[Rate_Constant_k2_g_mg_min]])</f>
        <v>9.2770951621267255</v>
      </c>
      <c r="Q1746" s="1">
        <f>LN(Table1[[#This Row],[qe_mg_g]]-Table1[[#This Row],[qt]])</f>
        <v>3.3609621884775818</v>
      </c>
      <c r="R1746" s="1">
        <v>2</v>
      </c>
    </row>
    <row r="1747" spans="1:18" x14ac:dyDescent="0.3">
      <c r="A1747" s="1">
        <v>1746</v>
      </c>
      <c r="B1747" s="1" t="s">
        <v>19</v>
      </c>
      <c r="C1747" s="1">
        <v>0.5</v>
      </c>
      <c r="D1747" s="1">
        <v>30</v>
      </c>
      <c r="E1747" s="1">
        <v>50</v>
      </c>
      <c r="F1747" s="1">
        <v>11</v>
      </c>
      <c r="G1747" s="1">
        <v>25</v>
      </c>
      <c r="H1747" s="1">
        <v>150</v>
      </c>
      <c r="I1747" s="1">
        <v>100</v>
      </c>
      <c r="J1747" s="1">
        <v>33.826000000000001</v>
      </c>
      <c r="K1747" s="1">
        <v>33.087000000000003</v>
      </c>
      <c r="L1747" s="1">
        <v>33.83</v>
      </c>
      <c r="M1747" s="1">
        <v>65.3</v>
      </c>
      <c r="N1747" s="1">
        <v>5.348E-2</v>
      </c>
      <c r="O1747" s="1">
        <v>3.2650000000000002E-4</v>
      </c>
      <c r="P1747" s="1">
        <f>(Table1[[#This Row],[Rate_Constant_k2_g_mg_min]]*Table1[[#This Row],[Contact_Time_min]]*Table1[[#This Row],[qe_mg_g]]^2)/(1+Table1[[#This Row],[Contact_Time_min]]*Table1[[#This Row],[qe_mg_g]]*Table1[[#This Row],[Rate_Constant_k2_g_mg_min]])</f>
        <v>8.4182423324114222</v>
      </c>
      <c r="Q1747" s="1">
        <f>LN(Table1[[#This Row],[qe_mg_g]]-Table1[[#This Row],[qt]])</f>
        <v>3.2350545473771044</v>
      </c>
      <c r="R1747" s="1">
        <v>3</v>
      </c>
    </row>
    <row r="1748" spans="1:18" x14ac:dyDescent="0.3">
      <c r="A1748" s="1">
        <v>1747</v>
      </c>
      <c r="B1748" s="1" t="s">
        <v>19</v>
      </c>
      <c r="C1748" s="1">
        <v>0.5</v>
      </c>
      <c r="D1748" s="1">
        <v>30</v>
      </c>
      <c r="E1748" s="1">
        <v>100</v>
      </c>
      <c r="F1748" s="1">
        <v>3</v>
      </c>
      <c r="G1748" s="1">
        <v>25</v>
      </c>
      <c r="H1748" s="1">
        <v>150</v>
      </c>
      <c r="I1748" s="1">
        <v>100</v>
      </c>
      <c r="J1748" s="1">
        <v>74.546999999999997</v>
      </c>
      <c r="K1748" s="1">
        <v>62.726999999999997</v>
      </c>
      <c r="L1748" s="1">
        <v>37.270000000000003</v>
      </c>
      <c r="M1748" s="1">
        <v>50</v>
      </c>
      <c r="N1748" s="1">
        <v>4.7289999999999999E-2</v>
      </c>
      <c r="O1748" s="1">
        <v>4.2319999999999999E-4</v>
      </c>
      <c r="P1748" s="1">
        <f>(Table1[[#This Row],[Rate_Constant_k2_g_mg_min]]*Table1[[#This Row],[Contact_Time_min]]*Table1[[#This Row],[qe_mg_g]]^2)/(1+Table1[[#This Row],[Contact_Time_min]]*Table1[[#This Row],[qe_mg_g]]*Table1[[#This Row],[Rate_Constant_k2_g_mg_min]])</f>
        <v>36.248020149972483</v>
      </c>
      <c r="Q1748" s="1">
        <f>LN(Table1[[#This Row],[qe_mg_g]]-Table1[[#This Row],[qt]])</f>
        <v>3.6454232600623455</v>
      </c>
      <c r="R1748" s="1">
        <v>1</v>
      </c>
    </row>
    <row r="1749" spans="1:18" x14ac:dyDescent="0.3">
      <c r="A1749" s="1">
        <v>1748</v>
      </c>
      <c r="B1749" s="1" t="s">
        <v>19</v>
      </c>
      <c r="C1749" s="1">
        <v>0.5</v>
      </c>
      <c r="D1749" s="1">
        <v>30</v>
      </c>
      <c r="E1749" s="1">
        <v>100</v>
      </c>
      <c r="F1749" s="1">
        <v>3</v>
      </c>
      <c r="G1749" s="1">
        <v>25</v>
      </c>
      <c r="H1749" s="1">
        <v>150</v>
      </c>
      <c r="I1749" s="1">
        <v>100</v>
      </c>
      <c r="J1749" s="1">
        <v>81.593000000000004</v>
      </c>
      <c r="K1749" s="1">
        <v>59.204000000000001</v>
      </c>
      <c r="L1749" s="1">
        <v>40.799999999999997</v>
      </c>
      <c r="M1749" s="1">
        <v>54.1</v>
      </c>
      <c r="N1749" s="1">
        <v>5.8229999999999997E-2</v>
      </c>
      <c r="O1749" s="1">
        <v>3.837E-4</v>
      </c>
      <c r="P1749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39.517771166780342</v>
      </c>
      <c r="Q1749" s="1">
        <f>LN(Table1[[#This Row],[qe_mg_g]]-Table1[[#This Row],[qt]])</f>
        <v>3.7394591787601112</v>
      </c>
      <c r="R1749" s="1">
        <v>2</v>
      </c>
    </row>
    <row r="1750" spans="1:18" x14ac:dyDescent="0.3">
      <c r="A1750" s="1">
        <v>1749</v>
      </c>
      <c r="B1750" s="1" t="s">
        <v>19</v>
      </c>
      <c r="C1750" s="1">
        <v>0.5</v>
      </c>
      <c r="D1750" s="1">
        <v>30</v>
      </c>
      <c r="E1750" s="1">
        <v>100</v>
      </c>
      <c r="F1750" s="1">
        <v>3</v>
      </c>
      <c r="G1750" s="1">
        <v>25</v>
      </c>
      <c r="H1750" s="1">
        <v>150</v>
      </c>
      <c r="I1750" s="1">
        <v>100</v>
      </c>
      <c r="J1750" s="1">
        <v>87.132000000000005</v>
      </c>
      <c r="K1750" s="1">
        <v>56.433999999999997</v>
      </c>
      <c r="L1750" s="1">
        <v>43.57</v>
      </c>
      <c r="M1750" s="1">
        <v>63.3</v>
      </c>
      <c r="N1750" s="1">
        <v>5.1529999999999999E-2</v>
      </c>
      <c r="O1750" s="1">
        <v>3.3960000000000001E-4</v>
      </c>
      <c r="P1750" s="1">
        <f>(Table1[[#This Row],[Rate_Constant_k2_g_mg_min]]*Table1[[#This Row],[Contact_Time_min]]*Table1[[#This Row],[qe_mg_g]]^2)/(1+Table1[[#This Row],[Contact_Time_min]]*Table1[[#This Row],[qe_mg_g]]*Table1[[#This Row],[Rate_Constant_k2_g_mg_min]])</f>
        <v>40.974261834356277</v>
      </c>
      <c r="Q1750" s="1">
        <f>LN(Table1[[#This Row],[qe_mg_g]]-Table1[[#This Row],[qt]])</f>
        <v>3.8320646211215754</v>
      </c>
      <c r="R1750" s="1">
        <v>3</v>
      </c>
    </row>
    <row r="1751" spans="1:18" x14ac:dyDescent="0.3">
      <c r="A1751" s="1">
        <v>1750</v>
      </c>
      <c r="B1751" s="1" t="s">
        <v>19</v>
      </c>
      <c r="C1751" s="1">
        <v>0.5</v>
      </c>
      <c r="D1751" s="1">
        <v>30</v>
      </c>
      <c r="E1751" s="1">
        <v>100</v>
      </c>
      <c r="F1751" s="1">
        <v>7</v>
      </c>
      <c r="G1751" s="1">
        <v>25</v>
      </c>
      <c r="H1751" s="1">
        <v>150</v>
      </c>
      <c r="I1751" s="1">
        <v>100</v>
      </c>
      <c r="J1751" s="1">
        <v>127.876</v>
      </c>
      <c r="K1751" s="1">
        <v>36.061999999999998</v>
      </c>
      <c r="L1751" s="1">
        <v>63.94</v>
      </c>
      <c r="M1751" s="1">
        <v>50.2</v>
      </c>
      <c r="N1751" s="1">
        <v>5.4969999999999998E-2</v>
      </c>
      <c r="O1751" s="1">
        <v>3.6400000000000001E-4</v>
      </c>
      <c r="P1751" s="1">
        <f>(Table1[[#This Row],[Rate_Constant_k2_g_mg_min]]*Table1[[#This Row],[Contact_Time_min]]*Table1[[#This Row],[qe_mg_g]]^2)/(1+Table1[[#This Row],[Contact_Time_min]]*Table1[[#This Row],[qe_mg_g]]*Table1[[#This Row],[Rate_Constant_k2_g_mg_min]])</f>
        <v>74.51442259244628</v>
      </c>
      <c r="Q1751" s="1">
        <f>LN(Table1[[#This Row],[qe_mg_g]]-Table1[[#This Row],[qt]])</f>
        <v>3.9770909627812592</v>
      </c>
      <c r="R1751" s="1">
        <v>1</v>
      </c>
    </row>
    <row r="1752" spans="1:18" x14ac:dyDescent="0.3">
      <c r="A1752" s="1">
        <v>1751</v>
      </c>
      <c r="B1752" s="1" t="s">
        <v>19</v>
      </c>
      <c r="C1752" s="1">
        <v>0.5</v>
      </c>
      <c r="D1752" s="1">
        <v>30</v>
      </c>
      <c r="E1752" s="1">
        <v>100</v>
      </c>
      <c r="F1752" s="1">
        <v>7</v>
      </c>
      <c r="G1752" s="1">
        <v>25</v>
      </c>
      <c r="H1752" s="1">
        <v>150</v>
      </c>
      <c r="I1752" s="1">
        <v>100</v>
      </c>
      <c r="J1752" s="1">
        <v>128.01300000000001</v>
      </c>
      <c r="K1752" s="1">
        <v>35.993000000000002</v>
      </c>
      <c r="L1752" s="1">
        <v>64.010000000000005</v>
      </c>
      <c r="M1752" s="1">
        <v>40</v>
      </c>
      <c r="N1752" s="1">
        <v>5.8930000000000003E-2</v>
      </c>
      <c r="O1752" s="1">
        <v>3.4180000000000001E-4</v>
      </c>
      <c r="P1752" s="1">
        <f>(Table1[[#This Row],[Rate_Constant_k2_g_mg_min]]*Table1[[#This Row],[Contact_Time_min]]*Table1[[#This Row],[qe_mg_g]]^2)/(1+Table1[[#This Row],[Contact_Time_min]]*Table1[[#This Row],[qe_mg_g]]*Table1[[#This Row],[Rate_Constant_k2_g_mg_min]])</f>
        <v>72.659505069630441</v>
      </c>
      <c r="Q1752" s="1">
        <f>LN(Table1[[#This Row],[qe_mg_g]]-Table1[[#This Row],[qt]])</f>
        <v>4.013739799534684</v>
      </c>
      <c r="R1752" s="1">
        <v>2</v>
      </c>
    </row>
    <row r="1753" spans="1:18" x14ac:dyDescent="0.3">
      <c r="A1753" s="1">
        <v>1752</v>
      </c>
      <c r="B1753" s="1" t="s">
        <v>19</v>
      </c>
      <c r="C1753" s="1">
        <v>0.5</v>
      </c>
      <c r="D1753" s="1">
        <v>30</v>
      </c>
      <c r="E1753" s="1">
        <v>100</v>
      </c>
      <c r="F1753" s="1">
        <v>7</v>
      </c>
      <c r="G1753" s="1">
        <v>25</v>
      </c>
      <c r="H1753" s="1">
        <v>150</v>
      </c>
      <c r="I1753" s="1">
        <v>100</v>
      </c>
      <c r="J1753" s="1">
        <v>127.35299999999999</v>
      </c>
      <c r="K1753" s="1">
        <v>36.323</v>
      </c>
      <c r="L1753" s="1">
        <v>63.68</v>
      </c>
      <c r="M1753" s="1">
        <v>60.9</v>
      </c>
      <c r="N1753" s="1">
        <v>6.3839999999999994E-2</v>
      </c>
      <c r="O1753" s="1">
        <v>3.9740000000000001E-4</v>
      </c>
      <c r="P1753" s="1">
        <f>(Table1[[#This Row],[Rate_Constant_k2_g_mg_min]]*Table1[[#This Row],[Contact_Time_min]]*Table1[[#This Row],[qe_mg_g]]^2)/(1+Table1[[#This Row],[Contact_Time_min]]*Table1[[#This Row],[qe_mg_g]]*Table1[[#This Row],[Rate_Constant_k2_g_mg_min]])</f>
        <v>76.782029388084638</v>
      </c>
      <c r="Q1753" s="1">
        <f>LN(Table1[[#This Row],[qe_mg_g]]-Table1[[#This Row],[qt]])</f>
        <v>3.923377708340869</v>
      </c>
      <c r="R1753" s="1">
        <v>3</v>
      </c>
    </row>
    <row r="1754" spans="1:18" x14ac:dyDescent="0.3">
      <c r="A1754" s="1">
        <v>1753</v>
      </c>
      <c r="B1754" s="1" t="s">
        <v>19</v>
      </c>
      <c r="C1754" s="1">
        <v>0.5</v>
      </c>
      <c r="D1754" s="1">
        <v>30</v>
      </c>
      <c r="E1754" s="1">
        <v>100</v>
      </c>
      <c r="F1754" s="1">
        <v>11</v>
      </c>
      <c r="G1754" s="1">
        <v>25</v>
      </c>
      <c r="H1754" s="1">
        <v>150</v>
      </c>
      <c r="I1754" s="1">
        <v>100</v>
      </c>
      <c r="J1754" s="1">
        <v>106.459</v>
      </c>
      <c r="K1754" s="1">
        <v>46.77</v>
      </c>
      <c r="L1754" s="1">
        <v>53.23</v>
      </c>
      <c r="M1754" s="1">
        <v>66.400000000000006</v>
      </c>
      <c r="N1754" s="1">
        <v>5.6599999999999998E-2</v>
      </c>
      <c r="O1754" s="1">
        <v>3.5110000000000002E-4</v>
      </c>
      <c r="P1754" s="1">
        <f>(Table1[[#This Row],[Rate_Constant_k2_g_mg_min]]*Table1[[#This Row],[Contact_Time_min]]*Table1[[#This Row],[qe_mg_g]]^2)/(1+Table1[[#This Row],[Contact_Time_min]]*Table1[[#This Row],[qe_mg_g]]*Table1[[#This Row],[Rate_Constant_k2_g_mg_min]])</f>
        <v>56.274037188743186</v>
      </c>
      <c r="Q1754" s="1">
        <f>LN(Table1[[#This Row],[qe_mg_g]]-Table1[[#This Row],[qt]])</f>
        <v>3.9157154362324476</v>
      </c>
      <c r="R1754" s="1">
        <v>1</v>
      </c>
    </row>
    <row r="1755" spans="1:18" x14ac:dyDescent="0.3">
      <c r="A1755" s="1">
        <v>1754</v>
      </c>
      <c r="B1755" s="1" t="s">
        <v>19</v>
      </c>
      <c r="C1755" s="1">
        <v>0.5</v>
      </c>
      <c r="D1755" s="1">
        <v>30</v>
      </c>
      <c r="E1755" s="1">
        <v>100</v>
      </c>
      <c r="F1755" s="1">
        <v>11</v>
      </c>
      <c r="G1755" s="1">
        <v>25</v>
      </c>
      <c r="H1755" s="1">
        <v>150</v>
      </c>
      <c r="I1755" s="1">
        <v>100</v>
      </c>
      <c r="J1755" s="1">
        <v>103.233</v>
      </c>
      <c r="K1755" s="1">
        <v>48.383000000000003</v>
      </c>
      <c r="L1755" s="1">
        <v>51.62</v>
      </c>
      <c r="M1755" s="1">
        <v>60.5</v>
      </c>
      <c r="N1755" s="1">
        <v>5.33E-2</v>
      </c>
      <c r="O1755" s="1">
        <v>3.6420000000000002E-4</v>
      </c>
      <c r="P1755" s="1">
        <f>(Table1[[#This Row],[Rate_Constant_k2_g_mg_min]]*Table1[[#This Row],[Contact_Time_min]]*Table1[[#This Row],[qe_mg_g]]^2)/(1+Table1[[#This Row],[Contact_Time_min]]*Table1[[#This Row],[qe_mg_g]]*Table1[[#This Row],[Rate_Constant_k2_g_mg_min]])</f>
        <v>54.719513738148699</v>
      </c>
      <c r="Q1755" s="1">
        <f>LN(Table1[[#This Row],[qe_mg_g]]-Table1[[#This Row],[qt]])</f>
        <v>3.8818418265445698</v>
      </c>
      <c r="R1755" s="1">
        <v>2</v>
      </c>
    </row>
    <row r="1756" spans="1:18" x14ac:dyDescent="0.3">
      <c r="A1756" s="1">
        <v>1755</v>
      </c>
      <c r="B1756" s="1" t="s">
        <v>19</v>
      </c>
      <c r="C1756" s="1">
        <v>0.5</v>
      </c>
      <c r="D1756" s="1">
        <v>30</v>
      </c>
      <c r="E1756" s="1">
        <v>100</v>
      </c>
      <c r="F1756" s="1">
        <v>11</v>
      </c>
      <c r="G1756" s="1">
        <v>25</v>
      </c>
      <c r="H1756" s="1">
        <v>150</v>
      </c>
      <c r="I1756" s="1">
        <v>100</v>
      </c>
      <c r="J1756" s="1">
        <v>97.05</v>
      </c>
      <c r="K1756" s="1">
        <v>51.475000000000001</v>
      </c>
      <c r="L1756" s="1">
        <v>48.53</v>
      </c>
      <c r="M1756" s="1">
        <v>47.6</v>
      </c>
      <c r="N1756" s="1">
        <v>6.2100000000000002E-2</v>
      </c>
      <c r="O1756" s="1">
        <v>3.5189999999999999E-4</v>
      </c>
      <c r="P1756" s="1">
        <f>(Table1[[#This Row],[Rate_Constant_k2_g_mg_min]]*Table1[[#This Row],[Contact_Time_min]]*Table1[[#This Row],[qe_mg_g]]^2)/(1+Table1[[#This Row],[Contact_Time_min]]*Table1[[#This Row],[qe_mg_g]]*Table1[[#This Row],[Rate_Constant_k2_g_mg_min]])</f>
        <v>49.113583692401626</v>
      </c>
      <c r="Q1756" s="1">
        <f>LN(Table1[[#This Row],[qe_mg_g]]-Table1[[#This Row],[qt]])</f>
        <v>3.8698754725115485</v>
      </c>
      <c r="R1756" s="1">
        <v>3</v>
      </c>
    </row>
    <row r="1757" spans="1:18" x14ac:dyDescent="0.3">
      <c r="A1757" s="1">
        <v>1756</v>
      </c>
      <c r="B1757" s="1" t="s">
        <v>19</v>
      </c>
      <c r="C1757" s="1">
        <v>0.5</v>
      </c>
      <c r="D1757" s="1">
        <v>30</v>
      </c>
      <c r="E1757" s="1">
        <v>200</v>
      </c>
      <c r="F1757" s="1">
        <v>3</v>
      </c>
      <c r="G1757" s="1">
        <v>25</v>
      </c>
      <c r="H1757" s="1">
        <v>150</v>
      </c>
      <c r="I1757" s="1">
        <v>100</v>
      </c>
      <c r="J1757" s="1">
        <v>163.16900000000001</v>
      </c>
      <c r="K1757" s="1">
        <v>118.41500000000001</v>
      </c>
      <c r="L1757" s="1">
        <v>40.79</v>
      </c>
      <c r="M1757" s="1">
        <v>41.2</v>
      </c>
      <c r="N1757" s="1">
        <v>5.194E-2</v>
      </c>
      <c r="O1757" s="1">
        <v>3.5110000000000002E-4</v>
      </c>
      <c r="P1757" s="1">
        <f>(Table1[[#This Row],[Rate_Constant_k2_g_mg_min]]*Table1[[#This Row],[Contact_Time_min]]*Table1[[#This Row],[qe_mg_g]]^2)/(1+Table1[[#This Row],[Contact_Time_min]]*Table1[[#This Row],[qe_mg_g]]*Table1[[#This Row],[Rate_Constant_k2_g_mg_min]])</f>
        <v>103.15080890703862</v>
      </c>
      <c r="Q1757" s="1">
        <f>LN(Table1[[#This Row],[qe_mg_g]]-Table1[[#This Row],[qt]])</f>
        <v>4.0946477011535416</v>
      </c>
      <c r="R1757" s="1">
        <v>1</v>
      </c>
    </row>
    <row r="1758" spans="1:18" x14ac:dyDescent="0.3">
      <c r="A1758" s="1">
        <v>1757</v>
      </c>
      <c r="B1758" s="1" t="s">
        <v>19</v>
      </c>
      <c r="C1758" s="1">
        <v>0.5</v>
      </c>
      <c r="D1758" s="1">
        <v>30</v>
      </c>
      <c r="E1758" s="1">
        <v>200</v>
      </c>
      <c r="F1758" s="1">
        <v>3</v>
      </c>
      <c r="G1758" s="1">
        <v>25</v>
      </c>
      <c r="H1758" s="1">
        <v>150</v>
      </c>
      <c r="I1758" s="1">
        <v>100</v>
      </c>
      <c r="J1758" s="1">
        <v>154.066</v>
      </c>
      <c r="K1758" s="1">
        <v>122.967</v>
      </c>
      <c r="L1758" s="1">
        <v>38.520000000000003</v>
      </c>
      <c r="M1758" s="1">
        <v>57.8</v>
      </c>
      <c r="N1758" s="1">
        <v>5.6710000000000003E-2</v>
      </c>
      <c r="O1758" s="1">
        <v>3.1050000000000001E-4</v>
      </c>
      <c r="P1758" s="1">
        <f>(Table1[[#This Row],[Rate_Constant_k2_g_mg_min]]*Table1[[#This Row],[Contact_Time_min]]*Table1[[#This Row],[qe_mg_g]]^2)/(1+Table1[[#This Row],[Contact_Time_min]]*Table1[[#This Row],[qe_mg_g]]*Table1[[#This Row],[Rate_Constant_k2_g_mg_min]])</f>
        <v>90.797784493064924</v>
      </c>
      <c r="Q1758" s="1">
        <f>LN(Table1[[#This Row],[qe_mg_g]]-Table1[[#This Row],[qt]])</f>
        <v>4.1473830783503418</v>
      </c>
      <c r="R1758" s="1">
        <v>2</v>
      </c>
    </row>
    <row r="1759" spans="1:18" x14ac:dyDescent="0.3">
      <c r="A1759" s="1">
        <v>1758</v>
      </c>
      <c r="B1759" s="1" t="s">
        <v>19</v>
      </c>
      <c r="C1759" s="1">
        <v>0.5</v>
      </c>
      <c r="D1759" s="1">
        <v>30</v>
      </c>
      <c r="E1759" s="1">
        <v>200</v>
      </c>
      <c r="F1759" s="1">
        <v>3</v>
      </c>
      <c r="G1759" s="1">
        <v>25</v>
      </c>
      <c r="H1759" s="1">
        <v>150</v>
      </c>
      <c r="I1759" s="1">
        <v>100</v>
      </c>
      <c r="J1759" s="1">
        <v>131.14699999999999</v>
      </c>
      <c r="K1759" s="1">
        <v>134.42599999999999</v>
      </c>
      <c r="L1759" s="1">
        <v>32.79</v>
      </c>
      <c r="M1759" s="1">
        <v>57.2</v>
      </c>
      <c r="N1759" s="1">
        <v>4.7500000000000001E-2</v>
      </c>
      <c r="O1759" s="1">
        <v>3.3139999999999998E-4</v>
      </c>
      <c r="P1759" s="1">
        <f>(Table1[[#This Row],[Rate_Constant_k2_g_mg_min]]*Table1[[#This Row],[Contact_Time_min]]*Table1[[#This Row],[qe_mg_g]]^2)/(1+Table1[[#This Row],[Contact_Time_min]]*Table1[[#This Row],[qe_mg_g]]*Table1[[#This Row],[Rate_Constant_k2_g_mg_min]])</f>
        <v>74.22218588664424</v>
      </c>
      <c r="Q1759" s="1">
        <f>LN(Table1[[#This Row],[qe_mg_g]]-Table1[[#This Row],[qt]])</f>
        <v>4.0417313464786089</v>
      </c>
      <c r="R1759" s="1">
        <v>3</v>
      </c>
    </row>
    <row r="1760" spans="1:18" x14ac:dyDescent="0.3">
      <c r="A1760" s="1">
        <v>1759</v>
      </c>
      <c r="B1760" s="1" t="s">
        <v>19</v>
      </c>
      <c r="C1760" s="1">
        <v>0.5</v>
      </c>
      <c r="D1760" s="1">
        <v>30</v>
      </c>
      <c r="E1760" s="1">
        <v>200</v>
      </c>
      <c r="F1760" s="1">
        <v>7</v>
      </c>
      <c r="G1760" s="1">
        <v>25</v>
      </c>
      <c r="H1760" s="1">
        <v>150</v>
      </c>
      <c r="I1760" s="1">
        <v>100</v>
      </c>
      <c r="J1760" s="1">
        <v>213.72300000000001</v>
      </c>
      <c r="K1760" s="1">
        <v>93.138000000000005</v>
      </c>
      <c r="L1760" s="1">
        <v>53.43</v>
      </c>
      <c r="M1760" s="1">
        <v>46.5</v>
      </c>
      <c r="N1760" s="1">
        <v>6.3829999999999998E-2</v>
      </c>
      <c r="O1760" s="1">
        <v>3.9280000000000001E-4</v>
      </c>
      <c r="P1760" s="1">
        <f>(Table1[[#This Row],[Rate_Constant_k2_g_mg_min]]*Table1[[#This Row],[Contact_Time_min]]*Table1[[#This Row],[qe_mg_g]]^2)/(1+Table1[[#This Row],[Contact_Time_min]]*Table1[[#This Row],[qe_mg_g]]*Table1[[#This Row],[Rate_Constant_k2_g_mg_min]])</f>
        <v>152.98055825055303</v>
      </c>
      <c r="Q1760" s="1">
        <f>LN(Table1[[#This Row],[qe_mg_g]]-Table1[[#This Row],[qt]])</f>
        <v>4.1066426588334259</v>
      </c>
      <c r="R1760" s="1">
        <v>1</v>
      </c>
    </row>
    <row r="1761" spans="1:18" x14ac:dyDescent="0.3">
      <c r="A1761" s="1">
        <v>1760</v>
      </c>
      <c r="B1761" s="1" t="s">
        <v>19</v>
      </c>
      <c r="C1761" s="1">
        <v>0.5</v>
      </c>
      <c r="D1761" s="1">
        <v>30</v>
      </c>
      <c r="E1761" s="1">
        <v>200</v>
      </c>
      <c r="F1761" s="1">
        <v>7</v>
      </c>
      <c r="G1761" s="1">
        <v>25</v>
      </c>
      <c r="H1761" s="1">
        <v>150</v>
      </c>
      <c r="I1761" s="1">
        <v>100</v>
      </c>
      <c r="J1761" s="1">
        <v>183.77</v>
      </c>
      <c r="K1761" s="1">
        <v>108.11499999999999</v>
      </c>
      <c r="L1761" s="1">
        <v>45.94</v>
      </c>
      <c r="M1761" s="1">
        <v>46.9</v>
      </c>
      <c r="N1761" s="1">
        <v>4.2430000000000002E-2</v>
      </c>
      <c r="O1761" s="1">
        <v>3.2259999999999998E-4</v>
      </c>
      <c r="P1761" s="1">
        <f>(Table1[[#This Row],[Rate_Constant_k2_g_mg_min]]*Table1[[#This Row],[Contact_Time_min]]*Table1[[#This Row],[qe_mg_g]]^2)/(1+Table1[[#This Row],[Contact_Time_min]]*Table1[[#This Row],[qe_mg_g]]*Table1[[#This Row],[Rate_Constant_k2_g_mg_min]])</f>
        <v>117.63061673288752</v>
      </c>
      <c r="Q1761" s="1">
        <f>LN(Table1[[#This Row],[qe_mg_g]]-Table1[[#This Row],[qt]])</f>
        <v>4.1917643828520603</v>
      </c>
      <c r="R1761" s="1">
        <v>2</v>
      </c>
    </row>
    <row r="1762" spans="1:18" x14ac:dyDescent="0.3">
      <c r="A1762" s="1">
        <v>1761</v>
      </c>
      <c r="B1762" s="1" t="s">
        <v>19</v>
      </c>
      <c r="C1762" s="1">
        <v>0.5</v>
      </c>
      <c r="D1762" s="1">
        <v>30</v>
      </c>
      <c r="E1762" s="1">
        <v>200</v>
      </c>
      <c r="F1762" s="1">
        <v>7</v>
      </c>
      <c r="G1762" s="1">
        <v>25</v>
      </c>
      <c r="H1762" s="1">
        <v>150</v>
      </c>
      <c r="I1762" s="1">
        <v>100</v>
      </c>
      <c r="J1762" s="1">
        <v>217.56</v>
      </c>
      <c r="K1762" s="1">
        <v>91.22</v>
      </c>
      <c r="L1762" s="1">
        <v>54.39</v>
      </c>
      <c r="M1762" s="1">
        <v>51.2</v>
      </c>
      <c r="N1762" s="1">
        <v>5.7529999999999998E-2</v>
      </c>
      <c r="O1762" s="1">
        <v>2.967E-4</v>
      </c>
      <c r="P1762" s="1">
        <f>(Table1[[#This Row],[Rate_Constant_k2_g_mg_min]]*Table1[[#This Row],[Contact_Time_min]]*Table1[[#This Row],[qe_mg_g]]^2)/(1+Table1[[#This Row],[Contact_Time_min]]*Table1[[#This Row],[qe_mg_g]]*Table1[[#This Row],[Rate_Constant_k2_g_mg_min]])</f>
        <v>143.47183912056221</v>
      </c>
      <c r="Q1762" s="1">
        <f>LN(Table1[[#This Row],[qe_mg_g]]-Table1[[#This Row],[qt]])</f>
        <v>4.3052557473297854</v>
      </c>
      <c r="R1762" s="1">
        <v>3</v>
      </c>
    </row>
    <row r="1763" spans="1:18" x14ac:dyDescent="0.3">
      <c r="A1763" s="1">
        <v>1762</v>
      </c>
      <c r="B1763" s="1" t="s">
        <v>19</v>
      </c>
      <c r="C1763" s="1">
        <v>0.5</v>
      </c>
      <c r="D1763" s="1">
        <v>30</v>
      </c>
      <c r="E1763" s="1">
        <v>200</v>
      </c>
      <c r="F1763" s="1">
        <v>11</v>
      </c>
      <c r="G1763" s="1">
        <v>25</v>
      </c>
      <c r="H1763" s="1">
        <v>150</v>
      </c>
      <c r="I1763" s="1">
        <v>100</v>
      </c>
      <c r="J1763" s="1">
        <v>177.31700000000001</v>
      </c>
      <c r="K1763" s="1">
        <v>111.342</v>
      </c>
      <c r="L1763" s="1">
        <v>44.33</v>
      </c>
      <c r="M1763" s="1">
        <v>50</v>
      </c>
      <c r="N1763" s="1">
        <v>5.5070000000000001E-2</v>
      </c>
      <c r="O1763" s="1">
        <v>3.4670000000000002E-4</v>
      </c>
      <c r="P1763" s="1">
        <f>(Table1[[#This Row],[Rate_Constant_k2_g_mg_min]]*Table1[[#This Row],[Contact_Time_min]]*Table1[[#This Row],[qe_mg_g]]^2)/(1+Table1[[#This Row],[Contact_Time_min]]*Table1[[#This Row],[qe_mg_g]]*Table1[[#This Row],[Rate_Constant_k2_g_mg_min]])</f>
        <v>114.97525911778671</v>
      </c>
      <c r="Q1763" s="1">
        <f>LN(Table1[[#This Row],[qe_mg_g]]-Table1[[#This Row],[qt]])</f>
        <v>4.1326311995542397</v>
      </c>
      <c r="R1763" s="1">
        <v>1</v>
      </c>
    </row>
    <row r="1764" spans="1:18" x14ac:dyDescent="0.3">
      <c r="A1764" s="1">
        <v>1763</v>
      </c>
      <c r="B1764" s="1" t="s">
        <v>19</v>
      </c>
      <c r="C1764" s="1">
        <v>0.5</v>
      </c>
      <c r="D1764" s="1">
        <v>30</v>
      </c>
      <c r="E1764" s="1">
        <v>200</v>
      </c>
      <c r="F1764" s="1">
        <v>11</v>
      </c>
      <c r="G1764" s="1">
        <v>25</v>
      </c>
      <c r="H1764" s="1">
        <v>150</v>
      </c>
      <c r="I1764" s="1">
        <v>100</v>
      </c>
      <c r="J1764" s="1">
        <v>152.988</v>
      </c>
      <c r="K1764" s="1">
        <v>123.506</v>
      </c>
      <c r="L1764" s="1">
        <v>38.25</v>
      </c>
      <c r="M1764" s="1">
        <v>45.1</v>
      </c>
      <c r="N1764" s="1">
        <v>6.0319999999999999E-2</v>
      </c>
      <c r="O1764" s="1">
        <v>3.6400000000000001E-4</v>
      </c>
      <c r="P1764" s="1">
        <f>(Table1[[#This Row],[Rate_Constant_k2_g_mg_min]]*Table1[[#This Row],[Contact_Time_min]]*Table1[[#This Row],[qe_mg_g]]^2)/(1+Table1[[#This Row],[Contact_Time_min]]*Table1[[#This Row],[qe_mg_g]]*Table1[[#This Row],[Rate_Constant_k2_g_mg_min]])</f>
        <v>95.702618057612909</v>
      </c>
      <c r="Q1764" s="1">
        <f>LN(Table1[[#This Row],[qe_mg_g]]-Table1[[#This Row],[qt]])</f>
        <v>4.0480454767299623</v>
      </c>
      <c r="R1764" s="1">
        <v>2</v>
      </c>
    </row>
    <row r="1765" spans="1:18" x14ac:dyDescent="0.3">
      <c r="A1765" s="1">
        <v>1764</v>
      </c>
      <c r="B1765" s="1" t="s">
        <v>19</v>
      </c>
      <c r="C1765" s="1">
        <v>0.5</v>
      </c>
      <c r="D1765" s="1">
        <v>30</v>
      </c>
      <c r="E1765" s="1">
        <v>200</v>
      </c>
      <c r="F1765" s="1">
        <v>11</v>
      </c>
      <c r="G1765" s="1">
        <v>25</v>
      </c>
      <c r="H1765" s="1">
        <v>150</v>
      </c>
      <c r="I1765" s="1">
        <v>100</v>
      </c>
      <c r="J1765" s="1">
        <v>180.28</v>
      </c>
      <c r="K1765" s="1">
        <v>109.86</v>
      </c>
      <c r="L1765" s="1">
        <v>45.07</v>
      </c>
      <c r="M1765" s="1">
        <v>57.2</v>
      </c>
      <c r="N1765" s="1">
        <v>5.5789999999999999E-2</v>
      </c>
      <c r="O1765" s="1">
        <v>2.8959999999999999E-4</v>
      </c>
      <c r="P1765" s="1">
        <f>(Table1[[#This Row],[Rate_Constant_k2_g_mg_min]]*Table1[[#This Row],[Contact_Time_min]]*Table1[[#This Row],[qe_mg_g]]^2)/(1+Table1[[#This Row],[Contact_Time_min]]*Table1[[#This Row],[qe_mg_g]]*Table1[[#This Row],[Rate_Constant_k2_g_mg_min]])</f>
        <v>110.0302544390607</v>
      </c>
      <c r="Q1765" s="1">
        <f>LN(Table1[[#This Row],[qe_mg_g]]-Table1[[#This Row],[qt]])</f>
        <v>4.2520566862989586</v>
      </c>
      <c r="R1765" s="1">
        <v>3</v>
      </c>
    </row>
    <row r="1766" spans="1:18" x14ac:dyDescent="0.3">
      <c r="A1766" s="1">
        <v>1765</v>
      </c>
      <c r="B1766" s="1" t="s">
        <v>19</v>
      </c>
      <c r="C1766" s="1">
        <v>0.5</v>
      </c>
      <c r="D1766" s="1">
        <v>60</v>
      </c>
      <c r="E1766" s="1">
        <v>25</v>
      </c>
      <c r="F1766" s="1">
        <v>3</v>
      </c>
      <c r="G1766" s="1">
        <v>25</v>
      </c>
      <c r="H1766" s="1">
        <v>150</v>
      </c>
      <c r="I1766" s="1">
        <v>100</v>
      </c>
      <c r="J1766" s="1">
        <v>15.250999999999999</v>
      </c>
      <c r="K1766" s="1">
        <v>17.375</v>
      </c>
      <c r="L1766" s="1">
        <v>30.5</v>
      </c>
      <c r="M1766" s="1">
        <v>54.3</v>
      </c>
      <c r="N1766" s="1">
        <v>6.5740000000000007E-2</v>
      </c>
      <c r="O1766" s="1">
        <v>3.7399999999999998E-4</v>
      </c>
      <c r="P176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3.8885864973133852</v>
      </c>
      <c r="Q1766" s="1">
        <f>LN(Table1[[#This Row],[qe_mg_g]]-Table1[[#This Row],[qt]])</f>
        <v>2.4303108469497912</v>
      </c>
      <c r="R1766" s="1">
        <v>1</v>
      </c>
    </row>
    <row r="1767" spans="1:18" x14ac:dyDescent="0.3">
      <c r="A1767" s="1">
        <v>1766</v>
      </c>
      <c r="B1767" s="1" t="s">
        <v>19</v>
      </c>
      <c r="C1767" s="1">
        <v>0.5</v>
      </c>
      <c r="D1767" s="1">
        <v>60</v>
      </c>
      <c r="E1767" s="1">
        <v>25</v>
      </c>
      <c r="F1767" s="1">
        <v>3</v>
      </c>
      <c r="G1767" s="1">
        <v>25</v>
      </c>
      <c r="H1767" s="1">
        <v>150</v>
      </c>
      <c r="I1767" s="1">
        <v>100</v>
      </c>
      <c r="J1767" s="1">
        <v>17.216000000000001</v>
      </c>
      <c r="K1767" s="1">
        <v>16.391999999999999</v>
      </c>
      <c r="L1767" s="1">
        <v>34.43</v>
      </c>
      <c r="M1767" s="1">
        <v>59.4</v>
      </c>
      <c r="N1767" s="1">
        <v>5.1090000000000003E-2</v>
      </c>
      <c r="O1767" s="1">
        <v>3.5409999999999999E-4</v>
      </c>
      <c r="P176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4.6106669788165746</v>
      </c>
      <c r="Q1767" s="1">
        <f>LN(Table1[[#This Row],[qe_mg_g]]-Table1[[#This Row],[qt]])</f>
        <v>2.5341199800595051</v>
      </c>
      <c r="R1767" s="1">
        <v>2</v>
      </c>
    </row>
    <row r="1768" spans="1:18" x14ac:dyDescent="0.3">
      <c r="A1768" s="1">
        <v>1767</v>
      </c>
      <c r="B1768" s="1" t="s">
        <v>19</v>
      </c>
      <c r="C1768" s="1">
        <v>0.5</v>
      </c>
      <c r="D1768" s="1">
        <v>60</v>
      </c>
      <c r="E1768" s="1">
        <v>25</v>
      </c>
      <c r="F1768" s="1">
        <v>3</v>
      </c>
      <c r="G1768" s="1">
        <v>25</v>
      </c>
      <c r="H1768" s="1">
        <v>150</v>
      </c>
      <c r="I1768" s="1">
        <v>100</v>
      </c>
      <c r="J1768" s="1">
        <v>15.802</v>
      </c>
      <c r="K1768" s="1">
        <v>17.099</v>
      </c>
      <c r="L1768" s="1">
        <v>31.6</v>
      </c>
      <c r="M1768" s="1">
        <v>46.9</v>
      </c>
      <c r="N1768" s="1">
        <v>5.289E-2</v>
      </c>
      <c r="O1768" s="1">
        <v>3.4279999999999998E-4</v>
      </c>
      <c r="P1768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3.8761020986790902</v>
      </c>
      <c r="Q1768" s="1">
        <f>LN(Table1[[#This Row],[qe_mg_g]]-Table1[[#This Row],[qt]])</f>
        <v>2.4787123296480775</v>
      </c>
      <c r="R1768" s="1">
        <v>3</v>
      </c>
    </row>
    <row r="1769" spans="1:18" x14ac:dyDescent="0.3">
      <c r="A1769" s="1">
        <v>1768</v>
      </c>
      <c r="B1769" s="1" t="s">
        <v>19</v>
      </c>
      <c r="C1769" s="1">
        <v>0.5</v>
      </c>
      <c r="D1769" s="1">
        <v>60</v>
      </c>
      <c r="E1769" s="1">
        <v>25</v>
      </c>
      <c r="F1769" s="1">
        <v>7</v>
      </c>
      <c r="G1769" s="1">
        <v>25</v>
      </c>
      <c r="H1769" s="1">
        <v>150</v>
      </c>
      <c r="I1769" s="1">
        <v>100</v>
      </c>
      <c r="J1769" s="1">
        <v>26.88</v>
      </c>
      <c r="K1769" s="1">
        <v>11.56</v>
      </c>
      <c r="L1769" s="1">
        <v>53.76</v>
      </c>
      <c r="M1769" s="1">
        <v>37.5</v>
      </c>
      <c r="N1769" s="1">
        <v>6.1629999999999997E-2</v>
      </c>
      <c r="O1769" s="1">
        <v>3.1720000000000001E-4</v>
      </c>
      <c r="P1769" s="1">
        <f>(Table1[[#This Row],[Rate_Constant_k2_g_mg_min]]*Table1[[#This Row],[Contact_Time_min]]*Table1[[#This Row],[qe_mg_g]]^2)/(1+Table1[[#This Row],[Contact_Time_min]]*Table1[[#This Row],[qe_mg_g]]*Table1[[#This Row],[Rate_Constant_k2_g_mg_min]])</f>
        <v>9.0972844607857244</v>
      </c>
      <c r="Q1769" s="1">
        <f>LN(Table1[[#This Row],[qe_mg_g]]-Table1[[#This Row],[qt]])</f>
        <v>2.8782269484132752</v>
      </c>
      <c r="R1769" s="1">
        <v>1</v>
      </c>
    </row>
    <row r="1770" spans="1:18" x14ac:dyDescent="0.3">
      <c r="A1770" s="1">
        <v>1769</v>
      </c>
      <c r="B1770" s="1" t="s">
        <v>19</v>
      </c>
      <c r="C1770" s="1">
        <v>0.5</v>
      </c>
      <c r="D1770" s="1">
        <v>60</v>
      </c>
      <c r="E1770" s="1">
        <v>25</v>
      </c>
      <c r="F1770" s="1">
        <v>7</v>
      </c>
      <c r="G1770" s="1">
        <v>25</v>
      </c>
      <c r="H1770" s="1">
        <v>150</v>
      </c>
      <c r="I1770" s="1">
        <v>100</v>
      </c>
      <c r="J1770" s="1">
        <v>21.843</v>
      </c>
      <c r="K1770" s="1">
        <v>14.077999999999999</v>
      </c>
      <c r="L1770" s="1">
        <v>43.69</v>
      </c>
      <c r="M1770" s="1">
        <v>64.2</v>
      </c>
      <c r="N1770" s="1">
        <v>5.9029999999999999E-2</v>
      </c>
      <c r="O1770" s="1">
        <v>3.9389999999999998E-4</v>
      </c>
      <c r="P1770" s="1">
        <f>(Table1[[#This Row],[Rate_Constant_k2_g_mg_min]]*Table1[[#This Row],[Contact_Time_min]]*Table1[[#This Row],[qe_mg_g]]^2)/(1+Table1[[#This Row],[Contact_Time_min]]*Table1[[#This Row],[qe_mg_g]]*Table1[[#This Row],[Rate_Constant_k2_g_mg_min]])</f>
        <v>7.4369451784894638</v>
      </c>
      <c r="Q1770" s="1">
        <f>LN(Table1[[#This Row],[qe_mg_g]]-Table1[[#This Row],[qt]])</f>
        <v>2.6676485919236632</v>
      </c>
      <c r="R1770" s="1">
        <v>2</v>
      </c>
    </row>
    <row r="1771" spans="1:18" x14ac:dyDescent="0.3">
      <c r="A1771" s="1">
        <v>1770</v>
      </c>
      <c r="B1771" s="1" t="s">
        <v>19</v>
      </c>
      <c r="C1771" s="1">
        <v>0.5</v>
      </c>
      <c r="D1771" s="1">
        <v>60</v>
      </c>
      <c r="E1771" s="1">
        <v>25</v>
      </c>
      <c r="F1771" s="1">
        <v>7</v>
      </c>
      <c r="G1771" s="1">
        <v>25</v>
      </c>
      <c r="H1771" s="1">
        <v>150</v>
      </c>
      <c r="I1771" s="1">
        <v>100</v>
      </c>
      <c r="J1771" s="1">
        <v>25.518000000000001</v>
      </c>
      <c r="K1771" s="1">
        <v>12.241</v>
      </c>
      <c r="L1771" s="1">
        <v>51.04</v>
      </c>
      <c r="M1771" s="1">
        <v>71.400000000000006</v>
      </c>
      <c r="N1771" s="1">
        <v>5.8069999999999997E-2</v>
      </c>
      <c r="O1771" s="1">
        <v>3.4450000000000003E-4</v>
      </c>
      <c r="P1771" s="1">
        <f>(Table1[[#This Row],[Rate_Constant_k2_g_mg_min]]*Table1[[#This Row],[Contact_Time_min]]*Table1[[#This Row],[qe_mg_g]]^2)/(1+Table1[[#This Row],[Contact_Time_min]]*Table1[[#This Row],[qe_mg_g]]*Table1[[#This Row],[Rate_Constant_k2_g_mg_min]])</f>
        <v>8.8118020529362706</v>
      </c>
      <c r="Q1771" s="1">
        <f>LN(Table1[[#This Row],[qe_mg_g]]-Table1[[#This Row],[qt]])</f>
        <v>2.8157797851240303</v>
      </c>
      <c r="R1771" s="1">
        <v>3</v>
      </c>
    </row>
    <row r="1772" spans="1:18" x14ac:dyDescent="0.3">
      <c r="A1772" s="1">
        <v>1771</v>
      </c>
      <c r="B1772" s="1" t="s">
        <v>19</v>
      </c>
      <c r="C1772" s="1">
        <v>0.5</v>
      </c>
      <c r="D1772" s="1">
        <v>60</v>
      </c>
      <c r="E1772" s="1">
        <v>25</v>
      </c>
      <c r="F1772" s="1">
        <v>11</v>
      </c>
      <c r="G1772" s="1">
        <v>25</v>
      </c>
      <c r="H1772" s="1">
        <v>150</v>
      </c>
      <c r="I1772" s="1">
        <v>100</v>
      </c>
      <c r="J1772" s="1">
        <v>19.335000000000001</v>
      </c>
      <c r="K1772" s="1">
        <v>15.333</v>
      </c>
      <c r="L1772" s="1">
        <v>38.67</v>
      </c>
      <c r="M1772" s="1">
        <v>64.7</v>
      </c>
      <c r="N1772" s="1">
        <v>5.0709999999999998E-2</v>
      </c>
      <c r="O1772" s="1">
        <v>3.2719999999999998E-4</v>
      </c>
      <c r="P177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5.3199129091542865</v>
      </c>
      <c r="Q1772" s="1">
        <f>LN(Table1[[#This Row],[qe_mg_g]]-Table1[[#This Row],[qt]])</f>
        <v>2.6401343987141557</v>
      </c>
      <c r="R1772" s="1">
        <v>1</v>
      </c>
    </row>
    <row r="1773" spans="1:18" x14ac:dyDescent="0.3">
      <c r="A1773" s="1">
        <v>1772</v>
      </c>
      <c r="B1773" s="1" t="s">
        <v>19</v>
      </c>
      <c r="C1773" s="1">
        <v>0.5</v>
      </c>
      <c r="D1773" s="1">
        <v>60</v>
      </c>
      <c r="E1773" s="1">
        <v>25</v>
      </c>
      <c r="F1773" s="1">
        <v>11</v>
      </c>
      <c r="G1773" s="1">
        <v>25</v>
      </c>
      <c r="H1773" s="1">
        <v>150</v>
      </c>
      <c r="I1773" s="1">
        <v>100</v>
      </c>
      <c r="J1773" s="1">
        <v>18.472999999999999</v>
      </c>
      <c r="K1773" s="1">
        <v>15.763</v>
      </c>
      <c r="L1773" s="1">
        <v>36.950000000000003</v>
      </c>
      <c r="M1773" s="1">
        <v>37.299999999999997</v>
      </c>
      <c r="N1773" s="1">
        <v>5.5759999999999997E-2</v>
      </c>
      <c r="O1773" s="1">
        <v>2.8400000000000002E-4</v>
      </c>
      <c r="P177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4.4227397861080808</v>
      </c>
      <c r="Q1773" s="1">
        <f>LN(Table1[[#This Row],[qe_mg_g]]-Table1[[#This Row],[qt]])</f>
        <v>2.6426409161699538</v>
      </c>
      <c r="R1773" s="1">
        <v>2</v>
      </c>
    </row>
    <row r="1774" spans="1:18" x14ac:dyDescent="0.3">
      <c r="A1774" s="1">
        <v>1773</v>
      </c>
      <c r="B1774" s="1" t="s">
        <v>19</v>
      </c>
      <c r="C1774" s="1">
        <v>0.5</v>
      </c>
      <c r="D1774" s="1">
        <v>60</v>
      </c>
      <c r="E1774" s="1">
        <v>25</v>
      </c>
      <c r="F1774" s="1">
        <v>11</v>
      </c>
      <c r="G1774" s="1">
        <v>25</v>
      </c>
      <c r="H1774" s="1">
        <v>150</v>
      </c>
      <c r="I1774" s="1">
        <v>100</v>
      </c>
      <c r="J1774" s="1">
        <v>18.952000000000002</v>
      </c>
      <c r="K1774" s="1">
        <v>15.523999999999999</v>
      </c>
      <c r="L1774" s="1">
        <v>37.9</v>
      </c>
      <c r="M1774" s="1">
        <v>61.6</v>
      </c>
      <c r="N1774" s="1">
        <v>5.2380000000000003E-2</v>
      </c>
      <c r="O1774" s="1">
        <v>4.0870000000000001E-4</v>
      </c>
      <c r="P1774" s="1">
        <f>(Table1[[#This Row],[Rate_Constant_k2_g_mg_min]]*Table1[[#This Row],[Contact_Time_min]]*Table1[[#This Row],[qe_mg_g]]^2)/(1+Table1[[#This Row],[Contact_Time_min]]*Table1[[#This Row],[qe_mg_g]]*Table1[[#This Row],[Rate_Constant_k2_g_mg_min]])</f>
        <v>6.0131932590313406</v>
      </c>
      <c r="Q1774" s="1">
        <f>LN(Table1[[#This Row],[qe_mg_g]]-Table1[[#This Row],[qt]])</f>
        <v>2.5602310700578572</v>
      </c>
      <c r="R1774" s="1">
        <v>3</v>
      </c>
    </row>
    <row r="1775" spans="1:18" x14ac:dyDescent="0.3">
      <c r="A1775" s="1">
        <v>1774</v>
      </c>
      <c r="B1775" s="1" t="s">
        <v>19</v>
      </c>
      <c r="C1775" s="1">
        <v>0.5</v>
      </c>
      <c r="D1775" s="1">
        <v>60</v>
      </c>
      <c r="E1775" s="1">
        <v>50</v>
      </c>
      <c r="F1775" s="1">
        <v>3</v>
      </c>
      <c r="G1775" s="1">
        <v>25</v>
      </c>
      <c r="H1775" s="1">
        <v>150</v>
      </c>
      <c r="I1775" s="1">
        <v>100</v>
      </c>
      <c r="J1775" s="1">
        <v>38.533999999999999</v>
      </c>
      <c r="K1775" s="1">
        <v>30.733000000000001</v>
      </c>
      <c r="L1775" s="1">
        <v>38.53</v>
      </c>
      <c r="M1775" s="1">
        <v>64.3</v>
      </c>
      <c r="N1775" s="1">
        <v>5.8709999999999998E-2</v>
      </c>
      <c r="O1775" s="1">
        <v>2.899E-4</v>
      </c>
      <c r="P1775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15.463345812016726</v>
      </c>
      <c r="Q1775" s="1">
        <f>LN(Table1[[#This Row],[qe_mg_g]]-Table1[[#This Row],[qt]])</f>
        <v>3.1385614284365575</v>
      </c>
      <c r="R1775" s="1">
        <v>1</v>
      </c>
    </row>
    <row r="1776" spans="1:18" x14ac:dyDescent="0.3">
      <c r="A1776" s="1">
        <v>1775</v>
      </c>
      <c r="B1776" s="1" t="s">
        <v>19</v>
      </c>
      <c r="C1776" s="1">
        <v>0.5</v>
      </c>
      <c r="D1776" s="1">
        <v>60</v>
      </c>
      <c r="E1776" s="1">
        <v>50</v>
      </c>
      <c r="F1776" s="1">
        <v>3</v>
      </c>
      <c r="G1776" s="1">
        <v>25</v>
      </c>
      <c r="H1776" s="1">
        <v>150</v>
      </c>
      <c r="I1776" s="1">
        <v>100</v>
      </c>
      <c r="J1776" s="1">
        <v>51.067</v>
      </c>
      <c r="K1776" s="1">
        <v>24.466999999999999</v>
      </c>
      <c r="L1776" s="1">
        <v>51.07</v>
      </c>
      <c r="M1776" s="1">
        <v>54</v>
      </c>
      <c r="N1776" s="1">
        <v>5.0169999999999999E-2</v>
      </c>
      <c r="O1776" s="1">
        <v>3.0079999999999999E-4</v>
      </c>
      <c r="P1776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24.492541467641232</v>
      </c>
      <c r="Q1776" s="1">
        <f>LN(Table1[[#This Row],[qe_mg_g]]-Table1[[#This Row],[qt]])</f>
        <v>3.2799505489445675</v>
      </c>
      <c r="R1776" s="1">
        <v>2</v>
      </c>
    </row>
    <row r="1777" spans="1:18" x14ac:dyDescent="0.3">
      <c r="A1777" s="1">
        <v>1776</v>
      </c>
      <c r="B1777" s="1" t="s">
        <v>19</v>
      </c>
      <c r="C1777" s="1">
        <v>0.5</v>
      </c>
      <c r="D1777" s="1">
        <v>60</v>
      </c>
      <c r="E1777" s="1">
        <v>50</v>
      </c>
      <c r="F1777" s="1">
        <v>3</v>
      </c>
      <c r="G1777" s="1">
        <v>25</v>
      </c>
      <c r="H1777" s="1">
        <v>150</v>
      </c>
      <c r="I1777" s="1">
        <v>100</v>
      </c>
      <c r="J1777" s="1">
        <v>42.261000000000003</v>
      </c>
      <c r="K1777" s="1">
        <v>28.869</v>
      </c>
      <c r="L1777" s="1">
        <v>42.26</v>
      </c>
      <c r="M1777" s="1">
        <v>53.5</v>
      </c>
      <c r="N1777" s="1">
        <v>5.5559999999999998E-2</v>
      </c>
      <c r="O1777" s="1">
        <v>3.3960000000000001E-4</v>
      </c>
      <c r="P1777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19.553585117595645</v>
      </c>
      <c r="Q1777" s="1">
        <f>LN(Table1[[#This Row],[qe_mg_g]]-Table1[[#This Row],[qt]])</f>
        <v>3.1226915179518593</v>
      </c>
      <c r="R1777" s="1">
        <v>3</v>
      </c>
    </row>
    <row r="1778" spans="1:18" x14ac:dyDescent="0.3">
      <c r="A1778" s="1">
        <v>1777</v>
      </c>
      <c r="B1778" s="1" t="s">
        <v>19</v>
      </c>
      <c r="C1778" s="1">
        <v>0.5</v>
      </c>
      <c r="D1778" s="1">
        <v>60</v>
      </c>
      <c r="E1778" s="1">
        <v>50</v>
      </c>
      <c r="F1778" s="1">
        <v>7</v>
      </c>
      <c r="G1778" s="1">
        <v>25</v>
      </c>
      <c r="H1778" s="1">
        <v>150</v>
      </c>
      <c r="I1778" s="1">
        <v>100</v>
      </c>
      <c r="J1778" s="1">
        <v>66.402000000000001</v>
      </c>
      <c r="K1778" s="1">
        <v>16.798999999999999</v>
      </c>
      <c r="L1778" s="1">
        <v>66.400000000000006</v>
      </c>
      <c r="M1778" s="1">
        <v>51.4</v>
      </c>
      <c r="N1778" s="1">
        <v>4.4359999999999997E-2</v>
      </c>
      <c r="O1778" s="1">
        <v>3.4479999999999998E-4</v>
      </c>
      <c r="P1778" s="1">
        <f>(Table1[[#This Row],[Rate_Constant_k2_g_mg_min]]*Table1[[#This Row],[Contact_Time_min]]*Table1[[#This Row],[qe_mg_g]]^2)/(1+Table1[[#This Row],[Contact_Time_min]]*Table1[[#This Row],[qe_mg_g]]*Table1[[#This Row],[Rate_Constant_k2_g_mg_min]])</f>
        <v>38.428240671992775</v>
      </c>
      <c r="Q1778" s="1">
        <f>LN(Table1[[#This Row],[qe_mg_g]]-Table1[[#This Row],[qt]])</f>
        <v>3.3312669039029017</v>
      </c>
      <c r="R1778" s="1">
        <v>1</v>
      </c>
    </row>
    <row r="1779" spans="1:18" x14ac:dyDescent="0.3">
      <c r="A1779" s="1">
        <v>1778</v>
      </c>
      <c r="B1779" s="1" t="s">
        <v>19</v>
      </c>
      <c r="C1779" s="1">
        <v>0.5</v>
      </c>
      <c r="D1779" s="1">
        <v>60</v>
      </c>
      <c r="E1779" s="1">
        <v>50</v>
      </c>
      <c r="F1779" s="1">
        <v>7</v>
      </c>
      <c r="G1779" s="1">
        <v>25</v>
      </c>
      <c r="H1779" s="1">
        <v>150</v>
      </c>
      <c r="I1779" s="1">
        <v>100</v>
      </c>
      <c r="J1779" s="1">
        <v>53.046999999999997</v>
      </c>
      <c r="K1779" s="1">
        <v>23.477</v>
      </c>
      <c r="L1779" s="1">
        <v>53.05</v>
      </c>
      <c r="M1779" s="1">
        <v>57.4</v>
      </c>
      <c r="N1779" s="1">
        <v>4.9610000000000001E-2</v>
      </c>
      <c r="O1779" s="1">
        <v>3.5570000000000003E-4</v>
      </c>
      <c r="P1779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28.167174173845535</v>
      </c>
      <c r="Q1779" s="1">
        <f>LN(Table1[[#This Row],[qe_mg_g]]-Table1[[#This Row],[qt]])</f>
        <v>3.2140572672899821</v>
      </c>
      <c r="R1779" s="1">
        <v>2</v>
      </c>
    </row>
    <row r="1780" spans="1:18" x14ac:dyDescent="0.3">
      <c r="A1780" s="1">
        <v>1779</v>
      </c>
      <c r="B1780" s="1" t="s">
        <v>19</v>
      </c>
      <c r="C1780" s="1">
        <v>0.5</v>
      </c>
      <c r="D1780" s="1">
        <v>60</v>
      </c>
      <c r="E1780" s="1">
        <v>50</v>
      </c>
      <c r="F1780" s="1">
        <v>7</v>
      </c>
      <c r="G1780" s="1">
        <v>25</v>
      </c>
      <c r="H1780" s="1">
        <v>150</v>
      </c>
      <c r="I1780" s="1">
        <v>100</v>
      </c>
      <c r="J1780" s="1">
        <v>69.433000000000007</v>
      </c>
      <c r="K1780" s="1">
        <v>15.284000000000001</v>
      </c>
      <c r="L1780" s="1">
        <v>69.430000000000007</v>
      </c>
      <c r="M1780" s="1">
        <v>46.8</v>
      </c>
      <c r="N1780" s="1">
        <v>6.0839999999999998E-2</v>
      </c>
      <c r="O1780" s="1">
        <v>3.3480000000000001E-4</v>
      </c>
      <c r="P1780" s="1">
        <f>(Table1[[#This Row],[Rate_Constant_k2_g_mg_min]]*Table1[[#This Row],[Contact_Time_min]]*Table1[[#This Row],[qe_mg_g]]^2)/(1+Table1[[#This Row],[Contact_Time_min]]*Table1[[#This Row],[qe_mg_g]]*Table1[[#This Row],[Rate_Constant_k2_g_mg_min]])</f>
        <v>40.439402708959172</v>
      </c>
      <c r="Q1780" s="1">
        <f>LN(Table1[[#This Row],[qe_mg_g]]-Table1[[#This Row],[qt]])</f>
        <v>3.367075022542747</v>
      </c>
      <c r="R1780" s="1">
        <v>3</v>
      </c>
    </row>
    <row r="1781" spans="1:18" x14ac:dyDescent="0.3">
      <c r="A1781" s="1">
        <v>1780</v>
      </c>
      <c r="B1781" s="1" t="s">
        <v>19</v>
      </c>
      <c r="C1781" s="1">
        <v>0.5</v>
      </c>
      <c r="D1781" s="1">
        <v>60</v>
      </c>
      <c r="E1781" s="1">
        <v>50</v>
      </c>
      <c r="F1781" s="1">
        <v>11</v>
      </c>
      <c r="G1781" s="1">
        <v>25</v>
      </c>
      <c r="H1781" s="1">
        <v>150</v>
      </c>
      <c r="I1781" s="1">
        <v>100</v>
      </c>
      <c r="J1781" s="1">
        <v>57.31</v>
      </c>
      <c r="K1781" s="1">
        <v>21.344999999999999</v>
      </c>
      <c r="L1781" s="1">
        <v>57.31</v>
      </c>
      <c r="M1781" s="1">
        <v>51.6</v>
      </c>
      <c r="N1781" s="1">
        <v>5.0380000000000001E-2</v>
      </c>
      <c r="O1781" s="1">
        <v>3.7409999999999999E-4</v>
      </c>
      <c r="P1781" s="1">
        <f>(Table1[[#This Row],[Rate_Constant_k2_g_mg_min]]*Table1[[#This Row],[Contact_Time_min]]*Table1[[#This Row],[qe_mg_g]]^2)/(1+Table1[[#This Row],[Contact_Time_min]]*Table1[[#This Row],[qe_mg_g]]*Table1[[#This Row],[Rate_Constant_k2_g_mg_min]])</f>
        <v>32.244178271815564</v>
      </c>
      <c r="Q1781" s="1">
        <f>LN(Table1[[#This Row],[qe_mg_g]]-Table1[[#This Row],[qt]])</f>
        <v>3.2215052340673522</v>
      </c>
      <c r="R1781" s="1">
        <v>1</v>
      </c>
    </row>
    <row r="1782" spans="1:18" x14ac:dyDescent="0.3">
      <c r="A1782" s="1">
        <v>1781</v>
      </c>
      <c r="B1782" s="1" t="s">
        <v>19</v>
      </c>
      <c r="C1782" s="1">
        <v>0.5</v>
      </c>
      <c r="D1782" s="1">
        <v>60</v>
      </c>
      <c r="E1782" s="1">
        <v>50</v>
      </c>
      <c r="F1782" s="1">
        <v>11</v>
      </c>
      <c r="G1782" s="1">
        <v>25</v>
      </c>
      <c r="H1782" s="1">
        <v>150</v>
      </c>
      <c r="I1782" s="1">
        <v>100</v>
      </c>
      <c r="J1782" s="1">
        <v>49.488999999999997</v>
      </c>
      <c r="K1782" s="1">
        <v>25.256</v>
      </c>
      <c r="L1782" s="1">
        <v>49.49</v>
      </c>
      <c r="M1782" s="1">
        <v>47.7</v>
      </c>
      <c r="N1782" s="1">
        <v>5.237E-2</v>
      </c>
      <c r="O1782" s="1">
        <v>3.4840000000000001E-4</v>
      </c>
      <c r="P1782" s="1">
        <f>(Table1[[#This Row],[Rate_Constant_k2_g_mg_min]]*Table1[[#This Row],[Contact_Time_min]]*Table1[[#This Row],[qe_mg_g]]^2)/(1+Table1[[#This Row],[Contact_Time_min]]*Table1[[#This Row],[qe_mg_g]]*Table1[[#This Row],[Rate_Constant_k2_g_mg_min]])</f>
        <v>25.164320327557707</v>
      </c>
      <c r="Q1782" s="1">
        <f>LN(Table1[[#This Row],[qe_mg_g]]-Table1[[#This Row],[qt]])</f>
        <v>3.1914914593293404</v>
      </c>
      <c r="R1782" s="1">
        <v>2</v>
      </c>
    </row>
    <row r="1783" spans="1:18" x14ac:dyDescent="0.3">
      <c r="A1783" s="1">
        <v>1782</v>
      </c>
      <c r="B1783" s="1" t="s">
        <v>19</v>
      </c>
      <c r="C1783" s="1">
        <v>0.5</v>
      </c>
      <c r="D1783" s="1">
        <v>60</v>
      </c>
      <c r="E1783" s="1">
        <v>50</v>
      </c>
      <c r="F1783" s="1">
        <v>11</v>
      </c>
      <c r="G1783" s="1">
        <v>25</v>
      </c>
      <c r="H1783" s="1">
        <v>150</v>
      </c>
      <c r="I1783" s="1">
        <v>100</v>
      </c>
      <c r="J1783" s="1">
        <v>55.841999999999999</v>
      </c>
      <c r="K1783" s="1">
        <v>22.079000000000001</v>
      </c>
      <c r="L1783" s="1">
        <v>55.84</v>
      </c>
      <c r="M1783" s="1">
        <v>38.700000000000003</v>
      </c>
      <c r="N1783" s="1">
        <v>5.5129999999999998E-2</v>
      </c>
      <c r="O1783" s="1">
        <v>3.7189999999999999E-4</v>
      </c>
      <c r="P1783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30.979779009509883</v>
      </c>
      <c r="Q1783" s="1">
        <f>LN(Table1[[#This Row],[qe_mg_g]]-Table1[[#This Row],[qt]])</f>
        <v>3.2133494220151664</v>
      </c>
      <c r="R1783" s="1">
        <v>3</v>
      </c>
    </row>
    <row r="1784" spans="1:18" x14ac:dyDescent="0.3">
      <c r="A1784" s="1">
        <v>1783</v>
      </c>
      <c r="B1784" s="1" t="s">
        <v>19</v>
      </c>
      <c r="C1784" s="1">
        <v>0.5</v>
      </c>
      <c r="D1784" s="1">
        <v>60</v>
      </c>
      <c r="E1784" s="1">
        <v>100</v>
      </c>
      <c r="F1784" s="1">
        <v>3</v>
      </c>
      <c r="G1784" s="1">
        <v>25</v>
      </c>
      <c r="H1784" s="1">
        <v>150</v>
      </c>
      <c r="I1784" s="1">
        <v>100</v>
      </c>
      <c r="J1784" s="1">
        <v>104.06699999999999</v>
      </c>
      <c r="K1784" s="1">
        <v>47.966999999999999</v>
      </c>
      <c r="L1784" s="1">
        <v>52.03</v>
      </c>
      <c r="M1784" s="1">
        <v>65.3</v>
      </c>
      <c r="N1784" s="1">
        <v>5.459E-2</v>
      </c>
      <c r="O1784" s="1">
        <v>3.435E-4</v>
      </c>
      <c r="P1784" s="1">
        <f>(Table1[[#This Row],[Rate_Constant_k2_g_mg_min]]*Table1[[#This Row],[Contact_Time_min]]*Table1[[#This Row],[qe_mg_g]]^2)/(1+Table1[[#This Row],[Contact_Time_min]]*Table1[[#This Row],[qe_mg_g]]*Table1[[#This Row],[Rate_Constant_k2_g_mg_min]])</f>
        <v>70.975449065335781</v>
      </c>
      <c r="Q1784" s="1">
        <f>LN(Table1[[#This Row],[qe_mg_g]]-Table1[[#This Row],[qt]])</f>
        <v>3.4992779910274781</v>
      </c>
      <c r="R1784" s="1">
        <v>1</v>
      </c>
    </row>
    <row r="1785" spans="1:18" x14ac:dyDescent="0.3">
      <c r="A1785" s="1">
        <v>1784</v>
      </c>
      <c r="B1785" s="1" t="s">
        <v>19</v>
      </c>
      <c r="C1785" s="1">
        <v>0.5</v>
      </c>
      <c r="D1785" s="1">
        <v>60</v>
      </c>
      <c r="E1785" s="1">
        <v>100</v>
      </c>
      <c r="F1785" s="1">
        <v>3</v>
      </c>
      <c r="G1785" s="1">
        <v>25</v>
      </c>
      <c r="H1785" s="1">
        <v>150</v>
      </c>
      <c r="I1785" s="1">
        <v>100</v>
      </c>
      <c r="J1785" s="1">
        <v>106.934</v>
      </c>
      <c r="K1785" s="1">
        <v>46.533000000000001</v>
      </c>
      <c r="L1785" s="1">
        <v>53.47</v>
      </c>
      <c r="M1785" s="1">
        <v>55.4</v>
      </c>
      <c r="N1785" s="1">
        <v>5.2850000000000001E-2</v>
      </c>
      <c r="O1785" s="1">
        <v>3.681E-4</v>
      </c>
      <c r="P1785" s="1">
        <f>(Table1[[#This Row],[Rate_Constant_k2_g_mg_min]]*Table1[[#This Row],[Contact_Time_min]]*Table1[[#This Row],[qe_mg_g]]^2)/(1+Table1[[#This Row],[Contact_Time_min]]*Table1[[#This Row],[qe_mg_g]]*Table1[[#This Row],[Rate_Constant_k2_g_mg_min]])</f>
        <v>75.12491825735168</v>
      </c>
      <c r="Q1785" s="1">
        <f>LN(Table1[[#This Row],[qe_mg_g]]-Table1[[#This Row],[qt]])</f>
        <v>3.4597518384047001</v>
      </c>
      <c r="R1785" s="1">
        <v>2</v>
      </c>
    </row>
    <row r="1786" spans="1:18" x14ac:dyDescent="0.3">
      <c r="A1786" s="1">
        <v>1785</v>
      </c>
      <c r="B1786" s="1" t="s">
        <v>19</v>
      </c>
      <c r="C1786" s="1">
        <v>0.5</v>
      </c>
      <c r="D1786" s="1">
        <v>60</v>
      </c>
      <c r="E1786" s="1">
        <v>100</v>
      </c>
      <c r="F1786" s="1">
        <v>3</v>
      </c>
      <c r="G1786" s="1">
        <v>25</v>
      </c>
      <c r="H1786" s="1">
        <v>150</v>
      </c>
      <c r="I1786" s="1">
        <v>100</v>
      </c>
      <c r="J1786" s="1">
        <v>97.986000000000004</v>
      </c>
      <c r="K1786" s="1">
        <v>51.006999999999998</v>
      </c>
      <c r="L1786" s="1">
        <v>48.99</v>
      </c>
      <c r="M1786" s="1">
        <v>49.5</v>
      </c>
      <c r="N1786" s="1">
        <v>5.21E-2</v>
      </c>
      <c r="O1786" s="1">
        <v>3.9740000000000001E-4</v>
      </c>
      <c r="P1786" s="1">
        <f>(Table1[[#This Row],[Rate_Constant_k2_g_mg_min]]*Table1[[#This Row],[Contact_Time_min]]*Table1[[#This Row],[qe_mg_g]]^2)/(1+Table1[[#This Row],[Contact_Time_min]]*Table1[[#This Row],[qe_mg_g]]*Table1[[#This Row],[Rate_Constant_k2_g_mg_min]])</f>
        <v>68.617027240885477</v>
      </c>
      <c r="Q1786" s="1">
        <f>LN(Table1[[#This Row],[qe_mg_g]]-Table1[[#This Row],[qt]])</f>
        <v>3.3799387687430378</v>
      </c>
      <c r="R1786" s="1">
        <v>3</v>
      </c>
    </row>
    <row r="1787" spans="1:18" x14ac:dyDescent="0.3">
      <c r="A1787" s="1">
        <v>1786</v>
      </c>
      <c r="B1787" s="1" t="s">
        <v>19</v>
      </c>
      <c r="C1787" s="1">
        <v>0.5</v>
      </c>
      <c r="D1787" s="1">
        <v>60</v>
      </c>
      <c r="E1787" s="1">
        <v>100</v>
      </c>
      <c r="F1787" s="1">
        <v>7</v>
      </c>
      <c r="G1787" s="1">
        <v>25</v>
      </c>
      <c r="H1787" s="1">
        <v>150</v>
      </c>
      <c r="I1787" s="1">
        <v>100</v>
      </c>
      <c r="J1787" s="1">
        <v>113.297</v>
      </c>
      <c r="K1787" s="1">
        <v>43.350999999999999</v>
      </c>
      <c r="L1787" s="1">
        <v>56.65</v>
      </c>
      <c r="M1787" s="1">
        <v>57.8</v>
      </c>
      <c r="N1787" s="1">
        <v>5.5190000000000003E-2</v>
      </c>
      <c r="O1787" s="1">
        <v>2.9119999999999998E-4</v>
      </c>
      <c r="P1787" s="1">
        <f>(Table1[[#This Row],[Rate_Constant_k2_g_mg_min]]*Table1[[#This Row],[Contact_Time_min]]*Table1[[#This Row],[qe_mg_g]]^2)/(1+Table1[[#This Row],[Contact_Time_min]]*Table1[[#This Row],[qe_mg_g]]*Table1[[#This Row],[Rate_Constant_k2_g_mg_min]])</f>
        <v>75.271813769521728</v>
      </c>
      <c r="Q1787" s="1">
        <f>LN(Table1[[#This Row],[qe_mg_g]]-Table1[[#This Row],[qt]])</f>
        <v>3.6382487357133311</v>
      </c>
      <c r="R1787" s="1">
        <v>1</v>
      </c>
    </row>
    <row r="1788" spans="1:18" x14ac:dyDescent="0.3">
      <c r="A1788" s="1">
        <v>1787</v>
      </c>
      <c r="B1788" s="1" t="s">
        <v>19</v>
      </c>
      <c r="C1788" s="1">
        <v>0.5</v>
      </c>
      <c r="D1788" s="1">
        <v>60</v>
      </c>
      <c r="E1788" s="1">
        <v>100</v>
      </c>
      <c r="F1788" s="1">
        <v>7</v>
      </c>
      <c r="G1788" s="1">
        <v>25</v>
      </c>
      <c r="H1788" s="1">
        <v>150</v>
      </c>
      <c r="I1788" s="1">
        <v>100</v>
      </c>
      <c r="J1788" s="1">
        <v>149.45099999999999</v>
      </c>
      <c r="K1788" s="1">
        <v>25.274999999999999</v>
      </c>
      <c r="L1788" s="1">
        <v>74.73</v>
      </c>
      <c r="M1788" s="1">
        <v>58.4</v>
      </c>
      <c r="N1788" s="1">
        <v>5.824E-2</v>
      </c>
      <c r="O1788" s="1">
        <v>2.5720000000000002E-4</v>
      </c>
      <c r="P1788" s="1">
        <f>(Table1[[#This Row],[Rate_Constant_k2_g_mg_min]]*Table1[[#This Row],[Contact_Time_min]]*Table1[[#This Row],[qe_mg_g]]^2)/(1+Table1[[#This Row],[Contact_Time_min]]*Table1[[#This Row],[qe_mg_g]]*Table1[[#This Row],[Rate_Constant_k2_g_mg_min]])</f>
        <v>104.24949319430705</v>
      </c>
      <c r="Q1788" s="1">
        <f>LN(Table1[[#This Row],[qe_mg_g]]-Table1[[#This Row],[qt]])</f>
        <v>3.8111304226916758</v>
      </c>
      <c r="R1788" s="1">
        <v>2</v>
      </c>
    </row>
    <row r="1789" spans="1:18" x14ac:dyDescent="0.3">
      <c r="A1789" s="1">
        <v>1788</v>
      </c>
      <c r="B1789" s="1" t="s">
        <v>19</v>
      </c>
      <c r="C1789" s="1">
        <v>0.5</v>
      </c>
      <c r="D1789" s="1">
        <v>60</v>
      </c>
      <c r="E1789" s="1">
        <v>100</v>
      </c>
      <c r="F1789" s="1">
        <v>7</v>
      </c>
      <c r="G1789" s="1">
        <v>25</v>
      </c>
      <c r="H1789" s="1">
        <v>150</v>
      </c>
      <c r="I1789" s="1">
        <v>100</v>
      </c>
      <c r="J1789" s="1">
        <v>160.27000000000001</v>
      </c>
      <c r="K1789" s="1">
        <v>19.864999999999998</v>
      </c>
      <c r="L1789" s="1">
        <v>80.14</v>
      </c>
      <c r="M1789" s="1">
        <v>48.5</v>
      </c>
      <c r="N1789" s="1">
        <v>5.8779999999999999E-2</v>
      </c>
      <c r="O1789" s="1">
        <v>3.7589999999999998E-4</v>
      </c>
      <c r="P1789" s="1">
        <f>(Table1[[#This Row],[Rate_Constant_k2_g_mg_min]]*Table1[[#This Row],[Contact_Time_min]]*Table1[[#This Row],[qe_mg_g]]^2)/(1+Table1[[#This Row],[Contact_Time_min]]*Table1[[#This Row],[qe_mg_g]]*Table1[[#This Row],[Rate_Constant_k2_g_mg_min]])</f>
        <v>125.53990428765275</v>
      </c>
      <c r="Q1789" s="1">
        <f>LN(Table1[[#This Row],[qe_mg_g]]-Table1[[#This Row],[qt]])</f>
        <v>3.547606622650465</v>
      </c>
      <c r="R1789" s="1">
        <v>3</v>
      </c>
    </row>
    <row r="1790" spans="1:18" x14ac:dyDescent="0.3">
      <c r="A1790" s="1">
        <v>1789</v>
      </c>
      <c r="B1790" s="1" t="s">
        <v>19</v>
      </c>
      <c r="C1790" s="1">
        <v>0.5</v>
      </c>
      <c r="D1790" s="1">
        <v>60</v>
      </c>
      <c r="E1790" s="1">
        <v>100</v>
      </c>
      <c r="F1790" s="1">
        <v>11</v>
      </c>
      <c r="G1790" s="1">
        <v>25</v>
      </c>
      <c r="H1790" s="1">
        <v>150</v>
      </c>
      <c r="I1790" s="1">
        <v>100</v>
      </c>
      <c r="J1790" s="1">
        <v>112.623</v>
      </c>
      <c r="K1790" s="1">
        <v>43.689</v>
      </c>
      <c r="L1790" s="1">
        <v>56.31</v>
      </c>
      <c r="M1790" s="1">
        <v>59.9</v>
      </c>
      <c r="N1790" s="1">
        <v>5.2880000000000003E-2</v>
      </c>
      <c r="O1790" s="1">
        <v>2.7750000000000002E-4</v>
      </c>
      <c r="P1790" s="1">
        <f>(Table1[[#This Row],[Rate_Constant_k2_g_mg_min]]*Table1[[#This Row],[Contact_Time_min]]*Table1[[#This Row],[qe_mg_g]]^2)/(1+Table1[[#This Row],[Contact_Time_min]]*Table1[[#This Row],[qe_mg_g]]*Table1[[#This Row],[Rate_Constant_k2_g_mg_min]])</f>
        <v>73.452138991447455</v>
      </c>
      <c r="Q1790" s="1">
        <f>LN(Table1[[#This Row],[qe_mg_g]]-Table1[[#This Row],[qt]])</f>
        <v>3.6679331287624892</v>
      </c>
      <c r="R1790" s="1">
        <v>1</v>
      </c>
    </row>
    <row r="1791" spans="1:18" x14ac:dyDescent="0.3">
      <c r="A1791" s="1">
        <v>1790</v>
      </c>
      <c r="B1791" s="1" t="s">
        <v>19</v>
      </c>
      <c r="C1791" s="1">
        <v>0.5</v>
      </c>
      <c r="D1791" s="1">
        <v>60</v>
      </c>
      <c r="E1791" s="1">
        <v>100</v>
      </c>
      <c r="F1791" s="1">
        <v>11</v>
      </c>
      <c r="G1791" s="1">
        <v>25</v>
      </c>
      <c r="H1791" s="1">
        <v>150</v>
      </c>
      <c r="I1791" s="1">
        <v>100</v>
      </c>
      <c r="J1791" s="1">
        <v>129.79400000000001</v>
      </c>
      <c r="K1791" s="1">
        <v>35.103000000000002</v>
      </c>
      <c r="L1791" s="1">
        <v>64.900000000000006</v>
      </c>
      <c r="M1791" s="1">
        <v>48.2</v>
      </c>
      <c r="N1791" s="1">
        <v>5.0299999999999997E-2</v>
      </c>
      <c r="O1791" s="1">
        <v>3.3589999999999998E-4</v>
      </c>
      <c r="P1791" s="1">
        <f>(Table1[[#This Row],[Rate_Constant_k2_g_mg_min]]*Table1[[#This Row],[Contact_Time_min]]*Table1[[#This Row],[qe_mg_g]]^2)/(1+Table1[[#This Row],[Contact_Time_min]]*Table1[[#This Row],[qe_mg_g]]*Table1[[#This Row],[Rate_Constant_k2_g_mg_min]])</f>
        <v>93.89833398210439</v>
      </c>
      <c r="Q1791" s="1">
        <f>LN(Table1[[#This Row],[qe_mg_g]]-Table1[[#This Row],[qt]])</f>
        <v>3.5806165644710384</v>
      </c>
      <c r="R1791" s="1">
        <v>2</v>
      </c>
    </row>
    <row r="1792" spans="1:18" x14ac:dyDescent="0.3">
      <c r="A1792" s="1">
        <v>1791</v>
      </c>
      <c r="B1792" s="1" t="s">
        <v>19</v>
      </c>
      <c r="C1792" s="1">
        <v>0.5</v>
      </c>
      <c r="D1792" s="1">
        <v>60</v>
      </c>
      <c r="E1792" s="1">
        <v>100</v>
      </c>
      <c r="F1792" s="1">
        <v>11</v>
      </c>
      <c r="G1792" s="1">
        <v>25</v>
      </c>
      <c r="H1792" s="1">
        <v>150</v>
      </c>
      <c r="I1792" s="1">
        <v>100</v>
      </c>
      <c r="J1792" s="1">
        <v>122.273</v>
      </c>
      <c r="K1792" s="1">
        <v>38.863999999999997</v>
      </c>
      <c r="L1792" s="1">
        <v>61.14</v>
      </c>
      <c r="M1792" s="1">
        <v>54.1</v>
      </c>
      <c r="N1792" s="1">
        <v>5.8009999999999999E-2</v>
      </c>
      <c r="O1792" s="1">
        <v>3.0309999999999999E-4</v>
      </c>
      <c r="P1792" s="1">
        <f>(Table1[[#This Row],[Rate_Constant_k2_g_mg_min]]*Table1[[#This Row],[Contact_Time_min]]*Table1[[#This Row],[qe_mg_g]]^2)/(1+Table1[[#This Row],[Contact_Time_min]]*Table1[[#This Row],[qe_mg_g]]*Table1[[#This Row],[Rate_Constant_k2_g_mg_min]])</f>
        <v>84.343093555102399</v>
      </c>
      <c r="Q1792" s="1">
        <f>LN(Table1[[#This Row],[qe_mg_g]]-Table1[[#This Row],[qt]])</f>
        <v>3.6357398891777972</v>
      </c>
      <c r="R1792" s="1">
        <v>3</v>
      </c>
    </row>
    <row r="1793" spans="1:18" x14ac:dyDescent="0.3">
      <c r="A1793" s="1">
        <v>1792</v>
      </c>
      <c r="B1793" s="1" t="s">
        <v>19</v>
      </c>
      <c r="C1793" s="1">
        <v>0.5</v>
      </c>
      <c r="D1793" s="1">
        <v>60</v>
      </c>
      <c r="E1793" s="1">
        <v>200</v>
      </c>
      <c r="F1793" s="1">
        <v>3</v>
      </c>
      <c r="G1793" s="1">
        <v>25</v>
      </c>
      <c r="H1793" s="1">
        <v>150</v>
      </c>
      <c r="I1793" s="1">
        <v>100</v>
      </c>
      <c r="J1793" s="1">
        <v>160.488</v>
      </c>
      <c r="K1793" s="1">
        <v>119.756</v>
      </c>
      <c r="L1793" s="1">
        <v>40.119999999999997</v>
      </c>
      <c r="M1793" s="1">
        <v>53.6</v>
      </c>
      <c r="N1793" s="1">
        <v>6.5439999999999998E-2</v>
      </c>
      <c r="O1793" s="1">
        <v>3.4600000000000001E-4</v>
      </c>
      <c r="P1793" s="1">
        <f>(Table1[[#This Row],[Rate_Constant_k2_g_mg_min]]*Table1[[#This Row],[Contact_Time_min]]*Table1[[#This Row],[qe_mg_g]]^2)/(1+Table1[[#This Row],[Contact_Time_min]]*Table1[[#This Row],[qe_mg_g]]*Table1[[#This Row],[Rate_Constant_k2_g_mg_min]])</f>
        <v>123.43860694075251</v>
      </c>
      <c r="Q1793" s="1">
        <f>LN(Table1[[#This Row],[qe_mg_g]]-Table1[[#This Row],[qt]])</f>
        <v>3.6122519699411804</v>
      </c>
      <c r="R1793" s="1">
        <v>1</v>
      </c>
    </row>
    <row r="1794" spans="1:18" x14ac:dyDescent="0.3">
      <c r="A1794" s="1">
        <v>1793</v>
      </c>
      <c r="B1794" s="1" t="s">
        <v>19</v>
      </c>
      <c r="C1794" s="1">
        <v>0.5</v>
      </c>
      <c r="D1794" s="1">
        <v>60</v>
      </c>
      <c r="E1794" s="1">
        <v>200</v>
      </c>
      <c r="F1794" s="1">
        <v>3</v>
      </c>
      <c r="G1794" s="1">
        <v>25</v>
      </c>
      <c r="H1794" s="1">
        <v>150</v>
      </c>
      <c r="I1794" s="1">
        <v>100</v>
      </c>
      <c r="J1794" s="1">
        <v>182.14500000000001</v>
      </c>
      <c r="K1794" s="1">
        <v>108.928</v>
      </c>
      <c r="L1794" s="1">
        <v>45.54</v>
      </c>
      <c r="M1794" s="1">
        <v>54.9</v>
      </c>
      <c r="N1794" s="1">
        <v>5.2339999999999998E-2</v>
      </c>
      <c r="O1794" s="1">
        <v>3.414E-4</v>
      </c>
      <c r="P1794" s="1">
        <f>(Table1[[#This Row],[Rate_Constant_k2_g_mg_min]]*Table1[[#This Row],[Contact_Time_min]]*Table1[[#This Row],[qe_mg_g]]^2)/(1+Table1[[#This Row],[Contact_Time_min]]*Table1[[#This Row],[qe_mg_g]]*Table1[[#This Row],[Rate_Constant_k2_g_mg_min]])</f>
        <v>143.64515639841485</v>
      </c>
      <c r="Q1794" s="1">
        <f>LN(Table1[[#This Row],[qe_mg_g]]-Table1[[#This Row],[qt]])</f>
        <v>3.6506541789889981</v>
      </c>
      <c r="R1794" s="1">
        <v>2</v>
      </c>
    </row>
    <row r="1795" spans="1:18" x14ac:dyDescent="0.3">
      <c r="A1795" s="1">
        <v>1794</v>
      </c>
      <c r="B1795" s="1" t="s">
        <v>19</v>
      </c>
      <c r="C1795" s="1">
        <v>0.5</v>
      </c>
      <c r="D1795" s="1">
        <v>60</v>
      </c>
      <c r="E1795" s="1">
        <v>200</v>
      </c>
      <c r="F1795" s="1">
        <v>3</v>
      </c>
      <c r="G1795" s="1">
        <v>25</v>
      </c>
      <c r="H1795" s="1">
        <v>150</v>
      </c>
      <c r="I1795" s="1">
        <v>100</v>
      </c>
      <c r="J1795" s="1">
        <v>167.28899999999999</v>
      </c>
      <c r="K1795" s="1">
        <v>116.355</v>
      </c>
      <c r="L1795" s="1">
        <v>41.82</v>
      </c>
      <c r="M1795" s="1">
        <v>59.5</v>
      </c>
      <c r="N1795" s="1">
        <v>6.2560000000000004E-2</v>
      </c>
      <c r="O1795" s="1">
        <v>3.6259999999999998E-4</v>
      </c>
      <c r="P1795" s="1">
        <f>(Table1[[#This Row],[Rate_Constant_k2_g_mg_min]]*Table1[[#This Row],[Contact_Time_min]]*Table1[[#This Row],[qe_mg_g]]^2)/(1+Table1[[#This Row],[Contact_Time_min]]*Table1[[#This Row],[qe_mg_g]]*Table1[[#This Row],[Rate_Constant_k2_g_mg_min]])</f>
        <v>131.23175755666784</v>
      </c>
      <c r="Q1795" s="1">
        <f>LN(Table1[[#This Row],[qe_mg_g]]-Table1[[#This Row],[qt]])</f>
        <v>3.5851077435069998</v>
      </c>
      <c r="R1795" s="1">
        <v>3</v>
      </c>
    </row>
    <row r="1796" spans="1:18" x14ac:dyDescent="0.3">
      <c r="A1796" s="1">
        <v>1795</v>
      </c>
      <c r="B1796" s="1" t="s">
        <v>19</v>
      </c>
      <c r="C1796" s="1">
        <v>0.5</v>
      </c>
      <c r="D1796" s="1">
        <v>60</v>
      </c>
      <c r="E1796" s="1">
        <v>200</v>
      </c>
      <c r="F1796" s="1">
        <v>7</v>
      </c>
      <c r="G1796" s="1">
        <v>25</v>
      </c>
      <c r="H1796" s="1">
        <v>150</v>
      </c>
      <c r="I1796" s="1">
        <v>100</v>
      </c>
      <c r="J1796" s="1">
        <v>256.40899999999999</v>
      </c>
      <c r="K1796" s="1">
        <v>71.795000000000002</v>
      </c>
      <c r="L1796" s="1">
        <v>64.099999999999994</v>
      </c>
      <c r="M1796" s="1">
        <v>46.7</v>
      </c>
      <c r="N1796" s="1">
        <v>5.2720000000000003E-2</v>
      </c>
      <c r="O1796" s="1">
        <v>3.2459999999999998E-4</v>
      </c>
      <c r="P1796" s="1">
        <f>(Table1[[#This Row],[Rate_Constant_k2_g_mg_min]]*Table1[[#This Row],[Contact_Time_min]]*Table1[[#This Row],[qe_mg_g]]^2)/(1+Table1[[#This Row],[Contact_Time_min]]*Table1[[#This Row],[qe_mg_g]]*Table1[[#This Row],[Rate_Constant_k2_g_mg_min]])</f>
        <v>213.63011642318924</v>
      </c>
      <c r="Q1796" s="1">
        <f>LN(Table1[[#This Row],[qe_mg_g]]-Table1[[#This Row],[qt]])</f>
        <v>3.7560446064649873</v>
      </c>
      <c r="R1796" s="1">
        <v>1</v>
      </c>
    </row>
    <row r="1797" spans="1:18" x14ac:dyDescent="0.3">
      <c r="A1797" s="1">
        <v>1796</v>
      </c>
      <c r="B1797" s="1" t="s">
        <v>19</v>
      </c>
      <c r="C1797" s="1">
        <v>0.5</v>
      </c>
      <c r="D1797" s="1">
        <v>60</v>
      </c>
      <c r="E1797" s="1">
        <v>200</v>
      </c>
      <c r="F1797" s="1">
        <v>7</v>
      </c>
      <c r="G1797" s="1">
        <v>25</v>
      </c>
      <c r="H1797" s="1">
        <v>150</v>
      </c>
      <c r="I1797" s="1">
        <v>100</v>
      </c>
      <c r="J1797" s="1">
        <v>241.94800000000001</v>
      </c>
      <c r="K1797" s="1">
        <v>79.025999999999996</v>
      </c>
      <c r="L1797" s="1">
        <v>60.49</v>
      </c>
      <c r="M1797" s="1">
        <v>51.6</v>
      </c>
      <c r="N1797" s="1">
        <v>5.901E-2</v>
      </c>
      <c r="O1797" s="1">
        <v>3.1740000000000002E-4</v>
      </c>
      <c r="P1797" s="1">
        <f>(Table1[[#This Row],[Rate_Constant_k2_g_mg_min]]*Table1[[#This Row],[Contact_Time_min]]*Table1[[#This Row],[qe_mg_g]]^2)/(1+Table1[[#This Row],[Contact_Time_min]]*Table1[[#This Row],[qe_mg_g]]*Table1[[#This Row],[Rate_Constant_k2_g_mg_min]])</f>
        <v>198.80199993615017</v>
      </c>
      <c r="Q1797" s="1">
        <f>LN(Table1[[#This Row],[qe_mg_g]]-Table1[[#This Row],[qt]])</f>
        <v>3.7645897148282672</v>
      </c>
      <c r="R1797" s="1">
        <v>2</v>
      </c>
    </row>
    <row r="1798" spans="1:18" x14ac:dyDescent="0.3">
      <c r="A1798" s="1">
        <v>1797</v>
      </c>
      <c r="B1798" s="1" t="s">
        <v>19</v>
      </c>
      <c r="C1798" s="1">
        <v>0.5</v>
      </c>
      <c r="D1798" s="1">
        <v>60</v>
      </c>
      <c r="E1798" s="1">
        <v>200</v>
      </c>
      <c r="F1798" s="1">
        <v>7</v>
      </c>
      <c r="G1798" s="1">
        <v>25</v>
      </c>
      <c r="H1798" s="1">
        <v>150</v>
      </c>
      <c r="I1798" s="1">
        <v>100</v>
      </c>
      <c r="J1798" s="1">
        <v>237.45</v>
      </c>
      <c r="K1798" s="1">
        <v>81.275000000000006</v>
      </c>
      <c r="L1798" s="1">
        <v>59.36</v>
      </c>
      <c r="M1798" s="1">
        <v>60.2</v>
      </c>
      <c r="N1798" s="1">
        <v>4.3639999999999998E-2</v>
      </c>
      <c r="O1798" s="1">
        <v>4.2430000000000001E-4</v>
      </c>
      <c r="P1798" s="1">
        <f>(Table1[[#This Row],[Rate_Constant_k2_g_mg_min]]*Table1[[#This Row],[Contact_Time_min]]*Table1[[#This Row],[qe_mg_g]]^2)/(1+Table1[[#This Row],[Contact_Time_min]]*Table1[[#This Row],[qe_mg_g]]*Table1[[#This Row],[Rate_Constant_k2_g_mg_min]])</f>
        <v>203.74525490134343</v>
      </c>
      <c r="Q1798" s="1">
        <f>LN(Table1[[#This Row],[qe_mg_g]]-Table1[[#This Row],[qt]])</f>
        <v>3.5176386315607853</v>
      </c>
      <c r="R1798" s="1">
        <v>3</v>
      </c>
    </row>
    <row r="1799" spans="1:18" x14ac:dyDescent="0.3">
      <c r="A1799" s="1">
        <v>1798</v>
      </c>
      <c r="B1799" s="1" t="s">
        <v>19</v>
      </c>
      <c r="C1799" s="1">
        <v>0.5</v>
      </c>
      <c r="D1799" s="1">
        <v>60</v>
      </c>
      <c r="E1799" s="1">
        <v>200</v>
      </c>
      <c r="F1799" s="1">
        <v>11</v>
      </c>
      <c r="G1799" s="1">
        <v>25</v>
      </c>
      <c r="H1799" s="1">
        <v>150</v>
      </c>
      <c r="I1799" s="1">
        <v>100</v>
      </c>
      <c r="J1799" s="1">
        <v>192.267</v>
      </c>
      <c r="K1799" s="1">
        <v>103.867</v>
      </c>
      <c r="L1799" s="1">
        <v>48.07</v>
      </c>
      <c r="M1799" s="1">
        <v>38</v>
      </c>
      <c r="N1799" s="1">
        <v>5.5870000000000003E-2</v>
      </c>
      <c r="O1799" s="1">
        <v>3.5120000000000003E-4</v>
      </c>
      <c r="P1799" s="1">
        <f>(Table1[[#This Row],[Rate_Constant_k2_g_mg_min]]*Table1[[#This Row],[Contact_Time_min]]*Table1[[#This Row],[qe_mg_g]]^2)/(1+Table1[[#This Row],[Contact_Time_min]]*Table1[[#This Row],[qe_mg_g]]*Table1[[#This Row],[Rate_Constant_k2_g_mg_min]])</f>
        <v>154.20525704022216</v>
      </c>
      <c r="Q1799" s="1">
        <f>LN(Table1[[#This Row],[qe_mg_g]]-Table1[[#This Row],[qt]])</f>
        <v>3.6392096558740357</v>
      </c>
      <c r="R1799" s="1">
        <v>1</v>
      </c>
    </row>
    <row r="1800" spans="1:18" x14ac:dyDescent="0.3">
      <c r="A1800" s="1">
        <v>1799</v>
      </c>
      <c r="B1800" s="1" t="s">
        <v>19</v>
      </c>
      <c r="C1800" s="1">
        <v>0.5</v>
      </c>
      <c r="D1800" s="1">
        <v>60</v>
      </c>
      <c r="E1800" s="1">
        <v>200</v>
      </c>
      <c r="F1800" s="1">
        <v>11</v>
      </c>
      <c r="G1800" s="1">
        <v>25</v>
      </c>
      <c r="H1800" s="1">
        <v>150</v>
      </c>
      <c r="I1800" s="1">
        <v>100</v>
      </c>
      <c r="J1800" s="1">
        <v>195.03</v>
      </c>
      <c r="K1800" s="1">
        <v>102.485</v>
      </c>
      <c r="L1800" s="1">
        <v>48.76</v>
      </c>
      <c r="M1800" s="1">
        <v>62.7</v>
      </c>
      <c r="N1800" s="1">
        <v>5.9110000000000003E-2</v>
      </c>
      <c r="O1800" s="1">
        <v>3.6039999999999998E-4</v>
      </c>
      <c r="P1800" s="1">
        <f>(Table1[[#This Row],[Rate_Constant_k2_g_mg_min]]*Table1[[#This Row],[Contact_Time_min]]*Table1[[#This Row],[qe_mg_g]]^2)/(1+Table1[[#This Row],[Contact_Time_min]]*Table1[[#This Row],[qe_mg_g]]*Table1[[#This Row],[Rate_Constant_k2_g_mg_min]])</f>
        <v>157.64880160006481</v>
      </c>
      <c r="Q1800" s="1">
        <f>LN(Table1[[#This Row],[qe_mg_g]]-Table1[[#This Row],[qt]])</f>
        <v>3.6211678614368683</v>
      </c>
      <c r="R1800" s="1">
        <v>2</v>
      </c>
    </row>
    <row r="1801" spans="1:18" x14ac:dyDescent="0.3">
      <c r="A1801" s="1">
        <v>1800</v>
      </c>
      <c r="B1801" s="1" t="s">
        <v>19</v>
      </c>
      <c r="C1801" s="1">
        <v>0.5</v>
      </c>
      <c r="D1801" s="1">
        <v>60</v>
      </c>
      <c r="E1801" s="1">
        <v>200</v>
      </c>
      <c r="F1801" s="1">
        <v>11</v>
      </c>
      <c r="G1801" s="1">
        <v>25</v>
      </c>
      <c r="H1801" s="1">
        <v>150</v>
      </c>
      <c r="I1801" s="1">
        <v>100</v>
      </c>
      <c r="J1801" s="1">
        <v>202.33600000000001</v>
      </c>
      <c r="K1801" s="1">
        <v>98.831999999999994</v>
      </c>
      <c r="L1801" s="1">
        <v>50.58</v>
      </c>
      <c r="M1801" s="1">
        <v>53.7</v>
      </c>
      <c r="N1801" s="1">
        <v>6.4769999999999994E-2</v>
      </c>
      <c r="O1801" s="1">
        <v>2.9819999999999998E-4</v>
      </c>
      <c r="P1801" s="1">
        <f>(Table1[[#This Row],[Rate_Constant_k2_g_mg_min]]*Table1[[#This Row],[Contact_Time_min]]*Table1[[#This Row],[qe_mg_g]]^2)/(1+Table1[[#This Row],[Contact_Time_min]]*Table1[[#This Row],[qe_mg_g]]*Table1[[#This Row],[Rate_Constant_k2_g_mg_min]])</f>
        <v>158.54218419378336</v>
      </c>
      <c r="Q1801" s="1">
        <f>LN(Table1[[#This Row],[qe_mg_g]]-Table1[[#This Row],[qt]])</f>
        <v>3.7794926157750335</v>
      </c>
      <c r="R1801" s="1">
        <v>3</v>
      </c>
    </row>
    <row r="1802" spans="1:18" x14ac:dyDescent="0.3">
      <c r="A1802" s="1">
        <v>1801</v>
      </c>
      <c r="B1802" s="1" t="s">
        <v>19</v>
      </c>
      <c r="C1802" s="1">
        <v>0.5</v>
      </c>
      <c r="D1802" s="1">
        <v>120</v>
      </c>
      <c r="E1802" s="1">
        <v>25</v>
      </c>
      <c r="F1802" s="1">
        <v>3</v>
      </c>
      <c r="G1802" s="1">
        <v>25</v>
      </c>
      <c r="H1802" s="1">
        <v>150</v>
      </c>
      <c r="I1802" s="1">
        <v>100</v>
      </c>
      <c r="J1802" s="1">
        <v>21.939</v>
      </c>
      <c r="K1802" s="1">
        <v>14.031000000000001</v>
      </c>
      <c r="L1802" s="1">
        <v>43.88</v>
      </c>
      <c r="M1802" s="1">
        <v>55.1</v>
      </c>
      <c r="N1802" s="1">
        <v>5.9470000000000002E-2</v>
      </c>
      <c r="O1802" s="1">
        <v>3.2049999999999998E-4</v>
      </c>
      <c r="P1802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10.040035856922895</v>
      </c>
      <c r="Q1802" s="1">
        <f>LN(Table1[[#This Row],[qe_mg_g]]-Table1[[#This Row],[qt]])</f>
        <v>2.4764513495284479</v>
      </c>
      <c r="R1802" s="1">
        <v>1</v>
      </c>
    </row>
    <row r="1803" spans="1:18" x14ac:dyDescent="0.3">
      <c r="A1803" s="1">
        <v>1802</v>
      </c>
      <c r="B1803" s="1" t="s">
        <v>19</v>
      </c>
      <c r="C1803" s="1">
        <v>0.5</v>
      </c>
      <c r="D1803" s="1">
        <v>120</v>
      </c>
      <c r="E1803" s="1">
        <v>25</v>
      </c>
      <c r="F1803" s="1">
        <v>3</v>
      </c>
      <c r="G1803" s="1">
        <v>25</v>
      </c>
      <c r="H1803" s="1">
        <v>150</v>
      </c>
      <c r="I1803" s="1">
        <v>100</v>
      </c>
      <c r="J1803" s="1">
        <v>19.074000000000002</v>
      </c>
      <c r="K1803" s="1">
        <v>15.462999999999999</v>
      </c>
      <c r="L1803" s="1">
        <v>38.15</v>
      </c>
      <c r="M1803" s="1">
        <v>55.8</v>
      </c>
      <c r="N1803" s="1">
        <v>5.6550000000000003E-2</v>
      </c>
      <c r="O1803" s="1">
        <v>4.0210000000000002E-4</v>
      </c>
      <c r="P1803" s="1">
        <f>(Table1[[#This Row],[Rate_Constant_k2_g_mg_min]]*Table1[[#This Row],[Contact_Time_min]]*Table1[[#This Row],[qe_mg_g]]^2)/(1+Table1[[#This Row],[Contact_Time_min]]*Table1[[#This Row],[qe_mg_g]]*Table1[[#This Row],[Rate_Constant_k2_g_mg_min]])</f>
        <v>9.1414803532845106</v>
      </c>
      <c r="Q1803" s="1">
        <f>LN(Table1[[#This Row],[qe_mg_g]]-Table1[[#This Row],[qt]])</f>
        <v>2.2958141867278665</v>
      </c>
      <c r="R1803" s="1">
        <v>2</v>
      </c>
    </row>
    <row r="1804" spans="1:18" x14ac:dyDescent="0.3">
      <c r="A1804" s="1">
        <v>1803</v>
      </c>
      <c r="B1804" s="1" t="s">
        <v>19</v>
      </c>
      <c r="C1804" s="1">
        <v>0.5</v>
      </c>
      <c r="D1804" s="1">
        <v>120</v>
      </c>
      <c r="E1804" s="1">
        <v>25</v>
      </c>
      <c r="F1804" s="1">
        <v>3</v>
      </c>
      <c r="G1804" s="1">
        <v>25</v>
      </c>
      <c r="H1804" s="1">
        <v>150</v>
      </c>
      <c r="I1804" s="1">
        <v>100</v>
      </c>
      <c r="J1804" s="1">
        <v>19.794</v>
      </c>
      <c r="K1804" s="1">
        <v>15.103</v>
      </c>
      <c r="L1804" s="1">
        <v>39.590000000000003</v>
      </c>
      <c r="M1804" s="1">
        <v>64</v>
      </c>
      <c r="N1804" s="1">
        <v>6.8019999999999997E-2</v>
      </c>
      <c r="O1804" s="1">
        <v>3.368E-4</v>
      </c>
      <c r="P1804" s="1">
        <f>(Table1[[#This Row],[Rate_Constant_k2_g_mg_min]]*Table1[[#This Row],[Contact_Time_min]]*Table1[[#This Row],[qe_mg_g]]^2)/(1+Table1[[#This Row],[Contact_Time_min]]*Table1[[#This Row],[qe_mg_g]]*Table1[[#This Row],[Rate_Constant_k2_g_mg_min]])</f>
        <v>8.7972985348824739</v>
      </c>
      <c r="Q1804" s="1">
        <f>LN(Table1[[#This Row],[qe_mg_g]]-Table1[[#This Row],[qt]])</f>
        <v>2.3975953610218319</v>
      </c>
      <c r="R1804" s="1">
        <v>3</v>
      </c>
    </row>
    <row r="1805" spans="1:18" x14ac:dyDescent="0.3">
      <c r="A1805" s="1">
        <v>1804</v>
      </c>
      <c r="B1805" s="1" t="s">
        <v>19</v>
      </c>
      <c r="C1805" s="1">
        <v>0.5</v>
      </c>
      <c r="D1805" s="1">
        <v>120</v>
      </c>
      <c r="E1805" s="1">
        <v>25</v>
      </c>
      <c r="F1805" s="1">
        <v>7</v>
      </c>
      <c r="G1805" s="1">
        <v>25</v>
      </c>
      <c r="H1805" s="1">
        <v>150</v>
      </c>
      <c r="I1805" s="1">
        <v>100</v>
      </c>
      <c r="J1805" s="1">
        <v>29.259</v>
      </c>
      <c r="K1805" s="1">
        <v>10.37</v>
      </c>
      <c r="L1805" s="1">
        <v>58.52</v>
      </c>
      <c r="M1805" s="1">
        <v>51.2</v>
      </c>
      <c r="N1805" s="1">
        <v>5.5079999999999997E-2</v>
      </c>
      <c r="O1805" s="1">
        <v>3.6969999999999999E-4</v>
      </c>
      <c r="P1805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16.526880414084403</v>
      </c>
      <c r="Q1805" s="1">
        <f>LN(Table1[[#This Row],[qe_mg_g]]-Table1[[#This Row],[qt]])</f>
        <v>2.5441279019233018</v>
      </c>
      <c r="R1805" s="1">
        <v>1</v>
      </c>
    </row>
    <row r="1806" spans="1:18" x14ac:dyDescent="0.3">
      <c r="A1806" s="1">
        <v>1805</v>
      </c>
      <c r="B1806" s="1" t="s">
        <v>19</v>
      </c>
      <c r="C1806" s="1">
        <v>0.5</v>
      </c>
      <c r="D1806" s="1">
        <v>120</v>
      </c>
      <c r="E1806" s="1">
        <v>25</v>
      </c>
      <c r="F1806" s="1">
        <v>7</v>
      </c>
      <c r="G1806" s="1">
        <v>25</v>
      </c>
      <c r="H1806" s="1">
        <v>150</v>
      </c>
      <c r="I1806" s="1">
        <v>100</v>
      </c>
      <c r="J1806" s="1">
        <v>30.834</v>
      </c>
      <c r="K1806" s="1">
        <v>9.5830000000000002</v>
      </c>
      <c r="L1806" s="1">
        <v>61.67</v>
      </c>
      <c r="M1806" s="1">
        <v>67.3</v>
      </c>
      <c r="N1806" s="1">
        <v>4.8869999999999997E-2</v>
      </c>
      <c r="O1806" s="1">
        <v>2.8909999999999998E-4</v>
      </c>
      <c r="P1806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15.936139257815617</v>
      </c>
      <c r="Q1806" s="1">
        <f>LN(Table1[[#This Row],[qe_mg_g]]-Table1[[#This Row],[qt]])</f>
        <v>2.7012176282935885</v>
      </c>
      <c r="R1806" s="1">
        <v>2</v>
      </c>
    </row>
    <row r="1807" spans="1:18" x14ac:dyDescent="0.3">
      <c r="A1807" s="1">
        <v>1806</v>
      </c>
      <c r="B1807" s="1" t="s">
        <v>19</v>
      </c>
      <c r="C1807" s="1">
        <v>0.5</v>
      </c>
      <c r="D1807" s="1">
        <v>120</v>
      </c>
      <c r="E1807" s="1">
        <v>25</v>
      </c>
      <c r="F1807" s="1">
        <v>7</v>
      </c>
      <c r="G1807" s="1">
        <v>25</v>
      </c>
      <c r="H1807" s="1">
        <v>150</v>
      </c>
      <c r="I1807" s="1">
        <v>100</v>
      </c>
      <c r="J1807" s="1">
        <v>34.658000000000001</v>
      </c>
      <c r="K1807" s="1">
        <v>7.6710000000000003</v>
      </c>
      <c r="L1807" s="1">
        <v>69.319999999999993</v>
      </c>
      <c r="M1807" s="1">
        <v>35.9</v>
      </c>
      <c r="N1807" s="1">
        <v>5.3879999999999997E-2</v>
      </c>
      <c r="O1807" s="1">
        <v>4.5909999999999999E-4</v>
      </c>
      <c r="P1807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22.745490310679873</v>
      </c>
      <c r="Q1807" s="1">
        <f>LN(Table1[[#This Row],[qe_mg_g]]-Table1[[#This Row],[qt]])</f>
        <v>2.4775890823541871</v>
      </c>
      <c r="R1807" s="1">
        <v>3</v>
      </c>
    </row>
    <row r="1808" spans="1:18" x14ac:dyDescent="0.3">
      <c r="A1808" s="1">
        <v>1807</v>
      </c>
      <c r="B1808" s="1" t="s">
        <v>19</v>
      </c>
      <c r="C1808" s="1">
        <v>0.5</v>
      </c>
      <c r="D1808" s="1">
        <v>120</v>
      </c>
      <c r="E1808" s="1">
        <v>25</v>
      </c>
      <c r="F1808" s="1">
        <v>11</v>
      </c>
      <c r="G1808" s="1">
        <v>25</v>
      </c>
      <c r="H1808" s="1">
        <v>150</v>
      </c>
      <c r="I1808" s="1">
        <v>100</v>
      </c>
      <c r="J1808" s="1">
        <v>25.81</v>
      </c>
      <c r="K1808" s="1">
        <v>12.095000000000001</v>
      </c>
      <c r="L1808" s="1">
        <v>51.62</v>
      </c>
      <c r="M1808" s="1">
        <v>45.4</v>
      </c>
      <c r="N1808" s="1">
        <v>5.4679999999999999E-2</v>
      </c>
      <c r="O1808" s="1">
        <v>3.4820000000000001E-4</v>
      </c>
      <c r="P1808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13.392062790556155</v>
      </c>
      <c r="Q1808" s="1">
        <f>LN(Table1[[#This Row],[qe_mg_g]]-Table1[[#This Row],[qt]])</f>
        <v>2.5191419765153453</v>
      </c>
      <c r="R1808" s="1">
        <v>1</v>
      </c>
    </row>
    <row r="1809" spans="1:18" x14ac:dyDescent="0.3">
      <c r="A1809" s="1">
        <v>1808</v>
      </c>
      <c r="B1809" s="1" t="s">
        <v>19</v>
      </c>
      <c r="C1809" s="1">
        <v>0.5</v>
      </c>
      <c r="D1809" s="1">
        <v>120</v>
      </c>
      <c r="E1809" s="1">
        <v>25</v>
      </c>
      <c r="F1809" s="1">
        <v>11</v>
      </c>
      <c r="G1809" s="1">
        <v>25</v>
      </c>
      <c r="H1809" s="1">
        <v>150</v>
      </c>
      <c r="I1809" s="1">
        <v>100</v>
      </c>
      <c r="J1809" s="1">
        <v>26.122</v>
      </c>
      <c r="K1809" s="1">
        <v>11.939</v>
      </c>
      <c r="L1809" s="1">
        <v>52.24</v>
      </c>
      <c r="M1809" s="1">
        <v>60</v>
      </c>
      <c r="N1809" s="1">
        <v>4.9279999999999997E-2</v>
      </c>
      <c r="O1809" s="1">
        <v>4.0910000000000002E-4</v>
      </c>
      <c r="P1809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14.676935641198565</v>
      </c>
      <c r="Q1809" s="1">
        <f>LN(Table1[[#This Row],[qe_mg_g]]-Table1[[#This Row],[qt]])</f>
        <v>2.4375585767003343</v>
      </c>
      <c r="R1809" s="1">
        <v>2</v>
      </c>
    </row>
    <row r="1810" spans="1:18" x14ac:dyDescent="0.3">
      <c r="A1810" s="1">
        <v>1809</v>
      </c>
      <c r="B1810" s="1" t="s">
        <v>19</v>
      </c>
      <c r="C1810" s="1">
        <v>0.5</v>
      </c>
      <c r="D1810" s="1">
        <v>120</v>
      </c>
      <c r="E1810" s="1">
        <v>25</v>
      </c>
      <c r="F1810" s="1">
        <v>11</v>
      </c>
      <c r="G1810" s="1">
        <v>25</v>
      </c>
      <c r="H1810" s="1">
        <v>150</v>
      </c>
      <c r="I1810" s="1">
        <v>100</v>
      </c>
      <c r="J1810" s="1">
        <v>26.274999999999999</v>
      </c>
      <c r="K1810" s="1">
        <v>11.863</v>
      </c>
      <c r="L1810" s="1">
        <v>52.55</v>
      </c>
      <c r="M1810" s="1">
        <v>60.5</v>
      </c>
      <c r="N1810" s="1">
        <v>5.1549999999999999E-2</v>
      </c>
      <c r="O1810" s="1">
        <v>3.9500000000000001E-4</v>
      </c>
      <c r="P1810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14.57348114062531</v>
      </c>
      <c r="Q1810" s="1">
        <f>LN(Table1[[#This Row],[qe_mg_g]]-Table1[[#This Row],[qt]])</f>
        <v>2.4597186504187794</v>
      </c>
      <c r="R1810" s="1">
        <v>3</v>
      </c>
    </row>
    <row r="1811" spans="1:18" x14ac:dyDescent="0.3">
      <c r="A1811" s="1">
        <v>1810</v>
      </c>
      <c r="B1811" s="1" t="s">
        <v>19</v>
      </c>
      <c r="C1811" s="1">
        <v>0.5</v>
      </c>
      <c r="D1811" s="1">
        <v>120</v>
      </c>
      <c r="E1811" s="1">
        <v>50</v>
      </c>
      <c r="F1811" s="1">
        <v>3</v>
      </c>
      <c r="G1811" s="1">
        <v>25</v>
      </c>
      <c r="H1811" s="1">
        <v>150</v>
      </c>
      <c r="I1811" s="1">
        <v>100</v>
      </c>
      <c r="J1811" s="1">
        <v>52.679000000000002</v>
      </c>
      <c r="K1811" s="1">
        <v>23.661000000000001</v>
      </c>
      <c r="L1811" s="1">
        <v>52.68</v>
      </c>
      <c r="M1811" s="1">
        <v>56.8</v>
      </c>
      <c r="N1811" s="1">
        <v>4.9869999999999998E-2</v>
      </c>
      <c r="O1811" s="1">
        <v>3.1510000000000002E-4</v>
      </c>
      <c r="P1811" s="1">
        <f>(Table1[[#This Row],[Rate_Constant_k2_g_mg_min]]*Table1[[#This Row],[Contact_Time_min]]*Table1[[#This Row],[qe_mg_g]]^2)/(1+Table1[[#This Row],[Contact_Time_min]]*Table1[[#This Row],[qe_mg_g]]*Table1[[#This Row],[Rate_Constant_k2_g_mg_min]])</f>
        <v>35.071784154844551</v>
      </c>
      <c r="Q1811" s="1">
        <f>LN(Table1[[#This Row],[qe_mg_g]]-Table1[[#This Row],[qt]])</f>
        <v>2.8683088092226927</v>
      </c>
      <c r="R1811" s="1">
        <v>1</v>
      </c>
    </row>
    <row r="1812" spans="1:18" x14ac:dyDescent="0.3">
      <c r="A1812" s="1">
        <v>1811</v>
      </c>
      <c r="B1812" s="1" t="s">
        <v>19</v>
      </c>
      <c r="C1812" s="1">
        <v>0.5</v>
      </c>
      <c r="D1812" s="1">
        <v>120</v>
      </c>
      <c r="E1812" s="1">
        <v>50</v>
      </c>
      <c r="F1812" s="1">
        <v>3</v>
      </c>
      <c r="G1812" s="1">
        <v>25</v>
      </c>
      <c r="H1812" s="1">
        <v>150</v>
      </c>
      <c r="I1812" s="1">
        <v>100</v>
      </c>
      <c r="J1812" s="1">
        <v>56.228000000000002</v>
      </c>
      <c r="K1812" s="1">
        <v>21.885999999999999</v>
      </c>
      <c r="L1812" s="1">
        <v>56.23</v>
      </c>
      <c r="M1812" s="1">
        <v>50.9</v>
      </c>
      <c r="N1812" s="1">
        <v>5.0299999999999997E-2</v>
      </c>
      <c r="O1812" s="1">
        <v>3.2749999999999999E-4</v>
      </c>
      <c r="P1812" s="1">
        <f>(Table1[[#This Row],[Rate_Constant_k2_g_mg_min]]*Table1[[#This Row],[Contact_Time_min]]*Table1[[#This Row],[qe_mg_g]]^2)/(1+Table1[[#This Row],[Contact_Time_min]]*Table1[[#This Row],[qe_mg_g]]*Table1[[#This Row],[Rate_Constant_k2_g_mg_min]])</f>
        <v>38.710181536042384</v>
      </c>
      <c r="Q1812" s="1">
        <f>LN(Table1[[#This Row],[qe_mg_g]]-Table1[[#This Row],[qt]])</f>
        <v>2.8632185608579768</v>
      </c>
      <c r="R1812" s="1">
        <v>2</v>
      </c>
    </row>
    <row r="1813" spans="1:18" x14ac:dyDescent="0.3">
      <c r="A1813" s="1">
        <v>1812</v>
      </c>
      <c r="B1813" s="1" t="s">
        <v>19</v>
      </c>
      <c r="C1813" s="1">
        <v>0.5</v>
      </c>
      <c r="D1813" s="1">
        <v>120</v>
      </c>
      <c r="E1813" s="1">
        <v>50</v>
      </c>
      <c r="F1813" s="1">
        <v>3</v>
      </c>
      <c r="G1813" s="1">
        <v>25</v>
      </c>
      <c r="H1813" s="1">
        <v>150</v>
      </c>
      <c r="I1813" s="1">
        <v>100</v>
      </c>
      <c r="J1813" s="1">
        <v>56.268999999999998</v>
      </c>
      <c r="K1813" s="1">
        <v>21.866</v>
      </c>
      <c r="L1813" s="1">
        <v>56.27</v>
      </c>
      <c r="M1813" s="1">
        <v>49.4</v>
      </c>
      <c r="N1813" s="1">
        <v>5.4350000000000002E-2</v>
      </c>
      <c r="O1813" s="1">
        <v>3.5050000000000001E-4</v>
      </c>
      <c r="P1813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39.555472744285254</v>
      </c>
      <c r="Q1813" s="1">
        <f>LN(Table1[[#This Row],[qe_mg_g]]-Table1[[#This Row],[qt]])</f>
        <v>2.8162184068496159</v>
      </c>
      <c r="R1813" s="1">
        <v>3</v>
      </c>
    </row>
    <row r="1814" spans="1:18" x14ac:dyDescent="0.3">
      <c r="A1814" s="1">
        <v>1813</v>
      </c>
      <c r="B1814" s="1" t="s">
        <v>19</v>
      </c>
      <c r="C1814" s="1">
        <v>0.5</v>
      </c>
      <c r="D1814" s="1">
        <v>120</v>
      </c>
      <c r="E1814" s="1">
        <v>50</v>
      </c>
      <c r="F1814" s="1">
        <v>7</v>
      </c>
      <c r="G1814" s="1">
        <v>25</v>
      </c>
      <c r="H1814" s="1">
        <v>150</v>
      </c>
      <c r="I1814" s="1">
        <v>100</v>
      </c>
      <c r="J1814" s="1">
        <v>66.051000000000002</v>
      </c>
      <c r="K1814" s="1">
        <v>16.975000000000001</v>
      </c>
      <c r="L1814" s="1">
        <v>66.05</v>
      </c>
      <c r="M1814" s="1">
        <v>42.5</v>
      </c>
      <c r="N1814" s="1">
        <v>5.6849999999999998E-2</v>
      </c>
      <c r="O1814" s="1">
        <v>3.2420000000000002E-4</v>
      </c>
      <c r="P1814" s="1">
        <f>(Table1[[#This Row],[Rate_Constant_k2_g_mg_min]]*Table1[[#This Row],[Contact_Time_min]]*Table1[[#This Row],[qe_mg_g]]^2)/(1+Table1[[#This Row],[Contact_Time_min]]*Table1[[#This Row],[qe_mg_g]]*Table1[[#This Row],[Rate_Constant_k2_g_mg_min]])</f>
        <v>47.547495431584423</v>
      </c>
      <c r="Q1814" s="1">
        <f>LN(Table1[[#This Row],[qe_mg_g]]-Table1[[#This Row],[qt]])</f>
        <v>2.9179601502740931</v>
      </c>
      <c r="R1814" s="1">
        <v>1</v>
      </c>
    </row>
    <row r="1815" spans="1:18" x14ac:dyDescent="0.3">
      <c r="A1815" s="1">
        <v>1814</v>
      </c>
      <c r="B1815" s="1" t="s">
        <v>19</v>
      </c>
      <c r="C1815" s="1">
        <v>0.5</v>
      </c>
      <c r="D1815" s="1">
        <v>120</v>
      </c>
      <c r="E1815" s="1">
        <v>50</v>
      </c>
      <c r="F1815" s="1">
        <v>7</v>
      </c>
      <c r="G1815" s="1">
        <v>25</v>
      </c>
      <c r="H1815" s="1">
        <v>150</v>
      </c>
      <c r="I1815" s="1">
        <v>100</v>
      </c>
      <c r="J1815" s="1">
        <v>81.933000000000007</v>
      </c>
      <c r="K1815" s="1">
        <v>9.0340000000000007</v>
      </c>
      <c r="L1815" s="1">
        <v>81.93</v>
      </c>
      <c r="M1815" s="1">
        <v>62.5</v>
      </c>
      <c r="N1815" s="1">
        <v>5.8959999999999999E-2</v>
      </c>
      <c r="O1815" s="1">
        <v>4.1370000000000003E-4</v>
      </c>
      <c r="P1815" s="1">
        <f>(Table1[[#This Row],[Rate_Constant_k2_g_mg_min]]*Table1[[#This Row],[Contact_Time_min]]*Table1[[#This Row],[qe_mg_g]]^2)/(1+Table1[[#This Row],[Contact_Time_min]]*Table1[[#This Row],[qe_mg_g]]*Table1[[#This Row],[Rate_Constant_k2_g_mg_min]])</f>
        <v>65.764614519218625</v>
      </c>
      <c r="Q1815" s="1">
        <f>LN(Table1[[#This Row],[qe_mg_g]]-Table1[[#This Row],[qt]])</f>
        <v>2.783057822022776</v>
      </c>
      <c r="R1815" s="1">
        <v>2</v>
      </c>
    </row>
    <row r="1816" spans="1:18" x14ac:dyDescent="0.3">
      <c r="A1816" s="1">
        <v>1815</v>
      </c>
      <c r="B1816" s="1" t="s">
        <v>19</v>
      </c>
      <c r="C1816" s="1">
        <v>0.5</v>
      </c>
      <c r="D1816" s="1">
        <v>120</v>
      </c>
      <c r="E1816" s="1">
        <v>50</v>
      </c>
      <c r="F1816" s="1">
        <v>7</v>
      </c>
      <c r="G1816" s="1">
        <v>25</v>
      </c>
      <c r="H1816" s="1">
        <v>150</v>
      </c>
      <c r="I1816" s="1">
        <v>100</v>
      </c>
      <c r="J1816" s="1">
        <v>75.846000000000004</v>
      </c>
      <c r="K1816" s="1">
        <v>12.077</v>
      </c>
      <c r="L1816" s="1">
        <v>75.849999999999994</v>
      </c>
      <c r="M1816" s="1">
        <v>59.9</v>
      </c>
      <c r="N1816" s="1">
        <v>5.1790000000000003E-2</v>
      </c>
      <c r="O1816" s="1">
        <v>4.3580000000000002E-4</v>
      </c>
      <c r="P1816" s="1">
        <f>(Table1[[#This Row],[Rate_Constant_k2_g_mg_min]]*Table1[[#This Row],[Contact_Time_min]]*Table1[[#This Row],[qe_mg_g]]^2)/(1+Table1[[#This Row],[Contact_Time_min]]*Table1[[#This Row],[qe_mg_g]]*Table1[[#This Row],[Rate_Constant_k2_g_mg_min]])</f>
        <v>60.574303754081015</v>
      </c>
      <c r="Q1816" s="1">
        <f>LN(Table1[[#This Row],[qe_mg_g]]-Table1[[#This Row],[qt]])</f>
        <v>2.7260011966184554</v>
      </c>
      <c r="R1816" s="1">
        <v>3</v>
      </c>
    </row>
    <row r="1817" spans="1:18" x14ac:dyDescent="0.3">
      <c r="A1817" s="1">
        <v>1816</v>
      </c>
      <c r="B1817" s="1" t="s">
        <v>19</v>
      </c>
      <c r="C1817" s="1">
        <v>0.5</v>
      </c>
      <c r="D1817" s="1">
        <v>120</v>
      </c>
      <c r="E1817" s="1">
        <v>50</v>
      </c>
      <c r="F1817" s="1">
        <v>11</v>
      </c>
      <c r="G1817" s="1">
        <v>25</v>
      </c>
      <c r="H1817" s="1">
        <v>150</v>
      </c>
      <c r="I1817" s="1">
        <v>100</v>
      </c>
      <c r="J1817" s="1">
        <v>71.334999999999994</v>
      </c>
      <c r="K1817" s="1">
        <v>14.333</v>
      </c>
      <c r="L1817" s="1">
        <v>71.33</v>
      </c>
      <c r="M1817" s="1">
        <v>54.6</v>
      </c>
      <c r="N1817" s="1">
        <v>5.713E-2</v>
      </c>
      <c r="O1817" s="1">
        <v>3.9760000000000002E-4</v>
      </c>
      <c r="P1817" s="1">
        <f>(Table1[[#This Row],[Rate_Constant_k2_g_mg_min]]*Table1[[#This Row],[Contact_Time_min]]*Table1[[#This Row],[qe_mg_g]]^2)/(1+Table1[[#This Row],[Contact_Time_min]]*Table1[[#This Row],[qe_mg_g]]*Table1[[#This Row],[Rate_Constant_k2_g_mg_min]])</f>
        <v>55.135516726614256</v>
      </c>
      <c r="Q1817" s="1">
        <f>LN(Table1[[#This Row],[qe_mg_g]]-Table1[[#This Row],[qt]])</f>
        <v>2.7849793450250435</v>
      </c>
      <c r="R1817" s="1">
        <v>1</v>
      </c>
    </row>
    <row r="1818" spans="1:18" x14ac:dyDescent="0.3">
      <c r="A1818" s="1">
        <v>1817</v>
      </c>
      <c r="B1818" s="1" t="s">
        <v>19</v>
      </c>
      <c r="C1818" s="1">
        <v>0.5</v>
      </c>
      <c r="D1818" s="1">
        <v>120</v>
      </c>
      <c r="E1818" s="1">
        <v>50</v>
      </c>
      <c r="F1818" s="1">
        <v>11</v>
      </c>
      <c r="G1818" s="1">
        <v>25</v>
      </c>
      <c r="H1818" s="1">
        <v>150</v>
      </c>
      <c r="I1818" s="1">
        <v>100</v>
      </c>
      <c r="J1818" s="1">
        <v>61.991999999999997</v>
      </c>
      <c r="K1818" s="1">
        <v>19.004000000000001</v>
      </c>
      <c r="L1818" s="1">
        <v>61.99</v>
      </c>
      <c r="M1818" s="1">
        <v>49.2</v>
      </c>
      <c r="N1818" s="1">
        <v>5.9810000000000002E-2</v>
      </c>
      <c r="O1818" s="1">
        <v>3.5270000000000001E-4</v>
      </c>
      <c r="P1818" s="1">
        <f>(Table1[[#This Row],[Rate_Constant_k2_g_mg_min]]*Table1[[#This Row],[Contact_Time_min]]*Table1[[#This Row],[qe_mg_g]]^2)/(1+Table1[[#This Row],[Contact_Time_min]]*Table1[[#This Row],[qe_mg_g]]*Table1[[#This Row],[Rate_Constant_k2_g_mg_min]])</f>
        <v>44.884856812023799</v>
      </c>
      <c r="Q1818" s="1">
        <f>LN(Table1[[#This Row],[qe_mg_g]]-Table1[[#This Row],[qt]])</f>
        <v>2.8394961065746123</v>
      </c>
      <c r="R1818" s="1">
        <v>2</v>
      </c>
    </row>
    <row r="1819" spans="1:18" x14ac:dyDescent="0.3">
      <c r="A1819" s="1">
        <v>1818</v>
      </c>
      <c r="B1819" s="1" t="s">
        <v>19</v>
      </c>
      <c r="C1819" s="1">
        <v>0.5</v>
      </c>
      <c r="D1819" s="1">
        <v>120</v>
      </c>
      <c r="E1819" s="1">
        <v>50</v>
      </c>
      <c r="F1819" s="1">
        <v>11</v>
      </c>
      <c r="G1819" s="1">
        <v>25</v>
      </c>
      <c r="H1819" s="1">
        <v>150</v>
      </c>
      <c r="I1819" s="1">
        <v>100</v>
      </c>
      <c r="J1819" s="1">
        <v>63.44</v>
      </c>
      <c r="K1819" s="1">
        <v>18.28</v>
      </c>
      <c r="L1819" s="1">
        <v>63.44</v>
      </c>
      <c r="M1819" s="1">
        <v>47.7</v>
      </c>
      <c r="N1819" s="1">
        <v>4.555E-2</v>
      </c>
      <c r="O1819" s="1">
        <v>3.5829999999999998E-4</v>
      </c>
      <c r="P1819" s="1">
        <f>(Table1[[#This Row],[Rate_Constant_k2_g_mg_min]]*Table1[[#This Row],[Contact_Time_min]]*Table1[[#This Row],[qe_mg_g]]^2)/(1+Table1[[#This Row],[Contact_Time_min]]*Table1[[#This Row],[qe_mg_g]]*Table1[[#This Row],[Rate_Constant_k2_g_mg_min]])</f>
        <v>46.421308970408248</v>
      </c>
      <c r="Q1819" s="1">
        <f>LN(Table1[[#This Row],[qe_mg_g]]-Table1[[#This Row],[qt]])</f>
        <v>2.834312212408105</v>
      </c>
      <c r="R1819" s="1">
        <v>3</v>
      </c>
    </row>
    <row r="1820" spans="1:18" x14ac:dyDescent="0.3">
      <c r="A1820" s="1">
        <v>1819</v>
      </c>
      <c r="B1820" s="1" t="s">
        <v>19</v>
      </c>
      <c r="C1820" s="1">
        <v>0.5</v>
      </c>
      <c r="D1820" s="1">
        <v>120</v>
      </c>
      <c r="E1820" s="1">
        <v>100</v>
      </c>
      <c r="F1820" s="1">
        <v>3</v>
      </c>
      <c r="G1820" s="1">
        <v>25</v>
      </c>
      <c r="H1820" s="1">
        <v>150</v>
      </c>
      <c r="I1820" s="1">
        <v>100</v>
      </c>
      <c r="J1820" s="1">
        <v>125.238</v>
      </c>
      <c r="K1820" s="1">
        <v>37.381</v>
      </c>
      <c r="L1820" s="1">
        <v>62.62</v>
      </c>
      <c r="M1820" s="1">
        <v>52.7</v>
      </c>
      <c r="N1820" s="1">
        <v>6.2899999999999998E-2</v>
      </c>
      <c r="O1820" s="1">
        <v>3.2539999999999999E-4</v>
      </c>
      <c r="P1820" s="1">
        <f>(Table1[[#This Row],[Rate_Constant_k2_g_mg_min]]*Table1[[#This Row],[Contact_Time_min]]*Table1[[#This Row],[qe_mg_g]]^2)/(1+Table1[[#This Row],[Contact_Time_min]]*Table1[[#This Row],[qe_mg_g]]*Table1[[#This Row],[Rate_Constant_k2_g_mg_min]])</f>
        <v>103.97624086764206</v>
      </c>
      <c r="Q1820" s="1">
        <f>LN(Table1[[#This Row],[qe_mg_g]]-Table1[[#This Row],[qt]])</f>
        <v>3.0569101132516825</v>
      </c>
      <c r="R1820" s="1">
        <v>1</v>
      </c>
    </row>
    <row r="1821" spans="1:18" x14ac:dyDescent="0.3">
      <c r="A1821" s="1">
        <v>1820</v>
      </c>
      <c r="B1821" s="1" t="s">
        <v>19</v>
      </c>
      <c r="C1821" s="1">
        <v>0.5</v>
      </c>
      <c r="D1821" s="1">
        <v>120</v>
      </c>
      <c r="E1821" s="1">
        <v>100</v>
      </c>
      <c r="F1821" s="1">
        <v>3</v>
      </c>
      <c r="G1821" s="1">
        <v>25</v>
      </c>
      <c r="H1821" s="1">
        <v>150</v>
      </c>
      <c r="I1821" s="1">
        <v>100</v>
      </c>
      <c r="J1821" s="1">
        <v>109.081</v>
      </c>
      <c r="K1821" s="1">
        <v>45.459000000000003</v>
      </c>
      <c r="L1821" s="1">
        <v>54.54</v>
      </c>
      <c r="M1821" s="1">
        <v>54</v>
      </c>
      <c r="N1821" s="1">
        <v>5.4550000000000001E-2</v>
      </c>
      <c r="O1821" s="1">
        <v>3.769E-4</v>
      </c>
      <c r="P1821" s="1">
        <f>(Table1[[#This Row],[Rate_Constant_k2_g_mg_min]]*Table1[[#This Row],[Contact_Time_min]]*Table1[[#This Row],[qe_mg_g]]^2)/(1+Table1[[#This Row],[Contact_Time_min]]*Table1[[#This Row],[qe_mg_g]]*Table1[[#This Row],[Rate_Constant_k2_g_mg_min]])</f>
        <v>90.697126124843876</v>
      </c>
      <c r="Q1821" s="1">
        <f>LN(Table1[[#This Row],[qe_mg_g]]-Table1[[#This Row],[qt]])</f>
        <v>2.9114738605060668</v>
      </c>
      <c r="R1821" s="1">
        <v>2</v>
      </c>
    </row>
    <row r="1822" spans="1:18" x14ac:dyDescent="0.3">
      <c r="A1822" s="1">
        <v>1821</v>
      </c>
      <c r="B1822" s="1" t="s">
        <v>19</v>
      </c>
      <c r="C1822" s="1">
        <v>0.5</v>
      </c>
      <c r="D1822" s="1">
        <v>120</v>
      </c>
      <c r="E1822" s="1">
        <v>100</v>
      </c>
      <c r="F1822" s="1">
        <v>3</v>
      </c>
      <c r="G1822" s="1">
        <v>25</v>
      </c>
      <c r="H1822" s="1">
        <v>150</v>
      </c>
      <c r="I1822" s="1">
        <v>100</v>
      </c>
      <c r="J1822" s="1">
        <v>111.38800000000001</v>
      </c>
      <c r="K1822" s="1">
        <v>44.305999999999997</v>
      </c>
      <c r="L1822" s="1">
        <v>55.69</v>
      </c>
      <c r="M1822" s="1">
        <v>65.7</v>
      </c>
      <c r="N1822" s="1">
        <v>6.5820000000000004E-2</v>
      </c>
      <c r="O1822" s="1">
        <v>3.4860000000000002E-4</v>
      </c>
      <c r="P1822" s="1">
        <f>(Table1[[#This Row],[Rate_Constant_k2_g_mg_min]]*Table1[[#This Row],[Contact_Time_min]]*Table1[[#This Row],[qe_mg_g]]^2)/(1+Table1[[#This Row],[Contact_Time_min]]*Table1[[#This Row],[qe_mg_g]]*Table1[[#This Row],[Rate_Constant_k2_g_mg_min]])</f>
        <v>91.706690684214564</v>
      </c>
      <c r="Q1822" s="1">
        <f>LN(Table1[[#This Row],[qe_mg_g]]-Table1[[#This Row],[qt]])</f>
        <v>2.9796694196847175</v>
      </c>
      <c r="R1822" s="1">
        <v>3</v>
      </c>
    </row>
    <row r="1823" spans="1:18" x14ac:dyDescent="0.3">
      <c r="A1823" s="1">
        <v>1822</v>
      </c>
      <c r="B1823" s="1" t="s">
        <v>19</v>
      </c>
      <c r="C1823" s="1">
        <v>0.5</v>
      </c>
      <c r="D1823" s="1">
        <v>120</v>
      </c>
      <c r="E1823" s="1">
        <v>100</v>
      </c>
      <c r="F1823" s="1">
        <v>7</v>
      </c>
      <c r="G1823" s="1">
        <v>25</v>
      </c>
      <c r="H1823" s="1">
        <v>150</v>
      </c>
      <c r="I1823" s="1">
        <v>100</v>
      </c>
      <c r="J1823" s="1">
        <v>177.292</v>
      </c>
      <c r="K1823" s="1">
        <v>11.353999999999999</v>
      </c>
      <c r="L1823" s="1">
        <v>88.65</v>
      </c>
      <c r="M1823" s="1">
        <v>45.9</v>
      </c>
      <c r="N1823" s="1">
        <v>6.0909999999999999E-2</v>
      </c>
      <c r="O1823" s="1">
        <v>3.8670000000000002E-4</v>
      </c>
      <c r="P1823" s="1">
        <f>(Table1[[#This Row],[Rate_Constant_k2_g_mg_min]]*Table1[[#This Row],[Contact_Time_min]]*Table1[[#This Row],[qe_mg_g]]^2)/(1+Table1[[#This Row],[Contact_Time_min]]*Table1[[#This Row],[qe_mg_g]]*Table1[[#This Row],[Rate_Constant_k2_g_mg_min]])</f>
        <v>158.07764146720879</v>
      </c>
      <c r="Q1823" s="1">
        <f>LN(Table1[[#This Row],[qe_mg_g]]-Table1[[#This Row],[qt]])</f>
        <v>2.9556578397900939</v>
      </c>
      <c r="R1823" s="1">
        <v>1</v>
      </c>
    </row>
    <row r="1824" spans="1:18" x14ac:dyDescent="0.3">
      <c r="A1824" s="1">
        <v>1823</v>
      </c>
      <c r="B1824" s="1" t="s">
        <v>19</v>
      </c>
      <c r="C1824" s="1">
        <v>0.5</v>
      </c>
      <c r="D1824" s="1">
        <v>120</v>
      </c>
      <c r="E1824" s="1">
        <v>100</v>
      </c>
      <c r="F1824" s="1">
        <v>7</v>
      </c>
      <c r="G1824" s="1">
        <v>25</v>
      </c>
      <c r="H1824" s="1">
        <v>150</v>
      </c>
      <c r="I1824" s="1">
        <v>100</v>
      </c>
      <c r="J1824" s="1">
        <v>172.88300000000001</v>
      </c>
      <c r="K1824" s="1">
        <v>13.558</v>
      </c>
      <c r="L1824" s="1">
        <v>86.44</v>
      </c>
      <c r="M1824" s="1">
        <v>54.4</v>
      </c>
      <c r="N1824" s="1">
        <v>3.875E-2</v>
      </c>
      <c r="O1824" s="1">
        <v>3.2749999999999999E-4</v>
      </c>
      <c r="P1824" s="1">
        <f>(Table1[[#This Row],[Rate_Constant_k2_g_mg_min]]*Table1[[#This Row],[Contact_Time_min]]*Table1[[#This Row],[qe_mg_g]]^2)/(1+Table1[[#This Row],[Contact_Time_min]]*Table1[[#This Row],[qe_mg_g]]*Table1[[#This Row],[Rate_Constant_k2_g_mg_min]])</f>
        <v>150.70230925718954</v>
      </c>
      <c r="Q1824" s="1">
        <f>LN(Table1[[#This Row],[qe_mg_g]]-Table1[[#This Row],[qt]])</f>
        <v>3.0992221240347066</v>
      </c>
      <c r="R1824" s="1">
        <v>2</v>
      </c>
    </row>
    <row r="1825" spans="1:18" x14ac:dyDescent="0.3">
      <c r="A1825" s="1">
        <v>1824</v>
      </c>
      <c r="B1825" s="1" t="s">
        <v>19</v>
      </c>
      <c r="C1825" s="1">
        <v>0.5</v>
      </c>
      <c r="D1825" s="1">
        <v>120</v>
      </c>
      <c r="E1825" s="1">
        <v>100</v>
      </c>
      <c r="F1825" s="1">
        <v>7</v>
      </c>
      <c r="G1825" s="1">
        <v>25</v>
      </c>
      <c r="H1825" s="1">
        <v>150</v>
      </c>
      <c r="I1825" s="1">
        <v>100</v>
      </c>
      <c r="J1825" s="1">
        <v>155.887</v>
      </c>
      <c r="K1825" s="1">
        <v>22.056999999999999</v>
      </c>
      <c r="L1825" s="1">
        <v>77.94</v>
      </c>
      <c r="M1825" s="1">
        <v>46.5</v>
      </c>
      <c r="N1825" s="1">
        <v>5.5669999999999997E-2</v>
      </c>
      <c r="O1825" s="1">
        <v>3.3530000000000002E-4</v>
      </c>
      <c r="P1825" s="1">
        <f>(Table1[[#This Row],[Rate_Constant_k2_g_mg_min]]*Table1[[#This Row],[Contact_Time_min]]*Table1[[#This Row],[qe_mg_g]]^2)/(1+Table1[[#This Row],[Contact_Time_min]]*Table1[[#This Row],[qe_mg_g]]*Table1[[#This Row],[Rate_Constant_k2_g_mg_min]])</f>
        <v>134.45118775442572</v>
      </c>
      <c r="Q1825" s="1">
        <f>LN(Table1[[#This Row],[qe_mg_g]]-Table1[[#This Row],[qt]])</f>
        <v>3.0650629927574418</v>
      </c>
      <c r="R1825" s="1">
        <v>3</v>
      </c>
    </row>
    <row r="1826" spans="1:18" x14ac:dyDescent="0.3">
      <c r="A1826" s="1">
        <v>1825</v>
      </c>
      <c r="B1826" s="1" t="s">
        <v>19</v>
      </c>
      <c r="C1826" s="1">
        <v>0.5</v>
      </c>
      <c r="D1826" s="1">
        <v>120</v>
      </c>
      <c r="E1826" s="1">
        <v>100</v>
      </c>
      <c r="F1826" s="1">
        <v>11</v>
      </c>
      <c r="G1826" s="1">
        <v>25</v>
      </c>
      <c r="H1826" s="1">
        <v>150</v>
      </c>
      <c r="I1826" s="1">
        <v>100</v>
      </c>
      <c r="J1826" s="1">
        <v>127.99</v>
      </c>
      <c r="K1826" s="1">
        <v>36.005000000000003</v>
      </c>
      <c r="L1826" s="1">
        <v>63.99</v>
      </c>
      <c r="M1826" s="1">
        <v>45.9</v>
      </c>
      <c r="N1826" s="1">
        <v>5.1060000000000001E-2</v>
      </c>
      <c r="O1826" s="1">
        <v>3.8929999999999998E-4</v>
      </c>
      <c r="P1826" s="1">
        <f>(Table1[[#This Row],[Rate_Constant_k2_g_mg_min]]*Table1[[#This Row],[Contact_Time_min]]*Table1[[#This Row],[qe_mg_g]]^2)/(1+Table1[[#This Row],[Contact_Time_min]]*Table1[[#This Row],[qe_mg_g]]*Table1[[#This Row],[Rate_Constant_k2_g_mg_min]])</f>
        <v>109.65117157096044</v>
      </c>
      <c r="Q1826" s="1">
        <f>LN(Table1[[#This Row],[qe_mg_g]]-Table1[[#This Row],[qt]])</f>
        <v>2.9090205841466181</v>
      </c>
      <c r="R1826" s="1">
        <v>1</v>
      </c>
    </row>
    <row r="1827" spans="1:18" x14ac:dyDescent="0.3">
      <c r="A1827" s="1">
        <v>1826</v>
      </c>
      <c r="B1827" s="1" t="s">
        <v>19</v>
      </c>
      <c r="C1827" s="1">
        <v>0.5</v>
      </c>
      <c r="D1827" s="1">
        <v>120</v>
      </c>
      <c r="E1827" s="1">
        <v>100</v>
      </c>
      <c r="F1827" s="1">
        <v>11</v>
      </c>
      <c r="G1827" s="1">
        <v>25</v>
      </c>
      <c r="H1827" s="1">
        <v>150</v>
      </c>
      <c r="I1827" s="1">
        <v>100</v>
      </c>
      <c r="J1827" s="1">
        <v>129.54499999999999</v>
      </c>
      <c r="K1827" s="1">
        <v>35.226999999999997</v>
      </c>
      <c r="L1827" s="1">
        <v>64.77</v>
      </c>
      <c r="M1827" s="1">
        <v>50.3</v>
      </c>
      <c r="N1827" s="1">
        <v>5.2490000000000002E-2</v>
      </c>
      <c r="O1827" s="1">
        <v>3.6190000000000001E-4</v>
      </c>
      <c r="P1827" s="1">
        <f>(Table1[[#This Row],[Rate_Constant_k2_g_mg_min]]*Table1[[#This Row],[Contact_Time_min]]*Table1[[#This Row],[qe_mg_g]]^2)/(1+Table1[[#This Row],[Contact_Time_min]]*Table1[[#This Row],[qe_mg_g]]*Table1[[#This Row],[Rate_Constant_k2_g_mg_min]])</f>
        <v>109.99363551458141</v>
      </c>
      <c r="Q1827" s="1">
        <f>LN(Table1[[#This Row],[qe_mg_g]]-Table1[[#This Row],[qt]])</f>
        <v>2.973045078646408</v>
      </c>
      <c r="R1827" s="1">
        <v>2</v>
      </c>
    </row>
    <row r="1828" spans="1:18" x14ac:dyDescent="0.3">
      <c r="A1828" s="1">
        <v>1827</v>
      </c>
      <c r="B1828" s="1" t="s">
        <v>19</v>
      </c>
      <c r="C1828" s="1">
        <v>0.5</v>
      </c>
      <c r="D1828" s="1">
        <v>120</v>
      </c>
      <c r="E1828" s="1">
        <v>100</v>
      </c>
      <c r="F1828" s="1">
        <v>11</v>
      </c>
      <c r="G1828" s="1">
        <v>25</v>
      </c>
      <c r="H1828" s="1">
        <v>150</v>
      </c>
      <c r="I1828" s="1">
        <v>100</v>
      </c>
      <c r="J1828" s="1">
        <v>140.16800000000001</v>
      </c>
      <c r="K1828" s="1">
        <v>29.916</v>
      </c>
      <c r="L1828" s="1">
        <v>70.08</v>
      </c>
      <c r="M1828" s="1">
        <v>29.6</v>
      </c>
      <c r="N1828" s="1">
        <v>6.062E-2</v>
      </c>
      <c r="O1828" s="1">
        <v>4.0030000000000003E-4</v>
      </c>
      <c r="P1828" s="1">
        <f>(Table1[[#This Row],[Rate_Constant_k2_g_mg_min]]*Table1[[#This Row],[Contact_Time_min]]*Table1[[#This Row],[qe_mg_g]]^2)/(1+Table1[[#This Row],[Contact_Time_min]]*Table1[[#This Row],[qe_mg_g]]*Table1[[#This Row],[Rate_Constant_k2_g_mg_min]])</f>
        <v>122.0423042411182</v>
      </c>
      <c r="Q1828" s="1">
        <f>LN(Table1[[#This Row],[qe_mg_g]]-Table1[[#This Row],[qt]])</f>
        <v>2.8973305867009151</v>
      </c>
      <c r="R1828" s="1">
        <v>3</v>
      </c>
    </row>
    <row r="1829" spans="1:18" x14ac:dyDescent="0.3">
      <c r="A1829" s="1">
        <v>1828</v>
      </c>
      <c r="B1829" s="1" t="s">
        <v>19</v>
      </c>
      <c r="C1829" s="1">
        <v>0.5</v>
      </c>
      <c r="D1829" s="1">
        <v>120</v>
      </c>
      <c r="E1829" s="1">
        <v>200</v>
      </c>
      <c r="F1829" s="1">
        <v>3</v>
      </c>
      <c r="G1829" s="1">
        <v>25</v>
      </c>
      <c r="H1829" s="1">
        <v>150</v>
      </c>
      <c r="I1829" s="1">
        <v>100</v>
      </c>
      <c r="J1829" s="1">
        <v>172.947</v>
      </c>
      <c r="K1829" s="1">
        <v>113.526</v>
      </c>
      <c r="L1829" s="1">
        <v>43.24</v>
      </c>
      <c r="M1829" s="1">
        <v>46.6</v>
      </c>
      <c r="N1829" s="1">
        <v>5.2519999999999997E-2</v>
      </c>
      <c r="O1829" s="1">
        <v>3.235E-4</v>
      </c>
      <c r="P1829" s="1">
        <f>(Table1[[#This Row],[Rate_Constant_k2_g_mg_min]]*Table1[[#This Row],[Contact_Time_min]]*Table1[[#This Row],[qe_mg_g]]^2)/(1+Table1[[#This Row],[Contact_Time_min]]*Table1[[#This Row],[qe_mg_g]]*Table1[[#This Row],[Rate_Constant_k2_g_mg_min]])</f>
        <v>150.52654016800645</v>
      </c>
      <c r="Q1829" s="1">
        <f>LN(Table1[[#This Row],[qe_mg_g]]-Table1[[#This Row],[qt]])</f>
        <v>3.1099739273352744</v>
      </c>
      <c r="R1829" s="1">
        <v>1</v>
      </c>
    </row>
    <row r="1830" spans="1:18" x14ac:dyDescent="0.3">
      <c r="A1830" s="1">
        <v>1829</v>
      </c>
      <c r="B1830" s="1" t="s">
        <v>19</v>
      </c>
      <c r="C1830" s="1">
        <v>0.5</v>
      </c>
      <c r="D1830" s="1">
        <v>120</v>
      </c>
      <c r="E1830" s="1">
        <v>200</v>
      </c>
      <c r="F1830" s="1">
        <v>3</v>
      </c>
      <c r="G1830" s="1">
        <v>25</v>
      </c>
      <c r="H1830" s="1">
        <v>150</v>
      </c>
      <c r="I1830" s="1">
        <v>100</v>
      </c>
      <c r="J1830" s="1">
        <v>189.596</v>
      </c>
      <c r="K1830" s="1">
        <v>105.202</v>
      </c>
      <c r="L1830" s="1">
        <v>47.4</v>
      </c>
      <c r="M1830" s="1">
        <v>38.6</v>
      </c>
      <c r="N1830" s="1">
        <v>4.8849999999999998E-2</v>
      </c>
      <c r="O1830" s="1">
        <v>4.0390000000000001E-4</v>
      </c>
      <c r="P1830" s="1">
        <f>(Table1[[#This Row],[Rate_Constant_k2_g_mg_min]]*Table1[[#This Row],[Contact_Time_min]]*Table1[[#This Row],[qe_mg_g]]^2)/(1+Table1[[#This Row],[Contact_Time_min]]*Table1[[#This Row],[qe_mg_g]]*Table1[[#This Row],[Rate_Constant_k2_g_mg_min]])</f>
        <v>170.98870846325508</v>
      </c>
      <c r="Q1830" s="1">
        <f>LN(Table1[[#This Row],[qe_mg_g]]-Table1[[#This Row],[qt]])</f>
        <v>2.9235535220047</v>
      </c>
      <c r="R1830" s="1">
        <v>2</v>
      </c>
    </row>
    <row r="1831" spans="1:18" x14ac:dyDescent="0.3">
      <c r="A1831" s="1">
        <v>1830</v>
      </c>
      <c r="B1831" s="1" t="s">
        <v>19</v>
      </c>
      <c r="C1831" s="1">
        <v>0.5</v>
      </c>
      <c r="D1831" s="1">
        <v>120</v>
      </c>
      <c r="E1831" s="1">
        <v>200</v>
      </c>
      <c r="F1831" s="1">
        <v>3</v>
      </c>
      <c r="G1831" s="1">
        <v>25</v>
      </c>
      <c r="H1831" s="1">
        <v>150</v>
      </c>
      <c r="I1831" s="1">
        <v>100</v>
      </c>
      <c r="J1831" s="1">
        <v>174.541</v>
      </c>
      <c r="K1831" s="1">
        <v>112.729</v>
      </c>
      <c r="L1831" s="1">
        <v>43.64</v>
      </c>
      <c r="M1831" s="1">
        <v>64.7</v>
      </c>
      <c r="N1831" s="1">
        <v>5.6950000000000001E-2</v>
      </c>
      <c r="O1831" s="1">
        <v>2.8669999999999998E-4</v>
      </c>
      <c r="P1831" s="1">
        <f>(Table1[[#This Row],[Rate_Constant_k2_g_mg_min]]*Table1[[#This Row],[Contact_Time_min]]*Table1[[#This Row],[qe_mg_g]]^2)/(1+Table1[[#This Row],[Contact_Time_min]]*Table1[[#This Row],[qe_mg_g]]*Table1[[#This Row],[Rate_Constant_k2_g_mg_min]])</f>
        <v>149.62404378204013</v>
      </c>
      <c r="Q1831" s="1">
        <f>LN(Table1[[#This Row],[qe_mg_g]]-Table1[[#This Row],[qt]])</f>
        <v>3.2155485443228522</v>
      </c>
      <c r="R1831" s="1">
        <v>3</v>
      </c>
    </row>
    <row r="1832" spans="1:18" x14ac:dyDescent="0.3">
      <c r="A1832" s="1">
        <v>1831</v>
      </c>
      <c r="B1832" s="1" t="s">
        <v>19</v>
      </c>
      <c r="C1832" s="1">
        <v>0.5</v>
      </c>
      <c r="D1832" s="1">
        <v>120</v>
      </c>
      <c r="E1832" s="1">
        <v>200</v>
      </c>
      <c r="F1832" s="1">
        <v>7</v>
      </c>
      <c r="G1832" s="1">
        <v>25</v>
      </c>
      <c r="H1832" s="1">
        <v>150</v>
      </c>
      <c r="I1832" s="1">
        <v>100</v>
      </c>
      <c r="J1832" s="1">
        <v>266.81299999999999</v>
      </c>
      <c r="K1832" s="1">
        <v>66.593999999999994</v>
      </c>
      <c r="L1832" s="1">
        <v>66.7</v>
      </c>
      <c r="M1832" s="1">
        <v>53.6</v>
      </c>
      <c r="N1832" s="1">
        <v>5.2490000000000002E-2</v>
      </c>
      <c r="O1832" s="1">
        <v>3.5859999999999999E-4</v>
      </c>
      <c r="P1832" s="1">
        <f>(Table1[[#This Row],[Rate_Constant_k2_g_mg_min]]*Table1[[#This Row],[Contact_Time_min]]*Table1[[#This Row],[qe_mg_g]]^2)/(1+Table1[[#This Row],[Contact_Time_min]]*Table1[[#This Row],[qe_mg_g]]*Table1[[#This Row],[Rate_Constant_k2_g_mg_min]])</f>
        <v>245.43631740672029</v>
      </c>
      <c r="Q1832" s="1">
        <f>LN(Table1[[#This Row],[qe_mg_g]]-Table1[[#This Row],[qt]])</f>
        <v>3.0623007295389941</v>
      </c>
      <c r="R1832" s="1">
        <v>1</v>
      </c>
    </row>
    <row r="1833" spans="1:18" x14ac:dyDescent="0.3">
      <c r="A1833" s="1">
        <v>1832</v>
      </c>
      <c r="B1833" s="1" t="s">
        <v>19</v>
      </c>
      <c r="C1833" s="1">
        <v>0.5</v>
      </c>
      <c r="D1833" s="1">
        <v>120</v>
      </c>
      <c r="E1833" s="1">
        <v>200</v>
      </c>
      <c r="F1833" s="1">
        <v>7</v>
      </c>
      <c r="G1833" s="1">
        <v>25</v>
      </c>
      <c r="H1833" s="1">
        <v>150</v>
      </c>
      <c r="I1833" s="1">
        <v>100</v>
      </c>
      <c r="J1833" s="1">
        <v>263.93900000000002</v>
      </c>
      <c r="K1833" s="1">
        <v>68.03</v>
      </c>
      <c r="L1833" s="1">
        <v>65.98</v>
      </c>
      <c r="M1833" s="1">
        <v>60.3</v>
      </c>
      <c r="N1833" s="1">
        <v>6.148E-2</v>
      </c>
      <c r="O1833" s="1">
        <v>3.6430000000000002E-4</v>
      </c>
      <c r="P1833" s="1">
        <f>(Table1[[#This Row],[Rate_Constant_k2_g_mg_min]]*Table1[[#This Row],[Contact_Time_min]]*Table1[[#This Row],[qe_mg_g]]^2)/(1+Table1[[#This Row],[Contact_Time_min]]*Table1[[#This Row],[qe_mg_g]]*Table1[[#This Row],[Rate_Constant_k2_g_mg_min]])</f>
        <v>242.88847534356938</v>
      </c>
      <c r="Q1833" s="1">
        <f>LN(Table1[[#This Row],[qe_mg_g]]-Table1[[#This Row],[qt]])</f>
        <v>3.0469254841137778</v>
      </c>
      <c r="R1833" s="1">
        <v>2</v>
      </c>
    </row>
    <row r="1834" spans="1:18" x14ac:dyDescent="0.3">
      <c r="A1834" s="1">
        <v>1833</v>
      </c>
      <c r="B1834" s="1" t="s">
        <v>19</v>
      </c>
      <c r="C1834" s="1">
        <v>0.5</v>
      </c>
      <c r="D1834" s="1">
        <v>120</v>
      </c>
      <c r="E1834" s="1">
        <v>200</v>
      </c>
      <c r="F1834" s="1">
        <v>7</v>
      </c>
      <c r="G1834" s="1">
        <v>25</v>
      </c>
      <c r="H1834" s="1">
        <v>150</v>
      </c>
      <c r="I1834" s="1">
        <v>100</v>
      </c>
      <c r="J1834" s="1">
        <v>230.85300000000001</v>
      </c>
      <c r="K1834" s="1">
        <v>84.572999999999993</v>
      </c>
      <c r="L1834" s="1">
        <v>57.71</v>
      </c>
      <c r="M1834" s="1">
        <v>50.7</v>
      </c>
      <c r="N1834" s="1">
        <v>7.1190000000000003E-2</v>
      </c>
      <c r="O1834" s="1">
        <v>3.7540000000000002E-4</v>
      </c>
      <c r="P1834" s="1">
        <f>(Table1[[#This Row],[Rate_Constant_k2_g_mg_min]]*Table1[[#This Row],[Contact_Time_min]]*Table1[[#This Row],[qe_mg_g]]^2)/(1+Table1[[#This Row],[Contact_Time_min]]*Table1[[#This Row],[qe_mg_g]]*Table1[[#This Row],[Rate_Constant_k2_g_mg_min]])</f>
        <v>210.6017881332277</v>
      </c>
      <c r="Q1834" s="1">
        <f>LN(Table1[[#This Row],[qe_mg_g]]-Table1[[#This Row],[qt]])</f>
        <v>3.0082146370345977</v>
      </c>
      <c r="R1834" s="1">
        <v>3</v>
      </c>
    </row>
    <row r="1835" spans="1:18" x14ac:dyDescent="0.3">
      <c r="A1835" s="1">
        <v>1834</v>
      </c>
      <c r="B1835" s="1" t="s">
        <v>19</v>
      </c>
      <c r="C1835" s="1">
        <v>0.5</v>
      </c>
      <c r="D1835" s="1">
        <v>120</v>
      </c>
      <c r="E1835" s="1">
        <v>200</v>
      </c>
      <c r="F1835" s="1">
        <v>11</v>
      </c>
      <c r="G1835" s="1">
        <v>25</v>
      </c>
      <c r="H1835" s="1">
        <v>150</v>
      </c>
      <c r="I1835" s="1">
        <v>100</v>
      </c>
      <c r="J1835" s="1">
        <v>249.66300000000001</v>
      </c>
      <c r="K1835" s="1">
        <v>75.168999999999997</v>
      </c>
      <c r="L1835" s="1">
        <v>62.42</v>
      </c>
      <c r="M1835" s="1">
        <v>66</v>
      </c>
      <c r="N1835" s="1">
        <v>5.6329999999999998E-2</v>
      </c>
      <c r="O1835" s="1">
        <v>3.6049999999999998E-4</v>
      </c>
      <c r="P1835" s="1">
        <f>(Table1[[#This Row],[Rate_Constant_k2_g_mg_min]]*Table1[[#This Row],[Contact_Time_min]]*Table1[[#This Row],[qe_mg_g]]^2)/(1+Table1[[#This Row],[Contact_Time_min]]*Table1[[#This Row],[qe_mg_g]]*Table1[[#This Row],[Rate_Constant_k2_g_mg_min]])</f>
        <v>228.5058741686172</v>
      </c>
      <c r="Q1835" s="1">
        <f>LN(Table1[[#This Row],[qe_mg_g]]-Table1[[#This Row],[qt]])</f>
        <v>3.0519767674894172</v>
      </c>
      <c r="R1835" s="1">
        <v>1</v>
      </c>
    </row>
    <row r="1836" spans="1:18" x14ac:dyDescent="0.3">
      <c r="A1836" s="1">
        <v>1835</v>
      </c>
      <c r="B1836" s="1" t="s">
        <v>19</v>
      </c>
      <c r="C1836" s="1">
        <v>0.5</v>
      </c>
      <c r="D1836" s="1">
        <v>120</v>
      </c>
      <c r="E1836" s="1">
        <v>200</v>
      </c>
      <c r="F1836" s="1">
        <v>11</v>
      </c>
      <c r="G1836" s="1">
        <v>25</v>
      </c>
      <c r="H1836" s="1">
        <v>150</v>
      </c>
      <c r="I1836" s="1">
        <v>100</v>
      </c>
      <c r="J1836" s="1">
        <v>213.59800000000001</v>
      </c>
      <c r="K1836" s="1">
        <v>93.200999999999993</v>
      </c>
      <c r="L1836" s="1">
        <v>53.4</v>
      </c>
      <c r="M1836" s="1">
        <v>40.299999999999997</v>
      </c>
      <c r="N1836" s="1">
        <v>5.5100000000000003E-2</v>
      </c>
      <c r="O1836" s="1">
        <v>3.924E-4</v>
      </c>
      <c r="P1836" s="1">
        <f>(Table1[[#This Row],[Rate_Constant_k2_g_mg_min]]*Table1[[#This Row],[Contact_Time_min]]*Table1[[#This Row],[qe_mg_g]]^2)/(1+Table1[[#This Row],[Contact_Time_min]]*Table1[[#This Row],[qe_mg_g]]*Table1[[#This Row],[Rate_Constant_k2_g_mg_min]])</f>
        <v>194.28167869903211</v>
      </c>
      <c r="Q1836" s="1">
        <f>LN(Table1[[#This Row],[qe_mg_g]]-Table1[[#This Row],[qt]])</f>
        <v>2.9609504018017119</v>
      </c>
      <c r="R1836" s="1">
        <v>2</v>
      </c>
    </row>
    <row r="1837" spans="1:18" x14ac:dyDescent="0.3">
      <c r="A1837" s="1">
        <v>1836</v>
      </c>
      <c r="B1837" s="1" t="s">
        <v>19</v>
      </c>
      <c r="C1837" s="1">
        <v>0.5</v>
      </c>
      <c r="D1837" s="1">
        <v>120</v>
      </c>
      <c r="E1837" s="1">
        <v>200</v>
      </c>
      <c r="F1837" s="1">
        <v>11</v>
      </c>
      <c r="G1837" s="1">
        <v>25</v>
      </c>
      <c r="H1837" s="1">
        <v>150</v>
      </c>
      <c r="I1837" s="1">
        <v>100</v>
      </c>
      <c r="J1837" s="1">
        <v>205.15799999999999</v>
      </c>
      <c r="K1837" s="1">
        <v>97.421000000000006</v>
      </c>
      <c r="L1837" s="1">
        <v>51.29</v>
      </c>
      <c r="M1837" s="1">
        <v>57.9</v>
      </c>
      <c r="N1837" s="1">
        <v>5.9679999999999997E-2</v>
      </c>
      <c r="O1837" s="1">
        <v>3.1819999999999998E-4</v>
      </c>
      <c r="P1837" s="1">
        <f>(Table1[[#This Row],[Rate_Constant_k2_g_mg_min]]*Table1[[#This Row],[Contact_Time_min]]*Table1[[#This Row],[qe_mg_g]]^2)/(1+Table1[[#This Row],[Contact_Time_min]]*Table1[[#This Row],[qe_mg_g]]*Table1[[#This Row],[Rate_Constant_k2_g_mg_min]])</f>
        <v>181.93366960182738</v>
      </c>
      <c r="Q1837" s="1">
        <f>LN(Table1[[#This Row],[qe_mg_g]]-Table1[[#This Row],[qt]])</f>
        <v>3.1452004532045201</v>
      </c>
      <c r="R1837" s="1">
        <v>3</v>
      </c>
    </row>
    <row r="1838" spans="1:18" x14ac:dyDescent="0.3">
      <c r="A1838" s="1">
        <v>1837</v>
      </c>
      <c r="B1838" s="1" t="s">
        <v>19</v>
      </c>
      <c r="C1838" s="1">
        <v>0.5</v>
      </c>
      <c r="D1838" s="1">
        <v>240</v>
      </c>
      <c r="E1838" s="1">
        <v>25</v>
      </c>
      <c r="F1838" s="1">
        <v>3</v>
      </c>
      <c r="G1838" s="1">
        <v>25</v>
      </c>
      <c r="H1838" s="1">
        <v>150</v>
      </c>
      <c r="I1838" s="1">
        <v>100</v>
      </c>
      <c r="J1838" s="1">
        <v>26.260999999999999</v>
      </c>
      <c r="K1838" s="1">
        <v>11.87</v>
      </c>
      <c r="L1838" s="1">
        <v>52.52</v>
      </c>
      <c r="M1838" s="1">
        <v>46.2</v>
      </c>
      <c r="N1838" s="1">
        <v>5.0479999999999997E-2</v>
      </c>
      <c r="O1838" s="1">
        <v>3.0489999999999998E-4</v>
      </c>
      <c r="P1838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17.272662633505234</v>
      </c>
      <c r="Q1838" s="1">
        <f>LN(Table1[[#This Row],[qe_mg_g]]-Table1[[#This Row],[qt]])</f>
        <v>2.1959278888316898</v>
      </c>
      <c r="R1838" s="1">
        <v>1</v>
      </c>
    </row>
    <row r="1839" spans="1:18" x14ac:dyDescent="0.3">
      <c r="A1839" s="1">
        <v>1838</v>
      </c>
      <c r="B1839" s="1" t="s">
        <v>19</v>
      </c>
      <c r="C1839" s="1">
        <v>0.5</v>
      </c>
      <c r="D1839" s="1">
        <v>240</v>
      </c>
      <c r="E1839" s="1">
        <v>25</v>
      </c>
      <c r="F1839" s="1">
        <v>3</v>
      </c>
      <c r="G1839" s="1">
        <v>25</v>
      </c>
      <c r="H1839" s="1">
        <v>150</v>
      </c>
      <c r="I1839" s="1">
        <v>100</v>
      </c>
      <c r="J1839" s="1">
        <v>25.408000000000001</v>
      </c>
      <c r="K1839" s="1">
        <v>12.295999999999999</v>
      </c>
      <c r="L1839" s="1">
        <v>50.82</v>
      </c>
      <c r="M1839" s="1">
        <v>66.2</v>
      </c>
      <c r="N1839" s="1">
        <v>4.9959999999999997E-2</v>
      </c>
      <c r="O1839" s="1">
        <v>3.5439999999999999E-4</v>
      </c>
      <c r="P1839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17.370298848936407</v>
      </c>
      <c r="Q1839" s="1">
        <f>LN(Table1[[#This Row],[qe_mg_g]]-Table1[[#This Row],[qt]])</f>
        <v>2.0841431158214765</v>
      </c>
      <c r="R1839" s="1">
        <v>2</v>
      </c>
    </row>
    <row r="1840" spans="1:18" x14ac:dyDescent="0.3">
      <c r="A1840" s="1">
        <v>1839</v>
      </c>
      <c r="B1840" s="1" t="s">
        <v>19</v>
      </c>
      <c r="C1840" s="1">
        <v>0.5</v>
      </c>
      <c r="D1840" s="1">
        <v>240</v>
      </c>
      <c r="E1840" s="1">
        <v>25</v>
      </c>
      <c r="F1840" s="1">
        <v>3</v>
      </c>
      <c r="G1840" s="1">
        <v>25</v>
      </c>
      <c r="H1840" s="1">
        <v>150</v>
      </c>
      <c r="I1840" s="1">
        <v>100</v>
      </c>
      <c r="J1840" s="1">
        <v>26.163</v>
      </c>
      <c r="K1840" s="1">
        <v>11.917999999999999</v>
      </c>
      <c r="L1840" s="1">
        <v>52.33</v>
      </c>
      <c r="M1840" s="1">
        <v>64.2</v>
      </c>
      <c r="N1840" s="1">
        <v>6.2210000000000001E-2</v>
      </c>
      <c r="O1840" s="1">
        <v>3.8020000000000003E-4</v>
      </c>
      <c r="P1840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18.439197996851213</v>
      </c>
      <c r="Q1840" s="1">
        <f>LN(Table1[[#This Row],[qe_mg_g]]-Table1[[#This Row],[qt]])</f>
        <v>2.0443067302590463</v>
      </c>
      <c r="R1840" s="1">
        <v>3</v>
      </c>
    </row>
    <row r="1841" spans="1:18" x14ac:dyDescent="0.3">
      <c r="A1841" s="1">
        <v>1840</v>
      </c>
      <c r="B1841" s="1" t="s">
        <v>19</v>
      </c>
      <c r="C1841" s="1">
        <v>0.5</v>
      </c>
      <c r="D1841" s="1">
        <v>240</v>
      </c>
      <c r="E1841" s="1">
        <v>25</v>
      </c>
      <c r="F1841" s="1">
        <v>7</v>
      </c>
      <c r="G1841" s="1">
        <v>25</v>
      </c>
      <c r="H1841" s="1">
        <v>150</v>
      </c>
      <c r="I1841" s="1">
        <v>100</v>
      </c>
      <c r="J1841" s="1">
        <v>39.374000000000002</v>
      </c>
      <c r="K1841" s="1">
        <v>5.3129999999999997</v>
      </c>
      <c r="L1841" s="1">
        <v>78.75</v>
      </c>
      <c r="M1841" s="1">
        <v>52.7</v>
      </c>
      <c r="N1841" s="1">
        <v>4.8439999999999997E-2</v>
      </c>
      <c r="O1841" s="1">
        <v>4.1800000000000002E-4</v>
      </c>
      <c r="P1841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31.419656051436355</v>
      </c>
      <c r="Q1841" s="1">
        <f>LN(Table1[[#This Row],[qe_mg_g]]-Table1[[#This Row],[qt]])</f>
        <v>2.0737181880637632</v>
      </c>
      <c r="R1841" s="1">
        <v>1</v>
      </c>
    </row>
    <row r="1842" spans="1:18" x14ac:dyDescent="0.3">
      <c r="A1842" s="1">
        <v>1841</v>
      </c>
      <c r="B1842" s="1" t="s">
        <v>19</v>
      </c>
      <c r="C1842" s="1">
        <v>0.5</v>
      </c>
      <c r="D1842" s="1">
        <v>240</v>
      </c>
      <c r="E1842" s="1">
        <v>25</v>
      </c>
      <c r="F1842" s="1">
        <v>7</v>
      </c>
      <c r="G1842" s="1">
        <v>25</v>
      </c>
      <c r="H1842" s="1">
        <v>150</v>
      </c>
      <c r="I1842" s="1">
        <v>100</v>
      </c>
      <c r="J1842" s="1">
        <v>36.499000000000002</v>
      </c>
      <c r="K1842" s="1">
        <v>6.7510000000000003</v>
      </c>
      <c r="L1842" s="1">
        <v>73</v>
      </c>
      <c r="M1842" s="1">
        <v>60</v>
      </c>
      <c r="N1842" s="1">
        <v>6.0830000000000002E-2</v>
      </c>
      <c r="O1842" s="1">
        <v>3.3060000000000001E-4</v>
      </c>
      <c r="P1842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27.130617377945605</v>
      </c>
      <c r="Q1842" s="1">
        <f>LN(Table1[[#This Row],[qe_mg_g]]-Table1[[#This Row],[qt]])</f>
        <v>2.2373404689769698</v>
      </c>
      <c r="R1842" s="1">
        <v>2</v>
      </c>
    </row>
    <row r="1843" spans="1:18" x14ac:dyDescent="0.3">
      <c r="A1843" s="1">
        <v>1842</v>
      </c>
      <c r="B1843" s="1" t="s">
        <v>19</v>
      </c>
      <c r="C1843" s="1">
        <v>0.5</v>
      </c>
      <c r="D1843" s="1">
        <v>240</v>
      </c>
      <c r="E1843" s="1">
        <v>25</v>
      </c>
      <c r="F1843" s="1">
        <v>7</v>
      </c>
      <c r="G1843" s="1">
        <v>25</v>
      </c>
      <c r="H1843" s="1">
        <v>150</v>
      </c>
      <c r="I1843" s="1">
        <v>100</v>
      </c>
      <c r="J1843" s="1">
        <v>41.348999999999997</v>
      </c>
      <c r="K1843" s="1">
        <v>4.3250000000000002</v>
      </c>
      <c r="L1843" s="1">
        <v>82.7</v>
      </c>
      <c r="M1843" s="1">
        <v>60.8</v>
      </c>
      <c r="N1843" s="1">
        <v>6.4500000000000002E-2</v>
      </c>
      <c r="O1843" s="1">
        <v>3.3359999999999998E-4</v>
      </c>
      <c r="P1843" s="1">
        <f>(Table1[[#This Row],[Rate_Constant_k2_g_mg_min]]*Table1[[#This Row],[Contact_Time_min]]*Table1[[#This Row],[qe_mg_g]]^2)/(1+Table1[[#This Row],[Contact_Time_min]]*Table1[[#This Row],[qe_mg_g]]*Table1[[#This Row],[Rate_Constant_k2_g_mg_min]])</f>
        <v>31.756524956832028</v>
      </c>
      <c r="Q1843" s="1">
        <f>LN(Table1[[#This Row],[qe_mg_g]]-Table1[[#This Row],[qt]])</f>
        <v>2.2609789414330024</v>
      </c>
      <c r="R1843" s="1">
        <v>3</v>
      </c>
    </row>
    <row r="1844" spans="1:18" x14ac:dyDescent="0.3">
      <c r="A1844" s="1">
        <v>1843</v>
      </c>
      <c r="B1844" s="1" t="s">
        <v>19</v>
      </c>
      <c r="C1844" s="1">
        <v>0.5</v>
      </c>
      <c r="D1844" s="1">
        <v>240</v>
      </c>
      <c r="E1844" s="1">
        <v>25</v>
      </c>
      <c r="F1844" s="1">
        <v>11</v>
      </c>
      <c r="G1844" s="1">
        <v>25</v>
      </c>
      <c r="H1844" s="1">
        <v>150</v>
      </c>
      <c r="I1844" s="1">
        <v>100</v>
      </c>
      <c r="J1844" s="1">
        <v>28.808</v>
      </c>
      <c r="K1844" s="1">
        <v>10.596</v>
      </c>
      <c r="L1844" s="1">
        <v>57.62</v>
      </c>
      <c r="M1844" s="1">
        <v>50.4</v>
      </c>
      <c r="N1844" s="1">
        <v>5.6149999999999999E-2</v>
      </c>
      <c r="O1844" s="1">
        <v>3.5199999999999999E-4</v>
      </c>
      <c r="P1844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20.418215993719471</v>
      </c>
      <c r="Q1844" s="1">
        <f>LN(Table1[[#This Row],[qe_mg_g]]-Table1[[#This Row],[qt]])</f>
        <v>2.1270147759618547</v>
      </c>
      <c r="R1844" s="1">
        <v>1</v>
      </c>
    </row>
    <row r="1845" spans="1:18" x14ac:dyDescent="0.3">
      <c r="A1845" s="1">
        <v>1844</v>
      </c>
      <c r="B1845" s="1" t="s">
        <v>19</v>
      </c>
      <c r="C1845" s="1">
        <v>0.5</v>
      </c>
      <c r="D1845" s="1">
        <v>240</v>
      </c>
      <c r="E1845" s="1">
        <v>25</v>
      </c>
      <c r="F1845" s="1">
        <v>11</v>
      </c>
      <c r="G1845" s="1">
        <v>25</v>
      </c>
      <c r="H1845" s="1">
        <v>150</v>
      </c>
      <c r="I1845" s="1">
        <v>100</v>
      </c>
      <c r="J1845" s="1">
        <v>30.786000000000001</v>
      </c>
      <c r="K1845" s="1">
        <v>9.6069999999999993</v>
      </c>
      <c r="L1845" s="1">
        <v>61.57</v>
      </c>
      <c r="M1845" s="1">
        <v>38.9</v>
      </c>
      <c r="N1845" s="1">
        <v>5.7590000000000002E-2</v>
      </c>
      <c r="O1845" s="1">
        <v>4.1899999999999999E-4</v>
      </c>
      <c r="P1845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23.26959340272693</v>
      </c>
      <c r="Q1845" s="1">
        <f>LN(Table1[[#This Row],[qe_mg_g]]-Table1[[#This Row],[qt]])</f>
        <v>2.0170881776496099</v>
      </c>
      <c r="R1845" s="1">
        <v>2</v>
      </c>
    </row>
    <row r="1846" spans="1:18" x14ac:dyDescent="0.3">
      <c r="A1846" s="1">
        <v>1845</v>
      </c>
      <c r="B1846" s="1" t="s">
        <v>19</v>
      </c>
      <c r="C1846" s="1">
        <v>0.5</v>
      </c>
      <c r="D1846" s="1">
        <v>240</v>
      </c>
      <c r="E1846" s="1">
        <v>25</v>
      </c>
      <c r="F1846" s="1">
        <v>11</v>
      </c>
      <c r="G1846" s="1">
        <v>25</v>
      </c>
      <c r="H1846" s="1">
        <v>150</v>
      </c>
      <c r="I1846" s="1">
        <v>100</v>
      </c>
      <c r="J1846" s="1">
        <v>32.686</v>
      </c>
      <c r="K1846" s="1">
        <v>8.657</v>
      </c>
      <c r="L1846" s="1">
        <v>65.37</v>
      </c>
      <c r="M1846" s="1">
        <v>59.5</v>
      </c>
      <c r="N1846" s="1">
        <v>5.815E-2</v>
      </c>
      <c r="O1846" s="1">
        <v>3.6390000000000001E-4</v>
      </c>
      <c r="P1846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24.206403388175961</v>
      </c>
      <c r="Q1846" s="1">
        <f>LN(Table1[[#This Row],[qe_mg_g]]-Table1[[#This Row],[qt]])</f>
        <v>2.1376628793119812</v>
      </c>
      <c r="R1846" s="1">
        <v>3</v>
      </c>
    </row>
    <row r="1847" spans="1:18" x14ac:dyDescent="0.3">
      <c r="A1847" s="1">
        <v>1846</v>
      </c>
      <c r="B1847" s="1" t="s">
        <v>19</v>
      </c>
      <c r="C1847" s="1">
        <v>0.5</v>
      </c>
      <c r="D1847" s="1">
        <v>240</v>
      </c>
      <c r="E1847" s="1">
        <v>50</v>
      </c>
      <c r="F1847" s="1">
        <v>3</v>
      </c>
      <c r="G1847" s="1">
        <v>25</v>
      </c>
      <c r="H1847" s="1">
        <v>150</v>
      </c>
      <c r="I1847" s="1">
        <v>100</v>
      </c>
      <c r="J1847" s="1">
        <v>65.298000000000002</v>
      </c>
      <c r="K1847" s="1">
        <v>17.350999999999999</v>
      </c>
      <c r="L1847" s="1">
        <v>65.3</v>
      </c>
      <c r="M1847" s="1">
        <v>57.8</v>
      </c>
      <c r="N1847" s="1">
        <v>5.3280000000000001E-2</v>
      </c>
      <c r="O1847" s="1">
        <v>3.2210000000000002E-4</v>
      </c>
      <c r="P1847" s="1">
        <f>(Table1[[#This Row],[Rate_Constant_k2_g_mg_min]]*Table1[[#This Row],[Contact_Time_min]]*Table1[[#This Row],[qe_mg_g]]^2)/(1+Table1[[#This Row],[Contact_Time_min]]*Table1[[#This Row],[qe_mg_g]]*Table1[[#This Row],[Rate_Constant_k2_g_mg_min]])</f>
        <v>54.501009888531001</v>
      </c>
      <c r="Q1847" s="1">
        <f>LN(Table1[[#This Row],[qe_mg_g]]-Table1[[#This Row],[qt]])</f>
        <v>2.3792674019054565</v>
      </c>
      <c r="R1847" s="1">
        <v>1</v>
      </c>
    </row>
    <row r="1848" spans="1:18" x14ac:dyDescent="0.3">
      <c r="A1848" s="1">
        <v>1847</v>
      </c>
      <c r="B1848" s="1" t="s">
        <v>19</v>
      </c>
      <c r="C1848" s="1">
        <v>0.5</v>
      </c>
      <c r="D1848" s="1">
        <v>240</v>
      </c>
      <c r="E1848" s="1">
        <v>50</v>
      </c>
      <c r="F1848" s="1">
        <v>3</v>
      </c>
      <c r="G1848" s="1">
        <v>25</v>
      </c>
      <c r="H1848" s="1">
        <v>150</v>
      </c>
      <c r="I1848" s="1">
        <v>100</v>
      </c>
      <c r="J1848" s="1">
        <v>60.231999999999999</v>
      </c>
      <c r="K1848" s="1">
        <v>19.884</v>
      </c>
      <c r="L1848" s="1">
        <v>60.23</v>
      </c>
      <c r="M1848" s="1">
        <v>57.1</v>
      </c>
      <c r="N1848" s="1">
        <v>5.3260000000000002E-2</v>
      </c>
      <c r="O1848" s="1">
        <v>3.6099999999999999E-4</v>
      </c>
      <c r="P1848" s="1">
        <f>(Table1[[#This Row],[Rate_Constant_k2_g_mg_min]]*Table1[[#This Row],[Contact_Time_min]]*Table1[[#This Row],[qe_mg_g]]^2)/(1+Table1[[#This Row],[Contact_Time_min]]*Table1[[#This Row],[qe_mg_g]]*Table1[[#This Row],[Rate_Constant_k2_g_mg_min]])</f>
        <v>50.546063624547621</v>
      </c>
      <c r="Q1848" s="1">
        <f>LN(Table1[[#This Row],[qe_mg_g]]-Table1[[#This Row],[qt]])</f>
        <v>2.2706749752471338</v>
      </c>
      <c r="R1848" s="1">
        <v>2</v>
      </c>
    </row>
    <row r="1849" spans="1:18" x14ac:dyDescent="0.3">
      <c r="A1849" s="1">
        <v>1848</v>
      </c>
      <c r="B1849" s="1" t="s">
        <v>19</v>
      </c>
      <c r="C1849" s="1">
        <v>0.5</v>
      </c>
      <c r="D1849" s="1">
        <v>240</v>
      </c>
      <c r="E1849" s="1">
        <v>50</v>
      </c>
      <c r="F1849" s="1">
        <v>3</v>
      </c>
      <c r="G1849" s="1">
        <v>25</v>
      </c>
      <c r="H1849" s="1">
        <v>150</v>
      </c>
      <c r="I1849" s="1">
        <v>100</v>
      </c>
      <c r="J1849" s="1">
        <v>63.185000000000002</v>
      </c>
      <c r="K1849" s="1">
        <v>18.408000000000001</v>
      </c>
      <c r="L1849" s="1">
        <v>63.18</v>
      </c>
      <c r="M1849" s="1">
        <v>61.4</v>
      </c>
      <c r="N1849" s="1">
        <v>6.2059999999999997E-2</v>
      </c>
      <c r="O1849" s="1">
        <v>3.5270000000000001E-4</v>
      </c>
      <c r="P1849" s="1">
        <f>(Table1[[#This Row],[Rate_Constant_k2_g_mg_min]]*Table1[[#This Row],[Contact_Time_min]]*Table1[[#This Row],[qe_mg_g]]^2)/(1+Table1[[#This Row],[Contact_Time_min]]*Table1[[#This Row],[qe_mg_g]]*Table1[[#This Row],[Rate_Constant_k2_g_mg_min]])</f>
        <v>53.232229985248068</v>
      </c>
      <c r="Q1849" s="1">
        <f>LN(Table1[[#This Row],[qe_mg_g]]-Table1[[#This Row],[qt]])</f>
        <v>2.2978509058686432</v>
      </c>
      <c r="R1849" s="1">
        <v>3</v>
      </c>
    </row>
    <row r="1850" spans="1:18" x14ac:dyDescent="0.3">
      <c r="A1850" s="1">
        <v>1849</v>
      </c>
      <c r="B1850" s="1" t="s">
        <v>19</v>
      </c>
      <c r="C1850" s="1">
        <v>0.5</v>
      </c>
      <c r="D1850" s="1">
        <v>240</v>
      </c>
      <c r="E1850" s="1">
        <v>50</v>
      </c>
      <c r="F1850" s="1">
        <v>7</v>
      </c>
      <c r="G1850" s="1">
        <v>25</v>
      </c>
      <c r="H1850" s="1">
        <v>150</v>
      </c>
      <c r="I1850" s="1">
        <v>100</v>
      </c>
      <c r="J1850" s="1">
        <v>76.998999999999995</v>
      </c>
      <c r="K1850" s="1">
        <v>11.5</v>
      </c>
      <c r="L1850" s="1">
        <v>77</v>
      </c>
      <c r="M1850" s="1">
        <v>51.7</v>
      </c>
      <c r="N1850" s="1">
        <v>5.5239999999999997E-2</v>
      </c>
      <c r="O1850" s="1">
        <v>2.8570000000000001E-4</v>
      </c>
      <c r="P1850" s="1">
        <f>(Table1[[#This Row],[Rate_Constant_k2_g_mg_min]]*Table1[[#This Row],[Contact_Time_min]]*Table1[[#This Row],[qe_mg_g]]^2)/(1+Table1[[#This Row],[Contact_Time_min]]*Table1[[#This Row],[qe_mg_g]]*Table1[[#This Row],[Rate_Constant_k2_g_mg_min]])</f>
        <v>64.737363403191125</v>
      </c>
      <c r="Q1850" s="1">
        <f>LN(Table1[[#This Row],[qe_mg_g]]-Table1[[#This Row],[qt]])</f>
        <v>2.5064754123664104</v>
      </c>
      <c r="R1850" s="1">
        <v>1</v>
      </c>
    </row>
    <row r="1851" spans="1:18" x14ac:dyDescent="0.3">
      <c r="A1851" s="1">
        <v>1850</v>
      </c>
      <c r="B1851" s="1" t="s">
        <v>19</v>
      </c>
      <c r="C1851" s="1">
        <v>0.5</v>
      </c>
      <c r="D1851" s="1">
        <v>240</v>
      </c>
      <c r="E1851" s="1">
        <v>50</v>
      </c>
      <c r="F1851" s="1">
        <v>7</v>
      </c>
      <c r="G1851" s="1">
        <v>25</v>
      </c>
      <c r="H1851" s="1">
        <v>150</v>
      </c>
      <c r="I1851" s="1">
        <v>100</v>
      </c>
      <c r="J1851" s="1">
        <v>92.997</v>
      </c>
      <c r="K1851" s="1">
        <v>3.5009999999999999</v>
      </c>
      <c r="L1851" s="1">
        <v>93</v>
      </c>
      <c r="M1851" s="1">
        <v>55.7</v>
      </c>
      <c r="N1851" s="1">
        <v>5.7099999999999998E-2</v>
      </c>
      <c r="O1851" s="1">
        <v>3.9780000000000002E-4</v>
      </c>
      <c r="P1851" s="1">
        <f>(Table1[[#This Row],[Rate_Constant_k2_g_mg_min]]*Table1[[#This Row],[Contact_Time_min]]*Table1[[#This Row],[qe_mg_g]]^2)/(1+Table1[[#This Row],[Contact_Time_min]]*Table1[[#This Row],[qe_mg_g]]*Table1[[#This Row],[Rate_Constant_k2_g_mg_min]])</f>
        <v>83.583023345772915</v>
      </c>
      <c r="Q1851" s="1">
        <f>LN(Table1[[#This Row],[qe_mg_g]]-Table1[[#This Row],[qt]])</f>
        <v>2.2421954630764795</v>
      </c>
      <c r="R1851" s="1">
        <v>2</v>
      </c>
    </row>
    <row r="1852" spans="1:18" x14ac:dyDescent="0.3">
      <c r="A1852" s="1">
        <v>1851</v>
      </c>
      <c r="B1852" s="1" t="s">
        <v>19</v>
      </c>
      <c r="C1852" s="1">
        <v>0.5</v>
      </c>
      <c r="D1852" s="1">
        <v>240</v>
      </c>
      <c r="E1852" s="1">
        <v>50</v>
      </c>
      <c r="F1852" s="1">
        <v>7</v>
      </c>
      <c r="G1852" s="1">
        <v>25</v>
      </c>
      <c r="H1852" s="1">
        <v>150</v>
      </c>
      <c r="I1852" s="1">
        <v>100</v>
      </c>
      <c r="J1852" s="1">
        <v>81.019000000000005</v>
      </c>
      <c r="K1852" s="1">
        <v>9.49</v>
      </c>
      <c r="L1852" s="1">
        <v>81.02</v>
      </c>
      <c r="M1852" s="1">
        <v>59.2</v>
      </c>
      <c r="N1852" s="1">
        <v>5.4399999999999997E-2</v>
      </c>
      <c r="O1852" s="1">
        <v>3.436E-4</v>
      </c>
      <c r="P1852" s="1">
        <f>(Table1[[#This Row],[Rate_Constant_k2_g_mg_min]]*Table1[[#This Row],[Contact_Time_min]]*Table1[[#This Row],[qe_mg_g]]^2)/(1+Table1[[#This Row],[Contact_Time_min]]*Table1[[#This Row],[qe_mg_g]]*Table1[[#This Row],[Rate_Constant_k2_g_mg_min]])</f>
        <v>70.471231580815243</v>
      </c>
      <c r="Q1852" s="1">
        <f>LN(Table1[[#This Row],[qe_mg_g]]-Table1[[#This Row],[qt]])</f>
        <v>2.3559143132997766</v>
      </c>
      <c r="R1852" s="1">
        <v>3</v>
      </c>
    </row>
    <row r="1853" spans="1:18" x14ac:dyDescent="0.3">
      <c r="A1853" s="1">
        <v>1852</v>
      </c>
      <c r="B1853" s="1" t="s">
        <v>19</v>
      </c>
      <c r="C1853" s="1">
        <v>0.5</v>
      </c>
      <c r="D1853" s="1">
        <v>240</v>
      </c>
      <c r="E1853" s="1">
        <v>50</v>
      </c>
      <c r="F1853" s="1">
        <v>11</v>
      </c>
      <c r="G1853" s="1">
        <v>25</v>
      </c>
      <c r="H1853" s="1">
        <v>150</v>
      </c>
      <c r="I1853" s="1">
        <v>100</v>
      </c>
      <c r="J1853" s="1">
        <v>66.840999999999994</v>
      </c>
      <c r="K1853" s="1">
        <v>16.579999999999998</v>
      </c>
      <c r="L1853" s="1">
        <v>66.84</v>
      </c>
      <c r="M1853" s="1">
        <v>68.2</v>
      </c>
      <c r="N1853" s="1">
        <v>5.2929999999999998E-2</v>
      </c>
      <c r="O1853" s="1">
        <v>3.745E-4</v>
      </c>
      <c r="P1853" s="1">
        <f>(Table1[[#This Row],[Rate_Constant_k2_g_mg_min]]*Table1[[#This Row],[Contact_Time_min]]*Table1[[#This Row],[qe_mg_g]]^2)/(1+Table1[[#This Row],[Contact_Time_min]]*Table1[[#This Row],[qe_mg_g]]*Table1[[#This Row],[Rate_Constant_k2_g_mg_min]])</f>
        <v>57.302735673169082</v>
      </c>
      <c r="Q1853" s="1">
        <f>LN(Table1[[#This Row],[qe_mg_g]]-Table1[[#This Row],[qt]])</f>
        <v>2.2553115325168727</v>
      </c>
      <c r="R1853" s="1">
        <v>1</v>
      </c>
    </row>
    <row r="1854" spans="1:18" x14ac:dyDescent="0.3">
      <c r="A1854" s="1">
        <v>1853</v>
      </c>
      <c r="B1854" s="1" t="s">
        <v>19</v>
      </c>
      <c r="C1854" s="1">
        <v>0.5</v>
      </c>
      <c r="D1854" s="1">
        <v>240</v>
      </c>
      <c r="E1854" s="1">
        <v>50</v>
      </c>
      <c r="F1854" s="1">
        <v>11</v>
      </c>
      <c r="G1854" s="1">
        <v>25</v>
      </c>
      <c r="H1854" s="1">
        <v>150</v>
      </c>
      <c r="I1854" s="1">
        <v>100</v>
      </c>
      <c r="J1854" s="1">
        <v>61.386000000000003</v>
      </c>
      <c r="K1854" s="1">
        <v>19.306999999999999</v>
      </c>
      <c r="L1854" s="1">
        <v>61.39</v>
      </c>
      <c r="M1854" s="1">
        <v>64.2</v>
      </c>
      <c r="N1854" s="1">
        <v>6.0789999999999997E-2</v>
      </c>
      <c r="O1854" s="1">
        <v>3.5340000000000002E-4</v>
      </c>
      <c r="P1854" s="1">
        <f>(Table1[[#This Row],[Rate_Constant_k2_g_mg_min]]*Table1[[#This Row],[Contact_Time_min]]*Table1[[#This Row],[qe_mg_g]]^2)/(1+Table1[[#This Row],[Contact_Time_min]]*Table1[[#This Row],[qe_mg_g]]*Table1[[#This Row],[Rate_Constant_k2_g_mg_min]])</f>
        <v>51.495425299483884</v>
      </c>
      <c r="Q1854" s="1">
        <f>LN(Table1[[#This Row],[qe_mg_g]]-Table1[[#This Row],[qt]])</f>
        <v>2.291582253199743</v>
      </c>
      <c r="R1854" s="1">
        <v>2</v>
      </c>
    </row>
    <row r="1855" spans="1:18" x14ac:dyDescent="0.3">
      <c r="A1855" s="1">
        <v>1854</v>
      </c>
      <c r="B1855" s="1" t="s">
        <v>19</v>
      </c>
      <c r="C1855" s="1">
        <v>0.5</v>
      </c>
      <c r="D1855" s="1">
        <v>240</v>
      </c>
      <c r="E1855" s="1">
        <v>50</v>
      </c>
      <c r="F1855" s="1">
        <v>11</v>
      </c>
      <c r="G1855" s="1">
        <v>25</v>
      </c>
      <c r="H1855" s="1">
        <v>150</v>
      </c>
      <c r="I1855" s="1">
        <v>100</v>
      </c>
      <c r="J1855" s="1">
        <v>69.537999999999997</v>
      </c>
      <c r="K1855" s="1">
        <v>15.231</v>
      </c>
      <c r="L1855" s="1">
        <v>69.540000000000006</v>
      </c>
      <c r="M1855" s="1">
        <v>57.8</v>
      </c>
      <c r="N1855" s="1">
        <v>6.7589999999999997E-2</v>
      </c>
      <c r="O1855" s="1">
        <v>2.8830000000000001E-4</v>
      </c>
      <c r="P1855" s="1">
        <f>(Table1[[#This Row],[Rate_Constant_k2_g_mg_min]]*Table1[[#This Row],[Contact_Time_min]]*Table1[[#This Row],[qe_mg_g]]^2)/(1+Table1[[#This Row],[Contact_Time_min]]*Table1[[#This Row],[qe_mg_g]]*Table1[[#This Row],[Rate_Constant_k2_g_mg_min]])</f>
        <v>57.572359540486481</v>
      </c>
      <c r="Q1855" s="1">
        <f>LN(Table1[[#This Row],[qe_mg_g]]-Table1[[#This Row],[qt]])</f>
        <v>2.4820392476765045</v>
      </c>
      <c r="R1855" s="1">
        <v>3</v>
      </c>
    </row>
    <row r="1856" spans="1:18" x14ac:dyDescent="0.3">
      <c r="A1856" s="1">
        <v>1855</v>
      </c>
      <c r="B1856" s="1" t="s">
        <v>19</v>
      </c>
      <c r="C1856" s="1">
        <v>0.5</v>
      </c>
      <c r="D1856" s="1">
        <v>240</v>
      </c>
      <c r="E1856" s="1">
        <v>100</v>
      </c>
      <c r="F1856" s="1">
        <v>3</v>
      </c>
      <c r="G1856" s="1">
        <v>25</v>
      </c>
      <c r="H1856" s="1">
        <v>150</v>
      </c>
      <c r="I1856" s="1">
        <v>100</v>
      </c>
      <c r="J1856" s="1">
        <v>134.084</v>
      </c>
      <c r="K1856" s="1">
        <v>32.957999999999998</v>
      </c>
      <c r="L1856" s="1">
        <v>67.040000000000006</v>
      </c>
      <c r="M1856" s="1">
        <v>47.1</v>
      </c>
      <c r="N1856" s="1">
        <v>5.4890000000000001E-2</v>
      </c>
      <c r="O1856" s="1">
        <v>3.413E-4</v>
      </c>
      <c r="P1856" s="1">
        <f>(Table1[[#This Row],[Rate_Constant_k2_g_mg_min]]*Table1[[#This Row],[Contact_Time_min]]*Table1[[#This Row],[qe_mg_g]]^2)/(1+Table1[[#This Row],[Contact_Time_min]]*Table1[[#This Row],[qe_mg_g]]*Table1[[#This Row],[Rate_Constant_k2_g_mg_min]])</f>
        <v>122.89456425548883</v>
      </c>
      <c r="Q1856" s="1">
        <f>LN(Table1[[#This Row],[qe_mg_g]]-Table1[[#This Row],[qt]])</f>
        <v>2.4149700960757916</v>
      </c>
      <c r="R1856" s="1">
        <v>1</v>
      </c>
    </row>
    <row r="1857" spans="1:18" x14ac:dyDescent="0.3">
      <c r="A1857" s="1">
        <v>1856</v>
      </c>
      <c r="B1857" s="1" t="s">
        <v>19</v>
      </c>
      <c r="C1857" s="1">
        <v>0.5</v>
      </c>
      <c r="D1857" s="1">
        <v>240</v>
      </c>
      <c r="E1857" s="1">
        <v>100</v>
      </c>
      <c r="F1857" s="1">
        <v>3</v>
      </c>
      <c r="G1857" s="1">
        <v>25</v>
      </c>
      <c r="H1857" s="1">
        <v>150</v>
      </c>
      <c r="I1857" s="1">
        <v>100</v>
      </c>
      <c r="J1857" s="1">
        <v>123.313</v>
      </c>
      <c r="K1857" s="1">
        <v>38.343000000000004</v>
      </c>
      <c r="L1857" s="1">
        <v>61.66</v>
      </c>
      <c r="M1857" s="1">
        <v>54.5</v>
      </c>
      <c r="N1857" s="1">
        <v>4.8759999999999998E-2</v>
      </c>
      <c r="O1857" s="1">
        <v>3.86E-4</v>
      </c>
      <c r="P1857" s="1">
        <f>(Table1[[#This Row],[Rate_Constant_k2_g_mg_min]]*Table1[[#This Row],[Contact_Time_min]]*Table1[[#This Row],[qe_mg_g]]^2)/(1+Table1[[#This Row],[Contact_Time_min]]*Table1[[#This Row],[qe_mg_g]]*Table1[[#This Row],[Rate_Constant_k2_g_mg_min]])</f>
        <v>113.38738701723349</v>
      </c>
      <c r="Q1857" s="1">
        <f>LN(Table1[[#This Row],[qe_mg_g]]-Table1[[#This Row],[qt]])</f>
        <v>2.2951185861539014</v>
      </c>
      <c r="R1857" s="1">
        <v>2</v>
      </c>
    </row>
    <row r="1858" spans="1:18" x14ac:dyDescent="0.3">
      <c r="A1858" s="1">
        <v>1857</v>
      </c>
      <c r="B1858" s="1" t="s">
        <v>19</v>
      </c>
      <c r="C1858" s="1">
        <v>0.5</v>
      </c>
      <c r="D1858" s="1">
        <v>240</v>
      </c>
      <c r="E1858" s="1">
        <v>100</v>
      </c>
      <c r="F1858" s="1">
        <v>3</v>
      </c>
      <c r="G1858" s="1">
        <v>25</v>
      </c>
      <c r="H1858" s="1">
        <v>150</v>
      </c>
      <c r="I1858" s="1">
        <v>100</v>
      </c>
      <c r="J1858" s="1">
        <v>111.15900000000001</v>
      </c>
      <c r="K1858" s="1">
        <v>44.42</v>
      </c>
      <c r="L1858" s="1">
        <v>55.58</v>
      </c>
      <c r="M1858" s="1">
        <v>59</v>
      </c>
      <c r="N1858" s="1">
        <v>5.3199999999999997E-2</v>
      </c>
      <c r="O1858" s="1">
        <v>3.0899999999999998E-4</v>
      </c>
      <c r="P1858" s="1">
        <f>(Table1[[#This Row],[Rate_Constant_k2_g_mg_min]]*Table1[[#This Row],[Contact_Time_min]]*Table1[[#This Row],[qe_mg_g]]^2)/(1+Table1[[#This Row],[Contact_Time_min]]*Table1[[#This Row],[qe_mg_g]]*Table1[[#This Row],[Rate_Constant_k2_g_mg_min]])</f>
        <v>99.133427283546339</v>
      </c>
      <c r="Q1858" s="1">
        <f>LN(Table1[[#This Row],[qe_mg_g]]-Table1[[#This Row],[qt]])</f>
        <v>2.4870354420056024</v>
      </c>
      <c r="R1858" s="1">
        <v>3</v>
      </c>
    </row>
    <row r="1859" spans="1:18" x14ac:dyDescent="0.3">
      <c r="A1859" s="1">
        <v>1858</v>
      </c>
      <c r="B1859" s="1" t="s">
        <v>19</v>
      </c>
      <c r="C1859" s="1">
        <v>0.5</v>
      </c>
      <c r="D1859" s="1">
        <v>240</v>
      </c>
      <c r="E1859" s="1">
        <v>100</v>
      </c>
      <c r="F1859" s="1">
        <v>7</v>
      </c>
      <c r="G1859" s="1">
        <v>25</v>
      </c>
      <c r="H1859" s="1">
        <v>150</v>
      </c>
      <c r="I1859" s="1">
        <v>100</v>
      </c>
      <c r="J1859" s="1">
        <v>175.381</v>
      </c>
      <c r="K1859" s="1">
        <v>12.31</v>
      </c>
      <c r="L1859" s="1">
        <v>87.69</v>
      </c>
      <c r="M1859" s="1">
        <v>41.8</v>
      </c>
      <c r="N1859" s="1">
        <v>5.5219999999999998E-2</v>
      </c>
      <c r="O1859" s="1">
        <v>3.0019999999999998E-4</v>
      </c>
      <c r="P1859" s="1">
        <f>(Table1[[#This Row],[Rate_Constant_k2_g_mg_min]]*Table1[[#This Row],[Contact_Time_min]]*Table1[[#This Row],[qe_mg_g]]^2)/(1+Table1[[#This Row],[Contact_Time_min]]*Table1[[#This Row],[qe_mg_g]]*Table1[[#This Row],[Rate_Constant_k2_g_mg_min]])</f>
        <v>162.51924247877369</v>
      </c>
      <c r="Q1859" s="1">
        <f>LN(Table1[[#This Row],[qe_mg_g]]-Table1[[#This Row],[qt]])</f>
        <v>2.5542583751967824</v>
      </c>
      <c r="R1859" s="1">
        <v>1</v>
      </c>
    </row>
    <row r="1860" spans="1:18" x14ac:dyDescent="0.3">
      <c r="A1860" s="1">
        <v>1859</v>
      </c>
      <c r="B1860" s="1" t="s">
        <v>19</v>
      </c>
      <c r="C1860" s="1">
        <v>0.5</v>
      </c>
      <c r="D1860" s="1">
        <v>240</v>
      </c>
      <c r="E1860" s="1">
        <v>100</v>
      </c>
      <c r="F1860" s="1">
        <v>7</v>
      </c>
      <c r="G1860" s="1">
        <v>25</v>
      </c>
      <c r="H1860" s="1">
        <v>150</v>
      </c>
      <c r="I1860" s="1">
        <v>100</v>
      </c>
      <c r="J1860" s="1">
        <v>178.51499999999999</v>
      </c>
      <c r="K1860" s="1">
        <v>10.743</v>
      </c>
      <c r="L1860" s="1">
        <v>89.26</v>
      </c>
      <c r="M1860" s="1">
        <v>47</v>
      </c>
      <c r="N1860" s="1">
        <v>5.2519999999999997E-2</v>
      </c>
      <c r="O1860" s="1">
        <v>3.6029999999999998E-4</v>
      </c>
      <c r="P1860" s="1">
        <f>(Table1[[#This Row],[Rate_Constant_k2_g_mg_min]]*Table1[[#This Row],[Contact_Time_min]]*Table1[[#This Row],[qe_mg_g]]^2)/(1+Table1[[#This Row],[Contact_Time_min]]*Table1[[#This Row],[qe_mg_g]]*Table1[[#This Row],[Rate_Constant_k2_g_mg_min]])</f>
        <v>167.6541435555522</v>
      </c>
      <c r="Q1860" s="1">
        <f>LN(Table1[[#This Row],[qe_mg_g]]-Table1[[#This Row],[qt]])</f>
        <v>2.3851651736843329</v>
      </c>
      <c r="R1860" s="1">
        <v>2</v>
      </c>
    </row>
    <row r="1861" spans="1:18" x14ac:dyDescent="0.3">
      <c r="A1861" s="1">
        <v>1860</v>
      </c>
      <c r="B1861" s="1" t="s">
        <v>19</v>
      </c>
      <c r="C1861" s="1">
        <v>0.5</v>
      </c>
      <c r="D1861" s="1">
        <v>240</v>
      </c>
      <c r="E1861" s="1">
        <v>100</v>
      </c>
      <c r="F1861" s="1">
        <v>7</v>
      </c>
      <c r="G1861" s="1">
        <v>25</v>
      </c>
      <c r="H1861" s="1">
        <v>150</v>
      </c>
      <c r="I1861" s="1">
        <v>100</v>
      </c>
      <c r="J1861" s="1">
        <v>163.57900000000001</v>
      </c>
      <c r="K1861" s="1">
        <v>18.21</v>
      </c>
      <c r="L1861" s="1">
        <v>81.790000000000006</v>
      </c>
      <c r="M1861" s="1">
        <v>54.1</v>
      </c>
      <c r="N1861" s="1">
        <v>4.6670000000000003E-2</v>
      </c>
      <c r="O1861" s="1">
        <v>3.7209999999999999E-4</v>
      </c>
      <c r="P1861" s="1">
        <f>(Table1[[#This Row],[Rate_Constant_k2_g_mg_min]]*Table1[[#This Row],[Contact_Time_min]]*Table1[[#This Row],[qe_mg_g]]^2)/(1+Table1[[#This Row],[Contact_Time_min]]*Table1[[#This Row],[qe_mg_g]]*Table1[[#This Row],[Rate_Constant_k2_g_mg_min]])</f>
        <v>153.09871518205102</v>
      </c>
      <c r="Q1861" s="1">
        <f>LN(Table1[[#This Row],[qe_mg_g]]-Table1[[#This Row],[qt]])</f>
        <v>2.3494958558088088</v>
      </c>
      <c r="R1861" s="1">
        <v>3</v>
      </c>
    </row>
    <row r="1862" spans="1:18" x14ac:dyDescent="0.3">
      <c r="A1862" s="1">
        <v>1861</v>
      </c>
      <c r="B1862" s="1" t="s">
        <v>19</v>
      </c>
      <c r="C1862" s="1">
        <v>0.5</v>
      </c>
      <c r="D1862" s="1">
        <v>240</v>
      </c>
      <c r="E1862" s="1">
        <v>100</v>
      </c>
      <c r="F1862" s="1">
        <v>11</v>
      </c>
      <c r="G1862" s="1">
        <v>25</v>
      </c>
      <c r="H1862" s="1">
        <v>150</v>
      </c>
      <c r="I1862" s="1">
        <v>100</v>
      </c>
      <c r="J1862" s="1">
        <v>163.4</v>
      </c>
      <c r="K1862" s="1">
        <v>18.3</v>
      </c>
      <c r="L1862" s="1">
        <v>81.7</v>
      </c>
      <c r="M1862" s="1">
        <v>77.400000000000006</v>
      </c>
      <c r="N1862" s="1">
        <v>5.5500000000000001E-2</v>
      </c>
      <c r="O1862" s="1">
        <v>3.7760000000000002E-4</v>
      </c>
      <c r="P1862" s="1">
        <f>(Table1[[#This Row],[Rate_Constant_k2_g_mg_min]]*Table1[[#This Row],[Contact_Time_min]]*Table1[[#This Row],[qe_mg_g]]^2)/(1+Table1[[#This Row],[Contact_Time_min]]*Table1[[#This Row],[qe_mg_g]]*Table1[[#This Row],[Rate_Constant_k2_g_mg_min]])</f>
        <v>153.06343642940027</v>
      </c>
      <c r="Q1862" s="1">
        <f>LN(Table1[[#This Row],[qe_mg_g]]-Table1[[#This Row],[qt]])</f>
        <v>2.3356874705731356</v>
      </c>
      <c r="R1862" s="1">
        <v>1</v>
      </c>
    </row>
    <row r="1863" spans="1:18" x14ac:dyDescent="0.3">
      <c r="A1863" s="1">
        <v>1862</v>
      </c>
      <c r="B1863" s="1" t="s">
        <v>19</v>
      </c>
      <c r="C1863" s="1">
        <v>0.5</v>
      </c>
      <c r="D1863" s="1">
        <v>240</v>
      </c>
      <c r="E1863" s="1">
        <v>100</v>
      </c>
      <c r="F1863" s="1">
        <v>11</v>
      </c>
      <c r="G1863" s="1">
        <v>25</v>
      </c>
      <c r="H1863" s="1">
        <v>150</v>
      </c>
      <c r="I1863" s="1">
        <v>100</v>
      </c>
      <c r="J1863" s="1">
        <v>127.30500000000001</v>
      </c>
      <c r="K1863" s="1">
        <v>36.347000000000001</v>
      </c>
      <c r="L1863" s="1">
        <v>63.65</v>
      </c>
      <c r="M1863" s="1">
        <v>66.8</v>
      </c>
      <c r="N1863" s="1">
        <v>5.9270000000000003E-2</v>
      </c>
      <c r="O1863" s="1">
        <v>3.3310000000000002E-4</v>
      </c>
      <c r="P1863" s="1">
        <f>(Table1[[#This Row],[Rate_Constant_k2_g_mg_min]]*Table1[[#This Row],[Contact_Time_min]]*Table1[[#This Row],[qe_mg_g]]^2)/(1+Table1[[#This Row],[Contact_Time_min]]*Table1[[#This Row],[qe_mg_g]]*Table1[[#This Row],[Rate_Constant_k2_g_mg_min]])</f>
        <v>115.91536822752437</v>
      </c>
      <c r="Q1863" s="1">
        <f>LN(Table1[[#This Row],[qe_mg_g]]-Table1[[#This Row],[qt]])</f>
        <v>2.4327034479176768</v>
      </c>
      <c r="R1863" s="1">
        <v>2</v>
      </c>
    </row>
    <row r="1864" spans="1:18" x14ac:dyDescent="0.3">
      <c r="A1864" s="1">
        <v>1863</v>
      </c>
      <c r="B1864" s="1" t="s">
        <v>19</v>
      </c>
      <c r="C1864" s="1">
        <v>0.5</v>
      </c>
      <c r="D1864" s="1">
        <v>240</v>
      </c>
      <c r="E1864" s="1">
        <v>100</v>
      </c>
      <c r="F1864" s="1">
        <v>11</v>
      </c>
      <c r="G1864" s="1">
        <v>25</v>
      </c>
      <c r="H1864" s="1">
        <v>150</v>
      </c>
      <c r="I1864" s="1">
        <v>100</v>
      </c>
      <c r="J1864" s="1">
        <v>158.02799999999999</v>
      </c>
      <c r="K1864" s="1">
        <v>20.986000000000001</v>
      </c>
      <c r="L1864" s="1">
        <v>79.010000000000005</v>
      </c>
      <c r="M1864" s="1">
        <v>52.5</v>
      </c>
      <c r="N1864" s="1">
        <v>5.2479999999999999E-2</v>
      </c>
      <c r="O1864" s="1">
        <v>3.6660000000000002E-4</v>
      </c>
      <c r="P1864" s="1">
        <f>(Table1[[#This Row],[Rate_Constant_k2_g_mg_min]]*Table1[[#This Row],[Contact_Time_min]]*Table1[[#This Row],[qe_mg_g]]^2)/(1+Table1[[#This Row],[Contact_Time_min]]*Table1[[#This Row],[qe_mg_g]]*Table1[[#This Row],[Rate_Constant_k2_g_mg_min]])</f>
        <v>147.42489456864337</v>
      </c>
      <c r="Q1864" s="1">
        <f>LN(Table1[[#This Row],[qe_mg_g]]-Table1[[#This Row],[qt]])</f>
        <v>2.3611469234344136</v>
      </c>
      <c r="R1864" s="1">
        <v>3</v>
      </c>
    </row>
    <row r="1865" spans="1:18" x14ac:dyDescent="0.3">
      <c r="A1865" s="1">
        <v>1864</v>
      </c>
      <c r="B1865" s="1" t="s">
        <v>19</v>
      </c>
      <c r="C1865" s="1">
        <v>0.5</v>
      </c>
      <c r="D1865" s="1">
        <v>240</v>
      </c>
      <c r="E1865" s="1">
        <v>200</v>
      </c>
      <c r="F1865" s="1">
        <v>3</v>
      </c>
      <c r="G1865" s="1">
        <v>25</v>
      </c>
      <c r="H1865" s="1">
        <v>150</v>
      </c>
      <c r="I1865" s="1">
        <v>100</v>
      </c>
      <c r="J1865" s="1">
        <v>182.12700000000001</v>
      </c>
      <c r="K1865" s="1">
        <v>108.93600000000001</v>
      </c>
      <c r="L1865" s="1">
        <v>45.53</v>
      </c>
      <c r="M1865" s="1">
        <v>62.9</v>
      </c>
      <c r="N1865" s="1">
        <v>4.9189999999999998E-2</v>
      </c>
      <c r="O1865" s="1">
        <v>3.1320000000000002E-4</v>
      </c>
      <c r="P1865" s="1">
        <f>(Table1[[#This Row],[Rate_Constant_k2_g_mg_min]]*Table1[[#This Row],[Contact_Time_min]]*Table1[[#This Row],[qe_mg_g]]^2)/(1+Table1[[#This Row],[Contact_Time_min]]*Table1[[#This Row],[qe_mg_g]]*Table1[[#This Row],[Rate_Constant_k2_g_mg_min]])</f>
        <v>169.72907738000424</v>
      </c>
      <c r="Q1865" s="1">
        <f>LN(Table1[[#This Row],[qe_mg_g]]-Table1[[#This Row],[qt]])</f>
        <v>2.5175289279306625</v>
      </c>
      <c r="R1865" s="1">
        <v>1</v>
      </c>
    </row>
    <row r="1866" spans="1:18" x14ac:dyDescent="0.3">
      <c r="A1866" s="1">
        <v>1865</v>
      </c>
      <c r="B1866" s="1" t="s">
        <v>19</v>
      </c>
      <c r="C1866" s="1">
        <v>0.5</v>
      </c>
      <c r="D1866" s="1">
        <v>240</v>
      </c>
      <c r="E1866" s="1">
        <v>200</v>
      </c>
      <c r="F1866" s="1">
        <v>3</v>
      </c>
      <c r="G1866" s="1">
        <v>25</v>
      </c>
      <c r="H1866" s="1">
        <v>150</v>
      </c>
      <c r="I1866" s="1">
        <v>100</v>
      </c>
      <c r="J1866" s="1">
        <v>184.244</v>
      </c>
      <c r="K1866" s="1">
        <v>107.878</v>
      </c>
      <c r="L1866" s="1">
        <v>46.06</v>
      </c>
      <c r="M1866" s="1">
        <v>60.8</v>
      </c>
      <c r="N1866" s="1">
        <v>5.1610000000000003E-2</v>
      </c>
      <c r="O1866" s="1">
        <v>3.0279999999999999E-4</v>
      </c>
      <c r="P1866" s="1">
        <f>(Table1[[#This Row],[Rate_Constant_k2_g_mg_min]]*Table1[[#This Row],[Contact_Time_min]]*Table1[[#This Row],[qe_mg_g]]^2)/(1+Table1[[#This Row],[Contact_Time_min]]*Table1[[#This Row],[qe_mg_g]]*Table1[[#This Row],[Rate_Constant_k2_g_mg_min]])</f>
        <v>171.43983467739869</v>
      </c>
      <c r="Q1866" s="1">
        <f>LN(Table1[[#This Row],[qe_mg_g]]-Table1[[#This Row],[qt]])</f>
        <v>2.549770533817552</v>
      </c>
      <c r="R1866" s="1">
        <v>2</v>
      </c>
    </row>
    <row r="1867" spans="1:18" x14ac:dyDescent="0.3">
      <c r="A1867" s="1">
        <v>1866</v>
      </c>
      <c r="B1867" s="1" t="s">
        <v>19</v>
      </c>
      <c r="C1867" s="1">
        <v>0.5</v>
      </c>
      <c r="D1867" s="1">
        <v>240</v>
      </c>
      <c r="E1867" s="1">
        <v>200</v>
      </c>
      <c r="F1867" s="1">
        <v>3</v>
      </c>
      <c r="G1867" s="1">
        <v>25</v>
      </c>
      <c r="H1867" s="1">
        <v>150</v>
      </c>
      <c r="I1867" s="1">
        <v>100</v>
      </c>
      <c r="J1867" s="1">
        <v>188.43100000000001</v>
      </c>
      <c r="K1867" s="1">
        <v>105.78400000000001</v>
      </c>
      <c r="L1867" s="1">
        <v>47.11</v>
      </c>
      <c r="M1867" s="1">
        <v>54.3</v>
      </c>
      <c r="N1867" s="1">
        <v>4.8500000000000001E-2</v>
      </c>
      <c r="O1867" s="1">
        <v>3.0969999999999999E-4</v>
      </c>
      <c r="P1867" s="1">
        <f>(Table1[[#This Row],[Rate_Constant_k2_g_mg_min]]*Table1[[#This Row],[Contact_Time_min]]*Table1[[#This Row],[qe_mg_g]]^2)/(1+Table1[[#This Row],[Contact_Time_min]]*Table1[[#This Row],[qe_mg_g]]*Table1[[#This Row],[Rate_Constant_k2_g_mg_min]])</f>
        <v>175.87370457651357</v>
      </c>
      <c r="Q1867" s="1">
        <f>LN(Table1[[#This Row],[qe_mg_g]]-Table1[[#This Row],[qt]])</f>
        <v>2.5303018053277104</v>
      </c>
      <c r="R1867" s="1">
        <v>3</v>
      </c>
    </row>
    <row r="1868" spans="1:18" x14ac:dyDescent="0.3">
      <c r="A1868" s="1">
        <v>1867</v>
      </c>
      <c r="B1868" s="1" t="s">
        <v>19</v>
      </c>
      <c r="C1868" s="1">
        <v>0.5</v>
      </c>
      <c r="D1868" s="1">
        <v>240</v>
      </c>
      <c r="E1868" s="1">
        <v>200</v>
      </c>
      <c r="F1868" s="1">
        <v>7</v>
      </c>
      <c r="G1868" s="1">
        <v>25</v>
      </c>
      <c r="H1868" s="1">
        <v>150</v>
      </c>
      <c r="I1868" s="1">
        <v>100</v>
      </c>
      <c r="J1868" s="1">
        <v>300</v>
      </c>
      <c r="K1868" s="1">
        <v>50</v>
      </c>
      <c r="L1868" s="1">
        <v>76.319999999999993</v>
      </c>
      <c r="M1868" s="1">
        <v>47.5</v>
      </c>
      <c r="N1868" s="1">
        <v>5.3220000000000003E-2</v>
      </c>
      <c r="O1868" s="1">
        <v>3.3710000000000001E-4</v>
      </c>
      <c r="P1868" s="1">
        <f>(Table1[[#This Row],[Rate_Constant_k2_g_mg_min]]*Table1[[#This Row],[Contact_Time_min]]*Table1[[#This Row],[qe_mg_g]]^2)/(1+Table1[[#This Row],[Contact_Time_min]]*Table1[[#This Row],[qe_mg_g]]*Table1[[#This Row],[Rate_Constant_k2_g_mg_min]])</f>
        <v>288.12877900535</v>
      </c>
      <c r="Q1868" s="1">
        <f>LN(Table1[[#This Row],[qe_mg_g]]-Table1[[#This Row],[qt]])</f>
        <v>2.474117067244674</v>
      </c>
      <c r="R1868" s="1">
        <v>1</v>
      </c>
    </row>
    <row r="1869" spans="1:18" x14ac:dyDescent="0.3">
      <c r="A1869" s="1">
        <v>1868</v>
      </c>
      <c r="B1869" s="1" t="s">
        <v>19</v>
      </c>
      <c r="C1869" s="1">
        <v>0.5</v>
      </c>
      <c r="D1869" s="1">
        <v>240</v>
      </c>
      <c r="E1869" s="1">
        <v>200</v>
      </c>
      <c r="F1869" s="1">
        <v>7</v>
      </c>
      <c r="G1869" s="1">
        <v>25</v>
      </c>
      <c r="H1869" s="1">
        <v>150</v>
      </c>
      <c r="I1869" s="1">
        <v>100</v>
      </c>
      <c r="J1869" s="1">
        <v>258.12</v>
      </c>
      <c r="K1869" s="1">
        <v>70.94</v>
      </c>
      <c r="L1869" s="1">
        <v>64.53</v>
      </c>
      <c r="M1869" s="1">
        <v>59.6</v>
      </c>
      <c r="N1869" s="1">
        <v>6.021E-2</v>
      </c>
      <c r="O1869" s="1">
        <v>3.3930000000000001E-4</v>
      </c>
      <c r="P1869" s="1">
        <f>(Table1[[#This Row],[Rate_Constant_k2_g_mg_min]]*Table1[[#This Row],[Contact_Time_min]]*Table1[[#This Row],[qe_mg_g]]^2)/(1+Table1[[#This Row],[Contact_Time_min]]*Table1[[#This Row],[qe_mg_g]]*Table1[[#This Row],[Rate_Constant_k2_g_mg_min]])</f>
        <v>246.39751809120659</v>
      </c>
      <c r="Q1869" s="1">
        <f>LN(Table1[[#This Row],[qe_mg_g]]-Table1[[#This Row],[qt]])</f>
        <v>2.4615085286913039</v>
      </c>
      <c r="R1869" s="1">
        <v>2</v>
      </c>
    </row>
    <row r="1870" spans="1:18" x14ac:dyDescent="0.3">
      <c r="A1870" s="1">
        <v>1869</v>
      </c>
      <c r="B1870" s="1" t="s">
        <v>19</v>
      </c>
      <c r="C1870" s="1">
        <v>0.5</v>
      </c>
      <c r="D1870" s="1">
        <v>240</v>
      </c>
      <c r="E1870" s="1">
        <v>200</v>
      </c>
      <c r="F1870" s="1">
        <v>7</v>
      </c>
      <c r="G1870" s="1">
        <v>25</v>
      </c>
      <c r="H1870" s="1">
        <v>150</v>
      </c>
      <c r="I1870" s="1">
        <v>100</v>
      </c>
      <c r="J1870" s="1">
        <v>242.94399999999999</v>
      </c>
      <c r="K1870" s="1">
        <v>78.528000000000006</v>
      </c>
      <c r="L1870" s="1">
        <v>60.74</v>
      </c>
      <c r="M1870" s="1">
        <v>65</v>
      </c>
      <c r="N1870" s="1">
        <v>5.4480000000000001E-2</v>
      </c>
      <c r="O1870" s="1">
        <v>4.1060000000000001E-4</v>
      </c>
      <c r="P1870" s="1">
        <f>(Table1[[#This Row],[Rate_Constant_k2_g_mg_min]]*Table1[[#This Row],[Contact_Time_min]]*Table1[[#This Row],[qe_mg_g]]^2)/(1+Table1[[#This Row],[Contact_Time_min]]*Table1[[#This Row],[qe_mg_g]]*Table1[[#This Row],[Rate_Constant_k2_g_mg_min]])</f>
        <v>233.20312433161322</v>
      </c>
      <c r="Q1870" s="1">
        <f>LN(Table1[[#This Row],[qe_mg_g]]-Table1[[#This Row],[qt]])</f>
        <v>2.2763310179651133</v>
      </c>
      <c r="R1870" s="1">
        <v>3</v>
      </c>
    </row>
    <row r="1871" spans="1:18" x14ac:dyDescent="0.3">
      <c r="A1871" s="1">
        <v>1870</v>
      </c>
      <c r="B1871" s="1" t="s">
        <v>19</v>
      </c>
      <c r="C1871" s="1">
        <v>0.5</v>
      </c>
      <c r="D1871" s="1">
        <v>240</v>
      </c>
      <c r="E1871" s="1">
        <v>200</v>
      </c>
      <c r="F1871" s="1">
        <v>11</v>
      </c>
      <c r="G1871" s="1">
        <v>25</v>
      </c>
      <c r="H1871" s="1">
        <v>150</v>
      </c>
      <c r="I1871" s="1">
        <v>100</v>
      </c>
      <c r="J1871" s="1">
        <v>189.16</v>
      </c>
      <c r="K1871" s="1">
        <v>105.42</v>
      </c>
      <c r="L1871" s="1">
        <v>47.29</v>
      </c>
      <c r="M1871" s="1">
        <v>56.1</v>
      </c>
      <c r="N1871" s="1">
        <v>6.5549999999999997E-2</v>
      </c>
      <c r="O1871" s="1">
        <v>3.3760000000000002E-4</v>
      </c>
      <c r="P1871" s="1">
        <f>(Table1[[#This Row],[Rate_Constant_k2_g_mg_min]]*Table1[[#This Row],[Contact_Time_min]]*Table1[[#This Row],[qe_mg_g]]^2)/(1+Table1[[#This Row],[Contact_Time_min]]*Table1[[#This Row],[qe_mg_g]]*Table1[[#This Row],[Rate_Constant_k2_g_mg_min]])</f>
        <v>177.57392816257175</v>
      </c>
      <c r="Q1871" s="1">
        <f>LN(Table1[[#This Row],[qe_mg_g]]-Table1[[#This Row],[qt]])</f>
        <v>2.4498036730201549</v>
      </c>
      <c r="R1871" s="1">
        <v>1</v>
      </c>
    </row>
    <row r="1872" spans="1:18" x14ac:dyDescent="0.3">
      <c r="A1872" s="1">
        <v>1871</v>
      </c>
      <c r="B1872" s="1" t="s">
        <v>19</v>
      </c>
      <c r="C1872" s="1">
        <v>0.5</v>
      </c>
      <c r="D1872" s="1">
        <v>240</v>
      </c>
      <c r="E1872" s="1">
        <v>200</v>
      </c>
      <c r="F1872" s="1">
        <v>11</v>
      </c>
      <c r="G1872" s="1">
        <v>25</v>
      </c>
      <c r="H1872" s="1">
        <v>150</v>
      </c>
      <c r="I1872" s="1">
        <v>100</v>
      </c>
      <c r="J1872" s="1">
        <v>220.89699999999999</v>
      </c>
      <c r="K1872" s="1">
        <v>89.551000000000002</v>
      </c>
      <c r="L1872" s="1">
        <v>55.22</v>
      </c>
      <c r="M1872" s="1">
        <v>57</v>
      </c>
      <c r="N1872" s="1">
        <v>5.1929999999999997E-2</v>
      </c>
      <c r="O1872" s="1">
        <v>3.391E-4</v>
      </c>
      <c r="P1872" s="1">
        <f>(Table1[[#This Row],[Rate_Constant_k2_g_mg_min]]*Table1[[#This Row],[Contact_Time_min]]*Table1[[#This Row],[qe_mg_g]]^2)/(1+Table1[[#This Row],[Contact_Time_min]]*Table1[[#This Row],[qe_mg_g]]*Table1[[#This Row],[Rate_Constant_k2_g_mg_min]])</f>
        <v>209.25704658440702</v>
      </c>
      <c r="Q1872" s="1">
        <f>LN(Table1[[#This Row],[qe_mg_g]]-Table1[[#This Row],[qt]])</f>
        <v>2.4544434401984594</v>
      </c>
      <c r="R1872" s="1">
        <v>2</v>
      </c>
    </row>
    <row r="1873" spans="1:18" x14ac:dyDescent="0.3">
      <c r="A1873" s="1">
        <v>1872</v>
      </c>
      <c r="B1873" s="1" t="s">
        <v>19</v>
      </c>
      <c r="C1873" s="1">
        <v>0.5</v>
      </c>
      <c r="D1873" s="1">
        <v>240</v>
      </c>
      <c r="E1873" s="1">
        <v>200</v>
      </c>
      <c r="F1873" s="1">
        <v>11</v>
      </c>
      <c r="G1873" s="1">
        <v>25</v>
      </c>
      <c r="H1873" s="1">
        <v>150</v>
      </c>
      <c r="I1873" s="1">
        <v>100</v>
      </c>
      <c r="J1873" s="1">
        <v>219.13200000000001</v>
      </c>
      <c r="K1873" s="1">
        <v>90.433999999999997</v>
      </c>
      <c r="L1873" s="1">
        <v>54.78</v>
      </c>
      <c r="M1873" s="1">
        <v>49.4</v>
      </c>
      <c r="N1873" s="1">
        <v>6.1760000000000002E-2</v>
      </c>
      <c r="O1873" s="1">
        <v>3.6610000000000001E-4</v>
      </c>
      <c r="P1873" s="1">
        <f>(Table1[[#This Row],[Rate_Constant_k2_g_mg_min]]*Table1[[#This Row],[Contact_Time_min]]*Table1[[#This Row],[qe_mg_g]]^2)/(1+Table1[[#This Row],[Contact_Time_min]]*Table1[[#This Row],[qe_mg_g]]*Table1[[#This Row],[Rate_Constant_k2_g_mg_min]])</f>
        <v>208.31270445987738</v>
      </c>
      <c r="Q1873" s="1">
        <f>LN(Table1[[#This Row],[qe_mg_g]]-Table1[[#This Row],[qt]])</f>
        <v>2.3813311641012307</v>
      </c>
      <c r="R1873" s="1">
        <v>3</v>
      </c>
    </row>
    <row r="1874" spans="1:18" x14ac:dyDescent="0.3">
      <c r="A1874" s="1">
        <v>1873</v>
      </c>
      <c r="B1874" s="1" t="s">
        <v>19</v>
      </c>
      <c r="C1874" s="1">
        <v>1</v>
      </c>
      <c r="D1874" s="1">
        <v>30</v>
      </c>
      <c r="E1874" s="1">
        <v>25</v>
      </c>
      <c r="F1874" s="1">
        <v>3</v>
      </c>
      <c r="G1874" s="1">
        <v>25</v>
      </c>
      <c r="H1874" s="1">
        <v>150</v>
      </c>
      <c r="I1874" s="1">
        <v>100</v>
      </c>
      <c r="J1874" s="1">
        <v>2.9910000000000001</v>
      </c>
      <c r="K1874" s="1">
        <v>22.009</v>
      </c>
      <c r="L1874" s="1">
        <v>11.96</v>
      </c>
      <c r="M1874" s="1">
        <v>61.2</v>
      </c>
      <c r="N1874" s="1">
        <v>5.355E-2</v>
      </c>
      <c r="O1874" s="1">
        <v>3.2289999999999999E-4</v>
      </c>
      <c r="P1874" s="1">
        <f>(Table1[[#This Row],[Rate_Constant_k2_g_mg_min]]*Table1[[#This Row],[Contact_Time_min]]*Table1[[#This Row],[qe_mg_g]]^2)/(1+Table1[[#This Row],[Contact_Time_min]]*Table1[[#This Row],[qe_mg_g]]*Table1[[#This Row],[Rate_Constant_k2_g_mg_min]])</f>
        <v>8.4220497368593397E-2</v>
      </c>
      <c r="Q1874" s="1">
        <f>LN(Table1[[#This Row],[qe_mg_g]]-Table1[[#This Row],[qt]])</f>
        <v>1.067045768211953</v>
      </c>
      <c r="R1874" s="1">
        <v>1</v>
      </c>
    </row>
    <row r="1875" spans="1:18" x14ac:dyDescent="0.3">
      <c r="A1875" s="1">
        <v>1874</v>
      </c>
      <c r="B1875" s="1" t="s">
        <v>19</v>
      </c>
      <c r="C1875" s="1">
        <v>1</v>
      </c>
      <c r="D1875" s="1">
        <v>30</v>
      </c>
      <c r="E1875" s="1">
        <v>25</v>
      </c>
      <c r="F1875" s="1">
        <v>3</v>
      </c>
      <c r="G1875" s="1">
        <v>25</v>
      </c>
      <c r="H1875" s="1">
        <v>150</v>
      </c>
      <c r="I1875" s="1">
        <v>100</v>
      </c>
      <c r="J1875" s="1">
        <v>2.8149999999999999</v>
      </c>
      <c r="K1875" s="1">
        <v>22.184999999999999</v>
      </c>
      <c r="L1875" s="1">
        <v>11.26</v>
      </c>
      <c r="M1875" s="1">
        <v>54.6</v>
      </c>
      <c r="N1875" s="1">
        <v>4.9169999999999998E-2</v>
      </c>
      <c r="O1875" s="1">
        <v>3.325E-4</v>
      </c>
      <c r="P1875" s="1">
        <f>(Table1[[#This Row],[Rate_Constant_k2_g_mg_min]]*Table1[[#This Row],[Contact_Time_min]]*Table1[[#This Row],[qe_mg_g]]^2)/(1+Table1[[#This Row],[Contact_Time_min]]*Table1[[#This Row],[qe_mg_g]]*Table1[[#This Row],[Rate_Constant_k2_g_mg_min]])</f>
        <v>7.6885235786090023E-2</v>
      </c>
      <c r="Q1875" s="1">
        <f>LN(Table1[[#This Row],[qe_mg_g]]-Table1[[#This Row],[qt]])</f>
        <v>1.0072696413325779</v>
      </c>
      <c r="R1875" s="1">
        <v>2</v>
      </c>
    </row>
    <row r="1876" spans="1:18" x14ac:dyDescent="0.3">
      <c r="A1876" s="1">
        <v>1875</v>
      </c>
      <c r="B1876" s="1" t="s">
        <v>19</v>
      </c>
      <c r="C1876" s="1">
        <v>1</v>
      </c>
      <c r="D1876" s="1">
        <v>30</v>
      </c>
      <c r="E1876" s="1">
        <v>25</v>
      </c>
      <c r="F1876" s="1">
        <v>3</v>
      </c>
      <c r="G1876" s="1">
        <v>25</v>
      </c>
      <c r="H1876" s="1">
        <v>150</v>
      </c>
      <c r="I1876" s="1">
        <v>100</v>
      </c>
      <c r="J1876" s="1">
        <v>2.8330000000000002</v>
      </c>
      <c r="K1876" s="1">
        <v>22.167000000000002</v>
      </c>
      <c r="L1876" s="1">
        <v>11.33</v>
      </c>
      <c r="M1876" s="1">
        <v>71.900000000000006</v>
      </c>
      <c r="N1876" s="1">
        <v>3.9739999999999998E-2</v>
      </c>
      <c r="O1876" s="1">
        <v>3.4370000000000001E-4</v>
      </c>
      <c r="P1876" s="1">
        <f>(Table1[[#This Row],[Rate_Constant_k2_g_mg_min]]*Table1[[#This Row],[Contact_Time_min]]*Table1[[#This Row],[qe_mg_g]]^2)/(1+Table1[[#This Row],[Contact_Time_min]]*Table1[[#This Row],[qe_mg_g]]*Table1[[#This Row],[Rate_Constant_k2_g_mg_min]])</f>
        <v>8.040619116333772E-2</v>
      </c>
      <c r="Q1876" s="1">
        <f>LN(Table1[[#This Row],[qe_mg_g]]-Table1[[#This Row],[qt]])</f>
        <v>1.0125436703551647</v>
      </c>
      <c r="R1876" s="1">
        <v>3</v>
      </c>
    </row>
    <row r="1877" spans="1:18" x14ac:dyDescent="0.3">
      <c r="A1877" s="1">
        <v>1876</v>
      </c>
      <c r="B1877" s="1" t="s">
        <v>19</v>
      </c>
      <c r="C1877" s="1">
        <v>1</v>
      </c>
      <c r="D1877" s="1">
        <v>30</v>
      </c>
      <c r="E1877" s="1">
        <v>25</v>
      </c>
      <c r="F1877" s="1">
        <v>7</v>
      </c>
      <c r="G1877" s="1">
        <v>25</v>
      </c>
      <c r="H1877" s="1">
        <v>150</v>
      </c>
      <c r="I1877" s="1">
        <v>100</v>
      </c>
      <c r="J1877" s="1">
        <v>5.556</v>
      </c>
      <c r="K1877" s="1">
        <v>19.443999999999999</v>
      </c>
      <c r="L1877" s="1">
        <v>22.23</v>
      </c>
      <c r="M1877" s="1">
        <v>55.5</v>
      </c>
      <c r="N1877" s="1">
        <v>5.9139999999999998E-2</v>
      </c>
      <c r="O1877" s="1">
        <v>3.5349999999999997E-4</v>
      </c>
      <c r="P187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0.30915155125114202</v>
      </c>
      <c r="Q1877" s="1">
        <f>LN(Table1[[#This Row],[qe_mg_g]]-Table1[[#This Row],[qt]])</f>
        <v>1.657627600877656</v>
      </c>
      <c r="R1877" s="1">
        <v>1</v>
      </c>
    </row>
    <row r="1878" spans="1:18" x14ac:dyDescent="0.3">
      <c r="A1878" s="1">
        <v>1877</v>
      </c>
      <c r="B1878" s="1" t="s">
        <v>19</v>
      </c>
      <c r="C1878" s="1">
        <v>1</v>
      </c>
      <c r="D1878" s="1">
        <v>30</v>
      </c>
      <c r="E1878" s="1">
        <v>25</v>
      </c>
      <c r="F1878" s="1">
        <v>7</v>
      </c>
      <c r="G1878" s="1">
        <v>25</v>
      </c>
      <c r="H1878" s="1">
        <v>150</v>
      </c>
      <c r="I1878" s="1">
        <v>100</v>
      </c>
      <c r="J1878" s="1">
        <v>4.726</v>
      </c>
      <c r="K1878" s="1">
        <v>20.274000000000001</v>
      </c>
      <c r="L1878" s="1">
        <v>18.899999999999999</v>
      </c>
      <c r="M1878" s="1">
        <v>36.200000000000003</v>
      </c>
      <c r="N1878" s="1">
        <v>5.6129999999999999E-2</v>
      </c>
      <c r="O1878" s="1">
        <v>3.2289999999999999E-4</v>
      </c>
      <c r="P187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0.20688837381003575</v>
      </c>
      <c r="Q1878" s="1">
        <f>LN(Table1[[#This Row],[qe_mg_g]]-Table1[[#This Row],[qt]])</f>
        <v>1.5083154316487308</v>
      </c>
      <c r="R1878" s="1">
        <v>2</v>
      </c>
    </row>
    <row r="1879" spans="1:18" x14ac:dyDescent="0.3">
      <c r="A1879" s="1">
        <v>1878</v>
      </c>
      <c r="B1879" s="1" t="s">
        <v>19</v>
      </c>
      <c r="C1879" s="1">
        <v>1</v>
      </c>
      <c r="D1879" s="1">
        <v>30</v>
      </c>
      <c r="E1879" s="1">
        <v>25</v>
      </c>
      <c r="F1879" s="1">
        <v>7</v>
      </c>
      <c r="G1879" s="1">
        <v>25</v>
      </c>
      <c r="H1879" s="1">
        <v>150</v>
      </c>
      <c r="I1879" s="1">
        <v>100</v>
      </c>
      <c r="J1879" s="1">
        <v>4.68</v>
      </c>
      <c r="K1879" s="1">
        <v>20.32</v>
      </c>
      <c r="L1879" s="1">
        <v>18.72</v>
      </c>
      <c r="M1879" s="1">
        <v>50.5</v>
      </c>
      <c r="N1879" s="1">
        <v>6.4600000000000005E-2</v>
      </c>
      <c r="O1879" s="1">
        <v>4.3419999999999998E-4</v>
      </c>
      <c r="P187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0.26890760314736345</v>
      </c>
      <c r="Q1879" s="1">
        <f>LN(Table1[[#This Row],[qe_mg_g]]-Table1[[#This Row],[qt]])</f>
        <v>1.4841223678208155</v>
      </c>
      <c r="R1879" s="1">
        <v>3</v>
      </c>
    </row>
    <row r="1880" spans="1:18" x14ac:dyDescent="0.3">
      <c r="A1880" s="1">
        <v>1879</v>
      </c>
      <c r="B1880" s="1" t="s">
        <v>19</v>
      </c>
      <c r="C1880" s="1">
        <v>1</v>
      </c>
      <c r="D1880" s="1">
        <v>30</v>
      </c>
      <c r="E1880" s="1">
        <v>25</v>
      </c>
      <c r="F1880" s="1">
        <v>11</v>
      </c>
      <c r="G1880" s="1">
        <v>25</v>
      </c>
      <c r="H1880" s="1">
        <v>150</v>
      </c>
      <c r="I1880" s="1">
        <v>100</v>
      </c>
      <c r="J1880" s="1">
        <v>3.7519999999999998</v>
      </c>
      <c r="K1880" s="1">
        <v>21.248000000000001</v>
      </c>
      <c r="L1880" s="1">
        <v>15.01</v>
      </c>
      <c r="M1880" s="1">
        <v>50.7</v>
      </c>
      <c r="N1880" s="1">
        <v>4.8529999999999997E-2</v>
      </c>
      <c r="O1880" s="1">
        <v>3.6640000000000002E-4</v>
      </c>
      <c r="P188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0.14861091498976667</v>
      </c>
      <c r="Q1880" s="1">
        <f>LN(Table1[[#This Row],[qe_mg_g]]-Table1[[#This Row],[qt]])</f>
        <v>1.2818748151140718</v>
      </c>
      <c r="R1880" s="1">
        <v>1</v>
      </c>
    </row>
    <row r="1881" spans="1:18" x14ac:dyDescent="0.3">
      <c r="A1881" s="1">
        <v>1880</v>
      </c>
      <c r="B1881" s="1" t="s">
        <v>19</v>
      </c>
      <c r="C1881" s="1">
        <v>1</v>
      </c>
      <c r="D1881" s="1">
        <v>30</v>
      </c>
      <c r="E1881" s="1">
        <v>25</v>
      </c>
      <c r="F1881" s="1">
        <v>11</v>
      </c>
      <c r="G1881" s="1">
        <v>25</v>
      </c>
      <c r="H1881" s="1">
        <v>150</v>
      </c>
      <c r="I1881" s="1">
        <v>100</v>
      </c>
      <c r="J1881" s="1">
        <v>4.157</v>
      </c>
      <c r="K1881" s="1">
        <v>20.843</v>
      </c>
      <c r="L1881" s="1">
        <v>16.63</v>
      </c>
      <c r="M1881" s="1">
        <v>52.5</v>
      </c>
      <c r="N1881" s="1">
        <v>4.1919999999999999E-2</v>
      </c>
      <c r="O1881" s="1">
        <v>3.7350000000000003E-4</v>
      </c>
      <c r="P188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0.18501196547779616</v>
      </c>
      <c r="Q1881" s="1">
        <f>LN(Table1[[#This Row],[qe_mg_g]]-Table1[[#This Row],[qt]])</f>
        <v>1.3792667337217432</v>
      </c>
      <c r="R1881" s="1">
        <v>2</v>
      </c>
    </row>
    <row r="1882" spans="1:18" x14ac:dyDescent="0.3">
      <c r="A1882" s="1">
        <v>1881</v>
      </c>
      <c r="B1882" s="1" t="s">
        <v>19</v>
      </c>
      <c r="C1882" s="1">
        <v>1</v>
      </c>
      <c r="D1882" s="1">
        <v>30</v>
      </c>
      <c r="E1882" s="1">
        <v>25</v>
      </c>
      <c r="F1882" s="1">
        <v>11</v>
      </c>
      <c r="G1882" s="1">
        <v>25</v>
      </c>
      <c r="H1882" s="1">
        <v>150</v>
      </c>
      <c r="I1882" s="1">
        <v>100</v>
      </c>
      <c r="J1882" s="1">
        <v>3.95</v>
      </c>
      <c r="K1882" s="1">
        <v>21.05</v>
      </c>
      <c r="L1882" s="1">
        <v>15.8</v>
      </c>
      <c r="M1882" s="1">
        <v>41.6</v>
      </c>
      <c r="N1882" s="1">
        <v>5.5969999999999999E-2</v>
      </c>
      <c r="O1882" s="1">
        <v>3.658E-4</v>
      </c>
      <c r="P188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0.16410818813639522</v>
      </c>
      <c r="Q1882" s="1">
        <f>LN(Table1[[#This Row],[qe_mg_g]]-Table1[[#This Row],[qt]])</f>
        <v>1.3312814765372083</v>
      </c>
      <c r="R1882" s="1">
        <v>3</v>
      </c>
    </row>
    <row r="1883" spans="1:18" x14ac:dyDescent="0.3">
      <c r="A1883" s="1">
        <v>1882</v>
      </c>
      <c r="B1883" s="1" t="s">
        <v>19</v>
      </c>
      <c r="C1883" s="1">
        <v>1</v>
      </c>
      <c r="D1883" s="1">
        <v>30</v>
      </c>
      <c r="E1883" s="1">
        <v>50</v>
      </c>
      <c r="F1883" s="1">
        <v>3</v>
      </c>
      <c r="G1883" s="1">
        <v>25</v>
      </c>
      <c r="H1883" s="1">
        <v>150</v>
      </c>
      <c r="I1883" s="1">
        <v>100</v>
      </c>
      <c r="J1883" s="1">
        <v>10.036</v>
      </c>
      <c r="K1883" s="1">
        <v>39.963999999999999</v>
      </c>
      <c r="L1883" s="1">
        <v>20.07</v>
      </c>
      <c r="M1883" s="1">
        <v>48.1</v>
      </c>
      <c r="N1883" s="1">
        <v>6.0589999999999998E-2</v>
      </c>
      <c r="O1883" s="1">
        <v>3.3589999999999998E-4</v>
      </c>
      <c r="P188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0.92174942531998305</v>
      </c>
      <c r="Q1883" s="1">
        <f>LN(Table1[[#This Row],[qe_mg_g]]-Table1[[#This Row],[qt]])</f>
        <v>2.2098391858453672</v>
      </c>
      <c r="R1883" s="1">
        <v>1</v>
      </c>
    </row>
    <row r="1884" spans="1:18" x14ac:dyDescent="0.3">
      <c r="A1884" s="1">
        <v>1883</v>
      </c>
      <c r="B1884" s="1" t="s">
        <v>19</v>
      </c>
      <c r="C1884" s="1">
        <v>1</v>
      </c>
      <c r="D1884" s="1">
        <v>30</v>
      </c>
      <c r="E1884" s="1">
        <v>50</v>
      </c>
      <c r="F1884" s="1">
        <v>3</v>
      </c>
      <c r="G1884" s="1">
        <v>25</v>
      </c>
      <c r="H1884" s="1">
        <v>150</v>
      </c>
      <c r="I1884" s="1">
        <v>100</v>
      </c>
      <c r="J1884" s="1">
        <v>9.0389999999999997</v>
      </c>
      <c r="K1884" s="1">
        <v>40.960999999999999</v>
      </c>
      <c r="L1884" s="1">
        <v>18.079999999999998</v>
      </c>
      <c r="M1884" s="1">
        <v>37.799999999999997</v>
      </c>
      <c r="N1884" s="1">
        <v>6.1929999999999999E-2</v>
      </c>
      <c r="O1884" s="1">
        <v>3.7159999999999998E-4</v>
      </c>
      <c r="P188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0.82745125968246425</v>
      </c>
      <c r="Q1884" s="1">
        <f>LN(Table1[[#This Row],[qe_mg_g]]-Table1[[#This Row],[qt]])</f>
        <v>2.1055415463946852</v>
      </c>
      <c r="R1884" s="1">
        <v>2</v>
      </c>
    </row>
    <row r="1885" spans="1:18" x14ac:dyDescent="0.3">
      <c r="A1885" s="1">
        <v>1884</v>
      </c>
      <c r="B1885" s="1" t="s">
        <v>19</v>
      </c>
      <c r="C1885" s="1">
        <v>1</v>
      </c>
      <c r="D1885" s="1">
        <v>30</v>
      </c>
      <c r="E1885" s="1">
        <v>50</v>
      </c>
      <c r="F1885" s="1">
        <v>3</v>
      </c>
      <c r="G1885" s="1">
        <v>25</v>
      </c>
      <c r="H1885" s="1">
        <v>150</v>
      </c>
      <c r="I1885" s="1">
        <v>100</v>
      </c>
      <c r="J1885" s="1">
        <v>10.148999999999999</v>
      </c>
      <c r="K1885" s="1">
        <v>39.850999999999999</v>
      </c>
      <c r="L1885" s="1">
        <v>20.3</v>
      </c>
      <c r="M1885" s="1">
        <v>50.9</v>
      </c>
      <c r="N1885" s="1">
        <v>5.2089999999999997E-2</v>
      </c>
      <c r="O1885" s="1">
        <v>3.123E-4</v>
      </c>
      <c r="P188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0.88123456779874521</v>
      </c>
      <c r="Q1885" s="1">
        <f>LN(Table1[[#This Row],[qe_mg_g]]-Table1[[#This Row],[qt]])</f>
        <v>2.226542296819678</v>
      </c>
      <c r="R1885" s="1">
        <v>3</v>
      </c>
    </row>
    <row r="1886" spans="1:18" x14ac:dyDescent="0.3">
      <c r="A1886" s="1">
        <v>1885</v>
      </c>
      <c r="B1886" s="1" t="s">
        <v>19</v>
      </c>
      <c r="C1886" s="1">
        <v>1</v>
      </c>
      <c r="D1886" s="1">
        <v>30</v>
      </c>
      <c r="E1886" s="1">
        <v>50</v>
      </c>
      <c r="F1886" s="1">
        <v>7</v>
      </c>
      <c r="G1886" s="1">
        <v>25</v>
      </c>
      <c r="H1886" s="1">
        <v>150</v>
      </c>
      <c r="I1886" s="1">
        <v>100</v>
      </c>
      <c r="J1886" s="1">
        <v>15.914</v>
      </c>
      <c r="K1886" s="1">
        <v>34.085999999999999</v>
      </c>
      <c r="L1886" s="1">
        <v>31.83</v>
      </c>
      <c r="M1886" s="1">
        <v>37.200000000000003</v>
      </c>
      <c r="N1886" s="1">
        <v>5.0950000000000002E-2</v>
      </c>
      <c r="O1886" s="1">
        <v>3.391E-4</v>
      </c>
      <c r="P188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2.217387378172293</v>
      </c>
      <c r="Q1886" s="1">
        <f>LN(Table1[[#This Row],[qe_mg_g]]-Table1[[#This Row],[qt]])</f>
        <v>2.6171485483806096</v>
      </c>
      <c r="R1886" s="1">
        <v>1</v>
      </c>
    </row>
    <row r="1887" spans="1:18" x14ac:dyDescent="0.3">
      <c r="A1887" s="1">
        <v>1886</v>
      </c>
      <c r="B1887" s="1" t="s">
        <v>19</v>
      </c>
      <c r="C1887" s="1">
        <v>1</v>
      </c>
      <c r="D1887" s="1">
        <v>30</v>
      </c>
      <c r="E1887" s="1">
        <v>50</v>
      </c>
      <c r="F1887" s="1">
        <v>7</v>
      </c>
      <c r="G1887" s="1">
        <v>25</v>
      </c>
      <c r="H1887" s="1">
        <v>150</v>
      </c>
      <c r="I1887" s="1">
        <v>100</v>
      </c>
      <c r="J1887" s="1">
        <v>17.11</v>
      </c>
      <c r="K1887" s="1">
        <v>32.89</v>
      </c>
      <c r="L1887" s="1">
        <v>34.22</v>
      </c>
      <c r="M1887" s="1">
        <v>54.2</v>
      </c>
      <c r="N1887" s="1">
        <v>5.9369999999999999E-2</v>
      </c>
      <c r="O1887" s="1">
        <v>3.9720000000000001E-4</v>
      </c>
      <c r="P188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2.897652611621417</v>
      </c>
      <c r="Q1887" s="1">
        <f>LN(Table1[[#This Row],[qe_mg_g]]-Table1[[#This Row],[qt]])</f>
        <v>2.6541111211740489</v>
      </c>
      <c r="R1887" s="1">
        <v>2</v>
      </c>
    </row>
    <row r="1888" spans="1:18" x14ac:dyDescent="0.3">
      <c r="A1888" s="1">
        <v>1887</v>
      </c>
      <c r="B1888" s="1" t="s">
        <v>19</v>
      </c>
      <c r="C1888" s="1">
        <v>1</v>
      </c>
      <c r="D1888" s="1">
        <v>30</v>
      </c>
      <c r="E1888" s="1">
        <v>50</v>
      </c>
      <c r="F1888" s="1">
        <v>7</v>
      </c>
      <c r="G1888" s="1">
        <v>25</v>
      </c>
      <c r="H1888" s="1">
        <v>150</v>
      </c>
      <c r="I1888" s="1">
        <v>100</v>
      </c>
      <c r="J1888" s="1">
        <v>17.625</v>
      </c>
      <c r="K1888" s="1">
        <v>32.375</v>
      </c>
      <c r="L1888" s="1">
        <v>35.25</v>
      </c>
      <c r="M1888" s="1">
        <v>58.4</v>
      </c>
      <c r="N1888" s="1">
        <v>5.5070000000000001E-2</v>
      </c>
      <c r="O1888" s="1">
        <v>3.1569999999999998E-4</v>
      </c>
      <c r="P188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2.5212193523134645</v>
      </c>
      <c r="Q1888" s="1">
        <f>LN(Table1[[#This Row],[qe_mg_g]]-Table1[[#This Row],[qt]])</f>
        <v>2.7149450865015106</v>
      </c>
      <c r="R1888" s="1">
        <v>3</v>
      </c>
    </row>
    <row r="1889" spans="1:18" x14ac:dyDescent="0.3">
      <c r="A1889" s="1">
        <v>1888</v>
      </c>
      <c r="B1889" s="1" t="s">
        <v>19</v>
      </c>
      <c r="C1889" s="1">
        <v>1</v>
      </c>
      <c r="D1889" s="1">
        <v>30</v>
      </c>
      <c r="E1889" s="1">
        <v>50</v>
      </c>
      <c r="F1889" s="1">
        <v>11</v>
      </c>
      <c r="G1889" s="1">
        <v>25</v>
      </c>
      <c r="H1889" s="1">
        <v>150</v>
      </c>
      <c r="I1889" s="1">
        <v>100</v>
      </c>
      <c r="J1889" s="1">
        <v>13.14</v>
      </c>
      <c r="K1889" s="1">
        <v>36.86</v>
      </c>
      <c r="L1889" s="1">
        <v>26.28</v>
      </c>
      <c r="M1889" s="1">
        <v>68.3</v>
      </c>
      <c r="N1889" s="1">
        <v>5.688E-2</v>
      </c>
      <c r="O1889" s="1">
        <v>4.171E-4</v>
      </c>
      <c r="P188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1.8554199115058763</v>
      </c>
      <c r="Q1889" s="1">
        <f>LN(Table1[[#This Row],[qe_mg_g]]-Table1[[#This Row],[qt]])</f>
        <v>2.4234371998735345</v>
      </c>
      <c r="R1889" s="1">
        <v>1</v>
      </c>
    </row>
    <row r="1890" spans="1:18" x14ac:dyDescent="0.3">
      <c r="A1890" s="1">
        <v>1889</v>
      </c>
      <c r="B1890" s="1" t="s">
        <v>19</v>
      </c>
      <c r="C1890" s="1">
        <v>1</v>
      </c>
      <c r="D1890" s="1">
        <v>30</v>
      </c>
      <c r="E1890" s="1">
        <v>50</v>
      </c>
      <c r="F1890" s="1">
        <v>11</v>
      </c>
      <c r="G1890" s="1">
        <v>25</v>
      </c>
      <c r="H1890" s="1">
        <v>150</v>
      </c>
      <c r="I1890" s="1">
        <v>100</v>
      </c>
      <c r="J1890" s="1">
        <v>11.157999999999999</v>
      </c>
      <c r="K1890" s="1">
        <v>38.841999999999999</v>
      </c>
      <c r="L1890" s="1">
        <v>22.32</v>
      </c>
      <c r="M1890" s="1">
        <v>45.1</v>
      </c>
      <c r="N1890" s="1">
        <v>5.9700000000000003E-2</v>
      </c>
      <c r="O1890" s="1">
        <v>3.5930000000000001E-4</v>
      </c>
      <c r="P189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1.1979196058873132</v>
      </c>
      <c r="Q1890" s="1">
        <f>LN(Table1[[#This Row],[qe_mg_g]]-Table1[[#This Row],[qt]])</f>
        <v>2.2985851432619917</v>
      </c>
      <c r="R1890" s="1">
        <v>2</v>
      </c>
    </row>
    <row r="1891" spans="1:18" x14ac:dyDescent="0.3">
      <c r="A1891" s="1">
        <v>1890</v>
      </c>
      <c r="B1891" s="1" t="s">
        <v>19</v>
      </c>
      <c r="C1891" s="1">
        <v>1</v>
      </c>
      <c r="D1891" s="1">
        <v>30</v>
      </c>
      <c r="E1891" s="1">
        <v>50</v>
      </c>
      <c r="F1891" s="1">
        <v>11</v>
      </c>
      <c r="G1891" s="1">
        <v>25</v>
      </c>
      <c r="H1891" s="1">
        <v>150</v>
      </c>
      <c r="I1891" s="1">
        <v>100</v>
      </c>
      <c r="J1891" s="1">
        <v>13.641</v>
      </c>
      <c r="K1891" s="1">
        <v>36.359000000000002</v>
      </c>
      <c r="L1891" s="1">
        <v>27.28</v>
      </c>
      <c r="M1891" s="1">
        <v>54.4</v>
      </c>
      <c r="N1891" s="1">
        <v>5.0229999999999997E-2</v>
      </c>
      <c r="O1891" s="1">
        <v>3.4249999999999998E-4</v>
      </c>
      <c r="P189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1.6769030787113866</v>
      </c>
      <c r="Q1891" s="1">
        <f>LN(Table1[[#This Row],[qe_mg_g]]-Table1[[#This Row],[qt]])</f>
        <v>2.4819102418121708</v>
      </c>
      <c r="R1891" s="1">
        <v>3</v>
      </c>
    </row>
    <row r="1892" spans="1:18" x14ac:dyDescent="0.3">
      <c r="A1892" s="1">
        <v>1891</v>
      </c>
      <c r="B1892" s="1" t="s">
        <v>19</v>
      </c>
      <c r="C1892" s="1">
        <v>1</v>
      </c>
      <c r="D1892" s="1">
        <v>30</v>
      </c>
      <c r="E1892" s="1">
        <v>100</v>
      </c>
      <c r="F1892" s="1">
        <v>3</v>
      </c>
      <c r="G1892" s="1">
        <v>25</v>
      </c>
      <c r="H1892" s="1">
        <v>150</v>
      </c>
      <c r="I1892" s="1">
        <v>100</v>
      </c>
      <c r="J1892" s="1">
        <v>27.968</v>
      </c>
      <c r="K1892" s="1">
        <v>72.031999999999996</v>
      </c>
      <c r="L1892" s="1">
        <v>27.97</v>
      </c>
      <c r="M1892" s="1">
        <v>45.3</v>
      </c>
      <c r="N1892" s="1">
        <v>6.0350000000000001E-2</v>
      </c>
      <c r="O1892" s="1">
        <v>3.8049999999999998E-4</v>
      </c>
      <c r="P1892" s="1">
        <f>(Table1[[#This Row],[Rate_Constant_k2_g_mg_min]]*Table1[[#This Row],[Contact_Time_min]]*Table1[[#This Row],[qe_mg_g]]^2)/(1+Table1[[#This Row],[Contact_Time_min]]*Table1[[#This Row],[qe_mg_g]]*Table1[[#This Row],[Rate_Constant_k2_g_mg_min]])</f>
        <v>6.7681516492584537</v>
      </c>
      <c r="Q1892" s="1">
        <f>LN(Table1[[#This Row],[qe_mg_g]]-Table1[[#This Row],[qt]])</f>
        <v>3.0539940283854738</v>
      </c>
      <c r="R1892" s="1">
        <v>1</v>
      </c>
    </row>
    <row r="1893" spans="1:18" x14ac:dyDescent="0.3">
      <c r="A1893" s="1">
        <v>1892</v>
      </c>
      <c r="B1893" s="1" t="s">
        <v>19</v>
      </c>
      <c r="C1893" s="1">
        <v>1</v>
      </c>
      <c r="D1893" s="1">
        <v>30</v>
      </c>
      <c r="E1893" s="1">
        <v>100</v>
      </c>
      <c r="F1893" s="1">
        <v>3</v>
      </c>
      <c r="G1893" s="1">
        <v>25</v>
      </c>
      <c r="H1893" s="1">
        <v>150</v>
      </c>
      <c r="I1893" s="1">
        <v>100</v>
      </c>
      <c r="J1893" s="1">
        <v>32.125</v>
      </c>
      <c r="K1893" s="1">
        <v>67.875</v>
      </c>
      <c r="L1893" s="1">
        <v>32.119999999999997</v>
      </c>
      <c r="M1893" s="1">
        <v>40.5</v>
      </c>
      <c r="N1893" s="1">
        <v>5.3030000000000001E-2</v>
      </c>
      <c r="O1893" s="1">
        <v>3.0709999999999998E-4</v>
      </c>
      <c r="P1893" s="1">
        <f>(Table1[[#This Row],[Rate_Constant_k2_g_mg_min]]*Table1[[#This Row],[Contact_Time_min]]*Table1[[#This Row],[qe_mg_g]]^2)/(1+Table1[[#This Row],[Contact_Time_min]]*Table1[[#This Row],[qe_mg_g]]*Table1[[#This Row],[Rate_Constant_k2_g_mg_min]])</f>
        <v>7.3365721254996616</v>
      </c>
      <c r="Q1893" s="1">
        <f>LN(Table1[[#This Row],[qe_mg_g]]-Table1[[#This Row],[qt]])</f>
        <v>3.2103769263072008</v>
      </c>
      <c r="R1893" s="1">
        <v>2</v>
      </c>
    </row>
    <row r="1894" spans="1:18" x14ac:dyDescent="0.3">
      <c r="A1894" s="1">
        <v>1893</v>
      </c>
      <c r="B1894" s="1" t="s">
        <v>19</v>
      </c>
      <c r="C1894" s="1">
        <v>1</v>
      </c>
      <c r="D1894" s="1">
        <v>30</v>
      </c>
      <c r="E1894" s="1">
        <v>100</v>
      </c>
      <c r="F1894" s="1">
        <v>3</v>
      </c>
      <c r="G1894" s="1">
        <v>25</v>
      </c>
      <c r="H1894" s="1">
        <v>150</v>
      </c>
      <c r="I1894" s="1">
        <v>100</v>
      </c>
      <c r="J1894" s="1">
        <v>33.908999999999999</v>
      </c>
      <c r="K1894" s="1">
        <v>66.090999999999994</v>
      </c>
      <c r="L1894" s="1">
        <v>33.909999999999997</v>
      </c>
      <c r="M1894" s="1">
        <v>49.8</v>
      </c>
      <c r="N1894" s="1">
        <v>4.9029999999999997E-2</v>
      </c>
      <c r="O1894" s="1">
        <v>3.5100000000000002E-4</v>
      </c>
      <c r="P1894" s="1">
        <f>(Table1[[#This Row],[Rate_Constant_k2_g_mg_min]]*Table1[[#This Row],[Contact_Time_min]]*Table1[[#This Row],[qe_mg_g]]^2)/(1+Table1[[#This Row],[Contact_Time_min]]*Table1[[#This Row],[qe_mg_g]]*Table1[[#This Row],[Rate_Constant_k2_g_mg_min]])</f>
        <v>8.9219281145396945</v>
      </c>
      <c r="Q1894" s="1">
        <f>LN(Table1[[#This Row],[qe_mg_g]]-Table1[[#This Row],[qt]])</f>
        <v>3.2183585665315824</v>
      </c>
      <c r="R1894" s="1">
        <v>3</v>
      </c>
    </row>
    <row r="1895" spans="1:18" x14ac:dyDescent="0.3">
      <c r="A1895" s="1">
        <v>1894</v>
      </c>
      <c r="B1895" s="1" t="s">
        <v>19</v>
      </c>
      <c r="C1895" s="1">
        <v>1</v>
      </c>
      <c r="D1895" s="1">
        <v>30</v>
      </c>
      <c r="E1895" s="1">
        <v>100</v>
      </c>
      <c r="F1895" s="1">
        <v>7</v>
      </c>
      <c r="G1895" s="1">
        <v>25</v>
      </c>
      <c r="H1895" s="1">
        <v>150</v>
      </c>
      <c r="I1895" s="1">
        <v>100</v>
      </c>
      <c r="J1895" s="1">
        <v>46.469000000000001</v>
      </c>
      <c r="K1895" s="1">
        <v>53.530999999999999</v>
      </c>
      <c r="L1895" s="1">
        <v>46.47</v>
      </c>
      <c r="M1895" s="1">
        <v>66.7</v>
      </c>
      <c r="N1895" s="1">
        <v>5.0959999999999998E-2</v>
      </c>
      <c r="O1895" s="1">
        <v>3.01E-4</v>
      </c>
      <c r="P1895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13.735478792733584</v>
      </c>
      <c r="Q1895" s="1">
        <f>LN(Table1[[#This Row],[qe_mg_g]]-Table1[[#This Row],[qt]])</f>
        <v>3.4883996662053636</v>
      </c>
      <c r="R1895" s="1">
        <v>1</v>
      </c>
    </row>
    <row r="1896" spans="1:18" x14ac:dyDescent="0.3">
      <c r="A1896" s="1">
        <v>1895</v>
      </c>
      <c r="B1896" s="1" t="s">
        <v>19</v>
      </c>
      <c r="C1896" s="1">
        <v>1</v>
      </c>
      <c r="D1896" s="1">
        <v>30</v>
      </c>
      <c r="E1896" s="1">
        <v>100</v>
      </c>
      <c r="F1896" s="1">
        <v>7</v>
      </c>
      <c r="G1896" s="1">
        <v>25</v>
      </c>
      <c r="H1896" s="1">
        <v>150</v>
      </c>
      <c r="I1896" s="1">
        <v>100</v>
      </c>
      <c r="J1896" s="1">
        <v>41.317</v>
      </c>
      <c r="K1896" s="1">
        <v>58.683</v>
      </c>
      <c r="L1896" s="1">
        <v>41.32</v>
      </c>
      <c r="M1896" s="1">
        <v>54.3</v>
      </c>
      <c r="N1896" s="1">
        <v>5.1909999999999998E-2</v>
      </c>
      <c r="O1896" s="1">
        <v>2.9999999999999997E-4</v>
      </c>
      <c r="P1896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11.199341621150371</v>
      </c>
      <c r="Q1896" s="1">
        <f>LN(Table1[[#This Row],[qe_mg_g]]-Table1[[#This Row],[qt]])</f>
        <v>3.4051116568434625</v>
      </c>
      <c r="R1896" s="1">
        <v>2</v>
      </c>
    </row>
    <row r="1897" spans="1:18" x14ac:dyDescent="0.3">
      <c r="A1897" s="1">
        <v>1896</v>
      </c>
      <c r="B1897" s="1" t="s">
        <v>19</v>
      </c>
      <c r="C1897" s="1">
        <v>1</v>
      </c>
      <c r="D1897" s="1">
        <v>30</v>
      </c>
      <c r="E1897" s="1">
        <v>100</v>
      </c>
      <c r="F1897" s="1">
        <v>7</v>
      </c>
      <c r="G1897" s="1">
        <v>25</v>
      </c>
      <c r="H1897" s="1">
        <v>150</v>
      </c>
      <c r="I1897" s="1">
        <v>100</v>
      </c>
      <c r="J1897" s="1">
        <v>52.698999999999998</v>
      </c>
      <c r="K1897" s="1">
        <v>47.301000000000002</v>
      </c>
      <c r="L1897" s="1">
        <v>52.7</v>
      </c>
      <c r="M1897" s="1">
        <v>60</v>
      </c>
      <c r="N1897" s="1">
        <v>5.484E-2</v>
      </c>
      <c r="O1897" s="1">
        <v>3.9780000000000002E-4</v>
      </c>
      <c r="P1897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20.346688125673126</v>
      </c>
      <c r="Q1897" s="1">
        <f>LN(Table1[[#This Row],[qe_mg_g]]-Table1[[#This Row],[qt]])</f>
        <v>3.4766854828239548</v>
      </c>
      <c r="R1897" s="1">
        <v>3</v>
      </c>
    </row>
    <row r="1898" spans="1:18" x14ac:dyDescent="0.3">
      <c r="A1898" s="1">
        <v>1897</v>
      </c>
      <c r="B1898" s="1" t="s">
        <v>19</v>
      </c>
      <c r="C1898" s="1">
        <v>1</v>
      </c>
      <c r="D1898" s="1">
        <v>30</v>
      </c>
      <c r="E1898" s="1">
        <v>100</v>
      </c>
      <c r="F1898" s="1">
        <v>11</v>
      </c>
      <c r="G1898" s="1">
        <v>25</v>
      </c>
      <c r="H1898" s="1">
        <v>150</v>
      </c>
      <c r="I1898" s="1">
        <v>100</v>
      </c>
      <c r="J1898" s="1">
        <v>39.799999999999997</v>
      </c>
      <c r="K1898" s="1">
        <v>60.2</v>
      </c>
      <c r="L1898" s="1">
        <v>39.799999999999997</v>
      </c>
      <c r="M1898" s="1">
        <v>47.8</v>
      </c>
      <c r="N1898" s="1">
        <v>4.9279999999999997E-2</v>
      </c>
      <c r="O1898" s="1">
        <v>3.7859999999999999E-4</v>
      </c>
      <c r="P1898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12.390445332263027</v>
      </c>
      <c r="Q1898" s="1">
        <f>LN(Table1[[#This Row],[qe_mg_g]]-Table1[[#This Row],[qt]])</f>
        <v>3.3108916631099974</v>
      </c>
      <c r="R1898" s="1">
        <v>1</v>
      </c>
    </row>
    <row r="1899" spans="1:18" x14ac:dyDescent="0.3">
      <c r="A1899" s="1">
        <v>1898</v>
      </c>
      <c r="B1899" s="1" t="s">
        <v>19</v>
      </c>
      <c r="C1899" s="1">
        <v>1</v>
      </c>
      <c r="D1899" s="1">
        <v>30</v>
      </c>
      <c r="E1899" s="1">
        <v>100</v>
      </c>
      <c r="F1899" s="1">
        <v>11</v>
      </c>
      <c r="G1899" s="1">
        <v>25</v>
      </c>
      <c r="H1899" s="1">
        <v>150</v>
      </c>
      <c r="I1899" s="1">
        <v>100</v>
      </c>
      <c r="J1899" s="1">
        <v>39.091999999999999</v>
      </c>
      <c r="K1899" s="1">
        <v>60.908000000000001</v>
      </c>
      <c r="L1899" s="1">
        <v>39.090000000000003</v>
      </c>
      <c r="M1899" s="1">
        <v>55.9</v>
      </c>
      <c r="N1899" s="1">
        <v>5.0340000000000003E-2</v>
      </c>
      <c r="O1899" s="1">
        <v>3.7130000000000003E-4</v>
      </c>
      <c r="P1899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11.858648293651896</v>
      </c>
      <c r="Q1899" s="1">
        <f>LN(Table1[[#This Row],[qe_mg_g]]-Table1[[#This Row],[qt]])</f>
        <v>3.304442387849325</v>
      </c>
      <c r="R1899" s="1">
        <v>2</v>
      </c>
    </row>
    <row r="1900" spans="1:18" x14ac:dyDescent="0.3">
      <c r="A1900" s="1">
        <v>1899</v>
      </c>
      <c r="B1900" s="1" t="s">
        <v>19</v>
      </c>
      <c r="C1900" s="1">
        <v>1</v>
      </c>
      <c r="D1900" s="1">
        <v>30</v>
      </c>
      <c r="E1900" s="1">
        <v>100</v>
      </c>
      <c r="F1900" s="1">
        <v>11</v>
      </c>
      <c r="G1900" s="1">
        <v>25</v>
      </c>
      <c r="H1900" s="1">
        <v>150</v>
      </c>
      <c r="I1900" s="1">
        <v>100</v>
      </c>
      <c r="J1900" s="1">
        <v>36.024999999999999</v>
      </c>
      <c r="K1900" s="1">
        <v>63.975000000000001</v>
      </c>
      <c r="L1900" s="1">
        <v>36.020000000000003</v>
      </c>
      <c r="M1900" s="1">
        <v>53.7</v>
      </c>
      <c r="N1900" s="1">
        <v>6.2960000000000002E-2</v>
      </c>
      <c r="O1900" s="1">
        <v>3.2689999999999998E-4</v>
      </c>
      <c r="P1900" s="1">
        <f>(Table1[[#This Row],[Rate_Constant_k2_g_mg_min]]*Table1[[#This Row],[Contact_Time_min]]*Table1[[#This Row],[qe_mg_g]]^2)/(1+Table1[[#This Row],[Contact_Time_min]]*Table1[[#This Row],[qe_mg_g]]*Table1[[#This Row],[Rate_Constant_k2_g_mg_min]])</f>
        <v>9.4048306347606143</v>
      </c>
      <c r="Q1900" s="1">
        <f>LN(Table1[[#This Row],[qe_mg_g]]-Table1[[#This Row],[qt]])</f>
        <v>3.2816691752772815</v>
      </c>
      <c r="R1900" s="1">
        <v>3</v>
      </c>
    </row>
    <row r="1901" spans="1:18" x14ac:dyDescent="0.3">
      <c r="A1901" s="1">
        <v>1900</v>
      </c>
      <c r="B1901" s="1" t="s">
        <v>19</v>
      </c>
      <c r="C1901" s="1">
        <v>1</v>
      </c>
      <c r="D1901" s="1">
        <v>30</v>
      </c>
      <c r="E1901" s="1">
        <v>200</v>
      </c>
      <c r="F1901" s="1">
        <v>3</v>
      </c>
      <c r="G1901" s="1">
        <v>25</v>
      </c>
      <c r="H1901" s="1">
        <v>150</v>
      </c>
      <c r="I1901" s="1">
        <v>100</v>
      </c>
      <c r="J1901" s="1">
        <v>75.539000000000001</v>
      </c>
      <c r="K1901" s="1">
        <v>124.461</v>
      </c>
      <c r="L1901" s="1">
        <v>37.770000000000003</v>
      </c>
      <c r="M1901" s="1">
        <v>45.9</v>
      </c>
      <c r="N1901" s="1">
        <v>6.0470000000000003E-2</v>
      </c>
      <c r="O1901" s="1">
        <v>3.589E-4</v>
      </c>
      <c r="P1901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33.881350200630756</v>
      </c>
      <c r="Q1901" s="1">
        <f>LN(Table1[[#This Row],[qe_mg_g]]-Table1[[#This Row],[qt]])</f>
        <v>3.7294850204001526</v>
      </c>
      <c r="R1901" s="1">
        <v>1</v>
      </c>
    </row>
    <row r="1902" spans="1:18" x14ac:dyDescent="0.3">
      <c r="A1902" s="1">
        <v>1901</v>
      </c>
      <c r="B1902" s="1" t="s">
        <v>19</v>
      </c>
      <c r="C1902" s="1">
        <v>1</v>
      </c>
      <c r="D1902" s="1">
        <v>30</v>
      </c>
      <c r="E1902" s="1">
        <v>200</v>
      </c>
      <c r="F1902" s="1">
        <v>3</v>
      </c>
      <c r="G1902" s="1">
        <v>25</v>
      </c>
      <c r="H1902" s="1">
        <v>150</v>
      </c>
      <c r="I1902" s="1">
        <v>100</v>
      </c>
      <c r="J1902" s="1">
        <v>84.119</v>
      </c>
      <c r="K1902" s="1">
        <v>115.881</v>
      </c>
      <c r="L1902" s="1">
        <v>42.06</v>
      </c>
      <c r="M1902" s="1">
        <v>50.4</v>
      </c>
      <c r="N1902" s="1">
        <v>5.7669999999999999E-2</v>
      </c>
      <c r="O1902" s="1">
        <v>3.2029999999999998E-4</v>
      </c>
      <c r="P1902" s="1">
        <f>(Table1[[#This Row],[Rate_Constant_k2_g_mg_min]]*Table1[[#This Row],[Contact_Time_min]]*Table1[[#This Row],[qe_mg_g]]^2)/(1+Table1[[#This Row],[Contact_Time_min]]*Table1[[#This Row],[qe_mg_g]]*Table1[[#This Row],[Rate_Constant_k2_g_mg_min]])</f>
        <v>37.600709556945397</v>
      </c>
      <c r="Q1902" s="1">
        <f>LN(Table1[[#This Row],[qe_mg_g]]-Table1[[#This Row],[qt]])</f>
        <v>3.8398455781156766</v>
      </c>
      <c r="R1902" s="1">
        <v>2</v>
      </c>
    </row>
    <row r="1903" spans="1:18" x14ac:dyDescent="0.3">
      <c r="A1903" s="1">
        <v>1902</v>
      </c>
      <c r="B1903" s="1" t="s">
        <v>19</v>
      </c>
      <c r="C1903" s="1">
        <v>1</v>
      </c>
      <c r="D1903" s="1">
        <v>30</v>
      </c>
      <c r="E1903" s="1">
        <v>200</v>
      </c>
      <c r="F1903" s="1">
        <v>3</v>
      </c>
      <c r="G1903" s="1">
        <v>25</v>
      </c>
      <c r="H1903" s="1">
        <v>150</v>
      </c>
      <c r="I1903" s="1">
        <v>100</v>
      </c>
      <c r="J1903" s="1">
        <v>86.700999999999993</v>
      </c>
      <c r="K1903" s="1">
        <v>113.29900000000001</v>
      </c>
      <c r="L1903" s="1">
        <v>43.35</v>
      </c>
      <c r="M1903" s="1">
        <v>48.6</v>
      </c>
      <c r="N1903" s="1">
        <v>5.006E-2</v>
      </c>
      <c r="O1903" s="1">
        <v>3.277E-4</v>
      </c>
      <c r="P1903" s="1">
        <f>(Table1[[#This Row],[Rate_Constant_k2_g_mg_min]]*Table1[[#This Row],[Contact_Time_min]]*Table1[[#This Row],[qe_mg_g]]^2)/(1+Table1[[#This Row],[Contact_Time_min]]*Table1[[#This Row],[qe_mg_g]]*Table1[[#This Row],[Rate_Constant_k2_g_mg_min]])</f>
        <v>39.895241095997129</v>
      </c>
      <c r="Q1903" s="1">
        <f>LN(Table1[[#This Row],[qe_mg_g]]-Table1[[#This Row],[qt]])</f>
        <v>3.8460062488574742</v>
      </c>
      <c r="R1903" s="1">
        <v>3</v>
      </c>
    </row>
    <row r="1904" spans="1:18" x14ac:dyDescent="0.3">
      <c r="A1904" s="1">
        <v>1903</v>
      </c>
      <c r="B1904" s="1" t="s">
        <v>19</v>
      </c>
      <c r="C1904" s="1">
        <v>1</v>
      </c>
      <c r="D1904" s="1">
        <v>30</v>
      </c>
      <c r="E1904" s="1">
        <v>200</v>
      </c>
      <c r="F1904" s="1">
        <v>7</v>
      </c>
      <c r="G1904" s="1">
        <v>25</v>
      </c>
      <c r="H1904" s="1">
        <v>150</v>
      </c>
      <c r="I1904" s="1">
        <v>100</v>
      </c>
      <c r="J1904" s="1">
        <v>122.42</v>
      </c>
      <c r="K1904" s="1">
        <v>77.58</v>
      </c>
      <c r="L1904" s="1">
        <v>61.21</v>
      </c>
      <c r="M1904" s="1">
        <v>54.1</v>
      </c>
      <c r="N1904" s="1">
        <v>5.6300000000000003E-2</v>
      </c>
      <c r="O1904" s="1">
        <v>2.209E-4</v>
      </c>
      <c r="P1904" s="1">
        <f>(Table1[[#This Row],[Rate_Constant_k2_g_mg_min]]*Table1[[#This Row],[Contact_Time_min]]*Table1[[#This Row],[qe_mg_g]]^2)/(1+Table1[[#This Row],[Contact_Time_min]]*Table1[[#This Row],[qe_mg_g]]*Table1[[#This Row],[Rate_Constant_k2_g_mg_min]])</f>
        <v>54.832338355649057</v>
      </c>
      <c r="Q1904" s="1">
        <f>LN(Table1[[#This Row],[qe_mg_g]]-Table1[[#This Row],[qt]])</f>
        <v>4.2134254463361263</v>
      </c>
      <c r="R1904" s="1">
        <v>1</v>
      </c>
    </row>
    <row r="1905" spans="1:18" x14ac:dyDescent="0.3">
      <c r="A1905" s="1">
        <v>1904</v>
      </c>
      <c r="B1905" s="1" t="s">
        <v>19</v>
      </c>
      <c r="C1905" s="1">
        <v>1</v>
      </c>
      <c r="D1905" s="1">
        <v>30</v>
      </c>
      <c r="E1905" s="1">
        <v>200</v>
      </c>
      <c r="F1905" s="1">
        <v>7</v>
      </c>
      <c r="G1905" s="1">
        <v>25</v>
      </c>
      <c r="H1905" s="1">
        <v>150</v>
      </c>
      <c r="I1905" s="1">
        <v>100</v>
      </c>
      <c r="J1905" s="1">
        <v>118.616</v>
      </c>
      <c r="K1905" s="1">
        <v>81.384</v>
      </c>
      <c r="L1905" s="1">
        <v>59.31</v>
      </c>
      <c r="M1905" s="1">
        <v>51.3</v>
      </c>
      <c r="N1905" s="1">
        <v>6.3280000000000003E-2</v>
      </c>
      <c r="O1905" s="1">
        <v>3.122E-4</v>
      </c>
      <c r="P1905" s="1">
        <f>(Table1[[#This Row],[Rate_Constant_k2_g_mg_min]]*Table1[[#This Row],[Contact_Time_min]]*Table1[[#This Row],[qe_mg_g]]^2)/(1+Table1[[#This Row],[Contact_Time_min]]*Table1[[#This Row],[qe_mg_g]]*Table1[[#This Row],[Rate_Constant_k2_g_mg_min]])</f>
        <v>62.425383906408769</v>
      </c>
      <c r="Q1905" s="1">
        <f>LN(Table1[[#This Row],[qe_mg_g]]-Table1[[#This Row],[qt]])</f>
        <v>4.0287497695343877</v>
      </c>
      <c r="R1905" s="1">
        <v>2</v>
      </c>
    </row>
    <row r="1906" spans="1:18" x14ac:dyDescent="0.3">
      <c r="A1906" s="1">
        <v>1905</v>
      </c>
      <c r="B1906" s="1" t="s">
        <v>19</v>
      </c>
      <c r="C1906" s="1">
        <v>1</v>
      </c>
      <c r="D1906" s="1">
        <v>30</v>
      </c>
      <c r="E1906" s="1">
        <v>200</v>
      </c>
      <c r="F1906" s="1">
        <v>7</v>
      </c>
      <c r="G1906" s="1">
        <v>25</v>
      </c>
      <c r="H1906" s="1">
        <v>150</v>
      </c>
      <c r="I1906" s="1">
        <v>100</v>
      </c>
      <c r="J1906" s="1">
        <v>127.15600000000001</v>
      </c>
      <c r="K1906" s="1">
        <v>72.843999999999994</v>
      </c>
      <c r="L1906" s="1">
        <v>63.58</v>
      </c>
      <c r="M1906" s="1">
        <v>66.8</v>
      </c>
      <c r="N1906" s="1">
        <v>4.7780000000000003E-2</v>
      </c>
      <c r="O1906" s="1">
        <v>3.6380000000000001E-4</v>
      </c>
      <c r="P1906" s="1">
        <f>(Table1[[#This Row],[Rate_Constant_k2_g_mg_min]]*Table1[[#This Row],[Contact_Time_min]]*Table1[[#This Row],[qe_mg_g]]^2)/(1+Table1[[#This Row],[Contact_Time_min]]*Table1[[#This Row],[qe_mg_g]]*Table1[[#This Row],[Rate_Constant_k2_g_mg_min]])</f>
        <v>73.903200788864453</v>
      </c>
      <c r="Q1906" s="1">
        <f>LN(Table1[[#This Row],[qe_mg_g]]-Table1[[#This Row],[qt]])</f>
        <v>3.9750503705531886</v>
      </c>
      <c r="R1906" s="1">
        <v>3</v>
      </c>
    </row>
    <row r="1907" spans="1:18" x14ac:dyDescent="0.3">
      <c r="A1907" s="1">
        <v>1906</v>
      </c>
      <c r="B1907" s="1" t="s">
        <v>19</v>
      </c>
      <c r="C1907" s="1">
        <v>1</v>
      </c>
      <c r="D1907" s="1">
        <v>30</v>
      </c>
      <c r="E1907" s="1">
        <v>200</v>
      </c>
      <c r="F1907" s="1">
        <v>11</v>
      </c>
      <c r="G1907" s="1">
        <v>25</v>
      </c>
      <c r="H1907" s="1">
        <v>150</v>
      </c>
      <c r="I1907" s="1">
        <v>100</v>
      </c>
      <c r="J1907" s="1">
        <v>95.274000000000001</v>
      </c>
      <c r="K1907" s="1">
        <v>104.726</v>
      </c>
      <c r="L1907" s="1">
        <v>47.64</v>
      </c>
      <c r="M1907" s="1">
        <v>50.4</v>
      </c>
      <c r="N1907" s="1">
        <v>5.058E-2</v>
      </c>
      <c r="O1907" s="1">
        <v>3.2440000000000002E-4</v>
      </c>
      <c r="P1907" s="1">
        <f>(Table1[[#This Row],[Rate_Constant_k2_g_mg_min]]*Table1[[#This Row],[Contact_Time_min]]*Table1[[#This Row],[qe_mg_g]]^2)/(1+Table1[[#This Row],[Contact_Time_min]]*Table1[[#This Row],[qe_mg_g]]*Table1[[#This Row],[Rate_Constant_k2_g_mg_min]])</f>
        <v>45.837680312239371</v>
      </c>
      <c r="Q1907" s="1">
        <f>LN(Table1[[#This Row],[qe_mg_g]]-Table1[[#This Row],[qt]])</f>
        <v>3.9006853704061637</v>
      </c>
      <c r="R1907" s="1">
        <v>1</v>
      </c>
    </row>
    <row r="1908" spans="1:18" x14ac:dyDescent="0.3">
      <c r="A1908" s="1">
        <v>1907</v>
      </c>
      <c r="B1908" s="1" t="s">
        <v>19</v>
      </c>
      <c r="C1908" s="1">
        <v>1</v>
      </c>
      <c r="D1908" s="1">
        <v>30</v>
      </c>
      <c r="E1908" s="1">
        <v>200</v>
      </c>
      <c r="F1908" s="1">
        <v>11</v>
      </c>
      <c r="G1908" s="1">
        <v>25</v>
      </c>
      <c r="H1908" s="1">
        <v>150</v>
      </c>
      <c r="I1908" s="1">
        <v>100</v>
      </c>
      <c r="J1908" s="1">
        <v>120.175</v>
      </c>
      <c r="K1908" s="1">
        <v>79.825000000000003</v>
      </c>
      <c r="L1908" s="1">
        <v>60.09</v>
      </c>
      <c r="M1908" s="1">
        <v>61.5</v>
      </c>
      <c r="N1908" s="1">
        <v>6.1060000000000003E-2</v>
      </c>
      <c r="O1908" s="1">
        <v>3.6719999999999998E-4</v>
      </c>
      <c r="P1908" s="1">
        <f>(Table1[[#This Row],[Rate_Constant_k2_g_mg_min]]*Table1[[#This Row],[Contact_Time_min]]*Table1[[#This Row],[qe_mg_g]]^2)/(1+Table1[[#This Row],[Contact_Time_min]]*Table1[[#This Row],[qe_mg_g]]*Table1[[#This Row],[Rate_Constant_k2_g_mg_min]])</f>
        <v>68.461200154760547</v>
      </c>
      <c r="Q1908" s="1">
        <f>LN(Table1[[#This Row],[qe_mg_g]]-Table1[[#This Row],[qt]])</f>
        <v>3.9457246674685211</v>
      </c>
      <c r="R1908" s="1">
        <v>2</v>
      </c>
    </row>
    <row r="1909" spans="1:18" x14ac:dyDescent="0.3">
      <c r="A1909" s="1">
        <v>1908</v>
      </c>
      <c r="B1909" s="1" t="s">
        <v>19</v>
      </c>
      <c r="C1909" s="1">
        <v>1</v>
      </c>
      <c r="D1909" s="1">
        <v>30</v>
      </c>
      <c r="E1909" s="1">
        <v>200</v>
      </c>
      <c r="F1909" s="1">
        <v>11</v>
      </c>
      <c r="G1909" s="1">
        <v>25</v>
      </c>
      <c r="H1909" s="1">
        <v>150</v>
      </c>
      <c r="I1909" s="1">
        <v>100</v>
      </c>
      <c r="J1909" s="1">
        <v>89.593000000000004</v>
      </c>
      <c r="K1909" s="1">
        <v>110.407</v>
      </c>
      <c r="L1909" s="1">
        <v>44.8</v>
      </c>
      <c r="M1909" s="1">
        <v>57.8</v>
      </c>
      <c r="N1909" s="1">
        <v>6.0900000000000003E-2</v>
      </c>
      <c r="O1909" s="1">
        <v>3.2009999999999997E-4</v>
      </c>
      <c r="P1909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41.434082394230629</v>
      </c>
      <c r="Q1909" s="1">
        <f>LN(Table1[[#This Row],[qe_mg_g]]-Table1[[#This Row],[qt]])</f>
        <v>3.8745063257847394</v>
      </c>
      <c r="R1909" s="1">
        <v>3</v>
      </c>
    </row>
    <row r="1910" spans="1:18" x14ac:dyDescent="0.3">
      <c r="A1910" s="1">
        <v>1909</v>
      </c>
      <c r="B1910" s="1" t="s">
        <v>19</v>
      </c>
      <c r="C1910" s="1">
        <v>1</v>
      </c>
      <c r="D1910" s="1">
        <v>60</v>
      </c>
      <c r="E1910" s="1">
        <v>25</v>
      </c>
      <c r="F1910" s="1">
        <v>3</v>
      </c>
      <c r="G1910" s="1">
        <v>25</v>
      </c>
      <c r="H1910" s="1">
        <v>150</v>
      </c>
      <c r="I1910" s="1">
        <v>100</v>
      </c>
      <c r="J1910" s="1">
        <v>5.4009999999999998</v>
      </c>
      <c r="K1910" s="1">
        <v>19.599</v>
      </c>
      <c r="L1910" s="1">
        <v>21.6</v>
      </c>
      <c r="M1910" s="1">
        <v>60.3</v>
      </c>
      <c r="N1910" s="1">
        <v>6.5189999999999998E-2</v>
      </c>
      <c r="O1910" s="1">
        <v>3.3540000000000002E-4</v>
      </c>
      <c r="P191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0.52948375601973197</v>
      </c>
      <c r="Q1910" s="1">
        <f>LN(Table1[[#This Row],[qe_mg_g]]-Table1[[#This Row],[qt]])</f>
        <v>1.5834052323702106</v>
      </c>
      <c r="R1910" s="1">
        <v>1</v>
      </c>
    </row>
    <row r="1911" spans="1:18" x14ac:dyDescent="0.3">
      <c r="A1911" s="1">
        <v>1910</v>
      </c>
      <c r="B1911" s="1" t="s">
        <v>19</v>
      </c>
      <c r="C1911" s="1">
        <v>1</v>
      </c>
      <c r="D1911" s="1">
        <v>60</v>
      </c>
      <c r="E1911" s="1">
        <v>25</v>
      </c>
      <c r="F1911" s="1">
        <v>3</v>
      </c>
      <c r="G1911" s="1">
        <v>25</v>
      </c>
      <c r="H1911" s="1">
        <v>150</v>
      </c>
      <c r="I1911" s="1">
        <v>100</v>
      </c>
      <c r="J1911" s="1">
        <v>4.67</v>
      </c>
      <c r="K1911" s="1">
        <v>20.329999999999998</v>
      </c>
      <c r="L1911" s="1">
        <v>18.68</v>
      </c>
      <c r="M1911" s="1">
        <v>51.6</v>
      </c>
      <c r="N1911" s="1">
        <v>6.2899999999999998E-2</v>
      </c>
      <c r="O1911" s="1">
        <v>2.8600000000000001E-4</v>
      </c>
      <c r="P191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0.34647517370941394</v>
      </c>
      <c r="Q1911" s="1">
        <f>LN(Table1[[#This Row],[qe_mg_g]]-Table1[[#This Row],[qt]])</f>
        <v>1.4640710015761615</v>
      </c>
      <c r="R1911" s="1">
        <v>2</v>
      </c>
    </row>
    <row r="1912" spans="1:18" x14ac:dyDescent="0.3">
      <c r="A1912" s="1">
        <v>1911</v>
      </c>
      <c r="B1912" s="1" t="s">
        <v>19</v>
      </c>
      <c r="C1912" s="1">
        <v>1</v>
      </c>
      <c r="D1912" s="1">
        <v>60</v>
      </c>
      <c r="E1912" s="1">
        <v>25</v>
      </c>
      <c r="F1912" s="1">
        <v>3</v>
      </c>
      <c r="G1912" s="1">
        <v>25</v>
      </c>
      <c r="H1912" s="1">
        <v>150</v>
      </c>
      <c r="I1912" s="1">
        <v>100</v>
      </c>
      <c r="J1912" s="1">
        <v>4.3259999999999996</v>
      </c>
      <c r="K1912" s="1">
        <v>20.673999999999999</v>
      </c>
      <c r="L1912" s="1">
        <v>17.309999999999999</v>
      </c>
      <c r="M1912" s="1">
        <v>55.3</v>
      </c>
      <c r="N1912" s="1">
        <v>5.2569999999999999E-2</v>
      </c>
      <c r="O1912" s="1">
        <v>3.503E-4</v>
      </c>
      <c r="P191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0.36055371461356645</v>
      </c>
      <c r="Q1912" s="1">
        <f>LN(Table1[[#This Row],[qe_mg_g]]-Table1[[#This Row],[qt]])</f>
        <v>1.3776184049663123</v>
      </c>
      <c r="R1912" s="1">
        <v>3</v>
      </c>
    </row>
    <row r="1913" spans="1:18" x14ac:dyDescent="0.3">
      <c r="A1913" s="1">
        <v>1912</v>
      </c>
      <c r="B1913" s="1" t="s">
        <v>19</v>
      </c>
      <c r="C1913" s="1">
        <v>1</v>
      </c>
      <c r="D1913" s="1">
        <v>60</v>
      </c>
      <c r="E1913" s="1">
        <v>25</v>
      </c>
      <c r="F1913" s="1">
        <v>7</v>
      </c>
      <c r="G1913" s="1">
        <v>25</v>
      </c>
      <c r="H1913" s="1">
        <v>150</v>
      </c>
      <c r="I1913" s="1">
        <v>100</v>
      </c>
      <c r="J1913" s="1">
        <v>8.7729999999999997</v>
      </c>
      <c r="K1913" s="1">
        <v>16.227</v>
      </c>
      <c r="L1913" s="1">
        <v>35.090000000000003</v>
      </c>
      <c r="M1913" s="1">
        <v>50</v>
      </c>
      <c r="N1913" s="1">
        <v>4.4699999999999997E-2</v>
      </c>
      <c r="O1913" s="1">
        <v>4.216E-4</v>
      </c>
      <c r="P191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1.5933261922631956</v>
      </c>
      <c r="Q1913" s="1">
        <f>LN(Table1[[#This Row],[qe_mg_g]]-Table1[[#This Row],[qt]])</f>
        <v>1.9712539513508029</v>
      </c>
      <c r="R1913" s="1">
        <v>1</v>
      </c>
    </row>
    <row r="1914" spans="1:18" x14ac:dyDescent="0.3">
      <c r="A1914" s="1">
        <v>1913</v>
      </c>
      <c r="B1914" s="1" t="s">
        <v>19</v>
      </c>
      <c r="C1914" s="1">
        <v>1</v>
      </c>
      <c r="D1914" s="1">
        <v>60</v>
      </c>
      <c r="E1914" s="1">
        <v>25</v>
      </c>
      <c r="F1914" s="1">
        <v>7</v>
      </c>
      <c r="G1914" s="1">
        <v>25</v>
      </c>
      <c r="H1914" s="1">
        <v>150</v>
      </c>
      <c r="I1914" s="1">
        <v>100</v>
      </c>
      <c r="J1914" s="1">
        <v>7.6539999999999999</v>
      </c>
      <c r="K1914" s="1">
        <v>17.346</v>
      </c>
      <c r="L1914" s="1">
        <v>30.62</v>
      </c>
      <c r="M1914" s="1">
        <v>45.9</v>
      </c>
      <c r="N1914" s="1">
        <v>6.1069999999999999E-2</v>
      </c>
      <c r="O1914" s="1">
        <v>3.3649999999999999E-4</v>
      </c>
      <c r="P191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1.0244869009257465</v>
      </c>
      <c r="Q1914" s="1">
        <f>LN(Table1[[#This Row],[qe_mg_g]]-Table1[[#This Row],[qt]])</f>
        <v>1.8915313624473349</v>
      </c>
      <c r="R1914" s="1">
        <v>2</v>
      </c>
    </row>
    <row r="1915" spans="1:18" x14ac:dyDescent="0.3">
      <c r="A1915" s="1">
        <v>1914</v>
      </c>
      <c r="B1915" s="1" t="s">
        <v>19</v>
      </c>
      <c r="C1915" s="1">
        <v>1</v>
      </c>
      <c r="D1915" s="1">
        <v>60</v>
      </c>
      <c r="E1915" s="1">
        <v>25</v>
      </c>
      <c r="F1915" s="1">
        <v>7</v>
      </c>
      <c r="G1915" s="1">
        <v>25</v>
      </c>
      <c r="H1915" s="1">
        <v>150</v>
      </c>
      <c r="I1915" s="1">
        <v>100</v>
      </c>
      <c r="J1915" s="1">
        <v>8.1920000000000002</v>
      </c>
      <c r="K1915" s="1">
        <v>16.808</v>
      </c>
      <c r="L1915" s="1">
        <v>32.770000000000003</v>
      </c>
      <c r="M1915" s="1">
        <v>58.5</v>
      </c>
      <c r="N1915" s="1">
        <v>6.096E-2</v>
      </c>
      <c r="O1915" s="1">
        <v>3.3829999999999998E-4</v>
      </c>
      <c r="P191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1.1679650694742902</v>
      </c>
      <c r="Q1915" s="1">
        <f>LN(Table1[[#This Row],[qe_mg_g]]-Table1[[#This Row],[qt]])</f>
        <v>1.9493378293451811</v>
      </c>
      <c r="R1915" s="1">
        <v>3</v>
      </c>
    </row>
    <row r="1916" spans="1:18" x14ac:dyDescent="0.3">
      <c r="A1916" s="1">
        <v>1915</v>
      </c>
      <c r="B1916" s="1" t="s">
        <v>19</v>
      </c>
      <c r="C1916" s="1">
        <v>1</v>
      </c>
      <c r="D1916" s="1">
        <v>60</v>
      </c>
      <c r="E1916" s="1">
        <v>25</v>
      </c>
      <c r="F1916" s="1">
        <v>11</v>
      </c>
      <c r="G1916" s="1">
        <v>25</v>
      </c>
      <c r="H1916" s="1">
        <v>150</v>
      </c>
      <c r="I1916" s="1">
        <v>100</v>
      </c>
      <c r="J1916" s="1">
        <v>6.931</v>
      </c>
      <c r="K1916" s="1">
        <v>18.068999999999999</v>
      </c>
      <c r="L1916" s="1">
        <v>27.72</v>
      </c>
      <c r="M1916" s="1">
        <v>37.1</v>
      </c>
      <c r="N1916" s="1">
        <v>5.9180000000000003E-2</v>
      </c>
      <c r="O1916" s="1">
        <v>3.2059999999999999E-4</v>
      </c>
      <c r="P191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0.81536526429729783</v>
      </c>
      <c r="Q1916" s="1">
        <f>LN(Table1[[#This Row],[qe_mg_g]]-Table1[[#This Row],[qt]])</f>
        <v>1.8108485635401603</v>
      </c>
      <c r="R1916" s="1">
        <v>1</v>
      </c>
    </row>
    <row r="1917" spans="1:18" x14ac:dyDescent="0.3">
      <c r="A1917" s="1">
        <v>1916</v>
      </c>
      <c r="B1917" s="1" t="s">
        <v>19</v>
      </c>
      <c r="C1917" s="1">
        <v>1</v>
      </c>
      <c r="D1917" s="1">
        <v>60</v>
      </c>
      <c r="E1917" s="1">
        <v>25</v>
      </c>
      <c r="F1917" s="1">
        <v>11</v>
      </c>
      <c r="G1917" s="1">
        <v>25</v>
      </c>
      <c r="H1917" s="1">
        <v>150</v>
      </c>
      <c r="I1917" s="1">
        <v>100</v>
      </c>
      <c r="J1917" s="1">
        <v>6.8659999999999997</v>
      </c>
      <c r="K1917" s="1">
        <v>18.134</v>
      </c>
      <c r="L1917" s="1">
        <v>27.47</v>
      </c>
      <c r="M1917" s="1">
        <v>55.7</v>
      </c>
      <c r="N1917" s="1">
        <v>5.1299999999999998E-2</v>
      </c>
      <c r="O1917" s="1">
        <v>3.7320000000000002E-4</v>
      </c>
      <c r="P191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0.91493707602273644</v>
      </c>
      <c r="Q1917" s="1">
        <f>LN(Table1[[#This Row],[qe_mg_g]]-Table1[[#This Row],[qt]])</f>
        <v>1.7835698462880882</v>
      </c>
      <c r="R1917" s="1">
        <v>2</v>
      </c>
    </row>
    <row r="1918" spans="1:18" x14ac:dyDescent="0.3">
      <c r="A1918" s="1">
        <v>1917</v>
      </c>
      <c r="B1918" s="1" t="s">
        <v>19</v>
      </c>
      <c r="C1918" s="1">
        <v>1</v>
      </c>
      <c r="D1918" s="1">
        <v>60</v>
      </c>
      <c r="E1918" s="1">
        <v>25</v>
      </c>
      <c r="F1918" s="1">
        <v>11</v>
      </c>
      <c r="G1918" s="1">
        <v>25</v>
      </c>
      <c r="H1918" s="1">
        <v>150</v>
      </c>
      <c r="I1918" s="1">
        <v>100</v>
      </c>
      <c r="J1918" s="1">
        <v>6.6559999999999997</v>
      </c>
      <c r="K1918" s="1">
        <v>18.344000000000001</v>
      </c>
      <c r="L1918" s="1">
        <v>26.63</v>
      </c>
      <c r="M1918" s="1">
        <v>59.8</v>
      </c>
      <c r="N1918" s="1">
        <v>4.9340000000000002E-2</v>
      </c>
      <c r="O1918" s="1">
        <v>3.3310000000000002E-4</v>
      </c>
      <c r="P191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0.7814700188843543</v>
      </c>
      <c r="Q1918" s="1">
        <f>LN(Table1[[#This Row],[qe_mg_g]]-Table1[[#This Row],[qt]])</f>
        <v>1.7706260536154366</v>
      </c>
      <c r="R1918" s="1">
        <v>3</v>
      </c>
    </row>
    <row r="1919" spans="1:18" x14ac:dyDescent="0.3">
      <c r="A1919" s="1">
        <v>1918</v>
      </c>
      <c r="B1919" s="1" t="s">
        <v>19</v>
      </c>
      <c r="C1919" s="1">
        <v>1</v>
      </c>
      <c r="D1919" s="1">
        <v>60</v>
      </c>
      <c r="E1919" s="1">
        <v>50</v>
      </c>
      <c r="F1919" s="1">
        <v>3</v>
      </c>
      <c r="G1919" s="1">
        <v>25</v>
      </c>
      <c r="H1919" s="1">
        <v>150</v>
      </c>
      <c r="I1919" s="1">
        <v>100</v>
      </c>
      <c r="J1919" s="1">
        <v>15.775</v>
      </c>
      <c r="K1919" s="1">
        <v>34.225000000000001</v>
      </c>
      <c r="L1919" s="1">
        <v>31.55</v>
      </c>
      <c r="M1919" s="1">
        <v>54.2</v>
      </c>
      <c r="N1919" s="1">
        <v>5.9119999999999999E-2</v>
      </c>
      <c r="O1919" s="1">
        <v>2.7950000000000002E-4</v>
      </c>
      <c r="P191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3.300174533879431</v>
      </c>
      <c r="Q1919" s="1">
        <f>LN(Table1[[#This Row],[qe_mg_g]]-Table1[[#This Row],[qt]])</f>
        <v>2.5237126508479739</v>
      </c>
      <c r="R1919" s="1">
        <v>1</v>
      </c>
    </row>
    <row r="1920" spans="1:18" x14ac:dyDescent="0.3">
      <c r="A1920" s="1">
        <v>1919</v>
      </c>
      <c r="B1920" s="1" t="s">
        <v>19</v>
      </c>
      <c r="C1920" s="1">
        <v>1</v>
      </c>
      <c r="D1920" s="1">
        <v>60</v>
      </c>
      <c r="E1920" s="1">
        <v>50</v>
      </c>
      <c r="F1920" s="1">
        <v>3</v>
      </c>
      <c r="G1920" s="1">
        <v>25</v>
      </c>
      <c r="H1920" s="1">
        <v>150</v>
      </c>
      <c r="I1920" s="1">
        <v>100</v>
      </c>
      <c r="J1920" s="1">
        <v>16.149000000000001</v>
      </c>
      <c r="K1920" s="1">
        <v>33.850999999999999</v>
      </c>
      <c r="L1920" s="1">
        <v>32.299999999999997</v>
      </c>
      <c r="M1920" s="1">
        <v>52.2</v>
      </c>
      <c r="N1920" s="1">
        <v>5.0389999999999997E-2</v>
      </c>
      <c r="O1920" s="1">
        <v>3.2400000000000001E-4</v>
      </c>
      <c r="P1920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3.8584522737079485</v>
      </c>
      <c r="Q1920" s="1">
        <f>LN(Table1[[#This Row],[qe_mg_g]]-Table1[[#This Row],[qt]])</f>
        <v>2.5088304894109137</v>
      </c>
      <c r="R1920" s="1">
        <v>2</v>
      </c>
    </row>
    <row r="1921" spans="1:18" x14ac:dyDescent="0.3">
      <c r="A1921" s="1">
        <v>1920</v>
      </c>
      <c r="B1921" s="1" t="s">
        <v>19</v>
      </c>
      <c r="C1921" s="1">
        <v>1</v>
      </c>
      <c r="D1921" s="1">
        <v>60</v>
      </c>
      <c r="E1921" s="1">
        <v>50</v>
      </c>
      <c r="F1921" s="1">
        <v>3</v>
      </c>
      <c r="G1921" s="1">
        <v>25</v>
      </c>
      <c r="H1921" s="1">
        <v>150</v>
      </c>
      <c r="I1921" s="1">
        <v>100</v>
      </c>
      <c r="J1921" s="1">
        <v>15.542</v>
      </c>
      <c r="K1921" s="1">
        <v>34.457999999999998</v>
      </c>
      <c r="L1921" s="1">
        <v>31.08</v>
      </c>
      <c r="M1921" s="1">
        <v>25.1</v>
      </c>
      <c r="N1921" s="1">
        <v>5.1139999999999998E-2</v>
      </c>
      <c r="O1921" s="1">
        <v>3.1930000000000001E-4</v>
      </c>
      <c r="P192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3.5659210518382243</v>
      </c>
      <c r="Q1921" s="1">
        <f>LN(Table1[[#This Row],[qe_mg_g]]-Table1[[#This Row],[qt]])</f>
        <v>2.4829112392934758</v>
      </c>
      <c r="R1921" s="1">
        <v>3</v>
      </c>
    </row>
    <row r="1922" spans="1:18" x14ac:dyDescent="0.3">
      <c r="A1922" s="1">
        <v>1921</v>
      </c>
      <c r="B1922" s="1" t="s">
        <v>19</v>
      </c>
      <c r="C1922" s="1">
        <v>1</v>
      </c>
      <c r="D1922" s="1">
        <v>60</v>
      </c>
      <c r="E1922" s="1">
        <v>50</v>
      </c>
      <c r="F1922" s="1">
        <v>7</v>
      </c>
      <c r="G1922" s="1">
        <v>25</v>
      </c>
      <c r="H1922" s="1">
        <v>150</v>
      </c>
      <c r="I1922" s="1">
        <v>100</v>
      </c>
      <c r="J1922" s="1">
        <v>25.408000000000001</v>
      </c>
      <c r="K1922" s="1">
        <v>24.591999999999999</v>
      </c>
      <c r="L1922" s="1">
        <v>50.82</v>
      </c>
      <c r="M1922" s="1">
        <v>48</v>
      </c>
      <c r="N1922" s="1">
        <v>5.382E-2</v>
      </c>
      <c r="O1922" s="1">
        <v>4.0400000000000001E-4</v>
      </c>
      <c r="P1922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9.6841566332439317</v>
      </c>
      <c r="Q1922" s="1">
        <f>LN(Table1[[#This Row],[qe_mg_g]]-Table1[[#This Row],[qt]])</f>
        <v>2.7551782460978944</v>
      </c>
      <c r="R1922" s="1">
        <v>1</v>
      </c>
    </row>
    <row r="1923" spans="1:18" x14ac:dyDescent="0.3">
      <c r="A1923" s="1">
        <v>1922</v>
      </c>
      <c r="B1923" s="1" t="s">
        <v>19</v>
      </c>
      <c r="C1923" s="1">
        <v>1</v>
      </c>
      <c r="D1923" s="1">
        <v>60</v>
      </c>
      <c r="E1923" s="1">
        <v>50</v>
      </c>
      <c r="F1923" s="1">
        <v>7</v>
      </c>
      <c r="G1923" s="1">
        <v>25</v>
      </c>
      <c r="H1923" s="1">
        <v>150</v>
      </c>
      <c r="I1923" s="1">
        <v>100</v>
      </c>
      <c r="J1923" s="1">
        <v>26.2</v>
      </c>
      <c r="K1923" s="1">
        <v>23.8</v>
      </c>
      <c r="L1923" s="1">
        <v>52.4</v>
      </c>
      <c r="M1923" s="1">
        <v>61.9</v>
      </c>
      <c r="N1923" s="1">
        <v>5.2249999999999998E-2</v>
      </c>
      <c r="O1923" s="1">
        <v>3.6900000000000002E-4</v>
      </c>
      <c r="P1923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9.6184351559553125</v>
      </c>
      <c r="Q1923" s="1">
        <f>LN(Table1[[#This Row],[qe_mg_g]]-Table1[[#This Row],[qt]])</f>
        <v>2.8082915266795991</v>
      </c>
      <c r="R1923" s="1">
        <v>2</v>
      </c>
    </row>
    <row r="1924" spans="1:18" x14ac:dyDescent="0.3">
      <c r="A1924" s="1">
        <v>1923</v>
      </c>
      <c r="B1924" s="1" t="s">
        <v>19</v>
      </c>
      <c r="C1924" s="1">
        <v>1</v>
      </c>
      <c r="D1924" s="1">
        <v>60</v>
      </c>
      <c r="E1924" s="1">
        <v>50</v>
      </c>
      <c r="F1924" s="1">
        <v>7</v>
      </c>
      <c r="G1924" s="1">
        <v>25</v>
      </c>
      <c r="H1924" s="1">
        <v>150</v>
      </c>
      <c r="I1924" s="1">
        <v>100</v>
      </c>
      <c r="J1924" s="1">
        <v>24.094000000000001</v>
      </c>
      <c r="K1924" s="1">
        <v>25.905999999999999</v>
      </c>
      <c r="L1924" s="1">
        <v>48.19</v>
      </c>
      <c r="M1924" s="1">
        <v>52.9</v>
      </c>
      <c r="N1924" s="1">
        <v>5.7250000000000002E-2</v>
      </c>
      <c r="O1924" s="1">
        <v>3.2909999999999998E-4</v>
      </c>
      <c r="P1924" s="1">
        <f>(Table1[[#This Row],[Rate_Constant_k2_g_mg_min]]*Table1[[#This Row],[Contact_Time_min]]*Table1[[#This Row],[qe_mg_g]]^2)/(1+Table1[[#This Row],[Contact_Time_min]]*Table1[[#This Row],[qe_mg_g]]*Table1[[#This Row],[Rate_Constant_k2_g_mg_min]])</f>
        <v>7.7674984174162445</v>
      </c>
      <c r="Q1924" s="1">
        <f>LN(Table1[[#This Row],[qe_mg_g]]-Table1[[#This Row],[qt]])</f>
        <v>2.7927896514889752</v>
      </c>
      <c r="R1924" s="1">
        <v>3</v>
      </c>
    </row>
    <row r="1925" spans="1:18" x14ac:dyDescent="0.3">
      <c r="A1925" s="1">
        <v>1924</v>
      </c>
      <c r="B1925" s="1" t="s">
        <v>19</v>
      </c>
      <c r="C1925" s="1">
        <v>1</v>
      </c>
      <c r="D1925" s="1">
        <v>60</v>
      </c>
      <c r="E1925" s="1">
        <v>50</v>
      </c>
      <c r="F1925" s="1">
        <v>11</v>
      </c>
      <c r="G1925" s="1">
        <v>25</v>
      </c>
      <c r="H1925" s="1">
        <v>150</v>
      </c>
      <c r="I1925" s="1">
        <v>100</v>
      </c>
      <c r="J1925" s="1">
        <v>21.157</v>
      </c>
      <c r="K1925" s="1">
        <v>28.843</v>
      </c>
      <c r="L1925" s="1">
        <v>42.31</v>
      </c>
      <c r="M1925" s="1">
        <v>53.2</v>
      </c>
      <c r="N1925" s="1">
        <v>5.8400000000000001E-2</v>
      </c>
      <c r="O1925" s="1">
        <v>4.0089999999999999E-4</v>
      </c>
      <c r="P1925" s="1">
        <f>(Table1[[#This Row],[Rate_Constant_k2_g_mg_min]]*Table1[[#This Row],[Contact_Time_min]]*Table1[[#This Row],[qe_mg_g]]^2)/(1+Table1[[#This Row],[Contact_Time_min]]*Table1[[#This Row],[qe_mg_g]]*Table1[[#This Row],[Rate_Constant_k2_g_mg_min]])</f>
        <v>7.1356247703424058</v>
      </c>
      <c r="Q1925" s="1">
        <f>LN(Table1[[#This Row],[qe_mg_g]]-Table1[[#This Row],[qt]])</f>
        <v>2.6405829673563357</v>
      </c>
      <c r="R1925" s="1">
        <v>1</v>
      </c>
    </row>
    <row r="1926" spans="1:18" x14ac:dyDescent="0.3">
      <c r="A1926" s="1">
        <v>1925</v>
      </c>
      <c r="B1926" s="1" t="s">
        <v>19</v>
      </c>
      <c r="C1926" s="1">
        <v>1</v>
      </c>
      <c r="D1926" s="1">
        <v>60</v>
      </c>
      <c r="E1926" s="1">
        <v>50</v>
      </c>
      <c r="F1926" s="1">
        <v>11</v>
      </c>
      <c r="G1926" s="1">
        <v>25</v>
      </c>
      <c r="H1926" s="1">
        <v>150</v>
      </c>
      <c r="I1926" s="1">
        <v>100</v>
      </c>
      <c r="J1926" s="1">
        <v>20.538</v>
      </c>
      <c r="K1926" s="1">
        <v>29.462</v>
      </c>
      <c r="L1926" s="1">
        <v>41.08</v>
      </c>
      <c r="M1926" s="1">
        <v>43</v>
      </c>
      <c r="N1926" s="1">
        <v>5.7450000000000001E-2</v>
      </c>
      <c r="O1926" s="1">
        <v>3.7980000000000002E-4</v>
      </c>
      <c r="P1926" s="1">
        <f>(Table1[[#This Row],[Rate_Constant_k2_g_mg_min]]*Table1[[#This Row],[Contact_Time_min]]*Table1[[#This Row],[qe_mg_g]]^2)/(1+Table1[[#This Row],[Contact_Time_min]]*Table1[[#This Row],[qe_mg_g]]*Table1[[#This Row],[Rate_Constant_k2_g_mg_min]])</f>
        <v>6.5477268542286247</v>
      </c>
      <c r="Q1926" s="1">
        <f>LN(Table1[[#This Row],[qe_mg_g]]-Table1[[#This Row],[qt]])</f>
        <v>2.6383623128450031</v>
      </c>
      <c r="R1926" s="1">
        <v>2</v>
      </c>
    </row>
    <row r="1927" spans="1:18" x14ac:dyDescent="0.3">
      <c r="A1927" s="1">
        <v>1926</v>
      </c>
      <c r="B1927" s="1" t="s">
        <v>19</v>
      </c>
      <c r="C1927" s="1">
        <v>1</v>
      </c>
      <c r="D1927" s="1">
        <v>60</v>
      </c>
      <c r="E1927" s="1">
        <v>50</v>
      </c>
      <c r="F1927" s="1">
        <v>11</v>
      </c>
      <c r="G1927" s="1">
        <v>25</v>
      </c>
      <c r="H1927" s="1">
        <v>150</v>
      </c>
      <c r="I1927" s="1">
        <v>100</v>
      </c>
      <c r="J1927" s="1">
        <v>20.350999999999999</v>
      </c>
      <c r="K1927" s="1">
        <v>29.649000000000001</v>
      </c>
      <c r="L1927" s="1">
        <v>40.700000000000003</v>
      </c>
      <c r="M1927" s="1">
        <v>45.4</v>
      </c>
      <c r="N1927" s="1">
        <v>5.1389999999999998E-2</v>
      </c>
      <c r="O1927" s="1">
        <v>3.8479999999999997E-4</v>
      </c>
      <c r="P1927" s="1">
        <f>(Table1[[#This Row],[Rate_Constant_k2_g_mg_min]]*Table1[[#This Row],[Contact_Time_min]]*Table1[[#This Row],[qe_mg_g]]^2)/(1+Table1[[#This Row],[Contact_Time_min]]*Table1[[#This Row],[qe_mg_g]]*Table1[[#This Row],[Rate_Constant_k2_g_mg_min]])</f>
        <v>6.5055003138413037</v>
      </c>
      <c r="Q1927" s="1">
        <f>LN(Table1[[#This Row],[qe_mg_g]]-Table1[[#This Row],[qt]])</f>
        <v>2.6279602474240602</v>
      </c>
      <c r="R1927" s="1">
        <v>3</v>
      </c>
    </row>
    <row r="1928" spans="1:18" x14ac:dyDescent="0.3">
      <c r="A1928" s="1">
        <v>1927</v>
      </c>
      <c r="B1928" s="1" t="s">
        <v>19</v>
      </c>
      <c r="C1928" s="1">
        <v>1</v>
      </c>
      <c r="D1928" s="1">
        <v>60</v>
      </c>
      <c r="E1928" s="1">
        <v>100</v>
      </c>
      <c r="F1928" s="1">
        <v>3</v>
      </c>
      <c r="G1928" s="1">
        <v>25</v>
      </c>
      <c r="H1928" s="1">
        <v>150</v>
      </c>
      <c r="I1928" s="1">
        <v>100</v>
      </c>
      <c r="J1928" s="1">
        <v>41.347999999999999</v>
      </c>
      <c r="K1928" s="1">
        <v>58.652000000000001</v>
      </c>
      <c r="L1928" s="1">
        <v>41.35</v>
      </c>
      <c r="M1928" s="1">
        <v>52.1</v>
      </c>
      <c r="N1928" s="1">
        <v>6.3670000000000004E-2</v>
      </c>
      <c r="O1928" s="1">
        <v>3.4830000000000001E-4</v>
      </c>
      <c r="P1928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19.166673550841711</v>
      </c>
      <c r="Q1928" s="1">
        <f>LN(Table1[[#This Row],[qe_mg_g]]-Table1[[#This Row],[qt]])</f>
        <v>3.0992507839734604</v>
      </c>
      <c r="R1928" s="1">
        <v>1</v>
      </c>
    </row>
    <row r="1929" spans="1:18" x14ac:dyDescent="0.3">
      <c r="A1929" s="1">
        <v>1928</v>
      </c>
      <c r="B1929" s="1" t="s">
        <v>19</v>
      </c>
      <c r="C1929" s="1">
        <v>1</v>
      </c>
      <c r="D1929" s="1">
        <v>60</v>
      </c>
      <c r="E1929" s="1">
        <v>100</v>
      </c>
      <c r="F1929" s="1">
        <v>3</v>
      </c>
      <c r="G1929" s="1">
        <v>25</v>
      </c>
      <c r="H1929" s="1">
        <v>150</v>
      </c>
      <c r="I1929" s="1">
        <v>100</v>
      </c>
      <c r="J1929" s="1">
        <v>41.454999999999998</v>
      </c>
      <c r="K1929" s="1">
        <v>58.545000000000002</v>
      </c>
      <c r="L1929" s="1">
        <v>41.46</v>
      </c>
      <c r="M1929" s="1">
        <v>47.4</v>
      </c>
      <c r="N1929" s="1">
        <v>5.6829999999999999E-2</v>
      </c>
      <c r="O1929" s="1">
        <v>3.033E-4</v>
      </c>
      <c r="P1929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17.825813308397979</v>
      </c>
      <c r="Q1929" s="1">
        <f>LN(Table1[[#This Row],[qe_mg_g]]-Table1[[#This Row],[qt]])</f>
        <v>3.1624826721385237</v>
      </c>
      <c r="R1929" s="1">
        <v>2</v>
      </c>
    </row>
    <row r="1930" spans="1:18" x14ac:dyDescent="0.3">
      <c r="A1930" s="1">
        <v>1929</v>
      </c>
      <c r="B1930" s="1" t="s">
        <v>19</v>
      </c>
      <c r="C1930" s="1">
        <v>1</v>
      </c>
      <c r="D1930" s="1">
        <v>60</v>
      </c>
      <c r="E1930" s="1">
        <v>100</v>
      </c>
      <c r="F1930" s="1">
        <v>3</v>
      </c>
      <c r="G1930" s="1">
        <v>25</v>
      </c>
      <c r="H1930" s="1">
        <v>150</v>
      </c>
      <c r="I1930" s="1">
        <v>100</v>
      </c>
      <c r="J1930" s="1">
        <v>42.920999999999999</v>
      </c>
      <c r="K1930" s="1">
        <v>57.079000000000001</v>
      </c>
      <c r="L1930" s="1">
        <v>42.92</v>
      </c>
      <c r="M1930" s="1">
        <v>57.3</v>
      </c>
      <c r="N1930" s="1">
        <v>6.2149999999999997E-2</v>
      </c>
      <c r="O1930" s="1">
        <v>3.7340000000000002E-4</v>
      </c>
      <c r="P1930" s="1">
        <f>(Table1[[#This Row],[Rate_Constant_k2_g_mg_min]]*Table1[[#This Row],[Contact_Time_min]]*Table1[[#This Row],[qe_mg_g]]^2)/(1+Table1[[#This Row],[Contact_Time_min]]*Table1[[#This Row],[qe_mg_g]]*Table1[[#This Row],[Rate_Constant_k2_g_mg_min]])</f>
        <v>21.040415578679617</v>
      </c>
      <c r="Q1930" s="1">
        <f>LN(Table1[[#This Row],[qe_mg_g]]-Table1[[#This Row],[qt]])</f>
        <v>3.0855996874950731</v>
      </c>
      <c r="R1930" s="1">
        <v>3</v>
      </c>
    </row>
    <row r="1931" spans="1:18" x14ac:dyDescent="0.3">
      <c r="A1931" s="1">
        <v>1930</v>
      </c>
      <c r="B1931" s="1" t="s">
        <v>19</v>
      </c>
      <c r="C1931" s="1">
        <v>1</v>
      </c>
      <c r="D1931" s="1">
        <v>60</v>
      </c>
      <c r="E1931" s="1">
        <v>100</v>
      </c>
      <c r="F1931" s="1">
        <v>7</v>
      </c>
      <c r="G1931" s="1">
        <v>25</v>
      </c>
      <c r="H1931" s="1">
        <v>150</v>
      </c>
      <c r="I1931" s="1">
        <v>100</v>
      </c>
      <c r="J1931" s="1">
        <v>61.372999999999998</v>
      </c>
      <c r="K1931" s="1">
        <v>38.627000000000002</v>
      </c>
      <c r="L1931" s="1">
        <v>61.37</v>
      </c>
      <c r="M1931" s="1">
        <v>64.2</v>
      </c>
      <c r="N1931" s="1">
        <v>5.3350000000000002E-2</v>
      </c>
      <c r="O1931" s="1">
        <v>3.0679999999999998E-4</v>
      </c>
      <c r="P1931" s="1">
        <f>(Table1[[#This Row],[Rate_Constant_k2_g_mg_min]]*Table1[[#This Row],[Contact_Time_min]]*Table1[[#This Row],[qe_mg_g]]^2)/(1+Table1[[#This Row],[Contact_Time_min]]*Table1[[#This Row],[qe_mg_g]]*Table1[[#This Row],[Rate_Constant_k2_g_mg_min]])</f>
        <v>32.55605931216332</v>
      </c>
      <c r="Q1931" s="1">
        <f>LN(Table1[[#This Row],[qe_mg_g]]-Table1[[#This Row],[qt]])</f>
        <v>3.3609634325369737</v>
      </c>
      <c r="R1931" s="1">
        <v>1</v>
      </c>
    </row>
    <row r="1932" spans="1:18" x14ac:dyDescent="0.3">
      <c r="A1932" s="1">
        <v>1931</v>
      </c>
      <c r="B1932" s="1" t="s">
        <v>19</v>
      </c>
      <c r="C1932" s="1">
        <v>1</v>
      </c>
      <c r="D1932" s="1">
        <v>60</v>
      </c>
      <c r="E1932" s="1">
        <v>100</v>
      </c>
      <c r="F1932" s="1">
        <v>7</v>
      </c>
      <c r="G1932" s="1">
        <v>25</v>
      </c>
      <c r="H1932" s="1">
        <v>150</v>
      </c>
      <c r="I1932" s="1">
        <v>100</v>
      </c>
      <c r="J1932" s="1">
        <v>63.823999999999998</v>
      </c>
      <c r="K1932" s="1">
        <v>36.176000000000002</v>
      </c>
      <c r="L1932" s="1">
        <v>63.82</v>
      </c>
      <c r="M1932" s="1">
        <v>66.3</v>
      </c>
      <c r="N1932" s="1">
        <v>5.5910000000000001E-2</v>
      </c>
      <c r="O1932" s="1">
        <v>3.5040000000000001E-4</v>
      </c>
      <c r="P1932" s="1">
        <f>(Table1[[#This Row],[Rate_Constant_k2_g_mg_min]]*Table1[[#This Row],[Contact_Time_min]]*Table1[[#This Row],[qe_mg_g]]^2)/(1+Table1[[#This Row],[Contact_Time_min]]*Table1[[#This Row],[qe_mg_g]]*Table1[[#This Row],[Rate_Constant_k2_g_mg_min]])</f>
        <v>36.570167492147839</v>
      </c>
      <c r="Q1932" s="1">
        <f>LN(Table1[[#This Row],[qe_mg_g]]-Table1[[#This Row],[qt]])</f>
        <v>3.3051941537100129</v>
      </c>
      <c r="R1932" s="1">
        <v>2</v>
      </c>
    </row>
    <row r="1933" spans="1:18" x14ac:dyDescent="0.3">
      <c r="A1933" s="1">
        <v>1932</v>
      </c>
      <c r="B1933" s="1" t="s">
        <v>19</v>
      </c>
      <c r="C1933" s="1">
        <v>1</v>
      </c>
      <c r="D1933" s="1">
        <v>60</v>
      </c>
      <c r="E1933" s="1">
        <v>100</v>
      </c>
      <c r="F1933" s="1">
        <v>7</v>
      </c>
      <c r="G1933" s="1">
        <v>25</v>
      </c>
      <c r="H1933" s="1">
        <v>150</v>
      </c>
      <c r="I1933" s="1">
        <v>100</v>
      </c>
      <c r="J1933" s="1">
        <v>72.006</v>
      </c>
      <c r="K1933" s="1">
        <v>27.994</v>
      </c>
      <c r="L1933" s="1">
        <v>72.010000000000005</v>
      </c>
      <c r="M1933" s="1">
        <v>42.8</v>
      </c>
      <c r="N1933" s="1">
        <v>4.793E-2</v>
      </c>
      <c r="O1933" s="1">
        <v>2.9339999999999998E-4</v>
      </c>
      <c r="P1933" s="1">
        <f>(Table1[[#This Row],[Rate_Constant_k2_g_mg_min]]*Table1[[#This Row],[Contact_Time_min]]*Table1[[#This Row],[qe_mg_g]]^2)/(1+Table1[[#This Row],[Contact_Time_min]]*Table1[[#This Row],[qe_mg_g]]*Table1[[#This Row],[Rate_Constant_k2_g_mg_min]])</f>
        <v>40.251633063219444</v>
      </c>
      <c r="Q1933" s="1">
        <f>LN(Table1[[#This Row],[qe_mg_g]]-Table1[[#This Row],[qt]])</f>
        <v>3.4580302571966843</v>
      </c>
      <c r="R1933" s="1">
        <v>3</v>
      </c>
    </row>
    <row r="1934" spans="1:18" x14ac:dyDescent="0.3">
      <c r="A1934" s="1">
        <v>1933</v>
      </c>
      <c r="B1934" s="1" t="s">
        <v>19</v>
      </c>
      <c r="C1934" s="1">
        <v>1</v>
      </c>
      <c r="D1934" s="1">
        <v>60</v>
      </c>
      <c r="E1934" s="1">
        <v>100</v>
      </c>
      <c r="F1934" s="1">
        <v>11</v>
      </c>
      <c r="G1934" s="1">
        <v>25</v>
      </c>
      <c r="H1934" s="1">
        <v>150</v>
      </c>
      <c r="I1934" s="1">
        <v>100</v>
      </c>
      <c r="J1934" s="1">
        <v>53.262</v>
      </c>
      <c r="K1934" s="1">
        <v>46.738</v>
      </c>
      <c r="L1934" s="1">
        <v>53.26</v>
      </c>
      <c r="M1934" s="1">
        <v>55.9</v>
      </c>
      <c r="N1934" s="1">
        <v>6.3490000000000005E-2</v>
      </c>
      <c r="O1934" s="1">
        <v>3.5849999999999999E-4</v>
      </c>
      <c r="P1934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28.438933673383829</v>
      </c>
      <c r="Q1934" s="1">
        <f>LN(Table1[[#This Row],[qe_mg_g]]-Table1[[#This Row],[qt]])</f>
        <v>3.2117733147168654</v>
      </c>
      <c r="R1934" s="1">
        <v>1</v>
      </c>
    </row>
    <row r="1935" spans="1:18" x14ac:dyDescent="0.3">
      <c r="A1935" s="1">
        <v>1934</v>
      </c>
      <c r="B1935" s="1" t="s">
        <v>19</v>
      </c>
      <c r="C1935" s="1">
        <v>1</v>
      </c>
      <c r="D1935" s="1">
        <v>60</v>
      </c>
      <c r="E1935" s="1">
        <v>100</v>
      </c>
      <c r="F1935" s="1">
        <v>11</v>
      </c>
      <c r="G1935" s="1">
        <v>25</v>
      </c>
      <c r="H1935" s="1">
        <v>150</v>
      </c>
      <c r="I1935" s="1">
        <v>100</v>
      </c>
      <c r="J1935" s="1">
        <v>50.44</v>
      </c>
      <c r="K1935" s="1">
        <v>49.56</v>
      </c>
      <c r="L1935" s="1">
        <v>50.44</v>
      </c>
      <c r="M1935" s="1">
        <v>54.6</v>
      </c>
      <c r="N1935" s="1">
        <v>5.5649999999999998E-2</v>
      </c>
      <c r="O1935" s="1">
        <v>2.9149999999999998E-4</v>
      </c>
      <c r="P1935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23.641509981215552</v>
      </c>
      <c r="Q1935" s="1">
        <f>LN(Table1[[#This Row],[qe_mg_g]]-Table1[[#This Row],[qt]])</f>
        <v>3.2883455433468383</v>
      </c>
      <c r="R1935" s="1">
        <v>2</v>
      </c>
    </row>
    <row r="1936" spans="1:18" x14ac:dyDescent="0.3">
      <c r="A1936" s="1">
        <v>1935</v>
      </c>
      <c r="B1936" s="1" t="s">
        <v>19</v>
      </c>
      <c r="C1936" s="1">
        <v>1</v>
      </c>
      <c r="D1936" s="1">
        <v>60</v>
      </c>
      <c r="E1936" s="1">
        <v>100</v>
      </c>
      <c r="F1936" s="1">
        <v>11</v>
      </c>
      <c r="G1936" s="1">
        <v>25</v>
      </c>
      <c r="H1936" s="1">
        <v>150</v>
      </c>
      <c r="I1936" s="1">
        <v>100</v>
      </c>
      <c r="J1936" s="1">
        <v>61.756</v>
      </c>
      <c r="K1936" s="1">
        <v>38.244</v>
      </c>
      <c r="L1936" s="1">
        <v>61.76</v>
      </c>
      <c r="M1936" s="1">
        <v>58.8</v>
      </c>
      <c r="N1936" s="1">
        <v>5.6160000000000002E-2</v>
      </c>
      <c r="O1936" s="1">
        <v>3.7149999999999998E-4</v>
      </c>
      <c r="P1936" s="1">
        <f>(Table1[[#This Row],[Rate_Constant_k2_g_mg_min]]*Table1[[#This Row],[Contact_Time_min]]*Table1[[#This Row],[qe_mg_g]]^2)/(1+Table1[[#This Row],[Contact_Time_min]]*Table1[[#This Row],[qe_mg_g]]*Table1[[#This Row],[Rate_Constant_k2_g_mg_min]])</f>
        <v>35.770336902481013</v>
      </c>
      <c r="Q1936" s="1">
        <f>LN(Table1[[#This Row],[qe_mg_g]]-Table1[[#This Row],[qt]])</f>
        <v>3.2575449666077407</v>
      </c>
      <c r="R1936" s="1">
        <v>3</v>
      </c>
    </row>
    <row r="1937" spans="1:18" x14ac:dyDescent="0.3">
      <c r="A1937" s="1">
        <v>1936</v>
      </c>
      <c r="B1937" s="1" t="s">
        <v>19</v>
      </c>
      <c r="C1937" s="1">
        <v>1</v>
      </c>
      <c r="D1937" s="1">
        <v>60</v>
      </c>
      <c r="E1937" s="1">
        <v>200</v>
      </c>
      <c r="F1937" s="1">
        <v>3</v>
      </c>
      <c r="G1937" s="1">
        <v>25</v>
      </c>
      <c r="H1937" s="1">
        <v>150</v>
      </c>
      <c r="I1937" s="1">
        <v>100</v>
      </c>
      <c r="J1937" s="1">
        <v>111.31100000000001</v>
      </c>
      <c r="K1937" s="1">
        <v>88.688999999999993</v>
      </c>
      <c r="L1937" s="1">
        <v>55.66</v>
      </c>
      <c r="M1937" s="1">
        <v>53.4</v>
      </c>
      <c r="N1937" s="1">
        <v>5.1529999999999999E-2</v>
      </c>
      <c r="O1937" s="1">
        <v>3.7100000000000002E-4</v>
      </c>
      <c r="P1937" s="1">
        <f>(Table1[[#This Row],[Rate_Constant_k2_g_mg_min]]*Table1[[#This Row],[Contact_Time_min]]*Table1[[#This Row],[qe_mg_g]]^2)/(1+Table1[[#This Row],[Contact_Time_min]]*Table1[[#This Row],[qe_mg_g]]*Table1[[#This Row],[Rate_Constant_k2_g_mg_min]])</f>
        <v>79.304688944685864</v>
      </c>
      <c r="Q1937" s="1">
        <f>LN(Table1[[#This Row],[qe_mg_g]]-Table1[[#This Row],[qt]])</f>
        <v>3.4659331038328918</v>
      </c>
      <c r="R1937" s="1">
        <v>1</v>
      </c>
    </row>
    <row r="1938" spans="1:18" x14ac:dyDescent="0.3">
      <c r="A1938" s="1">
        <v>1937</v>
      </c>
      <c r="B1938" s="1" t="s">
        <v>19</v>
      </c>
      <c r="C1938" s="1">
        <v>1</v>
      </c>
      <c r="D1938" s="1">
        <v>60</v>
      </c>
      <c r="E1938" s="1">
        <v>200</v>
      </c>
      <c r="F1938" s="1">
        <v>3</v>
      </c>
      <c r="G1938" s="1">
        <v>25</v>
      </c>
      <c r="H1938" s="1">
        <v>150</v>
      </c>
      <c r="I1938" s="1">
        <v>100</v>
      </c>
      <c r="J1938" s="1">
        <v>108.908</v>
      </c>
      <c r="K1938" s="1">
        <v>91.091999999999999</v>
      </c>
      <c r="L1938" s="1">
        <v>54.45</v>
      </c>
      <c r="M1938" s="1">
        <v>47.9</v>
      </c>
      <c r="N1938" s="1">
        <v>6.2799999999999995E-2</v>
      </c>
      <c r="O1938" s="1">
        <v>3.6029999999999998E-4</v>
      </c>
      <c r="P1938" s="1">
        <f>(Table1[[#This Row],[Rate_Constant_k2_g_mg_min]]*Table1[[#This Row],[Contact_Time_min]]*Table1[[#This Row],[qe_mg_g]]^2)/(1+Table1[[#This Row],[Contact_Time_min]]*Table1[[#This Row],[qe_mg_g]]*Table1[[#This Row],[Rate_Constant_k2_g_mg_min]])</f>
        <v>76.440532808758974</v>
      </c>
      <c r="Q1938" s="1">
        <f>LN(Table1[[#This Row],[qe_mg_g]]-Table1[[#This Row],[qt]])</f>
        <v>3.4802385784908108</v>
      </c>
      <c r="R1938" s="1">
        <v>2</v>
      </c>
    </row>
    <row r="1939" spans="1:18" x14ac:dyDescent="0.3">
      <c r="A1939" s="1">
        <v>1938</v>
      </c>
      <c r="B1939" s="1" t="s">
        <v>19</v>
      </c>
      <c r="C1939" s="1">
        <v>1</v>
      </c>
      <c r="D1939" s="1">
        <v>60</v>
      </c>
      <c r="E1939" s="1">
        <v>200</v>
      </c>
      <c r="F1939" s="1">
        <v>3</v>
      </c>
      <c r="G1939" s="1">
        <v>25</v>
      </c>
      <c r="H1939" s="1">
        <v>150</v>
      </c>
      <c r="I1939" s="1">
        <v>100</v>
      </c>
      <c r="J1939" s="1">
        <v>111.46299999999999</v>
      </c>
      <c r="K1939" s="1">
        <v>88.537000000000006</v>
      </c>
      <c r="L1939" s="1">
        <v>55.73</v>
      </c>
      <c r="M1939" s="1">
        <v>65.900000000000006</v>
      </c>
      <c r="N1939" s="1">
        <v>5.5120000000000002E-2</v>
      </c>
      <c r="O1939" s="1">
        <v>3.611E-4</v>
      </c>
      <c r="P1939" s="1">
        <f>(Table1[[#This Row],[Rate_Constant_k2_g_mg_min]]*Table1[[#This Row],[Contact_Time_min]]*Table1[[#This Row],[qe_mg_g]]^2)/(1+Table1[[#This Row],[Contact_Time_min]]*Table1[[#This Row],[qe_mg_g]]*Table1[[#This Row],[Rate_Constant_k2_g_mg_min]])</f>
        <v>78.823353786297574</v>
      </c>
      <c r="Q1939" s="1">
        <f>LN(Table1[[#This Row],[qe_mg_g]]-Table1[[#This Row],[qt]])</f>
        <v>3.4855276909961836</v>
      </c>
      <c r="R1939" s="1">
        <v>3</v>
      </c>
    </row>
    <row r="1940" spans="1:18" x14ac:dyDescent="0.3">
      <c r="A1940" s="1">
        <v>1939</v>
      </c>
      <c r="B1940" s="1" t="s">
        <v>19</v>
      </c>
      <c r="C1940" s="1">
        <v>1</v>
      </c>
      <c r="D1940" s="1">
        <v>60</v>
      </c>
      <c r="E1940" s="1">
        <v>200</v>
      </c>
      <c r="F1940" s="1">
        <v>7</v>
      </c>
      <c r="G1940" s="1">
        <v>25</v>
      </c>
      <c r="H1940" s="1">
        <v>150</v>
      </c>
      <c r="I1940" s="1">
        <v>100</v>
      </c>
      <c r="J1940" s="1">
        <v>159.34100000000001</v>
      </c>
      <c r="K1940" s="1">
        <v>40.658999999999999</v>
      </c>
      <c r="L1940" s="1">
        <v>79.67</v>
      </c>
      <c r="M1940" s="1">
        <v>48.6</v>
      </c>
      <c r="N1940" s="1">
        <v>5.5300000000000002E-2</v>
      </c>
      <c r="O1940" s="1">
        <v>3.5439999999999999E-4</v>
      </c>
      <c r="P1940" s="1">
        <f>(Table1[[#This Row],[Rate_Constant_k2_g_mg_min]]*Table1[[#This Row],[Contact_Time_min]]*Table1[[#This Row],[qe_mg_g]]^2)/(1+Table1[[#This Row],[Contact_Time_min]]*Table1[[#This Row],[qe_mg_g]]*Table1[[#This Row],[Rate_Constant_k2_g_mg_min]])</f>
        <v>123.02997982521516</v>
      </c>
      <c r="Q1940" s="1">
        <f>LN(Table1[[#This Row],[qe_mg_g]]-Table1[[#This Row],[qt]])</f>
        <v>3.592121281280102</v>
      </c>
      <c r="R1940" s="1">
        <v>1</v>
      </c>
    </row>
    <row r="1941" spans="1:18" x14ac:dyDescent="0.3">
      <c r="A1941" s="1">
        <v>1940</v>
      </c>
      <c r="B1941" s="1" t="s">
        <v>19</v>
      </c>
      <c r="C1941" s="1">
        <v>1</v>
      </c>
      <c r="D1941" s="1">
        <v>60</v>
      </c>
      <c r="E1941" s="1">
        <v>200</v>
      </c>
      <c r="F1941" s="1">
        <v>7</v>
      </c>
      <c r="G1941" s="1">
        <v>25</v>
      </c>
      <c r="H1941" s="1">
        <v>150</v>
      </c>
      <c r="I1941" s="1">
        <v>100</v>
      </c>
      <c r="J1941" s="1">
        <v>140.69900000000001</v>
      </c>
      <c r="K1941" s="1">
        <v>59.301000000000002</v>
      </c>
      <c r="L1941" s="1">
        <v>70.349999999999994</v>
      </c>
      <c r="M1941" s="1">
        <v>73.5</v>
      </c>
      <c r="N1941" s="1">
        <v>4.7260000000000003E-2</v>
      </c>
      <c r="O1941" s="1">
        <v>3.0459999999999998E-4</v>
      </c>
      <c r="P1941" s="1">
        <f>(Table1[[#This Row],[Rate_Constant_k2_g_mg_min]]*Table1[[#This Row],[Contact_Time_min]]*Table1[[#This Row],[qe_mg_g]]^2)/(1+Table1[[#This Row],[Contact_Time_min]]*Table1[[#This Row],[qe_mg_g]]*Table1[[#This Row],[Rate_Constant_k2_g_mg_min]])</f>
        <v>101.30312945734781</v>
      </c>
      <c r="Q1941" s="1">
        <f>LN(Table1[[#This Row],[qe_mg_g]]-Table1[[#This Row],[qt]])</f>
        <v>3.6736610022489602</v>
      </c>
      <c r="R1941" s="1">
        <v>2</v>
      </c>
    </row>
    <row r="1942" spans="1:18" x14ac:dyDescent="0.3">
      <c r="A1942" s="1">
        <v>1941</v>
      </c>
      <c r="B1942" s="1" t="s">
        <v>19</v>
      </c>
      <c r="C1942" s="1">
        <v>1</v>
      </c>
      <c r="D1942" s="1">
        <v>60</v>
      </c>
      <c r="E1942" s="1">
        <v>200</v>
      </c>
      <c r="F1942" s="1">
        <v>7</v>
      </c>
      <c r="G1942" s="1">
        <v>25</v>
      </c>
      <c r="H1942" s="1">
        <v>150</v>
      </c>
      <c r="I1942" s="1">
        <v>100</v>
      </c>
      <c r="J1942" s="1">
        <v>164.66300000000001</v>
      </c>
      <c r="K1942" s="1">
        <v>35.337000000000003</v>
      </c>
      <c r="L1942" s="1">
        <v>82.33</v>
      </c>
      <c r="M1942" s="1">
        <v>60.4</v>
      </c>
      <c r="N1942" s="1">
        <v>4.9360000000000001E-2</v>
      </c>
      <c r="O1942" s="1">
        <v>3.7130000000000003E-4</v>
      </c>
      <c r="P1942" s="1">
        <f>(Table1[[#This Row],[Rate_Constant_k2_g_mg_min]]*Table1[[#This Row],[Contact_Time_min]]*Table1[[#This Row],[qe_mg_g]]^2)/(1+Table1[[#This Row],[Contact_Time_min]]*Table1[[#This Row],[qe_mg_g]]*Table1[[#This Row],[Rate_Constant_k2_g_mg_min]])</f>
        <v>129.39088765640781</v>
      </c>
      <c r="Q1942" s="1">
        <f>LN(Table1[[#This Row],[qe_mg_g]]-Table1[[#This Row],[qt]])</f>
        <v>3.5630926331149837</v>
      </c>
      <c r="R1942" s="1">
        <v>3</v>
      </c>
    </row>
    <row r="1943" spans="1:18" x14ac:dyDescent="0.3">
      <c r="A1943" s="1">
        <v>1942</v>
      </c>
      <c r="B1943" s="1" t="s">
        <v>19</v>
      </c>
      <c r="C1943" s="1">
        <v>1</v>
      </c>
      <c r="D1943" s="1">
        <v>60</v>
      </c>
      <c r="E1943" s="1">
        <v>200</v>
      </c>
      <c r="F1943" s="1">
        <v>11</v>
      </c>
      <c r="G1943" s="1">
        <v>25</v>
      </c>
      <c r="H1943" s="1">
        <v>150</v>
      </c>
      <c r="I1943" s="1">
        <v>100</v>
      </c>
      <c r="J1943" s="1">
        <v>136.53800000000001</v>
      </c>
      <c r="K1943" s="1">
        <v>63.462000000000003</v>
      </c>
      <c r="L1943" s="1">
        <v>68.27</v>
      </c>
      <c r="M1943" s="1">
        <v>54.3</v>
      </c>
      <c r="N1943" s="1">
        <v>6.9290000000000004E-2</v>
      </c>
      <c r="O1943" s="1">
        <v>2.8969999999999999E-4</v>
      </c>
      <c r="P1943" s="1">
        <f>(Table1[[#This Row],[Rate_Constant_k2_g_mg_min]]*Table1[[#This Row],[Contact_Time_min]]*Table1[[#This Row],[qe_mg_g]]^2)/(1+Table1[[#This Row],[Contact_Time_min]]*Table1[[#This Row],[qe_mg_g]]*Table1[[#This Row],[Rate_Constant_k2_g_mg_min]])</f>
        <v>96.061950527314494</v>
      </c>
      <c r="Q1943" s="1">
        <f>LN(Table1[[#This Row],[qe_mg_g]]-Table1[[#This Row],[qt]])</f>
        <v>3.7007104281388665</v>
      </c>
      <c r="R1943" s="1">
        <v>1</v>
      </c>
    </row>
    <row r="1944" spans="1:18" x14ac:dyDescent="0.3">
      <c r="A1944" s="1">
        <v>1943</v>
      </c>
      <c r="B1944" s="1" t="s">
        <v>19</v>
      </c>
      <c r="C1944" s="1">
        <v>1</v>
      </c>
      <c r="D1944" s="1">
        <v>60</v>
      </c>
      <c r="E1944" s="1">
        <v>200</v>
      </c>
      <c r="F1944" s="1">
        <v>11</v>
      </c>
      <c r="G1944" s="1">
        <v>25</v>
      </c>
      <c r="H1944" s="1">
        <v>150</v>
      </c>
      <c r="I1944" s="1">
        <v>100</v>
      </c>
      <c r="J1944" s="1">
        <v>129.82900000000001</v>
      </c>
      <c r="K1944" s="1">
        <v>70.171000000000006</v>
      </c>
      <c r="L1944" s="1">
        <v>64.91</v>
      </c>
      <c r="M1944" s="1">
        <v>64.099999999999994</v>
      </c>
      <c r="N1944" s="1">
        <v>5.9900000000000002E-2</v>
      </c>
      <c r="O1944" s="1">
        <v>3.4279999999999998E-4</v>
      </c>
      <c r="P1944" s="1">
        <f>(Table1[[#This Row],[Rate_Constant_k2_g_mg_min]]*Table1[[#This Row],[Contact_Time_min]]*Table1[[#This Row],[qe_mg_g]]^2)/(1+Table1[[#This Row],[Contact_Time_min]]*Table1[[#This Row],[qe_mg_g]]*Table1[[#This Row],[Rate_Constant_k2_g_mg_min]])</f>
        <v>94.456362625115659</v>
      </c>
      <c r="Q1944" s="1">
        <f>LN(Table1[[#This Row],[qe_mg_g]]-Table1[[#This Row],[qt]])</f>
        <v>3.5659385657438496</v>
      </c>
      <c r="R1944" s="1">
        <v>2</v>
      </c>
    </row>
    <row r="1945" spans="1:18" x14ac:dyDescent="0.3">
      <c r="A1945" s="1">
        <v>1944</v>
      </c>
      <c r="B1945" s="1" t="s">
        <v>19</v>
      </c>
      <c r="C1945" s="1">
        <v>1</v>
      </c>
      <c r="D1945" s="1">
        <v>60</v>
      </c>
      <c r="E1945" s="1">
        <v>200</v>
      </c>
      <c r="F1945" s="1">
        <v>11</v>
      </c>
      <c r="G1945" s="1">
        <v>25</v>
      </c>
      <c r="H1945" s="1">
        <v>150</v>
      </c>
      <c r="I1945" s="1">
        <v>100</v>
      </c>
      <c r="J1945" s="1">
        <v>121.298</v>
      </c>
      <c r="K1945" s="1">
        <v>78.701999999999998</v>
      </c>
      <c r="L1945" s="1">
        <v>60.65</v>
      </c>
      <c r="M1945" s="1">
        <v>58.2</v>
      </c>
      <c r="N1945" s="1">
        <v>5.9490000000000001E-2</v>
      </c>
      <c r="O1945" s="1">
        <v>3.7110000000000002E-4</v>
      </c>
      <c r="P1945" s="1">
        <f>(Table1[[#This Row],[Rate_Constant_k2_g_mg_min]]*Table1[[#This Row],[Contact_Time_min]]*Table1[[#This Row],[qe_mg_g]]^2)/(1+Table1[[#This Row],[Contact_Time_min]]*Table1[[#This Row],[qe_mg_g]]*Table1[[#This Row],[Rate_Constant_k2_g_mg_min]])</f>
        <v>88.522031852380721</v>
      </c>
      <c r="Q1945" s="1">
        <f>LN(Table1[[#This Row],[qe_mg_g]]-Table1[[#This Row],[qt]])</f>
        <v>3.4896955684238415</v>
      </c>
      <c r="R1945" s="1">
        <v>3</v>
      </c>
    </row>
    <row r="1946" spans="1:18" x14ac:dyDescent="0.3">
      <c r="A1946" s="1">
        <v>1945</v>
      </c>
      <c r="B1946" s="1" t="s">
        <v>19</v>
      </c>
      <c r="C1946" s="1">
        <v>1</v>
      </c>
      <c r="D1946" s="1">
        <v>120</v>
      </c>
      <c r="E1946" s="1">
        <v>25</v>
      </c>
      <c r="F1946" s="1">
        <v>3</v>
      </c>
      <c r="G1946" s="1">
        <v>25</v>
      </c>
      <c r="H1946" s="1">
        <v>150</v>
      </c>
      <c r="I1946" s="1">
        <v>100</v>
      </c>
      <c r="J1946" s="1">
        <v>8.4870000000000001</v>
      </c>
      <c r="K1946" s="1">
        <v>16.513000000000002</v>
      </c>
      <c r="L1946" s="1">
        <v>33.950000000000003</v>
      </c>
      <c r="M1946" s="1">
        <v>46.2</v>
      </c>
      <c r="N1946" s="1">
        <v>5.3749999999999999E-2</v>
      </c>
      <c r="O1946" s="1">
        <v>3.1710000000000001E-4</v>
      </c>
      <c r="P194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2.0717785879039279</v>
      </c>
      <c r="Q1946" s="1">
        <f>LN(Table1[[#This Row],[qe_mg_g]]-Table1[[#This Row],[qt]])</f>
        <v>1.8586735122180547</v>
      </c>
      <c r="R1946" s="1">
        <v>1</v>
      </c>
    </row>
    <row r="1947" spans="1:18" x14ac:dyDescent="0.3">
      <c r="A1947" s="1">
        <v>1946</v>
      </c>
      <c r="B1947" s="1" t="s">
        <v>19</v>
      </c>
      <c r="C1947" s="1">
        <v>1</v>
      </c>
      <c r="D1947" s="1">
        <v>120</v>
      </c>
      <c r="E1947" s="1">
        <v>25</v>
      </c>
      <c r="F1947" s="1">
        <v>3</v>
      </c>
      <c r="G1947" s="1">
        <v>25</v>
      </c>
      <c r="H1947" s="1">
        <v>150</v>
      </c>
      <c r="I1947" s="1">
        <v>100</v>
      </c>
      <c r="J1947" s="1">
        <v>7.6970000000000001</v>
      </c>
      <c r="K1947" s="1">
        <v>17.303000000000001</v>
      </c>
      <c r="L1947" s="1">
        <v>30.79</v>
      </c>
      <c r="M1947" s="1">
        <v>62.9</v>
      </c>
      <c r="N1947" s="1">
        <v>5.5590000000000001E-2</v>
      </c>
      <c r="O1947" s="1">
        <v>4.4119999999999999E-4</v>
      </c>
      <c r="P194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2.2284774495437176</v>
      </c>
      <c r="Q1947" s="1">
        <f>LN(Table1[[#This Row],[qe_mg_g]]-Table1[[#This Row],[qt]])</f>
        <v>1.699008479485159</v>
      </c>
      <c r="R1947" s="1">
        <v>2</v>
      </c>
    </row>
    <row r="1948" spans="1:18" x14ac:dyDescent="0.3">
      <c r="A1948" s="1">
        <v>1947</v>
      </c>
      <c r="B1948" s="1" t="s">
        <v>19</v>
      </c>
      <c r="C1948" s="1">
        <v>1</v>
      </c>
      <c r="D1948" s="1">
        <v>120</v>
      </c>
      <c r="E1948" s="1">
        <v>25</v>
      </c>
      <c r="F1948" s="1">
        <v>3</v>
      </c>
      <c r="G1948" s="1">
        <v>25</v>
      </c>
      <c r="H1948" s="1">
        <v>150</v>
      </c>
      <c r="I1948" s="1">
        <v>100</v>
      </c>
      <c r="J1948" s="1">
        <v>8.0180000000000007</v>
      </c>
      <c r="K1948" s="1">
        <v>16.981999999999999</v>
      </c>
      <c r="L1948" s="1">
        <v>32.07</v>
      </c>
      <c r="M1948" s="1">
        <v>55</v>
      </c>
      <c r="N1948" s="1">
        <v>5.5579999999999997E-2</v>
      </c>
      <c r="O1948" s="1">
        <v>3.277E-4</v>
      </c>
      <c r="P194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1.9220515288380273</v>
      </c>
      <c r="Q1948" s="1">
        <f>LN(Table1[[#This Row],[qe_mg_g]]-Table1[[#This Row],[qt]])</f>
        <v>1.8076243654552422</v>
      </c>
      <c r="R1948" s="1">
        <v>3</v>
      </c>
    </row>
    <row r="1949" spans="1:18" x14ac:dyDescent="0.3">
      <c r="A1949" s="1">
        <v>1948</v>
      </c>
      <c r="B1949" s="1" t="s">
        <v>19</v>
      </c>
      <c r="C1949" s="1">
        <v>1</v>
      </c>
      <c r="D1949" s="1">
        <v>120</v>
      </c>
      <c r="E1949" s="1">
        <v>25</v>
      </c>
      <c r="F1949" s="1">
        <v>7</v>
      </c>
      <c r="G1949" s="1">
        <v>25</v>
      </c>
      <c r="H1949" s="1">
        <v>150</v>
      </c>
      <c r="I1949" s="1">
        <v>100</v>
      </c>
      <c r="J1949" s="1">
        <v>12.228999999999999</v>
      </c>
      <c r="K1949" s="1">
        <v>12.771000000000001</v>
      </c>
      <c r="L1949" s="1">
        <v>48.92</v>
      </c>
      <c r="M1949" s="1">
        <v>63.8</v>
      </c>
      <c r="N1949" s="1">
        <v>5.5629999999999999E-2</v>
      </c>
      <c r="O1949" s="1">
        <v>3.2220000000000003E-4</v>
      </c>
      <c r="P194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3.9258924044956043</v>
      </c>
      <c r="Q1949" s="1">
        <f>LN(Table1[[#This Row],[qe_mg_g]]-Table1[[#This Row],[qt]])</f>
        <v>2.1166298538258714</v>
      </c>
      <c r="R1949" s="1">
        <v>1</v>
      </c>
    </row>
    <row r="1950" spans="1:18" x14ac:dyDescent="0.3">
      <c r="A1950" s="1">
        <v>1949</v>
      </c>
      <c r="B1950" s="1" t="s">
        <v>19</v>
      </c>
      <c r="C1950" s="1">
        <v>1</v>
      </c>
      <c r="D1950" s="1">
        <v>120</v>
      </c>
      <c r="E1950" s="1">
        <v>25</v>
      </c>
      <c r="F1950" s="1">
        <v>7</v>
      </c>
      <c r="G1950" s="1">
        <v>25</v>
      </c>
      <c r="H1950" s="1">
        <v>150</v>
      </c>
      <c r="I1950" s="1">
        <v>100</v>
      </c>
      <c r="J1950" s="1">
        <v>11.484</v>
      </c>
      <c r="K1950" s="1">
        <v>13.516</v>
      </c>
      <c r="L1950" s="1">
        <v>45.94</v>
      </c>
      <c r="M1950" s="1">
        <v>50.9</v>
      </c>
      <c r="N1950" s="1">
        <v>5.5410000000000001E-2</v>
      </c>
      <c r="O1950" s="1">
        <v>3.9179999999999998E-4</v>
      </c>
      <c r="P1950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4.0265266121405441</v>
      </c>
      <c r="Q1950" s="1">
        <f>LN(Table1[[#This Row],[qe_mg_g]]-Table1[[#This Row],[qt]])</f>
        <v>2.0092166688934543</v>
      </c>
      <c r="R1950" s="1">
        <v>2</v>
      </c>
    </row>
    <row r="1951" spans="1:18" x14ac:dyDescent="0.3">
      <c r="A1951" s="1">
        <v>1950</v>
      </c>
      <c r="B1951" s="1" t="s">
        <v>19</v>
      </c>
      <c r="C1951" s="1">
        <v>1</v>
      </c>
      <c r="D1951" s="1">
        <v>120</v>
      </c>
      <c r="E1951" s="1">
        <v>25</v>
      </c>
      <c r="F1951" s="1">
        <v>7</v>
      </c>
      <c r="G1951" s="1">
        <v>25</v>
      </c>
      <c r="H1951" s="1">
        <v>150</v>
      </c>
      <c r="I1951" s="1">
        <v>100</v>
      </c>
      <c r="J1951" s="1">
        <v>11.127000000000001</v>
      </c>
      <c r="K1951" s="1">
        <v>13.872999999999999</v>
      </c>
      <c r="L1951" s="1">
        <v>44.51</v>
      </c>
      <c r="M1951" s="1">
        <v>51.9</v>
      </c>
      <c r="N1951" s="1">
        <v>5.5789999999999999E-2</v>
      </c>
      <c r="O1951" s="1">
        <v>2.8580000000000001E-4</v>
      </c>
      <c r="P1951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3.0733617239250841</v>
      </c>
      <c r="Q1951" s="1">
        <f>LN(Table1[[#This Row],[qe_mg_g]]-Table1[[#This Row],[qt]])</f>
        <v>2.0861239490882819</v>
      </c>
      <c r="R1951" s="1">
        <v>3</v>
      </c>
    </row>
    <row r="1952" spans="1:18" x14ac:dyDescent="0.3">
      <c r="A1952" s="1">
        <v>1951</v>
      </c>
      <c r="B1952" s="1" t="s">
        <v>19</v>
      </c>
      <c r="C1952" s="1">
        <v>1</v>
      </c>
      <c r="D1952" s="1">
        <v>120</v>
      </c>
      <c r="E1952" s="1">
        <v>25</v>
      </c>
      <c r="F1952" s="1">
        <v>11</v>
      </c>
      <c r="G1952" s="1">
        <v>25</v>
      </c>
      <c r="H1952" s="1">
        <v>150</v>
      </c>
      <c r="I1952" s="1">
        <v>100</v>
      </c>
      <c r="J1952" s="1">
        <v>9.0429999999999993</v>
      </c>
      <c r="K1952" s="1">
        <v>15.957000000000001</v>
      </c>
      <c r="L1952" s="1">
        <v>36.17</v>
      </c>
      <c r="M1952" s="1">
        <v>49</v>
      </c>
      <c r="N1952" s="1">
        <v>5.0619999999999998E-2</v>
      </c>
      <c r="O1952" s="1">
        <v>3.567E-4</v>
      </c>
      <c r="P195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2.5235329550328522</v>
      </c>
      <c r="Q1952" s="1">
        <f>LN(Table1[[#This Row],[qe_mg_g]]-Table1[[#This Row],[qt]])</f>
        <v>1.8747926310280814</v>
      </c>
      <c r="R1952" s="1">
        <v>1</v>
      </c>
    </row>
    <row r="1953" spans="1:18" x14ac:dyDescent="0.3">
      <c r="A1953" s="1">
        <v>1952</v>
      </c>
      <c r="B1953" s="1" t="s">
        <v>19</v>
      </c>
      <c r="C1953" s="1">
        <v>1</v>
      </c>
      <c r="D1953" s="1">
        <v>120</v>
      </c>
      <c r="E1953" s="1">
        <v>25</v>
      </c>
      <c r="F1953" s="1">
        <v>11</v>
      </c>
      <c r="G1953" s="1">
        <v>25</v>
      </c>
      <c r="H1953" s="1">
        <v>150</v>
      </c>
      <c r="I1953" s="1">
        <v>100</v>
      </c>
      <c r="J1953" s="1">
        <v>9.4949999999999992</v>
      </c>
      <c r="K1953" s="1">
        <v>15.505000000000001</v>
      </c>
      <c r="L1953" s="1">
        <v>37.979999999999997</v>
      </c>
      <c r="M1953" s="1">
        <v>50</v>
      </c>
      <c r="N1953" s="1">
        <v>5.7349999999999998E-2</v>
      </c>
      <c r="O1953" s="1">
        <v>4.103E-4</v>
      </c>
      <c r="P195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3.0247941768583706</v>
      </c>
      <c r="Q1953" s="1">
        <f>LN(Table1[[#This Row],[qe_mg_g]]-Table1[[#This Row],[qt]])</f>
        <v>1.8672079199297926</v>
      </c>
      <c r="R1953" s="1">
        <v>2</v>
      </c>
    </row>
    <row r="1954" spans="1:18" x14ac:dyDescent="0.3">
      <c r="A1954" s="1">
        <v>1953</v>
      </c>
      <c r="B1954" s="1" t="s">
        <v>19</v>
      </c>
      <c r="C1954" s="1">
        <v>1</v>
      </c>
      <c r="D1954" s="1">
        <v>120</v>
      </c>
      <c r="E1954" s="1">
        <v>25</v>
      </c>
      <c r="F1954" s="1">
        <v>11</v>
      </c>
      <c r="G1954" s="1">
        <v>25</v>
      </c>
      <c r="H1954" s="1">
        <v>150</v>
      </c>
      <c r="I1954" s="1">
        <v>100</v>
      </c>
      <c r="J1954" s="1">
        <v>10.705</v>
      </c>
      <c r="K1954" s="1">
        <v>14.295</v>
      </c>
      <c r="L1954" s="1">
        <v>42.82</v>
      </c>
      <c r="M1954" s="1">
        <v>38.799999999999997</v>
      </c>
      <c r="N1954" s="1">
        <v>5.8169999999999999E-2</v>
      </c>
      <c r="O1954" s="1">
        <v>3.4380000000000001E-4</v>
      </c>
      <c r="P195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3.2794573485570111</v>
      </c>
      <c r="Q1954" s="1">
        <f>LN(Table1[[#This Row],[qe_mg_g]]-Table1[[#This Row],[qt]])</f>
        <v>2.004925766387657</v>
      </c>
      <c r="R1954" s="1">
        <v>3</v>
      </c>
    </row>
    <row r="1955" spans="1:18" x14ac:dyDescent="0.3">
      <c r="A1955" s="1">
        <v>1954</v>
      </c>
      <c r="B1955" s="1" t="s">
        <v>19</v>
      </c>
      <c r="C1955" s="1">
        <v>1</v>
      </c>
      <c r="D1955" s="1">
        <v>120</v>
      </c>
      <c r="E1955" s="1">
        <v>50</v>
      </c>
      <c r="F1955" s="1">
        <v>3</v>
      </c>
      <c r="G1955" s="1">
        <v>25</v>
      </c>
      <c r="H1955" s="1">
        <v>150</v>
      </c>
      <c r="I1955" s="1">
        <v>100</v>
      </c>
      <c r="J1955" s="1">
        <v>22.22</v>
      </c>
      <c r="K1955" s="1">
        <v>27.78</v>
      </c>
      <c r="L1955" s="1">
        <v>44.44</v>
      </c>
      <c r="M1955" s="1">
        <v>51.3</v>
      </c>
      <c r="N1955" s="1">
        <v>5.5649999999999998E-2</v>
      </c>
      <c r="O1955" s="1">
        <v>3.5530000000000002E-4</v>
      </c>
      <c r="P1955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10.809750231173098</v>
      </c>
      <c r="Q1955" s="1">
        <f>LN(Table1[[#This Row],[qe_mg_g]]-Table1[[#This Row],[qt]])</f>
        <v>2.4345120539785574</v>
      </c>
      <c r="R1955" s="1">
        <v>1</v>
      </c>
    </row>
    <row r="1956" spans="1:18" x14ac:dyDescent="0.3">
      <c r="A1956" s="1">
        <v>1955</v>
      </c>
      <c r="B1956" s="1" t="s">
        <v>19</v>
      </c>
      <c r="C1956" s="1">
        <v>1</v>
      </c>
      <c r="D1956" s="1">
        <v>120</v>
      </c>
      <c r="E1956" s="1">
        <v>50</v>
      </c>
      <c r="F1956" s="1">
        <v>3</v>
      </c>
      <c r="G1956" s="1">
        <v>25</v>
      </c>
      <c r="H1956" s="1">
        <v>150</v>
      </c>
      <c r="I1956" s="1">
        <v>100</v>
      </c>
      <c r="J1956" s="1">
        <v>21.091000000000001</v>
      </c>
      <c r="K1956" s="1">
        <v>28.908999999999999</v>
      </c>
      <c r="L1956" s="1">
        <v>42.18</v>
      </c>
      <c r="M1956" s="1">
        <v>47.2</v>
      </c>
      <c r="N1956" s="1">
        <v>5.253E-2</v>
      </c>
      <c r="O1956" s="1">
        <v>3.5819999999999998E-4</v>
      </c>
      <c r="P1956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10.028758030950597</v>
      </c>
      <c r="Q1956" s="1">
        <f>LN(Table1[[#This Row],[qe_mg_g]]-Table1[[#This Row],[qt]])</f>
        <v>2.4035376852303276</v>
      </c>
      <c r="R1956" s="1">
        <v>2</v>
      </c>
    </row>
    <row r="1957" spans="1:18" x14ac:dyDescent="0.3">
      <c r="A1957" s="1">
        <v>1956</v>
      </c>
      <c r="B1957" s="1" t="s">
        <v>19</v>
      </c>
      <c r="C1957" s="1">
        <v>1</v>
      </c>
      <c r="D1957" s="1">
        <v>120</v>
      </c>
      <c r="E1957" s="1">
        <v>50</v>
      </c>
      <c r="F1957" s="1">
        <v>3</v>
      </c>
      <c r="G1957" s="1">
        <v>25</v>
      </c>
      <c r="H1957" s="1">
        <v>150</v>
      </c>
      <c r="I1957" s="1">
        <v>100</v>
      </c>
      <c r="J1957" s="1">
        <v>22.902999999999999</v>
      </c>
      <c r="K1957" s="1">
        <v>27.097000000000001</v>
      </c>
      <c r="L1957" s="1">
        <v>45.81</v>
      </c>
      <c r="M1957" s="1">
        <v>61.5</v>
      </c>
      <c r="N1957" s="1">
        <v>5.228E-2</v>
      </c>
      <c r="O1957" s="1">
        <v>3.5990000000000002E-4</v>
      </c>
      <c r="P1957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11.388948556877164</v>
      </c>
      <c r="Q1957" s="1">
        <f>LN(Table1[[#This Row],[qe_mg_g]]-Table1[[#This Row],[qt]])</f>
        <v>2.4435681541195127</v>
      </c>
      <c r="R1957" s="1">
        <v>3</v>
      </c>
    </row>
    <row r="1958" spans="1:18" x14ac:dyDescent="0.3">
      <c r="A1958" s="1">
        <v>1957</v>
      </c>
      <c r="B1958" s="1" t="s">
        <v>19</v>
      </c>
      <c r="C1958" s="1">
        <v>1</v>
      </c>
      <c r="D1958" s="1">
        <v>120</v>
      </c>
      <c r="E1958" s="1">
        <v>50</v>
      </c>
      <c r="F1958" s="1">
        <v>7</v>
      </c>
      <c r="G1958" s="1">
        <v>25</v>
      </c>
      <c r="H1958" s="1">
        <v>150</v>
      </c>
      <c r="I1958" s="1">
        <v>100</v>
      </c>
      <c r="J1958" s="1">
        <v>34.692</v>
      </c>
      <c r="K1958" s="1">
        <v>15.308</v>
      </c>
      <c r="L1958" s="1">
        <v>69.38</v>
      </c>
      <c r="M1958" s="1">
        <v>64.099999999999994</v>
      </c>
      <c r="N1958" s="1">
        <v>5.4679999999999999E-2</v>
      </c>
      <c r="O1958" s="1">
        <v>3.4230000000000003E-4</v>
      </c>
      <c r="P1958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20.386071305789418</v>
      </c>
      <c r="Q1958" s="1">
        <f>LN(Table1[[#This Row],[qe_mg_g]]-Table1[[#This Row],[qt]])</f>
        <v>2.6606740453462563</v>
      </c>
      <c r="R1958" s="1">
        <v>1</v>
      </c>
    </row>
    <row r="1959" spans="1:18" x14ac:dyDescent="0.3">
      <c r="A1959" s="1">
        <v>1958</v>
      </c>
      <c r="B1959" s="1" t="s">
        <v>19</v>
      </c>
      <c r="C1959" s="1">
        <v>1</v>
      </c>
      <c r="D1959" s="1">
        <v>120</v>
      </c>
      <c r="E1959" s="1">
        <v>50</v>
      </c>
      <c r="F1959" s="1">
        <v>7</v>
      </c>
      <c r="G1959" s="1">
        <v>25</v>
      </c>
      <c r="H1959" s="1">
        <v>150</v>
      </c>
      <c r="I1959" s="1">
        <v>100</v>
      </c>
      <c r="J1959" s="1">
        <v>32.936999999999998</v>
      </c>
      <c r="K1959" s="1">
        <v>17.062999999999999</v>
      </c>
      <c r="L1959" s="1">
        <v>65.87</v>
      </c>
      <c r="M1959" s="1">
        <v>45.1</v>
      </c>
      <c r="N1959" s="1">
        <v>5.3940000000000002E-2</v>
      </c>
      <c r="O1959" s="1">
        <v>3.7609999999999998E-4</v>
      </c>
      <c r="P1959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19.690737388133904</v>
      </c>
      <c r="Q1959" s="1">
        <f>LN(Table1[[#This Row],[qe_mg_g]]-Table1[[#This Row],[qt]])</f>
        <v>2.5837154456148705</v>
      </c>
      <c r="R1959" s="1">
        <v>2</v>
      </c>
    </row>
    <row r="1960" spans="1:18" x14ac:dyDescent="0.3">
      <c r="A1960" s="1">
        <v>1959</v>
      </c>
      <c r="B1960" s="1" t="s">
        <v>19</v>
      </c>
      <c r="C1960" s="1">
        <v>1</v>
      </c>
      <c r="D1960" s="1">
        <v>120</v>
      </c>
      <c r="E1960" s="1">
        <v>50</v>
      </c>
      <c r="F1960" s="1">
        <v>7</v>
      </c>
      <c r="G1960" s="1">
        <v>25</v>
      </c>
      <c r="H1960" s="1">
        <v>150</v>
      </c>
      <c r="I1960" s="1">
        <v>100</v>
      </c>
      <c r="J1960" s="1">
        <v>33.963000000000001</v>
      </c>
      <c r="K1960" s="1">
        <v>16.036999999999999</v>
      </c>
      <c r="L1960" s="1">
        <v>67.930000000000007</v>
      </c>
      <c r="M1960" s="1">
        <v>52.3</v>
      </c>
      <c r="N1960" s="1">
        <v>5.62E-2</v>
      </c>
      <c r="O1960" s="1">
        <v>3.211E-4</v>
      </c>
      <c r="P1960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19.251883625542749</v>
      </c>
      <c r="Q1960" s="1">
        <f>LN(Table1[[#This Row],[qe_mg_g]]-Table1[[#This Row],[qt]])</f>
        <v>2.6886034239469514</v>
      </c>
      <c r="R1960" s="1">
        <v>3</v>
      </c>
    </row>
    <row r="1961" spans="1:18" x14ac:dyDescent="0.3">
      <c r="A1961" s="1">
        <v>1960</v>
      </c>
      <c r="B1961" s="1" t="s">
        <v>19</v>
      </c>
      <c r="C1961" s="1">
        <v>1</v>
      </c>
      <c r="D1961" s="1">
        <v>120</v>
      </c>
      <c r="E1961" s="1">
        <v>50</v>
      </c>
      <c r="F1961" s="1">
        <v>11</v>
      </c>
      <c r="G1961" s="1">
        <v>25</v>
      </c>
      <c r="H1961" s="1">
        <v>150</v>
      </c>
      <c r="I1961" s="1">
        <v>100</v>
      </c>
      <c r="J1961" s="1">
        <v>27.405999999999999</v>
      </c>
      <c r="K1961" s="1">
        <v>22.594000000000001</v>
      </c>
      <c r="L1961" s="1">
        <v>54.81</v>
      </c>
      <c r="M1961" s="1">
        <v>53.9</v>
      </c>
      <c r="N1961" s="1">
        <v>5.348E-2</v>
      </c>
      <c r="O1961" s="1">
        <v>3.3730000000000001E-4</v>
      </c>
      <c r="P1961" s="1">
        <f>(Table1[[#This Row],[Rate_Constant_k2_g_mg_min]]*Table1[[#This Row],[Contact_Time_min]]*Table1[[#This Row],[qe_mg_g]]^2)/(1+Table1[[#This Row],[Contact_Time_min]]*Table1[[#This Row],[qe_mg_g]]*Table1[[#This Row],[Rate_Constant_k2_g_mg_min]])</f>
        <v>14.412973133651867</v>
      </c>
      <c r="Q1961" s="1">
        <f>LN(Table1[[#This Row],[qe_mg_g]]-Table1[[#This Row],[qt]])</f>
        <v>2.5644128186540325</v>
      </c>
      <c r="R1961" s="1">
        <v>1</v>
      </c>
    </row>
    <row r="1962" spans="1:18" x14ac:dyDescent="0.3">
      <c r="A1962" s="1">
        <v>1961</v>
      </c>
      <c r="B1962" s="1" t="s">
        <v>19</v>
      </c>
      <c r="C1962" s="1">
        <v>1</v>
      </c>
      <c r="D1962" s="1">
        <v>120</v>
      </c>
      <c r="E1962" s="1">
        <v>50</v>
      </c>
      <c r="F1962" s="1">
        <v>11</v>
      </c>
      <c r="G1962" s="1">
        <v>25</v>
      </c>
      <c r="H1962" s="1">
        <v>150</v>
      </c>
      <c r="I1962" s="1">
        <v>100</v>
      </c>
      <c r="J1962" s="1">
        <v>26.004999999999999</v>
      </c>
      <c r="K1962" s="1">
        <v>23.995000000000001</v>
      </c>
      <c r="L1962" s="1">
        <v>52.01</v>
      </c>
      <c r="M1962" s="1">
        <v>50.9</v>
      </c>
      <c r="N1962" s="1">
        <v>5.8619999999999998E-2</v>
      </c>
      <c r="O1962" s="1">
        <v>3.3619999999999999E-4</v>
      </c>
      <c r="P1962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13.31434567210769</v>
      </c>
      <c r="Q1962" s="1">
        <f>LN(Table1[[#This Row],[qe_mg_g]]-Table1[[#This Row],[qt]])</f>
        <v>2.5408658428786608</v>
      </c>
      <c r="R1962" s="1">
        <v>2</v>
      </c>
    </row>
    <row r="1963" spans="1:18" x14ac:dyDescent="0.3">
      <c r="A1963" s="1">
        <v>1962</v>
      </c>
      <c r="B1963" s="1" t="s">
        <v>19</v>
      </c>
      <c r="C1963" s="1">
        <v>1</v>
      </c>
      <c r="D1963" s="1">
        <v>120</v>
      </c>
      <c r="E1963" s="1">
        <v>50</v>
      </c>
      <c r="F1963" s="1">
        <v>11</v>
      </c>
      <c r="G1963" s="1">
        <v>25</v>
      </c>
      <c r="H1963" s="1">
        <v>150</v>
      </c>
      <c r="I1963" s="1">
        <v>100</v>
      </c>
      <c r="J1963" s="1">
        <v>29.033000000000001</v>
      </c>
      <c r="K1963" s="1">
        <v>20.966999999999999</v>
      </c>
      <c r="L1963" s="1">
        <v>58.07</v>
      </c>
      <c r="M1963" s="1">
        <v>66.5</v>
      </c>
      <c r="N1963" s="1">
        <v>5.0099999999999999E-2</v>
      </c>
      <c r="O1963" s="1">
        <v>3.524E-4</v>
      </c>
      <c r="P1963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16.000553572444719</v>
      </c>
      <c r="Q1963" s="1">
        <f>LN(Table1[[#This Row],[qe_mg_g]]-Table1[[#This Row],[qt]])</f>
        <v>2.5674421269710903</v>
      </c>
      <c r="R1963" s="1">
        <v>3</v>
      </c>
    </row>
    <row r="1964" spans="1:18" x14ac:dyDescent="0.3">
      <c r="A1964" s="1">
        <v>1963</v>
      </c>
      <c r="B1964" s="1" t="s">
        <v>19</v>
      </c>
      <c r="C1964" s="1">
        <v>1</v>
      </c>
      <c r="D1964" s="1">
        <v>120</v>
      </c>
      <c r="E1964" s="1">
        <v>100</v>
      </c>
      <c r="F1964" s="1">
        <v>3</v>
      </c>
      <c r="G1964" s="1">
        <v>25</v>
      </c>
      <c r="H1964" s="1">
        <v>150</v>
      </c>
      <c r="I1964" s="1">
        <v>100</v>
      </c>
      <c r="J1964" s="1">
        <v>51.920999999999999</v>
      </c>
      <c r="K1964" s="1">
        <v>48.079000000000001</v>
      </c>
      <c r="L1964" s="1">
        <v>51.92</v>
      </c>
      <c r="M1964" s="1">
        <v>51.9</v>
      </c>
      <c r="N1964" s="1">
        <v>6.6009999999999999E-2</v>
      </c>
      <c r="O1964" s="1">
        <v>3.392E-4</v>
      </c>
      <c r="P1964" s="1">
        <f>(Table1[[#This Row],[Rate_Constant_k2_g_mg_min]]*Table1[[#This Row],[Contact_Time_min]]*Table1[[#This Row],[qe_mg_g]]^2)/(1+Table1[[#This Row],[Contact_Time_min]]*Table1[[#This Row],[qe_mg_g]]*Table1[[#This Row],[Rate_Constant_k2_g_mg_min]])</f>
        <v>35.244335578635507</v>
      </c>
      <c r="Q1964" s="1">
        <f>LN(Table1[[#This Row],[qe_mg_g]]-Table1[[#This Row],[qt]])</f>
        <v>2.814010402194647</v>
      </c>
      <c r="R1964" s="1">
        <v>1</v>
      </c>
    </row>
    <row r="1965" spans="1:18" x14ac:dyDescent="0.3">
      <c r="A1965" s="1">
        <v>1964</v>
      </c>
      <c r="B1965" s="1" t="s">
        <v>19</v>
      </c>
      <c r="C1965" s="1">
        <v>1</v>
      </c>
      <c r="D1965" s="1">
        <v>120</v>
      </c>
      <c r="E1965" s="1">
        <v>100</v>
      </c>
      <c r="F1965" s="1">
        <v>3</v>
      </c>
      <c r="G1965" s="1">
        <v>25</v>
      </c>
      <c r="H1965" s="1">
        <v>150</v>
      </c>
      <c r="I1965" s="1">
        <v>100</v>
      </c>
      <c r="J1965" s="1">
        <v>55.77</v>
      </c>
      <c r="K1965" s="1">
        <v>44.23</v>
      </c>
      <c r="L1965" s="1">
        <v>55.77</v>
      </c>
      <c r="M1965" s="1">
        <v>59</v>
      </c>
      <c r="N1965" s="1">
        <v>4.9500000000000002E-2</v>
      </c>
      <c r="O1965" s="1">
        <v>3.2009999999999997E-4</v>
      </c>
      <c r="P1965" s="1">
        <f>(Table1[[#This Row],[Rate_Constant_k2_g_mg_min]]*Table1[[#This Row],[Contact_Time_min]]*Table1[[#This Row],[qe_mg_g]]^2)/(1+Table1[[#This Row],[Contact_Time_min]]*Table1[[#This Row],[qe_mg_g]]*Table1[[#This Row],[Rate_Constant_k2_g_mg_min]])</f>
        <v>38.021499253442748</v>
      </c>
      <c r="Q1965" s="1">
        <f>LN(Table1[[#This Row],[qe_mg_g]]-Table1[[#This Row],[qt]])</f>
        <v>2.8763010473713675</v>
      </c>
      <c r="R1965" s="1">
        <v>2</v>
      </c>
    </row>
    <row r="1966" spans="1:18" x14ac:dyDescent="0.3">
      <c r="A1966" s="1">
        <v>1965</v>
      </c>
      <c r="B1966" s="1" t="s">
        <v>19</v>
      </c>
      <c r="C1966" s="1">
        <v>1</v>
      </c>
      <c r="D1966" s="1">
        <v>120</v>
      </c>
      <c r="E1966" s="1">
        <v>100</v>
      </c>
      <c r="F1966" s="1">
        <v>3</v>
      </c>
      <c r="G1966" s="1">
        <v>25</v>
      </c>
      <c r="H1966" s="1">
        <v>150</v>
      </c>
      <c r="I1966" s="1">
        <v>100</v>
      </c>
      <c r="J1966" s="1">
        <v>49.805999999999997</v>
      </c>
      <c r="K1966" s="1">
        <v>50.194000000000003</v>
      </c>
      <c r="L1966" s="1">
        <v>49.81</v>
      </c>
      <c r="M1966" s="1">
        <v>47.3</v>
      </c>
      <c r="N1966" s="1">
        <v>3.9320000000000001E-2</v>
      </c>
      <c r="O1966" s="1">
        <v>3.6910000000000003E-4</v>
      </c>
      <c r="P1966" s="1">
        <f>(Table1[[#This Row],[Rate_Constant_k2_g_mg_min]]*Table1[[#This Row],[Contact_Time_min]]*Table1[[#This Row],[qe_mg_g]]^2)/(1+Table1[[#This Row],[Contact_Time_min]]*Table1[[#This Row],[qe_mg_g]]*Table1[[#This Row],[Rate_Constant_k2_g_mg_min]])</f>
        <v>34.270789212373586</v>
      </c>
      <c r="Q1966" s="1">
        <f>LN(Table1[[#This Row],[qe_mg_g]]-Table1[[#This Row],[qt]])</f>
        <v>2.743109111315972</v>
      </c>
      <c r="R1966" s="1">
        <v>3</v>
      </c>
    </row>
    <row r="1967" spans="1:18" x14ac:dyDescent="0.3">
      <c r="A1967" s="1">
        <v>1966</v>
      </c>
      <c r="B1967" s="1" t="s">
        <v>19</v>
      </c>
      <c r="C1967" s="1">
        <v>1</v>
      </c>
      <c r="D1967" s="1">
        <v>120</v>
      </c>
      <c r="E1967" s="1">
        <v>100</v>
      </c>
      <c r="F1967" s="1">
        <v>7</v>
      </c>
      <c r="G1967" s="1">
        <v>25</v>
      </c>
      <c r="H1967" s="1">
        <v>150</v>
      </c>
      <c r="I1967" s="1">
        <v>100</v>
      </c>
      <c r="J1967" s="1">
        <v>88.384</v>
      </c>
      <c r="K1967" s="1">
        <v>11.616</v>
      </c>
      <c r="L1967" s="1">
        <v>88.38</v>
      </c>
      <c r="M1967" s="1">
        <v>55.8</v>
      </c>
      <c r="N1967" s="1">
        <v>4.7210000000000002E-2</v>
      </c>
      <c r="O1967" s="1">
        <v>3.2749999999999999E-4</v>
      </c>
      <c r="P1967" s="1">
        <f>(Table1[[#This Row],[Rate_Constant_k2_g_mg_min]]*Table1[[#This Row],[Contact_Time_min]]*Table1[[#This Row],[qe_mg_g]]^2)/(1+Table1[[#This Row],[Contact_Time_min]]*Table1[[#This Row],[qe_mg_g]]*Table1[[#This Row],[Rate_Constant_k2_g_mg_min]])</f>
        <v>68.626724071973157</v>
      </c>
      <c r="Q1967" s="1">
        <f>LN(Table1[[#This Row],[qe_mg_g]]-Table1[[#This Row],[qt]])</f>
        <v>2.9835218249230704</v>
      </c>
      <c r="R1967" s="1">
        <v>1</v>
      </c>
    </row>
    <row r="1968" spans="1:18" x14ac:dyDescent="0.3">
      <c r="A1968" s="1">
        <v>1967</v>
      </c>
      <c r="B1968" s="1" t="s">
        <v>19</v>
      </c>
      <c r="C1968" s="1">
        <v>1</v>
      </c>
      <c r="D1968" s="1">
        <v>120</v>
      </c>
      <c r="E1968" s="1">
        <v>100</v>
      </c>
      <c r="F1968" s="1">
        <v>7</v>
      </c>
      <c r="G1968" s="1">
        <v>25</v>
      </c>
      <c r="H1968" s="1">
        <v>150</v>
      </c>
      <c r="I1968" s="1">
        <v>100</v>
      </c>
      <c r="J1968" s="1">
        <v>74.790999999999997</v>
      </c>
      <c r="K1968" s="1">
        <v>25.209</v>
      </c>
      <c r="L1968" s="1">
        <v>74.790000000000006</v>
      </c>
      <c r="M1968" s="1">
        <v>46.2</v>
      </c>
      <c r="N1968" s="1">
        <v>5.9729999999999998E-2</v>
      </c>
      <c r="O1968" s="1">
        <v>3.7839999999999998E-4</v>
      </c>
      <c r="P1968" s="1">
        <f>(Table1[[#This Row],[Rate_Constant_k2_g_mg_min]]*Table1[[#This Row],[Contact_Time_min]]*Table1[[#This Row],[qe_mg_g]]^2)/(1+Table1[[#This Row],[Contact_Time_min]]*Table1[[#This Row],[qe_mg_g]]*Table1[[#This Row],[Rate_Constant_k2_g_mg_min]])</f>
        <v>57.778003367173454</v>
      </c>
      <c r="Q1968" s="1">
        <f>LN(Table1[[#This Row],[qe_mg_g]]-Table1[[#This Row],[qt]])</f>
        <v>2.8339775597823031</v>
      </c>
      <c r="R1968" s="1">
        <v>2</v>
      </c>
    </row>
    <row r="1969" spans="1:18" x14ac:dyDescent="0.3">
      <c r="A1969" s="1">
        <v>1968</v>
      </c>
      <c r="B1969" s="1" t="s">
        <v>19</v>
      </c>
      <c r="C1969" s="1">
        <v>1</v>
      </c>
      <c r="D1969" s="1">
        <v>120</v>
      </c>
      <c r="E1969" s="1">
        <v>100</v>
      </c>
      <c r="F1969" s="1">
        <v>7</v>
      </c>
      <c r="G1969" s="1">
        <v>25</v>
      </c>
      <c r="H1969" s="1">
        <v>150</v>
      </c>
      <c r="I1969" s="1">
        <v>100</v>
      </c>
      <c r="J1969" s="1">
        <v>71.022999999999996</v>
      </c>
      <c r="K1969" s="1">
        <v>28.977</v>
      </c>
      <c r="L1969" s="1">
        <v>71.02</v>
      </c>
      <c r="M1969" s="1">
        <v>60.5</v>
      </c>
      <c r="N1969" s="1">
        <v>6.3399999999999998E-2</v>
      </c>
      <c r="O1969" s="1">
        <v>4.1659999999999999E-4</v>
      </c>
      <c r="P1969" s="1">
        <f>(Table1[[#This Row],[Rate_Constant_k2_g_mg_min]]*Table1[[#This Row],[Contact_Time_min]]*Table1[[#This Row],[qe_mg_g]]^2)/(1+Table1[[#This Row],[Contact_Time_min]]*Table1[[#This Row],[qe_mg_g]]*Table1[[#This Row],[Rate_Constant_k2_g_mg_min]])</f>
        <v>55.415545201521105</v>
      </c>
      <c r="Q1969" s="1">
        <f>LN(Table1[[#This Row],[qe_mg_g]]-Table1[[#This Row],[qt]])</f>
        <v>2.7477486718085395</v>
      </c>
      <c r="R1969" s="1">
        <v>3</v>
      </c>
    </row>
    <row r="1970" spans="1:18" x14ac:dyDescent="0.3">
      <c r="A1970" s="1">
        <v>1969</v>
      </c>
      <c r="B1970" s="1" t="s">
        <v>19</v>
      </c>
      <c r="C1970" s="1">
        <v>1</v>
      </c>
      <c r="D1970" s="1">
        <v>120</v>
      </c>
      <c r="E1970" s="1">
        <v>100</v>
      </c>
      <c r="F1970" s="1">
        <v>11</v>
      </c>
      <c r="G1970" s="1">
        <v>25</v>
      </c>
      <c r="H1970" s="1">
        <v>150</v>
      </c>
      <c r="I1970" s="1">
        <v>100</v>
      </c>
      <c r="J1970" s="1">
        <v>76.216999999999999</v>
      </c>
      <c r="K1970" s="1">
        <v>23.783000000000001</v>
      </c>
      <c r="L1970" s="1">
        <v>76.22</v>
      </c>
      <c r="M1970" s="1">
        <v>47.2</v>
      </c>
      <c r="N1970" s="1">
        <v>7.0529999999999995E-2</v>
      </c>
      <c r="O1970" s="1">
        <v>3.3760000000000002E-4</v>
      </c>
      <c r="P1970" s="1">
        <f>(Table1[[#This Row],[Rate_Constant_k2_g_mg_min]]*Table1[[#This Row],[Contact_Time_min]]*Table1[[#This Row],[qe_mg_g]]^2)/(1+Table1[[#This Row],[Contact_Time_min]]*Table1[[#This Row],[qe_mg_g]]*Table1[[#This Row],[Rate_Constant_k2_g_mg_min]])</f>
        <v>57.571565617689238</v>
      </c>
      <c r="Q1970" s="1">
        <f>LN(Table1[[#This Row],[qe_mg_g]]-Table1[[#This Row],[qt]])</f>
        <v>2.9256013108821022</v>
      </c>
      <c r="R1970" s="1">
        <v>1</v>
      </c>
    </row>
    <row r="1971" spans="1:18" x14ac:dyDescent="0.3">
      <c r="A1971" s="1">
        <v>1970</v>
      </c>
      <c r="B1971" s="1" t="s">
        <v>19</v>
      </c>
      <c r="C1971" s="1">
        <v>1</v>
      </c>
      <c r="D1971" s="1">
        <v>120</v>
      </c>
      <c r="E1971" s="1">
        <v>100</v>
      </c>
      <c r="F1971" s="1">
        <v>11</v>
      </c>
      <c r="G1971" s="1">
        <v>25</v>
      </c>
      <c r="H1971" s="1">
        <v>150</v>
      </c>
      <c r="I1971" s="1">
        <v>100</v>
      </c>
      <c r="J1971" s="1">
        <v>60.851999999999997</v>
      </c>
      <c r="K1971" s="1">
        <v>39.148000000000003</v>
      </c>
      <c r="L1971" s="1">
        <v>60.85</v>
      </c>
      <c r="M1971" s="1">
        <v>57.2</v>
      </c>
      <c r="N1971" s="1">
        <v>5.1799999999999999E-2</v>
      </c>
      <c r="O1971" s="1">
        <v>3.6400000000000001E-4</v>
      </c>
      <c r="P1971" s="1">
        <f>(Table1[[#This Row],[Rate_Constant_k2_g_mg_min]]*Table1[[#This Row],[Contact_Time_min]]*Table1[[#This Row],[qe_mg_g]]^2)/(1+Table1[[#This Row],[Contact_Time_min]]*Table1[[#This Row],[qe_mg_g]]*Table1[[#This Row],[Rate_Constant_k2_g_mg_min]])</f>
        <v>44.216750004767619</v>
      </c>
      <c r="Q1971" s="1">
        <f>LN(Table1[[#This Row],[qe_mg_g]]-Table1[[#This Row],[qt]])</f>
        <v>2.8115239376251679</v>
      </c>
      <c r="R1971" s="1">
        <v>2</v>
      </c>
    </row>
    <row r="1972" spans="1:18" x14ac:dyDescent="0.3">
      <c r="A1972" s="1">
        <v>1971</v>
      </c>
      <c r="B1972" s="1" t="s">
        <v>19</v>
      </c>
      <c r="C1972" s="1">
        <v>1</v>
      </c>
      <c r="D1972" s="1">
        <v>120</v>
      </c>
      <c r="E1972" s="1">
        <v>100</v>
      </c>
      <c r="F1972" s="1">
        <v>11</v>
      </c>
      <c r="G1972" s="1">
        <v>25</v>
      </c>
      <c r="H1972" s="1">
        <v>150</v>
      </c>
      <c r="I1972" s="1">
        <v>100</v>
      </c>
      <c r="J1972" s="1">
        <v>57.618000000000002</v>
      </c>
      <c r="K1972" s="1">
        <v>42.381999999999998</v>
      </c>
      <c r="L1972" s="1">
        <v>57.62</v>
      </c>
      <c r="M1972" s="1">
        <v>52.6</v>
      </c>
      <c r="N1972" s="1">
        <v>6.207E-2</v>
      </c>
      <c r="O1972" s="1">
        <v>3.48E-4</v>
      </c>
      <c r="P1972" s="1">
        <f>(Table1[[#This Row],[Rate_Constant_k2_g_mg_min]]*Table1[[#This Row],[Contact_Time_min]]*Table1[[#This Row],[qe_mg_g]]^2)/(1+Table1[[#This Row],[Contact_Time_min]]*Table1[[#This Row],[qe_mg_g]]*Table1[[#This Row],[Rate_Constant_k2_g_mg_min]])</f>
        <v>40.70201639248004</v>
      </c>
      <c r="Q1972" s="1">
        <f>LN(Table1[[#This Row],[qe_mg_g]]-Table1[[#This Row],[qt]])</f>
        <v>2.8282589505579852</v>
      </c>
      <c r="R1972" s="1">
        <v>3</v>
      </c>
    </row>
    <row r="1973" spans="1:18" x14ac:dyDescent="0.3">
      <c r="A1973" s="1">
        <v>1972</v>
      </c>
      <c r="B1973" s="1" t="s">
        <v>19</v>
      </c>
      <c r="C1973" s="1">
        <v>1</v>
      </c>
      <c r="D1973" s="1">
        <v>120</v>
      </c>
      <c r="E1973" s="1">
        <v>200</v>
      </c>
      <c r="F1973" s="1">
        <v>3</v>
      </c>
      <c r="G1973" s="1">
        <v>25</v>
      </c>
      <c r="H1973" s="1">
        <v>150</v>
      </c>
      <c r="I1973" s="1">
        <v>100</v>
      </c>
      <c r="J1973" s="1">
        <v>122.345</v>
      </c>
      <c r="K1973" s="1">
        <v>77.655000000000001</v>
      </c>
      <c r="L1973" s="1">
        <v>61.17</v>
      </c>
      <c r="M1973" s="1">
        <v>58.4</v>
      </c>
      <c r="N1973" s="1">
        <v>6.1440000000000002E-2</v>
      </c>
      <c r="O1973" s="1">
        <v>2.921E-4</v>
      </c>
      <c r="P1973" s="1">
        <f>(Table1[[#This Row],[Rate_Constant_k2_g_mg_min]]*Table1[[#This Row],[Contact_Time_min]]*Table1[[#This Row],[qe_mg_g]]^2)/(1+Table1[[#This Row],[Contact_Time_min]]*Table1[[#This Row],[qe_mg_g]]*Table1[[#This Row],[Rate_Constant_k2_g_mg_min]])</f>
        <v>99.210565121024217</v>
      </c>
      <c r="Q1973" s="1">
        <f>LN(Table1[[#This Row],[qe_mg_g]]-Table1[[#This Row],[qt]])</f>
        <v>3.1413221949577759</v>
      </c>
      <c r="R1973" s="1">
        <v>1</v>
      </c>
    </row>
    <row r="1974" spans="1:18" x14ac:dyDescent="0.3">
      <c r="A1974" s="1">
        <v>1973</v>
      </c>
      <c r="B1974" s="1" t="s">
        <v>19</v>
      </c>
      <c r="C1974" s="1">
        <v>1</v>
      </c>
      <c r="D1974" s="1">
        <v>120</v>
      </c>
      <c r="E1974" s="1">
        <v>200</v>
      </c>
      <c r="F1974" s="1">
        <v>3</v>
      </c>
      <c r="G1974" s="1">
        <v>25</v>
      </c>
      <c r="H1974" s="1">
        <v>150</v>
      </c>
      <c r="I1974" s="1">
        <v>100</v>
      </c>
      <c r="J1974" s="1">
        <v>126.101</v>
      </c>
      <c r="K1974" s="1">
        <v>73.899000000000001</v>
      </c>
      <c r="L1974" s="1">
        <v>63.05</v>
      </c>
      <c r="M1974" s="1">
        <v>52.4</v>
      </c>
      <c r="N1974" s="1">
        <v>5.5919999999999997E-2</v>
      </c>
      <c r="O1974" s="1">
        <v>3.8709999999999998E-4</v>
      </c>
      <c r="P1974" s="1">
        <f>(Table1[[#This Row],[Rate_Constant_k2_g_mg_min]]*Table1[[#This Row],[Contact_Time_min]]*Table1[[#This Row],[qe_mg_g]]^2)/(1+Table1[[#This Row],[Contact_Time_min]]*Table1[[#This Row],[qe_mg_g]]*Table1[[#This Row],[Rate_Constant_k2_g_mg_min]])</f>
        <v>107.71261378468198</v>
      </c>
      <c r="Q1974" s="1">
        <f>LN(Table1[[#This Row],[qe_mg_g]]-Table1[[#This Row],[qt]])</f>
        <v>2.9117192813843835</v>
      </c>
      <c r="R1974" s="1">
        <v>2</v>
      </c>
    </row>
    <row r="1975" spans="1:18" x14ac:dyDescent="0.3">
      <c r="A1975" s="1">
        <v>1974</v>
      </c>
      <c r="B1975" s="1" t="s">
        <v>19</v>
      </c>
      <c r="C1975" s="1">
        <v>1</v>
      </c>
      <c r="D1975" s="1">
        <v>120</v>
      </c>
      <c r="E1975" s="1">
        <v>200</v>
      </c>
      <c r="F1975" s="1">
        <v>3</v>
      </c>
      <c r="G1975" s="1">
        <v>25</v>
      </c>
      <c r="H1975" s="1">
        <v>150</v>
      </c>
      <c r="I1975" s="1">
        <v>100</v>
      </c>
      <c r="J1975" s="1">
        <v>111.018</v>
      </c>
      <c r="K1975" s="1">
        <v>88.981999999999999</v>
      </c>
      <c r="L1975" s="1">
        <v>55.51</v>
      </c>
      <c r="M1975" s="1">
        <v>46.3</v>
      </c>
      <c r="N1975" s="1">
        <v>4.4359999999999997E-2</v>
      </c>
      <c r="O1975" s="1">
        <v>3.3080000000000002E-4</v>
      </c>
      <c r="P1975" s="1">
        <f>(Table1[[#This Row],[Rate_Constant_k2_g_mg_min]]*Table1[[#This Row],[Contact_Time_min]]*Table1[[#This Row],[qe_mg_g]]^2)/(1+Table1[[#This Row],[Contact_Time_min]]*Table1[[#This Row],[qe_mg_g]]*Table1[[#This Row],[Rate_Constant_k2_g_mg_min]])</f>
        <v>90.48561510441138</v>
      </c>
      <c r="Q1975" s="1">
        <f>LN(Table1[[#This Row],[qe_mg_g]]-Table1[[#This Row],[qt]])</f>
        <v>3.0220033906546617</v>
      </c>
      <c r="R1975" s="1">
        <v>3</v>
      </c>
    </row>
    <row r="1976" spans="1:18" x14ac:dyDescent="0.3">
      <c r="A1976" s="1">
        <v>1975</v>
      </c>
      <c r="B1976" s="1" t="s">
        <v>19</v>
      </c>
      <c r="C1976" s="1">
        <v>1</v>
      </c>
      <c r="D1976" s="1">
        <v>120</v>
      </c>
      <c r="E1976" s="1">
        <v>200</v>
      </c>
      <c r="F1976" s="1">
        <v>7</v>
      </c>
      <c r="G1976" s="1">
        <v>25</v>
      </c>
      <c r="H1976" s="1">
        <v>150</v>
      </c>
      <c r="I1976" s="1">
        <v>100</v>
      </c>
      <c r="J1976" s="1">
        <v>183.08600000000001</v>
      </c>
      <c r="K1976" s="1">
        <v>16.914000000000001</v>
      </c>
      <c r="L1976" s="1">
        <v>91.54</v>
      </c>
      <c r="M1976" s="1">
        <v>53.6</v>
      </c>
      <c r="N1976" s="1">
        <v>4.7629999999999999E-2</v>
      </c>
      <c r="O1976" s="1">
        <v>3.3300000000000002E-4</v>
      </c>
      <c r="P1976" s="1">
        <f>(Table1[[#This Row],[Rate_Constant_k2_g_mg_min]]*Table1[[#This Row],[Contact_Time_min]]*Table1[[#This Row],[qe_mg_g]]^2)/(1+Table1[[#This Row],[Contact_Time_min]]*Table1[[#This Row],[qe_mg_g]]*Table1[[#This Row],[Rate_Constant_k2_g_mg_min]])</f>
        <v>161.07019506520243</v>
      </c>
      <c r="Q1976" s="1">
        <f>LN(Table1[[#This Row],[qe_mg_g]]-Table1[[#This Row],[qt]])</f>
        <v>3.0917606015553223</v>
      </c>
      <c r="R1976" s="1">
        <v>1</v>
      </c>
    </row>
    <row r="1977" spans="1:18" x14ac:dyDescent="0.3">
      <c r="A1977" s="1">
        <v>1976</v>
      </c>
      <c r="B1977" s="1" t="s">
        <v>19</v>
      </c>
      <c r="C1977" s="1">
        <v>1</v>
      </c>
      <c r="D1977" s="1">
        <v>120</v>
      </c>
      <c r="E1977" s="1">
        <v>200</v>
      </c>
      <c r="F1977" s="1">
        <v>7</v>
      </c>
      <c r="G1977" s="1">
        <v>25</v>
      </c>
      <c r="H1977" s="1">
        <v>150</v>
      </c>
      <c r="I1977" s="1">
        <v>100</v>
      </c>
      <c r="J1977" s="1">
        <v>150.04400000000001</v>
      </c>
      <c r="K1977" s="1">
        <v>49.956000000000003</v>
      </c>
      <c r="L1977" s="1">
        <v>75.02</v>
      </c>
      <c r="M1977" s="1">
        <v>45.3</v>
      </c>
      <c r="N1977" s="1">
        <v>5.7140000000000003E-2</v>
      </c>
      <c r="O1977" s="1">
        <v>3.0889999999999997E-4</v>
      </c>
      <c r="P1977" s="1">
        <f>(Table1[[#This Row],[Rate_Constant_k2_g_mg_min]]*Table1[[#This Row],[Contact_Time_min]]*Table1[[#This Row],[qe_mg_g]]^2)/(1+Table1[[#This Row],[Contact_Time_min]]*Table1[[#This Row],[qe_mg_g]]*Table1[[#This Row],[Rate_Constant_k2_g_mg_min]])</f>
        <v>127.17782130948979</v>
      </c>
      <c r="Q1977" s="1">
        <f>LN(Table1[[#This Row],[qe_mg_g]]-Table1[[#This Row],[qt]])</f>
        <v>3.129658905770877</v>
      </c>
      <c r="R1977" s="1">
        <v>2</v>
      </c>
    </row>
    <row r="1978" spans="1:18" x14ac:dyDescent="0.3">
      <c r="A1978" s="1">
        <v>1977</v>
      </c>
      <c r="B1978" s="1" t="s">
        <v>19</v>
      </c>
      <c r="C1978" s="1">
        <v>1</v>
      </c>
      <c r="D1978" s="1">
        <v>120</v>
      </c>
      <c r="E1978" s="1">
        <v>200</v>
      </c>
      <c r="F1978" s="1">
        <v>7</v>
      </c>
      <c r="G1978" s="1">
        <v>25</v>
      </c>
      <c r="H1978" s="1">
        <v>150</v>
      </c>
      <c r="I1978" s="1">
        <v>100</v>
      </c>
      <c r="J1978" s="1">
        <v>180.53299999999999</v>
      </c>
      <c r="K1978" s="1">
        <v>19.466999999999999</v>
      </c>
      <c r="L1978" s="1">
        <v>90.27</v>
      </c>
      <c r="M1978" s="1">
        <v>54</v>
      </c>
      <c r="N1978" s="1">
        <v>5.5469999999999998E-2</v>
      </c>
      <c r="O1978" s="1">
        <v>3.4029999999999998E-4</v>
      </c>
      <c r="P1978" s="1">
        <f>(Table1[[#This Row],[Rate_Constant_k2_g_mg_min]]*Table1[[#This Row],[Contact_Time_min]]*Table1[[#This Row],[qe_mg_g]]^2)/(1+Table1[[#This Row],[Contact_Time_min]]*Table1[[#This Row],[qe_mg_g]]*Table1[[#This Row],[Rate_Constant_k2_g_mg_min]])</f>
        <v>158.96972905883706</v>
      </c>
      <c r="Q1978" s="1">
        <f>LN(Table1[[#This Row],[qe_mg_g]]-Table1[[#This Row],[qt]])</f>
        <v>3.0709914479454903</v>
      </c>
      <c r="R1978" s="1">
        <v>3</v>
      </c>
    </row>
    <row r="1979" spans="1:18" x14ac:dyDescent="0.3">
      <c r="A1979" s="1">
        <v>1978</v>
      </c>
      <c r="B1979" s="1" t="s">
        <v>19</v>
      </c>
      <c r="C1979" s="1">
        <v>1</v>
      </c>
      <c r="D1979" s="1">
        <v>120</v>
      </c>
      <c r="E1979" s="1">
        <v>200</v>
      </c>
      <c r="F1979" s="1">
        <v>11</v>
      </c>
      <c r="G1979" s="1">
        <v>25</v>
      </c>
      <c r="H1979" s="1">
        <v>150</v>
      </c>
      <c r="I1979" s="1">
        <v>100</v>
      </c>
      <c r="J1979" s="1">
        <v>147.191</v>
      </c>
      <c r="K1979" s="1">
        <v>52.808999999999997</v>
      </c>
      <c r="L1979" s="1">
        <v>73.599999999999994</v>
      </c>
      <c r="M1979" s="1">
        <v>61</v>
      </c>
      <c r="N1979" s="1">
        <v>5.6840000000000002E-2</v>
      </c>
      <c r="O1979" s="1">
        <v>3.6979999999999999E-4</v>
      </c>
      <c r="P1979" s="1">
        <f>(Table1[[#This Row],[Rate_Constant_k2_g_mg_min]]*Table1[[#This Row],[Contact_Time_min]]*Table1[[#This Row],[qe_mg_g]]^2)/(1+Table1[[#This Row],[Contact_Time_min]]*Table1[[#This Row],[qe_mg_g]]*Table1[[#This Row],[Rate_Constant_k2_g_mg_min]])</f>
        <v>127.64825858116012</v>
      </c>
      <c r="Q1979" s="1">
        <f>LN(Table1[[#This Row],[qe_mg_g]]-Table1[[#This Row],[qt]])</f>
        <v>2.9726039345650133</v>
      </c>
      <c r="R1979" s="1">
        <v>1</v>
      </c>
    </row>
    <row r="1980" spans="1:18" x14ac:dyDescent="0.3">
      <c r="A1980" s="1">
        <v>1979</v>
      </c>
      <c r="B1980" s="1" t="s">
        <v>19</v>
      </c>
      <c r="C1980" s="1">
        <v>1</v>
      </c>
      <c r="D1980" s="1">
        <v>120</v>
      </c>
      <c r="E1980" s="1">
        <v>200</v>
      </c>
      <c r="F1980" s="1">
        <v>11</v>
      </c>
      <c r="G1980" s="1">
        <v>25</v>
      </c>
      <c r="H1980" s="1">
        <v>150</v>
      </c>
      <c r="I1980" s="1">
        <v>100</v>
      </c>
      <c r="J1980" s="1">
        <v>137.56299999999999</v>
      </c>
      <c r="K1980" s="1">
        <v>62.436999999999998</v>
      </c>
      <c r="L1980" s="1">
        <v>68.78</v>
      </c>
      <c r="M1980" s="1">
        <v>59</v>
      </c>
      <c r="N1980" s="1">
        <v>5.314E-2</v>
      </c>
      <c r="O1980" s="1">
        <v>3.501E-4</v>
      </c>
      <c r="P1980" s="1">
        <f>(Table1[[#This Row],[Rate_Constant_k2_g_mg_min]]*Table1[[#This Row],[Contact_Time_min]]*Table1[[#This Row],[qe_mg_g]]^2)/(1+Table1[[#This Row],[Contact_Time_min]]*Table1[[#This Row],[qe_mg_g]]*Table1[[#This Row],[Rate_Constant_k2_g_mg_min]])</f>
        <v>117.27136726121333</v>
      </c>
      <c r="Q1980" s="1">
        <f>LN(Table1[[#This Row],[qe_mg_g]]-Table1[[#This Row],[qt]])</f>
        <v>3.0102086207227328</v>
      </c>
      <c r="R1980" s="1">
        <v>2</v>
      </c>
    </row>
    <row r="1981" spans="1:18" x14ac:dyDescent="0.3">
      <c r="A1981" s="1">
        <v>1980</v>
      </c>
      <c r="B1981" s="1" t="s">
        <v>19</v>
      </c>
      <c r="C1981" s="1">
        <v>1</v>
      </c>
      <c r="D1981" s="1">
        <v>120</v>
      </c>
      <c r="E1981" s="1">
        <v>200</v>
      </c>
      <c r="F1981" s="1">
        <v>11</v>
      </c>
      <c r="G1981" s="1">
        <v>25</v>
      </c>
      <c r="H1981" s="1">
        <v>150</v>
      </c>
      <c r="I1981" s="1">
        <v>100</v>
      </c>
      <c r="J1981" s="1">
        <v>136.952</v>
      </c>
      <c r="K1981" s="1">
        <v>63.048000000000002</v>
      </c>
      <c r="L1981" s="1">
        <v>68.48</v>
      </c>
      <c r="M1981" s="1">
        <v>50.8</v>
      </c>
      <c r="N1981" s="1">
        <v>5.1209999999999999E-2</v>
      </c>
      <c r="O1981" s="1">
        <v>3.6640000000000002E-4</v>
      </c>
      <c r="P1981" s="1">
        <f>(Table1[[#This Row],[Rate_Constant_k2_g_mg_min]]*Table1[[#This Row],[Contact_Time_min]]*Table1[[#This Row],[qe_mg_g]]^2)/(1+Table1[[#This Row],[Contact_Time_min]]*Table1[[#This Row],[qe_mg_g]]*Table1[[#This Row],[Rate_Constant_k2_g_mg_min]])</f>
        <v>117.44735113262639</v>
      </c>
      <c r="Q1981" s="1">
        <f>LN(Table1[[#This Row],[qe_mg_g]]-Table1[[#This Row],[qt]])</f>
        <v>2.9706528406111699</v>
      </c>
      <c r="R1981" s="1">
        <v>3</v>
      </c>
    </row>
    <row r="1982" spans="1:18" x14ac:dyDescent="0.3">
      <c r="A1982" s="1">
        <v>1981</v>
      </c>
      <c r="B1982" s="1" t="s">
        <v>19</v>
      </c>
      <c r="C1982" s="1">
        <v>1</v>
      </c>
      <c r="D1982" s="1">
        <v>240</v>
      </c>
      <c r="E1982" s="1">
        <v>25</v>
      </c>
      <c r="F1982" s="1">
        <v>3</v>
      </c>
      <c r="G1982" s="1">
        <v>25</v>
      </c>
      <c r="H1982" s="1">
        <v>150</v>
      </c>
      <c r="I1982" s="1">
        <v>100</v>
      </c>
      <c r="J1982" s="1">
        <v>12.028</v>
      </c>
      <c r="K1982" s="1">
        <v>12.972</v>
      </c>
      <c r="L1982" s="1">
        <v>48.11</v>
      </c>
      <c r="M1982" s="1">
        <v>64.099999999999994</v>
      </c>
      <c r="N1982" s="1">
        <v>4.8090000000000001E-2</v>
      </c>
      <c r="O1982" s="1">
        <v>3.9510000000000001E-4</v>
      </c>
      <c r="P1982" s="1">
        <f>(Table1[[#This Row],[Rate_Constant_k2_g_mg_min]]*Table1[[#This Row],[Contact_Time_min]]*Table1[[#This Row],[qe_mg_g]]^2)/(1+Table1[[#This Row],[Contact_Time_min]]*Table1[[#This Row],[qe_mg_g]]*Table1[[#This Row],[Rate_Constant_k2_g_mg_min]])</f>
        <v>6.4088652311949375</v>
      </c>
      <c r="Q1982" s="1">
        <f>LN(Table1[[#This Row],[qe_mg_g]]-Table1[[#This Row],[qt]])</f>
        <v>1.7261776963245636</v>
      </c>
      <c r="R1982" s="1">
        <v>1</v>
      </c>
    </row>
    <row r="1983" spans="1:18" x14ac:dyDescent="0.3">
      <c r="A1983" s="1">
        <v>1982</v>
      </c>
      <c r="B1983" s="1" t="s">
        <v>19</v>
      </c>
      <c r="C1983" s="1">
        <v>1</v>
      </c>
      <c r="D1983" s="1">
        <v>240</v>
      </c>
      <c r="E1983" s="1">
        <v>25</v>
      </c>
      <c r="F1983" s="1">
        <v>3</v>
      </c>
      <c r="G1983" s="1">
        <v>25</v>
      </c>
      <c r="H1983" s="1">
        <v>150</v>
      </c>
      <c r="I1983" s="1">
        <v>100</v>
      </c>
      <c r="J1983" s="1">
        <v>10.772</v>
      </c>
      <c r="K1983" s="1">
        <v>14.228</v>
      </c>
      <c r="L1983" s="1">
        <v>43.09</v>
      </c>
      <c r="M1983" s="1">
        <v>59.5</v>
      </c>
      <c r="N1983" s="1">
        <v>5.0020000000000002E-2</v>
      </c>
      <c r="O1983" s="1">
        <v>3.5500000000000001E-4</v>
      </c>
      <c r="P198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5.1550723780649061</v>
      </c>
      <c r="Q1983" s="1">
        <f>LN(Table1[[#This Row],[qe_mg_g]]-Table1[[#This Row],[qt]])</f>
        <v>1.7257848279296397</v>
      </c>
      <c r="R1983" s="1">
        <v>2</v>
      </c>
    </row>
    <row r="1984" spans="1:18" x14ac:dyDescent="0.3">
      <c r="A1984" s="1">
        <v>1983</v>
      </c>
      <c r="B1984" s="1" t="s">
        <v>19</v>
      </c>
      <c r="C1984" s="1">
        <v>1</v>
      </c>
      <c r="D1984" s="1">
        <v>240</v>
      </c>
      <c r="E1984" s="1">
        <v>25</v>
      </c>
      <c r="F1984" s="1">
        <v>3</v>
      </c>
      <c r="G1984" s="1">
        <v>25</v>
      </c>
      <c r="H1984" s="1">
        <v>150</v>
      </c>
      <c r="I1984" s="1">
        <v>100</v>
      </c>
      <c r="J1984" s="1">
        <v>11.259</v>
      </c>
      <c r="K1984" s="1">
        <v>13.741</v>
      </c>
      <c r="L1984" s="1">
        <v>45.04</v>
      </c>
      <c r="M1984" s="1">
        <v>42.4</v>
      </c>
      <c r="N1984" s="1">
        <v>5.8349999999999999E-2</v>
      </c>
      <c r="O1984" s="1">
        <v>3.971E-4</v>
      </c>
      <c r="P1984" s="1">
        <f>(Table1[[#This Row],[Rate_Constant_k2_g_mg_min]]*Table1[[#This Row],[Contact_Time_min]]*Table1[[#This Row],[qe_mg_g]]^2)/(1+Table1[[#This Row],[Contact_Time_min]]*Table1[[#This Row],[qe_mg_g]]*Table1[[#This Row],[Rate_Constant_k2_g_mg_min]])</f>
        <v>5.8278136224724397</v>
      </c>
      <c r="Q1984" s="1">
        <f>LN(Table1[[#This Row],[qe_mg_g]]-Table1[[#This Row],[qt]])</f>
        <v>1.6921575958138282</v>
      </c>
      <c r="R1984" s="1">
        <v>3</v>
      </c>
    </row>
    <row r="1985" spans="1:18" x14ac:dyDescent="0.3">
      <c r="A1985" s="1">
        <v>1984</v>
      </c>
      <c r="B1985" s="1" t="s">
        <v>19</v>
      </c>
      <c r="C1985" s="1">
        <v>1</v>
      </c>
      <c r="D1985" s="1">
        <v>240</v>
      </c>
      <c r="E1985" s="1">
        <v>25</v>
      </c>
      <c r="F1985" s="1">
        <v>7</v>
      </c>
      <c r="G1985" s="1">
        <v>25</v>
      </c>
      <c r="H1985" s="1">
        <v>150</v>
      </c>
      <c r="I1985" s="1">
        <v>100</v>
      </c>
      <c r="J1985" s="1">
        <v>16.09</v>
      </c>
      <c r="K1985" s="1">
        <v>8.91</v>
      </c>
      <c r="L1985" s="1">
        <v>64.36</v>
      </c>
      <c r="M1985" s="1">
        <v>65.7</v>
      </c>
      <c r="N1985" s="1">
        <v>5.3960000000000001E-2</v>
      </c>
      <c r="O1985" s="1">
        <v>3.7970000000000001E-4</v>
      </c>
      <c r="P1985" s="1">
        <f>(Table1[[#This Row],[Rate_Constant_k2_g_mg_min]]*Table1[[#This Row],[Contact_Time_min]]*Table1[[#This Row],[qe_mg_g]]^2)/(1+Table1[[#This Row],[Contact_Time_min]]*Table1[[#This Row],[qe_mg_g]]*Table1[[#This Row],[Rate_Constant_k2_g_mg_min]])</f>
        <v>9.5659237175644751</v>
      </c>
      <c r="Q1985" s="1">
        <f>LN(Table1[[#This Row],[qe_mg_g]]-Table1[[#This Row],[qt]])</f>
        <v>1.8754993772770934</v>
      </c>
      <c r="R1985" s="1">
        <v>1</v>
      </c>
    </row>
    <row r="1986" spans="1:18" x14ac:dyDescent="0.3">
      <c r="A1986" s="1">
        <v>1985</v>
      </c>
      <c r="B1986" s="1" t="s">
        <v>19</v>
      </c>
      <c r="C1986" s="1">
        <v>1</v>
      </c>
      <c r="D1986" s="1">
        <v>240</v>
      </c>
      <c r="E1986" s="1">
        <v>25</v>
      </c>
      <c r="F1986" s="1">
        <v>7</v>
      </c>
      <c r="G1986" s="1">
        <v>25</v>
      </c>
      <c r="H1986" s="1">
        <v>150</v>
      </c>
      <c r="I1986" s="1">
        <v>100</v>
      </c>
      <c r="J1986" s="1">
        <v>13.759</v>
      </c>
      <c r="K1986" s="1">
        <v>11.241</v>
      </c>
      <c r="L1986" s="1">
        <v>55.04</v>
      </c>
      <c r="M1986" s="1">
        <v>74.3</v>
      </c>
      <c r="N1986" s="1">
        <v>6.3229999999999995E-2</v>
      </c>
      <c r="O1986" s="1">
        <v>3.4000000000000002E-4</v>
      </c>
      <c r="P1986" s="1">
        <f>(Table1[[#This Row],[Rate_Constant_k2_g_mg_min]]*Table1[[#This Row],[Contact_Time_min]]*Table1[[#This Row],[qe_mg_g]]^2)/(1+Table1[[#This Row],[Contact_Time_min]]*Table1[[#This Row],[qe_mg_g]]*Table1[[#This Row],[Rate_Constant_k2_g_mg_min]])</f>
        <v>7.2772658744306398</v>
      </c>
      <c r="Q1986" s="1">
        <f>LN(Table1[[#This Row],[qe_mg_g]]-Table1[[#This Row],[qt]])</f>
        <v>1.8689880865330675</v>
      </c>
      <c r="R1986" s="1">
        <v>2</v>
      </c>
    </row>
    <row r="1987" spans="1:18" x14ac:dyDescent="0.3">
      <c r="A1987" s="1">
        <v>1986</v>
      </c>
      <c r="B1987" s="1" t="s">
        <v>19</v>
      </c>
      <c r="C1987" s="1">
        <v>1</v>
      </c>
      <c r="D1987" s="1">
        <v>240</v>
      </c>
      <c r="E1987" s="1">
        <v>25</v>
      </c>
      <c r="F1987" s="1">
        <v>7</v>
      </c>
      <c r="G1987" s="1">
        <v>25</v>
      </c>
      <c r="H1987" s="1">
        <v>150</v>
      </c>
      <c r="I1987" s="1">
        <v>100</v>
      </c>
      <c r="J1987" s="1">
        <v>14.04</v>
      </c>
      <c r="K1987" s="1">
        <v>10.96</v>
      </c>
      <c r="L1987" s="1">
        <v>56.16</v>
      </c>
      <c r="M1987" s="1">
        <v>56.9</v>
      </c>
      <c r="N1987" s="1">
        <v>4.7059999999999998E-2</v>
      </c>
      <c r="O1987" s="1">
        <v>3.656E-4</v>
      </c>
      <c r="P1987" s="1">
        <f>(Table1[[#This Row],[Rate_Constant_k2_g_mg_min]]*Table1[[#This Row],[Contact_Time_min]]*Table1[[#This Row],[qe_mg_g]]^2)/(1+Table1[[#This Row],[Contact_Time_min]]*Table1[[#This Row],[qe_mg_g]]*Table1[[#This Row],[Rate_Constant_k2_g_mg_min]])</f>
        <v>7.7494681858952132</v>
      </c>
      <c r="Q1987" s="1">
        <f>LN(Table1[[#This Row],[qe_mg_g]]-Table1[[#This Row],[qt]])</f>
        <v>1.8390456162805271</v>
      </c>
      <c r="R1987" s="1">
        <v>3</v>
      </c>
    </row>
    <row r="1988" spans="1:18" x14ac:dyDescent="0.3">
      <c r="A1988" s="1">
        <v>1987</v>
      </c>
      <c r="B1988" s="1" t="s">
        <v>19</v>
      </c>
      <c r="C1988" s="1">
        <v>1</v>
      </c>
      <c r="D1988" s="1">
        <v>240</v>
      </c>
      <c r="E1988" s="1">
        <v>25</v>
      </c>
      <c r="F1988" s="1">
        <v>11</v>
      </c>
      <c r="G1988" s="1">
        <v>25</v>
      </c>
      <c r="H1988" s="1">
        <v>150</v>
      </c>
      <c r="I1988" s="1">
        <v>100</v>
      </c>
      <c r="J1988" s="1">
        <v>13.468</v>
      </c>
      <c r="K1988" s="1">
        <v>11.532</v>
      </c>
      <c r="L1988" s="1">
        <v>53.87</v>
      </c>
      <c r="M1988" s="1">
        <v>46.8</v>
      </c>
      <c r="N1988" s="1">
        <v>6.1170000000000002E-2</v>
      </c>
      <c r="O1988" s="1">
        <v>3.7819999999999998E-4</v>
      </c>
      <c r="P1988" s="1">
        <f>(Table1[[#This Row],[Rate_Constant_k2_g_mg_min]]*Table1[[#This Row],[Contact_Time_min]]*Table1[[#This Row],[qe_mg_g]]^2)/(1+Table1[[#This Row],[Contact_Time_min]]*Table1[[#This Row],[qe_mg_g]]*Table1[[#This Row],[Rate_Constant_k2_g_mg_min]])</f>
        <v>7.4080577509796619</v>
      </c>
      <c r="Q1988" s="1">
        <f>LN(Table1[[#This Row],[qe_mg_g]]-Table1[[#This Row],[qt]])</f>
        <v>1.8017002701711831</v>
      </c>
      <c r="R1988" s="1">
        <v>1</v>
      </c>
    </row>
    <row r="1989" spans="1:18" x14ac:dyDescent="0.3">
      <c r="A1989" s="1">
        <v>1988</v>
      </c>
      <c r="B1989" s="1" t="s">
        <v>19</v>
      </c>
      <c r="C1989" s="1">
        <v>1</v>
      </c>
      <c r="D1989" s="1">
        <v>240</v>
      </c>
      <c r="E1989" s="1">
        <v>25</v>
      </c>
      <c r="F1989" s="1">
        <v>11</v>
      </c>
      <c r="G1989" s="1">
        <v>25</v>
      </c>
      <c r="H1989" s="1">
        <v>150</v>
      </c>
      <c r="I1989" s="1">
        <v>100</v>
      </c>
      <c r="J1989" s="1">
        <v>13.984999999999999</v>
      </c>
      <c r="K1989" s="1">
        <v>11.015000000000001</v>
      </c>
      <c r="L1989" s="1">
        <v>55.94</v>
      </c>
      <c r="M1989" s="1">
        <v>54.6</v>
      </c>
      <c r="N1989" s="1">
        <v>4.7210000000000002E-2</v>
      </c>
      <c r="O1989" s="1">
        <v>3.8420000000000001E-4</v>
      </c>
      <c r="P198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7.8767564560268832</v>
      </c>
      <c r="Q1989" s="1">
        <f>LN(Table1[[#This Row],[qe_mg_g]]-Table1[[#This Row],[qt]])</f>
        <v>1.8096392595105832</v>
      </c>
      <c r="R1989" s="1">
        <v>2</v>
      </c>
    </row>
    <row r="1990" spans="1:18" x14ac:dyDescent="0.3">
      <c r="A1990" s="1">
        <v>1989</v>
      </c>
      <c r="B1990" s="1" t="s">
        <v>19</v>
      </c>
      <c r="C1990" s="1">
        <v>1</v>
      </c>
      <c r="D1990" s="1">
        <v>240</v>
      </c>
      <c r="E1990" s="1">
        <v>25</v>
      </c>
      <c r="F1990" s="1">
        <v>11</v>
      </c>
      <c r="G1990" s="1">
        <v>25</v>
      </c>
      <c r="H1990" s="1">
        <v>150</v>
      </c>
      <c r="I1990" s="1">
        <v>100</v>
      </c>
      <c r="J1990" s="1">
        <v>12.843</v>
      </c>
      <c r="K1990" s="1">
        <v>12.157</v>
      </c>
      <c r="L1990" s="1">
        <v>51.37</v>
      </c>
      <c r="M1990" s="1">
        <v>43.2</v>
      </c>
      <c r="N1990" s="1">
        <v>6.2440000000000002E-2</v>
      </c>
      <c r="O1990" s="1">
        <v>4.2349999999999999E-4</v>
      </c>
      <c r="P1990" s="1">
        <f>(Table1[[#This Row],[Rate_Constant_k2_g_mg_min]]*Table1[[#This Row],[Contact_Time_min]]*Table1[[#This Row],[qe_mg_g]]^2)/(1+Table1[[#This Row],[Contact_Time_min]]*Table1[[#This Row],[qe_mg_g]]*Table1[[#This Row],[Rate_Constant_k2_g_mg_min]])</f>
        <v>7.2720757359931385</v>
      </c>
      <c r="Q1990" s="1">
        <f>LN(Table1[[#This Row],[qe_mg_g]]-Table1[[#This Row],[qt]])</f>
        <v>1.7175609762607307</v>
      </c>
      <c r="R1990" s="1">
        <v>3</v>
      </c>
    </row>
    <row r="1991" spans="1:18" x14ac:dyDescent="0.3">
      <c r="A1991" s="1">
        <v>1990</v>
      </c>
      <c r="B1991" s="1" t="s">
        <v>19</v>
      </c>
      <c r="C1991" s="1">
        <v>1</v>
      </c>
      <c r="D1991" s="1">
        <v>240</v>
      </c>
      <c r="E1991" s="1">
        <v>50</v>
      </c>
      <c r="F1991" s="1">
        <v>3</v>
      </c>
      <c r="G1991" s="1">
        <v>25</v>
      </c>
      <c r="H1991" s="1">
        <v>150</v>
      </c>
      <c r="I1991" s="1">
        <v>100</v>
      </c>
      <c r="J1991" s="1">
        <v>27.279</v>
      </c>
      <c r="K1991" s="1">
        <v>22.721</v>
      </c>
      <c r="L1991" s="1">
        <v>54.56</v>
      </c>
      <c r="M1991" s="1">
        <v>72.2</v>
      </c>
      <c r="N1991" s="1">
        <v>5.5500000000000001E-2</v>
      </c>
      <c r="O1991" s="1">
        <v>3.367E-4</v>
      </c>
      <c r="P1991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18.765915387390049</v>
      </c>
      <c r="Q1991" s="1">
        <f>LN(Table1[[#This Row],[qe_mg_g]]-Table1[[#This Row],[qt]])</f>
        <v>2.1416043460760612</v>
      </c>
      <c r="R1991" s="1">
        <v>1</v>
      </c>
    </row>
    <row r="1992" spans="1:18" x14ac:dyDescent="0.3">
      <c r="A1992" s="1">
        <v>1991</v>
      </c>
      <c r="B1992" s="1" t="s">
        <v>19</v>
      </c>
      <c r="C1992" s="1">
        <v>1</v>
      </c>
      <c r="D1992" s="1">
        <v>240</v>
      </c>
      <c r="E1992" s="1">
        <v>50</v>
      </c>
      <c r="F1992" s="1">
        <v>3</v>
      </c>
      <c r="G1992" s="1">
        <v>25</v>
      </c>
      <c r="H1992" s="1">
        <v>150</v>
      </c>
      <c r="I1992" s="1">
        <v>100</v>
      </c>
      <c r="J1992" s="1">
        <v>26.151</v>
      </c>
      <c r="K1992" s="1">
        <v>23.849</v>
      </c>
      <c r="L1992" s="1">
        <v>52.3</v>
      </c>
      <c r="M1992" s="1">
        <v>67.900000000000006</v>
      </c>
      <c r="N1992" s="1">
        <v>5.0709999999999998E-2</v>
      </c>
      <c r="O1992" s="1">
        <v>3.7570000000000002E-4</v>
      </c>
      <c r="P1992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18.363290195000154</v>
      </c>
      <c r="Q1992" s="1">
        <f>LN(Table1[[#This Row],[qe_mg_g]]-Table1[[#This Row],[qt]])</f>
        <v>2.0525468250026493</v>
      </c>
      <c r="R1992" s="1">
        <v>2</v>
      </c>
    </row>
    <row r="1993" spans="1:18" x14ac:dyDescent="0.3">
      <c r="A1993" s="1">
        <v>1992</v>
      </c>
      <c r="B1993" s="1" t="s">
        <v>19</v>
      </c>
      <c r="C1993" s="1">
        <v>1</v>
      </c>
      <c r="D1993" s="1">
        <v>240</v>
      </c>
      <c r="E1993" s="1">
        <v>50</v>
      </c>
      <c r="F1993" s="1">
        <v>3</v>
      </c>
      <c r="G1993" s="1">
        <v>25</v>
      </c>
      <c r="H1993" s="1">
        <v>150</v>
      </c>
      <c r="I1993" s="1">
        <v>100</v>
      </c>
      <c r="J1993" s="1">
        <v>26.286999999999999</v>
      </c>
      <c r="K1993" s="1">
        <v>23.713000000000001</v>
      </c>
      <c r="L1993" s="1">
        <v>52.57</v>
      </c>
      <c r="M1993" s="1">
        <v>50.8</v>
      </c>
      <c r="N1993" s="1">
        <v>6.0670000000000002E-2</v>
      </c>
      <c r="O1993" s="1">
        <v>3.367E-4</v>
      </c>
      <c r="P1993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17.873005737451059</v>
      </c>
      <c r="Q1993" s="1">
        <f>LN(Table1[[#This Row],[qe_mg_g]]-Table1[[#This Row],[qt]])</f>
        <v>2.1298963032746974</v>
      </c>
      <c r="R1993" s="1">
        <v>3</v>
      </c>
    </row>
    <row r="1994" spans="1:18" x14ac:dyDescent="0.3">
      <c r="A1994" s="1">
        <v>1993</v>
      </c>
      <c r="B1994" s="1" t="s">
        <v>19</v>
      </c>
      <c r="C1994" s="1">
        <v>1</v>
      </c>
      <c r="D1994" s="1">
        <v>240</v>
      </c>
      <c r="E1994" s="1">
        <v>50</v>
      </c>
      <c r="F1994" s="1">
        <v>7</v>
      </c>
      <c r="G1994" s="1">
        <v>25</v>
      </c>
      <c r="H1994" s="1">
        <v>150</v>
      </c>
      <c r="I1994" s="1">
        <v>100</v>
      </c>
      <c r="J1994" s="1">
        <v>37.752000000000002</v>
      </c>
      <c r="K1994" s="1">
        <v>12.247999999999999</v>
      </c>
      <c r="L1994" s="1">
        <v>75.5</v>
      </c>
      <c r="M1994" s="1">
        <v>63.8</v>
      </c>
      <c r="N1994" s="1">
        <v>6.3789999999999999E-2</v>
      </c>
      <c r="O1994" s="1">
        <v>3.726E-4</v>
      </c>
      <c r="P1994" s="1">
        <f>(Table1[[#This Row],[Rate_Constant_k2_g_mg_min]]*Table1[[#This Row],[Contact_Time_min]]*Table1[[#This Row],[qe_mg_g]]^2)/(1+Table1[[#This Row],[Contact_Time_min]]*Table1[[#This Row],[qe_mg_g]]*Table1[[#This Row],[Rate_Constant_k2_g_mg_min]])</f>
        <v>29.124814881543692</v>
      </c>
      <c r="Q1994" s="1">
        <f>LN(Table1[[#This Row],[qe_mg_g]]-Table1[[#This Row],[qt]])</f>
        <v>2.1549182778978726</v>
      </c>
      <c r="R1994" s="1">
        <v>1</v>
      </c>
    </row>
    <row r="1995" spans="1:18" x14ac:dyDescent="0.3">
      <c r="A1995" s="1">
        <v>1994</v>
      </c>
      <c r="B1995" s="1" t="s">
        <v>19</v>
      </c>
      <c r="C1995" s="1">
        <v>1</v>
      </c>
      <c r="D1995" s="1">
        <v>240</v>
      </c>
      <c r="E1995" s="1">
        <v>50</v>
      </c>
      <c r="F1995" s="1">
        <v>7</v>
      </c>
      <c r="G1995" s="1">
        <v>25</v>
      </c>
      <c r="H1995" s="1">
        <v>150</v>
      </c>
      <c r="I1995" s="1">
        <v>100</v>
      </c>
      <c r="J1995" s="1">
        <v>37.072000000000003</v>
      </c>
      <c r="K1995" s="1">
        <v>12.928000000000001</v>
      </c>
      <c r="L1995" s="1">
        <v>74.14</v>
      </c>
      <c r="M1995" s="1">
        <v>50.4</v>
      </c>
      <c r="N1995" s="1">
        <v>5.5440000000000003E-2</v>
      </c>
      <c r="O1995" s="1">
        <v>3.612E-4</v>
      </c>
      <c r="P1995" s="1">
        <f>(Table1[[#This Row],[Rate_Constant_k2_g_mg_min]]*Table1[[#This Row],[Contact_Time_min]]*Table1[[#This Row],[qe_mg_g]]^2)/(1+Table1[[#This Row],[Contact_Time_min]]*Table1[[#This Row],[qe_mg_g]]*Table1[[#This Row],[Rate_Constant_k2_g_mg_min]])</f>
        <v>28.274026324084037</v>
      </c>
      <c r="Q1995" s="1">
        <f>LN(Table1[[#This Row],[qe_mg_g]]-Table1[[#This Row],[qt]])</f>
        <v>2.1745214308688539</v>
      </c>
      <c r="R1995" s="1">
        <v>2</v>
      </c>
    </row>
    <row r="1996" spans="1:18" x14ac:dyDescent="0.3">
      <c r="A1996" s="1">
        <v>1995</v>
      </c>
      <c r="B1996" s="1" t="s">
        <v>19</v>
      </c>
      <c r="C1996" s="1">
        <v>1</v>
      </c>
      <c r="D1996" s="1">
        <v>240</v>
      </c>
      <c r="E1996" s="1">
        <v>50</v>
      </c>
      <c r="F1996" s="1">
        <v>7</v>
      </c>
      <c r="G1996" s="1">
        <v>25</v>
      </c>
      <c r="H1996" s="1">
        <v>150</v>
      </c>
      <c r="I1996" s="1">
        <v>100</v>
      </c>
      <c r="J1996" s="1">
        <v>36.165999999999997</v>
      </c>
      <c r="K1996" s="1">
        <v>13.834</v>
      </c>
      <c r="L1996" s="1">
        <v>72.33</v>
      </c>
      <c r="M1996" s="1">
        <v>60.5</v>
      </c>
      <c r="N1996" s="1">
        <v>5.5469999999999998E-2</v>
      </c>
      <c r="O1996" s="1">
        <v>2.9E-4</v>
      </c>
      <c r="P1996" s="1">
        <f>(Table1[[#This Row],[Rate_Constant_k2_g_mg_min]]*Table1[[#This Row],[Contact_Time_min]]*Table1[[#This Row],[qe_mg_g]]^2)/(1+Table1[[#This Row],[Contact_Time_min]]*Table1[[#This Row],[qe_mg_g]]*Table1[[#This Row],[Rate_Constant_k2_g_mg_min]])</f>
        <v>25.883253178820503</v>
      </c>
      <c r="Q1996" s="1">
        <f>LN(Table1[[#This Row],[qe_mg_g]]-Table1[[#This Row],[qt]])</f>
        <v>2.3304674248391639</v>
      </c>
      <c r="R1996" s="1">
        <v>3</v>
      </c>
    </row>
    <row r="1997" spans="1:18" x14ac:dyDescent="0.3">
      <c r="A1997" s="1">
        <v>1996</v>
      </c>
      <c r="B1997" s="1" t="s">
        <v>19</v>
      </c>
      <c r="C1997" s="1">
        <v>1</v>
      </c>
      <c r="D1997" s="1">
        <v>240</v>
      </c>
      <c r="E1997" s="1">
        <v>50</v>
      </c>
      <c r="F1997" s="1">
        <v>11</v>
      </c>
      <c r="G1997" s="1">
        <v>25</v>
      </c>
      <c r="H1997" s="1">
        <v>150</v>
      </c>
      <c r="I1997" s="1">
        <v>100</v>
      </c>
      <c r="J1997" s="1">
        <v>29.847999999999999</v>
      </c>
      <c r="K1997" s="1">
        <v>20.152000000000001</v>
      </c>
      <c r="L1997" s="1">
        <v>59.7</v>
      </c>
      <c r="M1997" s="1">
        <v>50.4</v>
      </c>
      <c r="N1997" s="1">
        <v>5.4600000000000003E-2</v>
      </c>
      <c r="O1997" s="1">
        <v>4.1609999999999998E-4</v>
      </c>
      <c r="P1997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22.349897898060313</v>
      </c>
      <c r="Q1997" s="1">
        <f>LN(Table1[[#This Row],[qe_mg_g]]-Table1[[#This Row],[qt]])</f>
        <v>2.0146499354442242</v>
      </c>
      <c r="R1997" s="1">
        <v>1</v>
      </c>
    </row>
    <row r="1998" spans="1:18" x14ac:dyDescent="0.3">
      <c r="A1998" s="1">
        <v>1997</v>
      </c>
      <c r="B1998" s="1" t="s">
        <v>19</v>
      </c>
      <c r="C1998" s="1">
        <v>1</v>
      </c>
      <c r="D1998" s="1">
        <v>240</v>
      </c>
      <c r="E1998" s="1">
        <v>50</v>
      </c>
      <c r="F1998" s="1">
        <v>11</v>
      </c>
      <c r="G1998" s="1">
        <v>25</v>
      </c>
      <c r="H1998" s="1">
        <v>150</v>
      </c>
      <c r="I1998" s="1">
        <v>100</v>
      </c>
      <c r="J1998" s="1">
        <v>32.457000000000001</v>
      </c>
      <c r="K1998" s="1">
        <v>17.542999999999999</v>
      </c>
      <c r="L1998" s="1">
        <v>64.91</v>
      </c>
      <c r="M1998" s="1">
        <v>47.7</v>
      </c>
      <c r="N1998" s="1">
        <v>5.6210000000000003E-2</v>
      </c>
      <c r="O1998" s="1">
        <v>3.3770000000000002E-4</v>
      </c>
      <c r="P1998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23.517093629203639</v>
      </c>
      <c r="Q1998" s="1">
        <f>LN(Table1[[#This Row],[qe_mg_g]]-Table1[[#This Row],[qt]])</f>
        <v>2.1905251160652957</v>
      </c>
      <c r="R1998" s="1">
        <v>2</v>
      </c>
    </row>
    <row r="1999" spans="1:18" x14ac:dyDescent="0.3">
      <c r="A1999" s="1">
        <v>1998</v>
      </c>
      <c r="B1999" s="1" t="s">
        <v>19</v>
      </c>
      <c r="C1999" s="1">
        <v>1</v>
      </c>
      <c r="D1999" s="1">
        <v>240</v>
      </c>
      <c r="E1999" s="1">
        <v>50</v>
      </c>
      <c r="F1999" s="1">
        <v>11</v>
      </c>
      <c r="G1999" s="1">
        <v>25</v>
      </c>
      <c r="H1999" s="1">
        <v>150</v>
      </c>
      <c r="I1999" s="1">
        <v>100</v>
      </c>
      <c r="J1999" s="1">
        <v>32.65</v>
      </c>
      <c r="K1999" s="1">
        <v>17.350000000000001</v>
      </c>
      <c r="L1999" s="1">
        <v>65.3</v>
      </c>
      <c r="M1999" s="1">
        <v>59.3</v>
      </c>
      <c r="N1999" s="1">
        <v>6.1650000000000003E-2</v>
      </c>
      <c r="O1999" s="1">
        <v>3.4909999999999997E-4</v>
      </c>
      <c r="P1999" s="1">
        <f>(Table1[[#This Row],[Rate_Constant_k2_g_mg_min]]*Table1[[#This Row],[Contact_Time_min]]*Table1[[#This Row],[qe_mg_g]]^2)/(1+Table1[[#This Row],[Contact_Time_min]]*Table1[[#This Row],[qe_mg_g]]*Table1[[#This Row],[Rate_Constant_k2_g_mg_min]])</f>
        <v>23.909648250767837</v>
      </c>
      <c r="Q1999" s="1">
        <f>LN(Table1[[#This Row],[qe_mg_g]]-Table1[[#This Row],[qt]])</f>
        <v>2.167950434765169</v>
      </c>
      <c r="R1999" s="1">
        <v>3</v>
      </c>
    </row>
    <row r="2000" spans="1:18" x14ac:dyDescent="0.3">
      <c r="A2000" s="1">
        <v>1999</v>
      </c>
      <c r="B2000" s="1" t="s">
        <v>19</v>
      </c>
      <c r="C2000" s="1">
        <v>1</v>
      </c>
      <c r="D2000" s="1">
        <v>240</v>
      </c>
      <c r="E2000" s="1">
        <v>100</v>
      </c>
      <c r="F2000" s="1">
        <v>3</v>
      </c>
      <c r="G2000" s="1">
        <v>25</v>
      </c>
      <c r="H2000" s="1">
        <v>150</v>
      </c>
      <c r="I2000" s="1">
        <v>100</v>
      </c>
      <c r="J2000" s="1">
        <v>69.122</v>
      </c>
      <c r="K2000" s="1">
        <v>30.878</v>
      </c>
      <c r="L2000" s="1">
        <v>69.12</v>
      </c>
      <c r="M2000" s="1">
        <v>62</v>
      </c>
      <c r="N2000" s="1">
        <v>5.1110000000000003E-2</v>
      </c>
      <c r="O2000" s="1">
        <v>4.2729999999999998E-4</v>
      </c>
      <c r="P2000" s="1">
        <f>(Table1[[#This Row],[Rate_Constant_k2_g_mg_min]]*Table1[[#This Row],[Contact_Time_min]]*Table1[[#This Row],[qe_mg_g]]^2)/(1+Table1[[#This Row],[Contact_Time_min]]*Table1[[#This Row],[qe_mg_g]]*Table1[[#This Row],[Rate_Constant_k2_g_mg_min]])</f>
        <v>60.576391908869418</v>
      </c>
      <c r="Q2000" s="1">
        <f>LN(Table1[[#This Row],[qe_mg_g]]-Table1[[#This Row],[qt]])</f>
        <v>2.1454174774212342</v>
      </c>
      <c r="R2000" s="1">
        <v>1</v>
      </c>
    </row>
    <row r="2001" spans="1:18" x14ac:dyDescent="0.3">
      <c r="A2001" s="1">
        <v>2000</v>
      </c>
      <c r="B2001" s="1" t="s">
        <v>19</v>
      </c>
      <c r="C2001" s="1">
        <v>1</v>
      </c>
      <c r="D2001" s="1">
        <v>240</v>
      </c>
      <c r="E2001" s="1">
        <v>100</v>
      </c>
      <c r="F2001" s="1">
        <v>3</v>
      </c>
      <c r="G2001" s="1">
        <v>25</v>
      </c>
      <c r="H2001" s="1">
        <v>150</v>
      </c>
      <c r="I2001" s="1">
        <v>100</v>
      </c>
      <c r="J2001" s="1">
        <v>63.427999999999997</v>
      </c>
      <c r="K2001" s="1">
        <v>36.572000000000003</v>
      </c>
      <c r="L2001" s="1">
        <v>63.43</v>
      </c>
      <c r="M2001" s="1">
        <v>47.7</v>
      </c>
      <c r="N2001" s="1">
        <v>6.4089999999999994E-2</v>
      </c>
      <c r="O2001" s="1">
        <v>4.2269999999999997E-4</v>
      </c>
      <c r="P2001" s="1">
        <f>(Table1[[#This Row],[Rate_Constant_k2_g_mg_min]]*Table1[[#This Row],[Contact_Time_min]]*Table1[[#This Row],[qe_mg_g]]^2)/(1+Table1[[#This Row],[Contact_Time_min]]*Table1[[#This Row],[qe_mg_g]]*Table1[[#This Row],[Rate_Constant_k2_g_mg_min]])</f>
        <v>54.896589190815163</v>
      </c>
      <c r="Q2001" s="1">
        <f>LN(Table1[[#This Row],[qe_mg_g]]-Table1[[#This Row],[qt]])</f>
        <v>2.1437547416358438</v>
      </c>
      <c r="R2001" s="1">
        <v>2</v>
      </c>
    </row>
    <row r="2002" spans="1:18" x14ac:dyDescent="0.3">
      <c r="A2002" s="1">
        <v>2001</v>
      </c>
      <c r="B2002" s="1" t="s">
        <v>19</v>
      </c>
      <c r="C2002" s="1">
        <v>1</v>
      </c>
      <c r="D2002" s="1">
        <v>240</v>
      </c>
      <c r="E2002" s="1">
        <v>100</v>
      </c>
      <c r="F2002" s="1">
        <v>3</v>
      </c>
      <c r="G2002" s="1">
        <v>25</v>
      </c>
      <c r="H2002" s="1">
        <v>150</v>
      </c>
      <c r="I2002" s="1">
        <v>100</v>
      </c>
      <c r="J2002" s="1">
        <v>61.865000000000002</v>
      </c>
      <c r="K2002" s="1">
        <v>38.134999999999998</v>
      </c>
      <c r="L2002" s="1">
        <v>61.87</v>
      </c>
      <c r="M2002" s="1">
        <v>50.4</v>
      </c>
      <c r="N2002" s="1">
        <v>5.4050000000000001E-2</v>
      </c>
      <c r="O2002" s="1">
        <v>3.7500000000000001E-4</v>
      </c>
      <c r="P2002" s="1">
        <f>(Table1[[#This Row],[Rate_Constant_k2_g_mg_min]]*Table1[[#This Row],[Contact_Time_min]]*Table1[[#This Row],[qe_mg_g]]^2)/(1+Table1[[#This Row],[Contact_Time_min]]*Table1[[#This Row],[qe_mg_g]]*Table1[[#This Row],[Rate_Constant_k2_g_mg_min]])</f>
        <v>52.445631409060802</v>
      </c>
      <c r="Q2002" s="1">
        <f>LN(Table1[[#This Row],[qe_mg_g]]-Table1[[#This Row],[qt]])</f>
        <v>2.2427680577790396</v>
      </c>
      <c r="R2002" s="1">
        <v>3</v>
      </c>
    </row>
    <row r="2003" spans="1:18" x14ac:dyDescent="0.3">
      <c r="A2003" s="1">
        <v>2002</v>
      </c>
      <c r="B2003" s="1" t="s">
        <v>19</v>
      </c>
      <c r="C2003" s="1">
        <v>1</v>
      </c>
      <c r="D2003" s="1">
        <v>240</v>
      </c>
      <c r="E2003" s="1">
        <v>100</v>
      </c>
      <c r="F2003" s="1">
        <v>7</v>
      </c>
      <c r="G2003" s="1">
        <v>25</v>
      </c>
      <c r="H2003" s="1">
        <v>150</v>
      </c>
      <c r="I2003" s="1">
        <v>100</v>
      </c>
      <c r="J2003" s="1">
        <v>93.337999999999994</v>
      </c>
      <c r="K2003" s="1">
        <v>6.6619999999999999</v>
      </c>
      <c r="L2003" s="1">
        <v>93.34</v>
      </c>
      <c r="M2003" s="1">
        <v>59.2</v>
      </c>
      <c r="N2003" s="1">
        <v>5.5559999999999998E-2</v>
      </c>
      <c r="O2003" s="1">
        <v>4.0240000000000002E-4</v>
      </c>
      <c r="P2003" s="1">
        <f>(Table1[[#This Row],[Rate_Constant_k2_g_mg_min]]*Table1[[#This Row],[Contact_Time_min]]*Table1[[#This Row],[qe_mg_g]]^2)/(1+Table1[[#This Row],[Contact_Time_min]]*Table1[[#This Row],[qe_mg_g]]*Table1[[#This Row],[Rate_Constant_k2_g_mg_min]])</f>
        <v>84.017445149696442</v>
      </c>
      <c r="Q2003" s="1">
        <f>LN(Table1[[#This Row],[qe_mg_g]]-Table1[[#This Row],[qt]])</f>
        <v>2.2322221602198362</v>
      </c>
      <c r="R2003" s="1">
        <v>1</v>
      </c>
    </row>
    <row r="2004" spans="1:18" x14ac:dyDescent="0.3">
      <c r="A2004" s="1">
        <v>2003</v>
      </c>
      <c r="B2004" s="1" t="s">
        <v>19</v>
      </c>
      <c r="C2004" s="1">
        <v>1</v>
      </c>
      <c r="D2004" s="1">
        <v>240</v>
      </c>
      <c r="E2004" s="1">
        <v>100</v>
      </c>
      <c r="F2004" s="1">
        <v>7</v>
      </c>
      <c r="G2004" s="1">
        <v>25</v>
      </c>
      <c r="H2004" s="1">
        <v>150</v>
      </c>
      <c r="I2004" s="1">
        <v>100</v>
      </c>
      <c r="J2004" s="1">
        <v>83.798000000000002</v>
      </c>
      <c r="K2004" s="1">
        <v>16.202000000000002</v>
      </c>
      <c r="L2004" s="1">
        <v>83.8</v>
      </c>
      <c r="M2004" s="1">
        <v>63</v>
      </c>
      <c r="N2004" s="1">
        <v>5.3420000000000002E-2</v>
      </c>
      <c r="O2004" s="1">
        <v>3.6509999999999998E-4</v>
      </c>
      <c r="P2004" s="1">
        <f>(Table1[[#This Row],[Rate_Constant_k2_g_mg_min]]*Table1[[#This Row],[Contact_Time_min]]*Table1[[#This Row],[qe_mg_g]]^2)/(1+Table1[[#This Row],[Contact_Time_min]]*Table1[[#This Row],[qe_mg_g]]*Table1[[#This Row],[Rate_Constant_k2_g_mg_min]])</f>
        <v>73.753549190199749</v>
      </c>
      <c r="Q2004" s="1">
        <f>LN(Table1[[#This Row],[qe_mg_g]]-Table1[[#This Row],[qt]])</f>
        <v>2.3070203237807623</v>
      </c>
      <c r="R2004" s="1">
        <v>2</v>
      </c>
    </row>
    <row r="2005" spans="1:18" x14ac:dyDescent="0.3">
      <c r="A2005" s="1">
        <v>2004</v>
      </c>
      <c r="B2005" s="1" t="s">
        <v>19</v>
      </c>
      <c r="C2005" s="1">
        <v>1</v>
      </c>
      <c r="D2005" s="1">
        <v>240</v>
      </c>
      <c r="E2005" s="1">
        <v>100</v>
      </c>
      <c r="F2005" s="1">
        <v>7</v>
      </c>
      <c r="G2005" s="1">
        <v>25</v>
      </c>
      <c r="H2005" s="1">
        <v>150</v>
      </c>
      <c r="I2005" s="1">
        <v>100</v>
      </c>
      <c r="J2005" s="1">
        <v>84.992999999999995</v>
      </c>
      <c r="K2005" s="1">
        <v>15.007</v>
      </c>
      <c r="L2005" s="1">
        <v>84.99</v>
      </c>
      <c r="M2005" s="1">
        <v>54.1</v>
      </c>
      <c r="N2005" s="1">
        <v>5.2920000000000002E-2</v>
      </c>
      <c r="O2005" s="1">
        <v>3.971E-4</v>
      </c>
      <c r="P2005" s="1">
        <f>(Table1[[#This Row],[Rate_Constant_k2_g_mg_min]]*Table1[[#This Row],[Contact_Time_min]]*Table1[[#This Row],[qe_mg_g]]^2)/(1+Table1[[#This Row],[Contact_Time_min]]*Table1[[#This Row],[qe_mg_g]]*Table1[[#This Row],[Rate_Constant_k2_g_mg_min]])</f>
        <v>75.653287315913303</v>
      </c>
      <c r="Q2005" s="1">
        <f>LN(Table1[[#This Row],[qe_mg_g]]-Table1[[#This Row],[qt]])</f>
        <v>2.2342754898925086</v>
      </c>
      <c r="R2005" s="1">
        <v>3</v>
      </c>
    </row>
    <row r="2006" spans="1:18" x14ac:dyDescent="0.3">
      <c r="A2006" s="1">
        <v>2005</v>
      </c>
      <c r="B2006" s="1" t="s">
        <v>19</v>
      </c>
      <c r="C2006" s="1">
        <v>1</v>
      </c>
      <c r="D2006" s="1">
        <v>240</v>
      </c>
      <c r="E2006" s="1">
        <v>100</v>
      </c>
      <c r="F2006" s="1">
        <v>11</v>
      </c>
      <c r="G2006" s="1">
        <v>25</v>
      </c>
      <c r="H2006" s="1">
        <v>150</v>
      </c>
      <c r="I2006" s="1">
        <v>100</v>
      </c>
      <c r="J2006" s="1">
        <v>67.786000000000001</v>
      </c>
      <c r="K2006" s="1">
        <v>32.213999999999999</v>
      </c>
      <c r="L2006" s="1">
        <v>67.790000000000006</v>
      </c>
      <c r="M2006" s="1">
        <v>48.5</v>
      </c>
      <c r="N2006" s="1">
        <v>6.6669999999999993E-2</v>
      </c>
      <c r="O2006" s="1">
        <v>3.8420000000000001E-4</v>
      </c>
      <c r="P2006" s="1">
        <f>(Table1[[#This Row],[Rate_Constant_k2_g_mg_min]]*Table1[[#This Row],[Contact_Time_min]]*Table1[[#This Row],[qe_mg_g]]^2)/(1+Table1[[#This Row],[Contact_Time_min]]*Table1[[#This Row],[qe_mg_g]]*Table1[[#This Row],[Rate_Constant_k2_g_mg_min]])</f>
        <v>58.436737532319214</v>
      </c>
      <c r="Q2006" s="1">
        <f>LN(Table1[[#This Row],[qe_mg_g]]-Table1[[#This Row],[qt]])</f>
        <v>2.2352974597274207</v>
      </c>
      <c r="R2006" s="1">
        <v>1</v>
      </c>
    </row>
    <row r="2007" spans="1:18" x14ac:dyDescent="0.3">
      <c r="A2007" s="1">
        <v>2006</v>
      </c>
      <c r="B2007" s="1" t="s">
        <v>19</v>
      </c>
      <c r="C2007" s="1">
        <v>1</v>
      </c>
      <c r="D2007" s="1">
        <v>240</v>
      </c>
      <c r="E2007" s="1">
        <v>100</v>
      </c>
      <c r="F2007" s="1">
        <v>11</v>
      </c>
      <c r="G2007" s="1">
        <v>25</v>
      </c>
      <c r="H2007" s="1">
        <v>150</v>
      </c>
      <c r="I2007" s="1">
        <v>100</v>
      </c>
      <c r="J2007" s="1">
        <v>59.523000000000003</v>
      </c>
      <c r="K2007" s="1">
        <v>40.476999999999997</v>
      </c>
      <c r="L2007" s="1">
        <v>59.52</v>
      </c>
      <c r="M2007" s="1">
        <v>49.9</v>
      </c>
      <c r="N2007" s="1">
        <v>4.5030000000000001E-2</v>
      </c>
      <c r="O2007" s="1">
        <v>3.167E-4</v>
      </c>
      <c r="P2007" s="1">
        <f>(Table1[[#This Row],[Rate_Constant_k2_g_mg_min]]*Table1[[#This Row],[Contact_Time_min]]*Table1[[#This Row],[qe_mg_g]]^2)/(1+Table1[[#This Row],[Contact_Time_min]]*Table1[[#This Row],[qe_mg_g]]*Table1[[#This Row],[Rate_Constant_k2_g_mg_min]])</f>
        <v>48.748093331223146</v>
      </c>
      <c r="Q2007" s="1">
        <f>LN(Table1[[#This Row],[qe_mg_g]]-Table1[[#This Row],[qt]])</f>
        <v>2.3772199741218434</v>
      </c>
      <c r="R2007" s="1">
        <v>2</v>
      </c>
    </row>
    <row r="2008" spans="1:18" x14ac:dyDescent="0.3">
      <c r="A2008" s="1">
        <v>2007</v>
      </c>
      <c r="B2008" s="1" t="s">
        <v>19</v>
      </c>
      <c r="C2008" s="1">
        <v>1</v>
      </c>
      <c r="D2008" s="1">
        <v>240</v>
      </c>
      <c r="E2008" s="1">
        <v>100</v>
      </c>
      <c r="F2008" s="1">
        <v>11</v>
      </c>
      <c r="G2008" s="1">
        <v>25</v>
      </c>
      <c r="H2008" s="1">
        <v>150</v>
      </c>
      <c r="I2008" s="1">
        <v>100</v>
      </c>
      <c r="J2008" s="1">
        <v>55.753999999999998</v>
      </c>
      <c r="K2008" s="1">
        <v>44.246000000000002</v>
      </c>
      <c r="L2008" s="1">
        <v>55.75</v>
      </c>
      <c r="M2008" s="1">
        <v>53.4</v>
      </c>
      <c r="N2008" s="1">
        <v>4.8719999999999999E-2</v>
      </c>
      <c r="O2008" s="1">
        <v>3.5209999999999999E-4</v>
      </c>
      <c r="P2008" s="1">
        <f>(Table1[[#This Row],[Rate_Constant_k2_g_mg_min]]*Table1[[#This Row],[Contact_Time_min]]*Table1[[#This Row],[qe_mg_g]]^2)/(1+Table1[[#This Row],[Contact_Time_min]]*Table1[[#This Row],[qe_mg_g]]*Table1[[#This Row],[Rate_Constant_k2_g_mg_min]])</f>
        <v>45.992181808601039</v>
      </c>
      <c r="Q2008" s="1">
        <f>LN(Table1[[#This Row],[qe_mg_g]]-Table1[[#This Row],[qt]])</f>
        <v>2.2784786731775069</v>
      </c>
      <c r="R2008" s="1">
        <v>3</v>
      </c>
    </row>
    <row r="2009" spans="1:18" x14ac:dyDescent="0.3">
      <c r="A2009" s="1">
        <v>2008</v>
      </c>
      <c r="B2009" s="1" t="s">
        <v>19</v>
      </c>
      <c r="C2009" s="1">
        <v>1</v>
      </c>
      <c r="D2009" s="1">
        <v>240</v>
      </c>
      <c r="E2009" s="1">
        <v>200</v>
      </c>
      <c r="F2009" s="1">
        <v>3</v>
      </c>
      <c r="G2009" s="1">
        <v>25</v>
      </c>
      <c r="H2009" s="1">
        <v>150</v>
      </c>
      <c r="I2009" s="1">
        <v>100</v>
      </c>
      <c r="J2009" s="1">
        <v>115.593</v>
      </c>
      <c r="K2009" s="1">
        <v>84.406999999999996</v>
      </c>
      <c r="L2009" s="1">
        <v>57.8</v>
      </c>
      <c r="M2009" s="1">
        <v>55.2</v>
      </c>
      <c r="N2009" s="1">
        <v>5.2720000000000003E-2</v>
      </c>
      <c r="O2009" s="1">
        <v>4.0259999999999997E-4</v>
      </c>
      <c r="P2009" s="1">
        <f>(Table1[[#This Row],[Rate_Constant_k2_g_mg_min]]*Table1[[#This Row],[Contact_Time_min]]*Table1[[#This Row],[qe_mg_g]]^2)/(1+Table1[[#This Row],[Contact_Time_min]]*Table1[[#This Row],[qe_mg_g]]*Table1[[#This Row],[Rate_Constant_k2_g_mg_min]])</f>
        <v>106.0940724991175</v>
      </c>
      <c r="Q2009" s="1">
        <f>LN(Table1[[#This Row],[qe_mg_g]]-Table1[[#This Row],[qt]])</f>
        <v>2.251178897589468</v>
      </c>
      <c r="R2009" s="1">
        <v>1</v>
      </c>
    </row>
    <row r="2010" spans="1:18" x14ac:dyDescent="0.3">
      <c r="A2010" s="1">
        <v>2009</v>
      </c>
      <c r="B2010" s="1" t="s">
        <v>19</v>
      </c>
      <c r="C2010" s="1">
        <v>1</v>
      </c>
      <c r="D2010" s="1">
        <v>240</v>
      </c>
      <c r="E2010" s="1">
        <v>200</v>
      </c>
      <c r="F2010" s="1">
        <v>3</v>
      </c>
      <c r="G2010" s="1">
        <v>25</v>
      </c>
      <c r="H2010" s="1">
        <v>150</v>
      </c>
      <c r="I2010" s="1">
        <v>100</v>
      </c>
      <c r="J2010" s="1">
        <v>143.316</v>
      </c>
      <c r="K2010" s="1">
        <v>56.683999999999997</v>
      </c>
      <c r="L2010" s="1">
        <v>71.66</v>
      </c>
      <c r="M2010" s="1">
        <v>61</v>
      </c>
      <c r="N2010" s="1">
        <v>5.3199999999999997E-2</v>
      </c>
      <c r="O2010" s="1">
        <v>4.1950000000000001E-4</v>
      </c>
      <c r="P2010" s="1">
        <f>(Table1[[#This Row],[Rate_Constant_k2_g_mg_min]]*Table1[[#This Row],[Contact_Time_min]]*Table1[[#This Row],[qe_mg_g]]^2)/(1+Table1[[#This Row],[Contact_Time_min]]*Table1[[#This Row],[qe_mg_g]]*Table1[[#This Row],[Rate_Constant_k2_g_mg_min]])</f>
        <v>134.02729105997452</v>
      </c>
      <c r="Q2010" s="1">
        <f>LN(Table1[[#This Row],[qe_mg_g]]-Table1[[#This Row],[qt]])</f>
        <v>2.2287995700814931</v>
      </c>
      <c r="R2010" s="1">
        <v>2</v>
      </c>
    </row>
    <row r="2011" spans="1:18" x14ac:dyDescent="0.3">
      <c r="A2011" s="1">
        <v>2010</v>
      </c>
      <c r="B2011" s="1" t="s">
        <v>19</v>
      </c>
      <c r="C2011" s="1">
        <v>1</v>
      </c>
      <c r="D2011" s="1">
        <v>240</v>
      </c>
      <c r="E2011" s="1">
        <v>200</v>
      </c>
      <c r="F2011" s="1">
        <v>3</v>
      </c>
      <c r="G2011" s="1">
        <v>25</v>
      </c>
      <c r="H2011" s="1">
        <v>150</v>
      </c>
      <c r="I2011" s="1">
        <v>100</v>
      </c>
      <c r="J2011" s="1">
        <v>116.251</v>
      </c>
      <c r="K2011" s="1">
        <v>83.748999999999995</v>
      </c>
      <c r="L2011" s="1">
        <v>58.13</v>
      </c>
      <c r="M2011" s="1">
        <v>43.1</v>
      </c>
      <c r="N2011" s="1">
        <v>5.4539999999999998E-2</v>
      </c>
      <c r="O2011" s="1">
        <v>4.2890000000000002E-4</v>
      </c>
      <c r="P2011" s="1">
        <f>(Table1[[#This Row],[Rate_Constant_k2_g_mg_min]]*Table1[[#This Row],[Contact_Time_min]]*Table1[[#This Row],[qe_mg_g]]^2)/(1+Table1[[#This Row],[Contact_Time_min]]*Table1[[#This Row],[qe_mg_g]]*Table1[[#This Row],[Rate_Constant_k2_g_mg_min]])</f>
        <v>107.2854518122479</v>
      </c>
      <c r="Q2011" s="1">
        <f>LN(Table1[[#This Row],[qe_mg_g]]-Table1[[#This Row],[qt]])</f>
        <v>2.1933892527339083</v>
      </c>
      <c r="R2011" s="1">
        <v>3</v>
      </c>
    </row>
    <row r="2012" spans="1:18" x14ac:dyDescent="0.3">
      <c r="A2012" s="1">
        <v>2011</v>
      </c>
      <c r="B2012" s="1" t="s">
        <v>19</v>
      </c>
      <c r="C2012" s="1">
        <v>1</v>
      </c>
      <c r="D2012" s="1">
        <v>240</v>
      </c>
      <c r="E2012" s="1">
        <v>200</v>
      </c>
      <c r="F2012" s="1">
        <v>7</v>
      </c>
      <c r="G2012" s="1">
        <v>25</v>
      </c>
      <c r="H2012" s="1">
        <v>150</v>
      </c>
      <c r="I2012" s="1">
        <v>100</v>
      </c>
      <c r="J2012" s="1">
        <v>174.79300000000001</v>
      </c>
      <c r="K2012" s="1">
        <v>25.207000000000001</v>
      </c>
      <c r="L2012" s="1">
        <v>87.4</v>
      </c>
      <c r="M2012" s="1">
        <v>53</v>
      </c>
      <c r="N2012" s="1">
        <v>4.7070000000000001E-2</v>
      </c>
      <c r="O2012" s="1">
        <v>3.8309999999999999E-4</v>
      </c>
      <c r="P2012" s="1">
        <f>(Table1[[#This Row],[Rate_Constant_k2_g_mg_min]]*Table1[[#This Row],[Contact_Time_min]]*Table1[[#This Row],[qe_mg_g]]^2)/(1+Table1[[#This Row],[Contact_Time_min]]*Table1[[#This Row],[qe_mg_g]]*Table1[[#This Row],[Rate_Constant_k2_g_mg_min]])</f>
        <v>164.55392296803925</v>
      </c>
      <c r="Q2012" s="1">
        <f>LN(Table1[[#This Row],[qe_mg_g]]-Table1[[#This Row],[qt]])</f>
        <v>2.326211481951503</v>
      </c>
      <c r="R2012" s="1">
        <v>1</v>
      </c>
    </row>
    <row r="2013" spans="1:18" x14ac:dyDescent="0.3">
      <c r="A2013" s="1">
        <v>2012</v>
      </c>
      <c r="B2013" s="1" t="s">
        <v>19</v>
      </c>
      <c r="C2013" s="1">
        <v>1</v>
      </c>
      <c r="D2013" s="1">
        <v>240</v>
      </c>
      <c r="E2013" s="1">
        <v>200</v>
      </c>
      <c r="F2013" s="1">
        <v>7</v>
      </c>
      <c r="G2013" s="1">
        <v>25</v>
      </c>
      <c r="H2013" s="1">
        <v>150</v>
      </c>
      <c r="I2013" s="1">
        <v>100</v>
      </c>
      <c r="J2013" s="1">
        <v>189.13499999999999</v>
      </c>
      <c r="K2013" s="1">
        <v>10.865</v>
      </c>
      <c r="L2013" s="1">
        <v>94.57</v>
      </c>
      <c r="M2013" s="1">
        <v>61</v>
      </c>
      <c r="N2013" s="1">
        <v>5.1540000000000002E-2</v>
      </c>
      <c r="O2013" s="1">
        <v>3.2529999999999999E-4</v>
      </c>
      <c r="P2013" s="1">
        <f>(Table1[[#This Row],[Rate_Constant_k2_g_mg_min]]*Table1[[#This Row],[Contact_Time_min]]*Table1[[#This Row],[qe_mg_g]]^2)/(1+Table1[[#This Row],[Contact_Time_min]]*Table1[[#This Row],[qe_mg_g]]*Table1[[#This Row],[Rate_Constant_k2_g_mg_min]])</f>
        <v>177.13872777428222</v>
      </c>
      <c r="Q2013" s="1">
        <f>LN(Table1[[#This Row],[qe_mg_g]]-Table1[[#This Row],[qt]])</f>
        <v>2.4845959536701074</v>
      </c>
      <c r="R2013" s="1">
        <v>2</v>
      </c>
    </row>
    <row r="2014" spans="1:18" x14ac:dyDescent="0.3">
      <c r="A2014" s="1">
        <v>2013</v>
      </c>
      <c r="B2014" s="1" t="s">
        <v>19</v>
      </c>
      <c r="C2014" s="1">
        <v>1</v>
      </c>
      <c r="D2014" s="1">
        <v>240</v>
      </c>
      <c r="E2014" s="1">
        <v>200</v>
      </c>
      <c r="F2014" s="1">
        <v>7</v>
      </c>
      <c r="G2014" s="1">
        <v>25</v>
      </c>
      <c r="H2014" s="1">
        <v>150</v>
      </c>
      <c r="I2014" s="1">
        <v>100</v>
      </c>
      <c r="J2014" s="1">
        <v>161.255</v>
      </c>
      <c r="K2014" s="1">
        <v>38.744999999999997</v>
      </c>
      <c r="L2014" s="1">
        <v>80.63</v>
      </c>
      <c r="M2014" s="1">
        <v>55.2</v>
      </c>
      <c r="N2014" s="1">
        <v>4.9059999999999999E-2</v>
      </c>
      <c r="O2014" s="1">
        <v>3.0880000000000002E-4</v>
      </c>
      <c r="P2014" s="1">
        <f>(Table1[[#This Row],[Rate_Constant_k2_g_mg_min]]*Table1[[#This Row],[Contact_Time_min]]*Table1[[#This Row],[qe_mg_g]]^2)/(1+Table1[[#This Row],[Contact_Time_min]]*Table1[[#This Row],[qe_mg_g]]*Table1[[#This Row],[Rate_Constant_k2_g_mg_min]])</f>
        <v>148.80377116722028</v>
      </c>
      <c r="Q2014" s="1">
        <f>LN(Table1[[#This Row],[qe_mg_g]]-Table1[[#This Row],[qt]])</f>
        <v>2.5218193194681411</v>
      </c>
      <c r="R2014" s="1">
        <v>3</v>
      </c>
    </row>
    <row r="2015" spans="1:18" x14ac:dyDescent="0.3">
      <c r="A2015" s="1">
        <v>2014</v>
      </c>
      <c r="B2015" s="1" t="s">
        <v>19</v>
      </c>
      <c r="C2015" s="1">
        <v>1</v>
      </c>
      <c r="D2015" s="1">
        <v>240</v>
      </c>
      <c r="E2015" s="1">
        <v>200</v>
      </c>
      <c r="F2015" s="1">
        <v>11</v>
      </c>
      <c r="G2015" s="1">
        <v>25</v>
      </c>
      <c r="H2015" s="1">
        <v>150</v>
      </c>
      <c r="I2015" s="1">
        <v>100</v>
      </c>
      <c r="J2015" s="1">
        <v>144.74199999999999</v>
      </c>
      <c r="K2015" s="1">
        <v>55.258000000000003</v>
      </c>
      <c r="L2015" s="1">
        <v>72.37</v>
      </c>
      <c r="M2015" s="1">
        <v>50.5</v>
      </c>
      <c r="N2015" s="1">
        <v>5.2040000000000003E-2</v>
      </c>
      <c r="O2015" s="1">
        <v>3.6630000000000001E-4</v>
      </c>
      <c r="P2015" s="1">
        <f>(Table1[[#This Row],[Rate_Constant_k2_g_mg_min]]*Table1[[#This Row],[Contact_Time_min]]*Table1[[#This Row],[qe_mg_g]]^2)/(1+Table1[[#This Row],[Contact_Time_min]]*Table1[[#This Row],[qe_mg_g]]*Table1[[#This Row],[Rate_Constant_k2_g_mg_min]])</f>
        <v>134.19579570143736</v>
      </c>
      <c r="Q2015" s="1">
        <f>LN(Table1[[#This Row],[qe_mg_g]]-Table1[[#This Row],[qt]])</f>
        <v>2.3557660130581932</v>
      </c>
      <c r="R2015" s="1">
        <v>1</v>
      </c>
    </row>
    <row r="2016" spans="1:18" x14ac:dyDescent="0.3">
      <c r="A2016" s="1">
        <v>2015</v>
      </c>
      <c r="B2016" s="1" t="s">
        <v>19</v>
      </c>
      <c r="C2016" s="1">
        <v>1</v>
      </c>
      <c r="D2016" s="1">
        <v>240</v>
      </c>
      <c r="E2016" s="1">
        <v>200</v>
      </c>
      <c r="F2016" s="1">
        <v>11</v>
      </c>
      <c r="G2016" s="1">
        <v>25</v>
      </c>
      <c r="H2016" s="1">
        <v>150</v>
      </c>
      <c r="I2016" s="1">
        <v>100</v>
      </c>
      <c r="J2016" s="1">
        <v>149.99199999999999</v>
      </c>
      <c r="K2016" s="1">
        <v>50.008000000000003</v>
      </c>
      <c r="L2016" s="1">
        <v>75</v>
      </c>
      <c r="M2016" s="1">
        <v>52.2</v>
      </c>
      <c r="N2016" s="1">
        <v>5.6009999999999997E-2</v>
      </c>
      <c r="O2016" s="1">
        <v>3.1530000000000002E-4</v>
      </c>
      <c r="P2016" s="1">
        <f>(Table1[[#This Row],[Rate_Constant_k2_g_mg_min]]*Table1[[#This Row],[Contact_Time_min]]*Table1[[#This Row],[qe_mg_g]]^2)/(1+Table1[[#This Row],[Contact_Time_min]]*Table1[[#This Row],[qe_mg_g]]*Table1[[#This Row],[Rate_Constant_k2_g_mg_min]])</f>
        <v>137.8470901774032</v>
      </c>
      <c r="Q2016" s="1">
        <f>LN(Table1[[#This Row],[qe_mg_g]]-Table1[[#This Row],[qt]])</f>
        <v>2.4969101373624931</v>
      </c>
      <c r="R2016" s="1">
        <v>2</v>
      </c>
    </row>
    <row r="2017" spans="1:18" x14ac:dyDescent="0.3">
      <c r="A2017" s="1">
        <v>2016</v>
      </c>
      <c r="B2017" s="1" t="s">
        <v>19</v>
      </c>
      <c r="C2017" s="1">
        <v>1</v>
      </c>
      <c r="D2017" s="1">
        <v>240</v>
      </c>
      <c r="E2017" s="1">
        <v>200</v>
      </c>
      <c r="F2017" s="1">
        <v>11</v>
      </c>
      <c r="G2017" s="1">
        <v>25</v>
      </c>
      <c r="H2017" s="1">
        <v>150</v>
      </c>
      <c r="I2017" s="1">
        <v>100</v>
      </c>
      <c r="J2017" s="1">
        <v>150.26499999999999</v>
      </c>
      <c r="K2017" s="1">
        <v>49.734999999999999</v>
      </c>
      <c r="L2017" s="1">
        <v>75.13</v>
      </c>
      <c r="M2017" s="1">
        <v>55.8</v>
      </c>
      <c r="N2017" s="1">
        <v>4.6730000000000001E-2</v>
      </c>
      <c r="O2017" s="1">
        <v>3.8479999999999997E-4</v>
      </c>
      <c r="P2017" s="1">
        <f>(Table1[[#This Row],[Rate_Constant_k2_g_mg_min]]*Table1[[#This Row],[Contact_Time_min]]*Table1[[#This Row],[qe_mg_g]]^2)/(1+Table1[[#This Row],[Contact_Time_min]]*Table1[[#This Row],[qe_mg_g]]*Table1[[#This Row],[Rate_Constant_k2_g_mg_min]])</f>
        <v>140.16469484515645</v>
      </c>
      <c r="Q2017" s="1">
        <f>LN(Table1[[#This Row],[qe_mg_g]]-Table1[[#This Row],[qt]])</f>
        <v>2.3125656367416449</v>
      </c>
      <c r="R2017" s="1">
        <v>3</v>
      </c>
    </row>
    <row r="2018" spans="1:18" x14ac:dyDescent="0.3">
      <c r="A2018" s="1">
        <v>2017</v>
      </c>
      <c r="B2018" s="1" t="s">
        <v>19</v>
      </c>
      <c r="C2018" s="1">
        <v>2</v>
      </c>
      <c r="D2018" s="1">
        <v>30</v>
      </c>
      <c r="E2018" s="1">
        <v>25</v>
      </c>
      <c r="F2018" s="1">
        <v>3</v>
      </c>
      <c r="G2018" s="1">
        <v>25</v>
      </c>
      <c r="H2018" s="1">
        <v>150</v>
      </c>
      <c r="I2018" s="1">
        <v>100</v>
      </c>
      <c r="J2018" s="1">
        <v>0.74</v>
      </c>
      <c r="K2018" s="1">
        <v>23.518999999999998</v>
      </c>
      <c r="L2018" s="1">
        <v>5.92</v>
      </c>
      <c r="M2018" s="1">
        <v>55.3</v>
      </c>
      <c r="N2018" s="1">
        <v>6.1400000000000003E-2</v>
      </c>
      <c r="O2018" s="1">
        <v>3.8240000000000003E-4</v>
      </c>
      <c r="P2018" s="1">
        <f>(Table1[[#This Row],[Rate_Constant_k2_g_mg_min]]*Table1[[#This Row],[Contact_Time_min]]*Table1[[#This Row],[qe_mg_g]]^2)/(1+Table1[[#This Row],[Contact_Time_min]]*Table1[[#This Row],[qe_mg_g]]*Table1[[#This Row],[Rate_Constant_k2_g_mg_min]])</f>
        <v>6.2291858967504351E-3</v>
      </c>
      <c r="Q2018" s="1">
        <f>LN(Table1[[#This Row],[qe_mg_g]]-Table1[[#This Row],[qt]])</f>
        <v>-0.30955854149156392</v>
      </c>
      <c r="R2018" s="1">
        <v>1</v>
      </c>
    </row>
    <row r="2019" spans="1:18" x14ac:dyDescent="0.3">
      <c r="A2019" s="1">
        <v>2018</v>
      </c>
      <c r="B2019" s="1" t="s">
        <v>19</v>
      </c>
      <c r="C2019" s="1">
        <v>2</v>
      </c>
      <c r="D2019" s="1">
        <v>30</v>
      </c>
      <c r="E2019" s="1">
        <v>25</v>
      </c>
      <c r="F2019" s="1">
        <v>3</v>
      </c>
      <c r="G2019" s="1">
        <v>25</v>
      </c>
      <c r="H2019" s="1">
        <v>150</v>
      </c>
      <c r="I2019" s="1">
        <v>100</v>
      </c>
      <c r="J2019" s="1">
        <v>0.79100000000000004</v>
      </c>
      <c r="K2019" s="1">
        <v>23.417999999999999</v>
      </c>
      <c r="L2019" s="1">
        <v>6.33</v>
      </c>
      <c r="M2019" s="1">
        <v>51.6</v>
      </c>
      <c r="N2019" s="1">
        <v>6.021E-2</v>
      </c>
      <c r="O2019" s="1">
        <v>3.7359999999999997E-4</v>
      </c>
      <c r="P2019" s="1">
        <f>(Table1[[#This Row],[Rate_Constant_k2_g_mg_min]]*Table1[[#This Row],[Contact_Time_min]]*Table1[[#This Row],[qe_mg_g]]^2)/(1+Table1[[#This Row],[Contact_Time_min]]*Table1[[#This Row],[qe_mg_g]]*Table1[[#This Row],[Rate_Constant_k2_g_mg_min]])</f>
        <v>6.9510082893822489E-3</v>
      </c>
      <c r="Q2019" s="1">
        <f>LN(Table1[[#This Row],[qe_mg_g]]-Table1[[#This Row],[qt]])</f>
        <v>-0.24328377115730365</v>
      </c>
      <c r="R2019" s="1">
        <v>2</v>
      </c>
    </row>
    <row r="2020" spans="1:18" x14ac:dyDescent="0.3">
      <c r="A2020" s="1">
        <v>2019</v>
      </c>
      <c r="B2020" s="1" t="s">
        <v>19</v>
      </c>
      <c r="C2020" s="1">
        <v>2</v>
      </c>
      <c r="D2020" s="1">
        <v>30</v>
      </c>
      <c r="E2020" s="1">
        <v>25</v>
      </c>
      <c r="F2020" s="1">
        <v>3</v>
      </c>
      <c r="G2020" s="1">
        <v>25</v>
      </c>
      <c r="H2020" s="1">
        <v>150</v>
      </c>
      <c r="I2020" s="1">
        <v>100</v>
      </c>
      <c r="J2020" s="1">
        <v>0.755</v>
      </c>
      <c r="K2020" s="1">
        <v>23.49</v>
      </c>
      <c r="L2020" s="1">
        <v>6.04</v>
      </c>
      <c r="M2020" s="1">
        <v>48</v>
      </c>
      <c r="N2020" s="1">
        <v>4.36E-2</v>
      </c>
      <c r="O2020" s="1">
        <v>3.5540000000000002E-4</v>
      </c>
      <c r="P2020" s="1">
        <f>(Table1[[#This Row],[Rate_Constant_k2_g_mg_min]]*Table1[[#This Row],[Contact_Time_min]]*Table1[[#This Row],[qe_mg_g]]^2)/(1+Table1[[#This Row],[Contact_Time_min]]*Table1[[#This Row],[qe_mg_g]]*Table1[[#This Row],[Rate_Constant_k2_g_mg_min]])</f>
        <v>6.0290736526204007E-3</v>
      </c>
      <c r="Q2020" s="1">
        <f>LN(Table1[[#This Row],[qe_mg_g]]-Table1[[#This Row],[qt]])</f>
        <v>-0.28905511284396368</v>
      </c>
      <c r="R2020" s="1">
        <v>3</v>
      </c>
    </row>
    <row r="2021" spans="1:18" x14ac:dyDescent="0.3">
      <c r="A2021" s="1">
        <v>2020</v>
      </c>
      <c r="B2021" s="1" t="s">
        <v>19</v>
      </c>
      <c r="C2021" s="1">
        <v>2</v>
      </c>
      <c r="D2021" s="1">
        <v>30</v>
      </c>
      <c r="E2021" s="1">
        <v>25</v>
      </c>
      <c r="F2021" s="1">
        <v>7</v>
      </c>
      <c r="G2021" s="1">
        <v>25</v>
      </c>
      <c r="H2021" s="1">
        <v>150</v>
      </c>
      <c r="I2021" s="1">
        <v>100</v>
      </c>
      <c r="J2021" s="1">
        <v>1.355</v>
      </c>
      <c r="K2021" s="1">
        <v>22.291</v>
      </c>
      <c r="L2021" s="1">
        <v>10.84</v>
      </c>
      <c r="M2021" s="1">
        <v>63.8</v>
      </c>
      <c r="N2021" s="1">
        <v>5.697E-2</v>
      </c>
      <c r="O2021" s="1">
        <v>3.9669999999999999E-4</v>
      </c>
      <c r="P202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2.1503766898048272E-2</v>
      </c>
      <c r="Q2021" s="1">
        <f>LN(Table1[[#This Row],[qe_mg_g]]-Table1[[#This Row],[qt]])</f>
        <v>0.28780423981550846</v>
      </c>
      <c r="R2021" s="1">
        <v>1</v>
      </c>
    </row>
    <row r="2022" spans="1:18" x14ac:dyDescent="0.3">
      <c r="A2022" s="1">
        <v>2021</v>
      </c>
      <c r="B2022" s="1" t="s">
        <v>19</v>
      </c>
      <c r="C2022" s="1">
        <v>2</v>
      </c>
      <c r="D2022" s="1">
        <v>30</v>
      </c>
      <c r="E2022" s="1">
        <v>25</v>
      </c>
      <c r="F2022" s="1">
        <v>7</v>
      </c>
      <c r="G2022" s="1">
        <v>25</v>
      </c>
      <c r="H2022" s="1">
        <v>150</v>
      </c>
      <c r="I2022" s="1">
        <v>100</v>
      </c>
      <c r="J2022" s="1">
        <v>1.296</v>
      </c>
      <c r="K2022" s="1">
        <v>22.408000000000001</v>
      </c>
      <c r="L2022" s="1">
        <v>10.37</v>
      </c>
      <c r="M2022" s="1">
        <v>63.9</v>
      </c>
      <c r="N2022" s="1">
        <v>5.2089999999999997E-2</v>
      </c>
      <c r="O2022" s="1">
        <v>3.7720000000000001E-4</v>
      </c>
      <c r="P202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1.8731822439665476E-2</v>
      </c>
      <c r="Q2022" s="1">
        <f>LN(Table1[[#This Row],[qe_mg_g]]-Table1[[#This Row],[qt]])</f>
        <v>0.24472356092263295</v>
      </c>
      <c r="R2022" s="1">
        <v>2</v>
      </c>
    </row>
    <row r="2023" spans="1:18" x14ac:dyDescent="0.3">
      <c r="A2023" s="1">
        <v>2022</v>
      </c>
      <c r="B2023" s="1" t="s">
        <v>19</v>
      </c>
      <c r="C2023" s="1">
        <v>2</v>
      </c>
      <c r="D2023" s="1">
        <v>30</v>
      </c>
      <c r="E2023" s="1">
        <v>25</v>
      </c>
      <c r="F2023" s="1">
        <v>7</v>
      </c>
      <c r="G2023" s="1">
        <v>25</v>
      </c>
      <c r="H2023" s="1">
        <v>150</v>
      </c>
      <c r="I2023" s="1">
        <v>100</v>
      </c>
      <c r="J2023" s="1">
        <v>1.2230000000000001</v>
      </c>
      <c r="K2023" s="1">
        <v>22.553000000000001</v>
      </c>
      <c r="L2023" s="1">
        <v>9.7899999999999991</v>
      </c>
      <c r="M2023" s="1">
        <v>56.5</v>
      </c>
      <c r="N2023" s="1">
        <v>4.4080000000000001E-2</v>
      </c>
      <c r="O2023" s="1">
        <v>3.4069999999999999E-4</v>
      </c>
      <c r="P202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1.5099103047855644E-2</v>
      </c>
      <c r="Q2023" s="1">
        <f>LN(Table1[[#This Row],[qe_mg_g]]-Table1[[#This Row],[qt]])</f>
        <v>0.18888405720034451</v>
      </c>
      <c r="R2023" s="1">
        <v>3</v>
      </c>
    </row>
    <row r="2024" spans="1:18" x14ac:dyDescent="0.3">
      <c r="A2024" s="1">
        <v>2023</v>
      </c>
      <c r="B2024" s="1" t="s">
        <v>19</v>
      </c>
      <c r="C2024" s="1">
        <v>2</v>
      </c>
      <c r="D2024" s="1">
        <v>30</v>
      </c>
      <c r="E2024" s="1">
        <v>25</v>
      </c>
      <c r="F2024" s="1">
        <v>11</v>
      </c>
      <c r="G2024" s="1">
        <v>25</v>
      </c>
      <c r="H2024" s="1">
        <v>150</v>
      </c>
      <c r="I2024" s="1">
        <v>100</v>
      </c>
      <c r="J2024" s="1">
        <v>1.0329999999999999</v>
      </c>
      <c r="K2024" s="1">
        <v>22.934999999999999</v>
      </c>
      <c r="L2024" s="1">
        <v>8.26</v>
      </c>
      <c r="M2024" s="1">
        <v>50.3</v>
      </c>
      <c r="N2024" s="1">
        <v>4.922E-2</v>
      </c>
      <c r="O2024" s="1">
        <v>3.7960000000000001E-4</v>
      </c>
      <c r="P202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1.2010717801879378E-2</v>
      </c>
      <c r="Q2024" s="1">
        <f>LN(Table1[[#This Row],[qe_mg_g]]-Table1[[#This Row],[qt]])</f>
        <v>2.0772041770056301E-2</v>
      </c>
      <c r="R2024" s="1">
        <v>1</v>
      </c>
    </row>
    <row r="2025" spans="1:18" x14ac:dyDescent="0.3">
      <c r="A2025" s="1">
        <v>2024</v>
      </c>
      <c r="B2025" s="1" t="s">
        <v>19</v>
      </c>
      <c r="C2025" s="1">
        <v>2</v>
      </c>
      <c r="D2025" s="1">
        <v>30</v>
      </c>
      <c r="E2025" s="1">
        <v>25</v>
      </c>
      <c r="F2025" s="1">
        <v>11</v>
      </c>
      <c r="G2025" s="1">
        <v>25</v>
      </c>
      <c r="H2025" s="1">
        <v>150</v>
      </c>
      <c r="I2025" s="1">
        <v>100</v>
      </c>
      <c r="J2025" s="1">
        <v>0.995</v>
      </c>
      <c r="K2025" s="1">
        <v>23.010999999999999</v>
      </c>
      <c r="L2025" s="1">
        <v>7.96</v>
      </c>
      <c r="M2025" s="1">
        <v>50.5</v>
      </c>
      <c r="N2025" s="1">
        <v>5.5230000000000001E-2</v>
      </c>
      <c r="O2025" s="1">
        <v>4.4230000000000002E-4</v>
      </c>
      <c r="P202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1.2965463187618672E-2</v>
      </c>
      <c r="Q2025" s="1">
        <f>LN(Table1[[#This Row],[qe_mg_g]]-Table1[[#This Row],[qt]])</f>
        <v>-1.8128801376074498E-2</v>
      </c>
      <c r="R2025" s="1">
        <v>2</v>
      </c>
    </row>
    <row r="2026" spans="1:18" x14ac:dyDescent="0.3">
      <c r="A2026" s="1">
        <v>2025</v>
      </c>
      <c r="B2026" s="1" t="s">
        <v>19</v>
      </c>
      <c r="C2026" s="1">
        <v>2</v>
      </c>
      <c r="D2026" s="1">
        <v>30</v>
      </c>
      <c r="E2026" s="1">
        <v>25</v>
      </c>
      <c r="F2026" s="1">
        <v>11</v>
      </c>
      <c r="G2026" s="1">
        <v>25</v>
      </c>
      <c r="H2026" s="1">
        <v>150</v>
      </c>
      <c r="I2026" s="1">
        <v>100</v>
      </c>
      <c r="J2026" s="1">
        <v>1.083</v>
      </c>
      <c r="K2026" s="1">
        <v>22.835000000000001</v>
      </c>
      <c r="L2026" s="1">
        <v>8.66</v>
      </c>
      <c r="M2026" s="1">
        <v>64.099999999999994</v>
      </c>
      <c r="N2026" s="1">
        <v>5.74E-2</v>
      </c>
      <c r="O2026" s="1">
        <v>3.5579999999999997E-4</v>
      </c>
      <c r="P202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1.2376347328708273E-2</v>
      </c>
      <c r="Q2026" s="1">
        <f>LN(Table1[[#This Row],[qe_mg_g]]-Table1[[#This Row],[qt]])</f>
        <v>6.8241331644823142E-2</v>
      </c>
      <c r="R2026" s="1">
        <v>3</v>
      </c>
    </row>
    <row r="2027" spans="1:18" x14ac:dyDescent="0.3">
      <c r="A2027" s="1">
        <v>2026</v>
      </c>
      <c r="B2027" s="1" t="s">
        <v>19</v>
      </c>
      <c r="C2027" s="1">
        <v>2</v>
      </c>
      <c r="D2027" s="1">
        <v>30</v>
      </c>
      <c r="E2027" s="1">
        <v>50</v>
      </c>
      <c r="F2027" s="1">
        <v>3</v>
      </c>
      <c r="G2027" s="1">
        <v>25</v>
      </c>
      <c r="H2027" s="1">
        <v>150</v>
      </c>
      <c r="I2027" s="1">
        <v>100</v>
      </c>
      <c r="J2027" s="1">
        <v>2.411</v>
      </c>
      <c r="K2027" s="1">
        <v>45.177999999999997</v>
      </c>
      <c r="L2027" s="1">
        <v>9.64</v>
      </c>
      <c r="M2027" s="1">
        <v>49</v>
      </c>
      <c r="N2027" s="1">
        <v>5.2359999999999997E-2</v>
      </c>
      <c r="O2027" s="1">
        <v>2.8439999999999997E-4</v>
      </c>
      <c r="P202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4.8596186726325735E-2</v>
      </c>
      <c r="Q2027" s="1">
        <f>LN(Table1[[#This Row],[qe_mg_g]]-Table1[[#This Row],[qt]])</f>
        <v>0.85967966559869191</v>
      </c>
      <c r="R2027" s="1">
        <v>1</v>
      </c>
    </row>
    <row r="2028" spans="1:18" x14ac:dyDescent="0.3">
      <c r="A2028" s="1">
        <v>2027</v>
      </c>
      <c r="B2028" s="1" t="s">
        <v>19</v>
      </c>
      <c r="C2028" s="1">
        <v>2</v>
      </c>
      <c r="D2028" s="1">
        <v>30</v>
      </c>
      <c r="E2028" s="1">
        <v>50</v>
      </c>
      <c r="F2028" s="1">
        <v>3</v>
      </c>
      <c r="G2028" s="1">
        <v>25</v>
      </c>
      <c r="H2028" s="1">
        <v>150</v>
      </c>
      <c r="I2028" s="1">
        <v>100</v>
      </c>
      <c r="J2028" s="1">
        <v>2.6619999999999999</v>
      </c>
      <c r="K2028" s="1">
        <v>44.676000000000002</v>
      </c>
      <c r="L2028" s="1">
        <v>10.65</v>
      </c>
      <c r="M2028" s="1">
        <v>38.299999999999997</v>
      </c>
      <c r="N2028" s="1">
        <v>5.4789999999999998E-2</v>
      </c>
      <c r="O2028" s="1">
        <v>3.7869999999999999E-4</v>
      </c>
      <c r="P2028" s="1">
        <f>(Table1[[#This Row],[Rate_Constant_k2_g_mg_min]]*Table1[[#This Row],[Contact_Time_min]]*Table1[[#This Row],[qe_mg_g]]^2)/(1+Table1[[#This Row],[Contact_Time_min]]*Table1[[#This Row],[qe_mg_g]]*Table1[[#This Row],[Rate_Constant_k2_g_mg_min]])</f>
        <v>7.8143524868000497E-2</v>
      </c>
      <c r="Q2028" s="1">
        <f>LN(Table1[[#This Row],[qe_mg_g]]-Table1[[#This Row],[qt]])</f>
        <v>0.94928304069818137</v>
      </c>
      <c r="R2028" s="1">
        <v>2</v>
      </c>
    </row>
    <row r="2029" spans="1:18" x14ac:dyDescent="0.3">
      <c r="A2029" s="1">
        <v>2028</v>
      </c>
      <c r="B2029" s="1" t="s">
        <v>19</v>
      </c>
      <c r="C2029" s="1">
        <v>2</v>
      </c>
      <c r="D2029" s="1">
        <v>30</v>
      </c>
      <c r="E2029" s="1">
        <v>50</v>
      </c>
      <c r="F2029" s="1">
        <v>3</v>
      </c>
      <c r="G2029" s="1">
        <v>25</v>
      </c>
      <c r="H2029" s="1">
        <v>150</v>
      </c>
      <c r="I2029" s="1">
        <v>100</v>
      </c>
      <c r="J2029" s="1">
        <v>3.121</v>
      </c>
      <c r="K2029" s="1">
        <v>43.756999999999998</v>
      </c>
      <c r="L2029" s="1">
        <v>12.49</v>
      </c>
      <c r="M2029" s="1">
        <v>57.9</v>
      </c>
      <c r="N2029" s="1">
        <v>4.9700000000000001E-2</v>
      </c>
      <c r="O2029" s="1">
        <v>2.8239999999999998E-4</v>
      </c>
      <c r="P202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8.0396926416174158E-2</v>
      </c>
      <c r="Q2029" s="1">
        <f>LN(Table1[[#This Row],[qe_mg_g]]-Table1[[#This Row],[qt]])</f>
        <v>1.1120558752118892</v>
      </c>
      <c r="R2029" s="1">
        <v>3</v>
      </c>
    </row>
    <row r="2030" spans="1:18" x14ac:dyDescent="0.3">
      <c r="A2030" s="1">
        <v>2029</v>
      </c>
      <c r="B2030" s="1" t="s">
        <v>19</v>
      </c>
      <c r="C2030" s="1">
        <v>2</v>
      </c>
      <c r="D2030" s="1">
        <v>30</v>
      </c>
      <c r="E2030" s="1">
        <v>50</v>
      </c>
      <c r="F2030" s="1">
        <v>7</v>
      </c>
      <c r="G2030" s="1">
        <v>25</v>
      </c>
      <c r="H2030" s="1">
        <v>150</v>
      </c>
      <c r="I2030" s="1">
        <v>100</v>
      </c>
      <c r="J2030" s="1">
        <v>4.2839999999999998</v>
      </c>
      <c r="K2030" s="1">
        <v>41.433</v>
      </c>
      <c r="L2030" s="1">
        <v>17.13</v>
      </c>
      <c r="M2030" s="1">
        <v>44.2</v>
      </c>
      <c r="N2030" s="1">
        <v>5.0110000000000002E-2</v>
      </c>
      <c r="O2030" s="1">
        <v>3.4440000000000002E-4</v>
      </c>
      <c r="P203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0.18158238976068436</v>
      </c>
      <c r="Q2030" s="1">
        <f>LN(Table1[[#This Row],[qe_mg_g]]-Table1[[#This Row],[qt]])</f>
        <v>1.4115764609624855</v>
      </c>
      <c r="R2030" s="1">
        <v>1</v>
      </c>
    </row>
    <row r="2031" spans="1:18" x14ac:dyDescent="0.3">
      <c r="A2031" s="1">
        <v>2030</v>
      </c>
      <c r="B2031" s="1" t="s">
        <v>19</v>
      </c>
      <c r="C2031" s="1">
        <v>2</v>
      </c>
      <c r="D2031" s="1">
        <v>30</v>
      </c>
      <c r="E2031" s="1">
        <v>50</v>
      </c>
      <c r="F2031" s="1">
        <v>7</v>
      </c>
      <c r="G2031" s="1">
        <v>25</v>
      </c>
      <c r="H2031" s="1">
        <v>150</v>
      </c>
      <c r="I2031" s="1">
        <v>100</v>
      </c>
      <c r="J2031" s="1">
        <v>4.5380000000000003</v>
      </c>
      <c r="K2031" s="1">
        <v>40.924999999999997</v>
      </c>
      <c r="L2031" s="1">
        <v>18.149999999999999</v>
      </c>
      <c r="M2031" s="1">
        <v>57.3</v>
      </c>
      <c r="N2031" s="1">
        <v>5.3719999999999997E-2</v>
      </c>
      <c r="O2031" s="1">
        <v>3.5040000000000001E-4</v>
      </c>
      <c r="P203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0.20662171350897982</v>
      </c>
      <c r="Q2031" s="1">
        <f>LN(Table1[[#This Row],[qe_mg_g]]-Table1[[#This Row],[qt]])</f>
        <v>1.4658858023321135</v>
      </c>
      <c r="R2031" s="1">
        <v>2</v>
      </c>
    </row>
    <row r="2032" spans="1:18" x14ac:dyDescent="0.3">
      <c r="A2032" s="1">
        <v>2031</v>
      </c>
      <c r="B2032" s="1" t="s">
        <v>19</v>
      </c>
      <c r="C2032" s="1">
        <v>2</v>
      </c>
      <c r="D2032" s="1">
        <v>30</v>
      </c>
      <c r="E2032" s="1">
        <v>50</v>
      </c>
      <c r="F2032" s="1">
        <v>7</v>
      </c>
      <c r="G2032" s="1">
        <v>25</v>
      </c>
      <c r="H2032" s="1">
        <v>150</v>
      </c>
      <c r="I2032" s="1">
        <v>100</v>
      </c>
      <c r="J2032" s="1">
        <v>5.274</v>
      </c>
      <c r="K2032" s="1">
        <v>39.451999999999998</v>
      </c>
      <c r="L2032" s="1">
        <v>21.1</v>
      </c>
      <c r="M2032" s="1">
        <v>44.9</v>
      </c>
      <c r="N2032" s="1">
        <v>5.7299999999999997E-2</v>
      </c>
      <c r="O2032" s="1">
        <v>3.4949999999999998E-4</v>
      </c>
      <c r="P203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0.2763590021581489</v>
      </c>
      <c r="Q2032" s="1">
        <f>LN(Table1[[#This Row],[qe_mg_g]]-Table1[[#This Row],[qt]])</f>
        <v>1.6089660006696278</v>
      </c>
      <c r="R2032" s="1">
        <v>3</v>
      </c>
    </row>
    <row r="2033" spans="1:18" x14ac:dyDescent="0.3">
      <c r="A2033" s="1">
        <v>2032</v>
      </c>
      <c r="B2033" s="1" t="s">
        <v>19</v>
      </c>
      <c r="C2033" s="1">
        <v>2</v>
      </c>
      <c r="D2033" s="1">
        <v>30</v>
      </c>
      <c r="E2033" s="1">
        <v>50</v>
      </c>
      <c r="F2033" s="1">
        <v>11</v>
      </c>
      <c r="G2033" s="1">
        <v>25</v>
      </c>
      <c r="H2033" s="1">
        <v>150</v>
      </c>
      <c r="I2033" s="1">
        <v>100</v>
      </c>
      <c r="J2033" s="1">
        <v>3.5569999999999999</v>
      </c>
      <c r="K2033" s="1">
        <v>42.887</v>
      </c>
      <c r="L2033" s="1">
        <v>14.23</v>
      </c>
      <c r="M2033" s="1">
        <v>61.8</v>
      </c>
      <c r="N2033" s="1">
        <v>5.9830000000000001E-2</v>
      </c>
      <c r="O2033" s="1">
        <v>3.1690000000000001E-4</v>
      </c>
      <c r="P203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0.11635038035704441</v>
      </c>
      <c r="Q2033" s="1">
        <f>LN(Table1[[#This Row],[qe_mg_g]]-Table1[[#This Row],[qt]])</f>
        <v>1.2356602964761911</v>
      </c>
      <c r="R2033" s="1">
        <v>1</v>
      </c>
    </row>
    <row r="2034" spans="1:18" x14ac:dyDescent="0.3">
      <c r="A2034" s="1">
        <v>2033</v>
      </c>
      <c r="B2034" s="1" t="s">
        <v>19</v>
      </c>
      <c r="C2034" s="1">
        <v>2</v>
      </c>
      <c r="D2034" s="1">
        <v>30</v>
      </c>
      <c r="E2034" s="1">
        <v>50</v>
      </c>
      <c r="F2034" s="1">
        <v>11</v>
      </c>
      <c r="G2034" s="1">
        <v>25</v>
      </c>
      <c r="H2034" s="1">
        <v>150</v>
      </c>
      <c r="I2034" s="1">
        <v>100</v>
      </c>
      <c r="J2034" s="1">
        <v>3.5950000000000002</v>
      </c>
      <c r="K2034" s="1">
        <v>42.81</v>
      </c>
      <c r="L2034" s="1">
        <v>14.38</v>
      </c>
      <c r="M2034" s="1">
        <v>56.8</v>
      </c>
      <c r="N2034" s="1">
        <v>5.3499999999999999E-2</v>
      </c>
      <c r="O2034" s="1">
        <v>3.7050000000000001E-4</v>
      </c>
      <c r="P203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0.13813103910860669</v>
      </c>
      <c r="Q2034" s="1">
        <f>LN(Table1[[#This Row],[qe_mg_g]]-Table1[[#This Row],[qt]])</f>
        <v>1.2403632547803274</v>
      </c>
      <c r="R2034" s="1">
        <v>2</v>
      </c>
    </row>
    <row r="2035" spans="1:18" x14ac:dyDescent="0.3">
      <c r="A2035" s="1">
        <v>2034</v>
      </c>
      <c r="B2035" s="1" t="s">
        <v>19</v>
      </c>
      <c r="C2035" s="1">
        <v>2</v>
      </c>
      <c r="D2035" s="1">
        <v>30</v>
      </c>
      <c r="E2035" s="1">
        <v>50</v>
      </c>
      <c r="F2035" s="1">
        <v>11</v>
      </c>
      <c r="G2035" s="1">
        <v>25</v>
      </c>
      <c r="H2035" s="1">
        <v>150</v>
      </c>
      <c r="I2035" s="1">
        <v>100</v>
      </c>
      <c r="J2035" s="1">
        <v>3.7130000000000001</v>
      </c>
      <c r="K2035" s="1">
        <v>42.573</v>
      </c>
      <c r="L2035" s="1">
        <v>14.85</v>
      </c>
      <c r="M2035" s="1">
        <v>69.5</v>
      </c>
      <c r="N2035" s="1">
        <v>4.6580000000000003E-2</v>
      </c>
      <c r="O2035" s="1">
        <v>3.457E-4</v>
      </c>
      <c r="P203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0.1376768388600301</v>
      </c>
      <c r="Q2035" s="1">
        <f>LN(Table1[[#This Row],[qe_mg_g]]-Table1[[#This Row],[qt]])</f>
        <v>1.2740555667850813</v>
      </c>
      <c r="R2035" s="1">
        <v>3</v>
      </c>
    </row>
    <row r="2036" spans="1:18" x14ac:dyDescent="0.3">
      <c r="A2036" s="1">
        <v>2035</v>
      </c>
      <c r="B2036" s="1" t="s">
        <v>19</v>
      </c>
      <c r="C2036" s="1">
        <v>2</v>
      </c>
      <c r="D2036" s="1">
        <v>30</v>
      </c>
      <c r="E2036" s="1">
        <v>100</v>
      </c>
      <c r="F2036" s="1">
        <v>3</v>
      </c>
      <c r="G2036" s="1">
        <v>25</v>
      </c>
      <c r="H2036" s="1">
        <v>150</v>
      </c>
      <c r="I2036" s="1">
        <v>100</v>
      </c>
      <c r="J2036" s="1">
        <v>9.3140000000000001</v>
      </c>
      <c r="K2036" s="1">
        <v>81.373000000000005</v>
      </c>
      <c r="L2036" s="1">
        <v>18.63</v>
      </c>
      <c r="M2036" s="1">
        <v>59.5</v>
      </c>
      <c r="N2036" s="1">
        <v>4.6109999999999998E-2</v>
      </c>
      <c r="O2036" s="1">
        <v>3.6210000000000002E-4</v>
      </c>
      <c r="P203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0.85578511353489817</v>
      </c>
      <c r="Q2036" s="1">
        <f>LN(Table1[[#This Row],[qe_mg_g]]-Table1[[#This Row],[qt]])</f>
        <v>2.1351381450251625</v>
      </c>
      <c r="R2036" s="1">
        <v>1</v>
      </c>
    </row>
    <row r="2037" spans="1:18" x14ac:dyDescent="0.3">
      <c r="A2037" s="1">
        <v>2036</v>
      </c>
      <c r="B2037" s="1" t="s">
        <v>19</v>
      </c>
      <c r="C2037" s="1">
        <v>2</v>
      </c>
      <c r="D2037" s="1">
        <v>30</v>
      </c>
      <c r="E2037" s="1">
        <v>100</v>
      </c>
      <c r="F2037" s="1">
        <v>3</v>
      </c>
      <c r="G2037" s="1">
        <v>25</v>
      </c>
      <c r="H2037" s="1">
        <v>150</v>
      </c>
      <c r="I2037" s="1">
        <v>100</v>
      </c>
      <c r="J2037" s="1">
        <v>9.5079999999999991</v>
      </c>
      <c r="K2037" s="1">
        <v>80.984999999999999</v>
      </c>
      <c r="L2037" s="1">
        <v>19.02</v>
      </c>
      <c r="M2037" s="1">
        <v>48.5</v>
      </c>
      <c r="N2037" s="1">
        <v>4.7039999999999998E-2</v>
      </c>
      <c r="O2037" s="1">
        <v>3.3369999999999998E-4</v>
      </c>
      <c r="P203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0.82635847200581658</v>
      </c>
      <c r="Q2037" s="1">
        <f>LN(Table1[[#This Row],[qe_mg_g]]-Table1[[#This Row],[qt]])</f>
        <v>2.1612106269204201</v>
      </c>
      <c r="R2037" s="1">
        <v>2</v>
      </c>
    </row>
    <row r="2038" spans="1:18" x14ac:dyDescent="0.3">
      <c r="A2038" s="1">
        <v>2037</v>
      </c>
      <c r="B2038" s="1" t="s">
        <v>19</v>
      </c>
      <c r="C2038" s="1">
        <v>2</v>
      </c>
      <c r="D2038" s="1">
        <v>30</v>
      </c>
      <c r="E2038" s="1">
        <v>100</v>
      </c>
      <c r="F2038" s="1">
        <v>3</v>
      </c>
      <c r="G2038" s="1">
        <v>25</v>
      </c>
      <c r="H2038" s="1">
        <v>150</v>
      </c>
      <c r="I2038" s="1">
        <v>100</v>
      </c>
      <c r="J2038" s="1">
        <v>10.701000000000001</v>
      </c>
      <c r="K2038" s="1">
        <v>78.596999999999994</v>
      </c>
      <c r="L2038" s="1">
        <v>21.4</v>
      </c>
      <c r="M2038" s="1">
        <v>54.3</v>
      </c>
      <c r="N2038" s="1">
        <v>5.8450000000000002E-2</v>
      </c>
      <c r="O2038" s="1">
        <v>4.083E-4</v>
      </c>
      <c r="P203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1.2401018764725533</v>
      </c>
      <c r="Q2038" s="1">
        <f>LN(Table1[[#This Row],[qe_mg_g]]-Table1[[#This Row],[qt]])</f>
        <v>2.2471673176194571</v>
      </c>
      <c r="R2038" s="1">
        <v>3</v>
      </c>
    </row>
    <row r="2039" spans="1:18" x14ac:dyDescent="0.3">
      <c r="A2039" s="1">
        <v>2038</v>
      </c>
      <c r="B2039" s="1" t="s">
        <v>19</v>
      </c>
      <c r="C2039" s="1">
        <v>2</v>
      </c>
      <c r="D2039" s="1">
        <v>30</v>
      </c>
      <c r="E2039" s="1">
        <v>100</v>
      </c>
      <c r="F2039" s="1">
        <v>7</v>
      </c>
      <c r="G2039" s="1">
        <v>25</v>
      </c>
      <c r="H2039" s="1">
        <v>150</v>
      </c>
      <c r="I2039" s="1">
        <v>100</v>
      </c>
      <c r="J2039" s="1">
        <v>16.469000000000001</v>
      </c>
      <c r="K2039" s="1">
        <v>67.061999999999998</v>
      </c>
      <c r="L2039" s="1">
        <v>32.94</v>
      </c>
      <c r="M2039" s="1">
        <v>50</v>
      </c>
      <c r="N2039" s="1">
        <v>5.7570000000000003E-2</v>
      </c>
      <c r="O2039" s="1">
        <v>3.3090000000000002E-4</v>
      </c>
      <c r="P203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2.3141454981052521</v>
      </c>
      <c r="Q2039" s="1">
        <f>LN(Table1[[#This Row],[qe_mg_g]]-Table1[[#This Row],[qt]])</f>
        <v>2.6500576395915538</v>
      </c>
      <c r="R2039" s="1">
        <v>1</v>
      </c>
    </row>
    <row r="2040" spans="1:18" x14ac:dyDescent="0.3">
      <c r="A2040" s="1">
        <v>2039</v>
      </c>
      <c r="B2040" s="1" t="s">
        <v>19</v>
      </c>
      <c r="C2040" s="1">
        <v>2</v>
      </c>
      <c r="D2040" s="1">
        <v>30</v>
      </c>
      <c r="E2040" s="1">
        <v>100</v>
      </c>
      <c r="F2040" s="1">
        <v>7</v>
      </c>
      <c r="G2040" s="1">
        <v>25</v>
      </c>
      <c r="H2040" s="1">
        <v>150</v>
      </c>
      <c r="I2040" s="1">
        <v>100</v>
      </c>
      <c r="J2040" s="1">
        <v>15.599</v>
      </c>
      <c r="K2040" s="1">
        <v>68.801000000000002</v>
      </c>
      <c r="L2040" s="1">
        <v>31.2</v>
      </c>
      <c r="M2040" s="1">
        <v>42.1</v>
      </c>
      <c r="N2040" s="1">
        <v>6.0089999999999998E-2</v>
      </c>
      <c r="O2040" s="1">
        <v>3.3649999999999999E-4</v>
      </c>
      <c r="P204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2.1222150062424192</v>
      </c>
      <c r="Q2040" s="1">
        <f>LN(Table1[[#This Row],[qe_mg_g]]-Table1[[#This Row],[qt]])</f>
        <v>2.6009685750912817</v>
      </c>
      <c r="R2040" s="1">
        <v>2</v>
      </c>
    </row>
    <row r="2041" spans="1:18" x14ac:dyDescent="0.3">
      <c r="A2041" s="1">
        <v>2040</v>
      </c>
      <c r="B2041" s="1" t="s">
        <v>19</v>
      </c>
      <c r="C2041" s="1">
        <v>2</v>
      </c>
      <c r="D2041" s="1">
        <v>30</v>
      </c>
      <c r="E2041" s="1">
        <v>100</v>
      </c>
      <c r="F2041" s="1">
        <v>7</v>
      </c>
      <c r="G2041" s="1">
        <v>25</v>
      </c>
      <c r="H2041" s="1">
        <v>150</v>
      </c>
      <c r="I2041" s="1">
        <v>100</v>
      </c>
      <c r="J2041" s="1">
        <v>16.376000000000001</v>
      </c>
      <c r="K2041" s="1">
        <v>67.247</v>
      </c>
      <c r="L2041" s="1">
        <v>32.75</v>
      </c>
      <c r="M2041" s="1">
        <v>46.1</v>
      </c>
      <c r="N2041" s="1">
        <v>5.74E-2</v>
      </c>
      <c r="O2041" s="1">
        <v>3.233E-4</v>
      </c>
      <c r="P204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2.244515351124281</v>
      </c>
      <c r="Q2041" s="1">
        <f>LN(Table1[[#This Row],[qe_mg_g]]-Table1[[#This Row],[qt]])</f>
        <v>2.648405261868739</v>
      </c>
      <c r="R2041" s="1">
        <v>3</v>
      </c>
    </row>
    <row r="2042" spans="1:18" x14ac:dyDescent="0.3">
      <c r="A2042" s="1">
        <v>2041</v>
      </c>
      <c r="B2042" s="1" t="s">
        <v>19</v>
      </c>
      <c r="C2042" s="1">
        <v>2</v>
      </c>
      <c r="D2042" s="1">
        <v>30</v>
      </c>
      <c r="E2042" s="1">
        <v>100</v>
      </c>
      <c r="F2042" s="1">
        <v>11</v>
      </c>
      <c r="G2042" s="1">
        <v>25</v>
      </c>
      <c r="H2042" s="1">
        <v>150</v>
      </c>
      <c r="I2042" s="1">
        <v>100</v>
      </c>
      <c r="J2042" s="1">
        <v>12.193</v>
      </c>
      <c r="K2042" s="1">
        <v>75.614999999999995</v>
      </c>
      <c r="L2042" s="1">
        <v>24.39</v>
      </c>
      <c r="M2042" s="1">
        <v>61.7</v>
      </c>
      <c r="N2042" s="1">
        <v>5.935E-2</v>
      </c>
      <c r="O2042" s="1">
        <v>3.4919999999999998E-4</v>
      </c>
      <c r="P204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1.38105194560318</v>
      </c>
      <c r="Q2042" s="1">
        <f>LN(Table1[[#This Row],[qe_mg_g]]-Table1[[#This Row],[qt]])</f>
        <v>2.3806518239628538</v>
      </c>
      <c r="R2042" s="1">
        <v>1</v>
      </c>
    </row>
    <row r="2043" spans="1:18" x14ac:dyDescent="0.3">
      <c r="A2043" s="1">
        <v>2042</v>
      </c>
      <c r="B2043" s="1" t="s">
        <v>19</v>
      </c>
      <c r="C2043" s="1">
        <v>2</v>
      </c>
      <c r="D2043" s="1">
        <v>30</v>
      </c>
      <c r="E2043" s="1">
        <v>100</v>
      </c>
      <c r="F2043" s="1">
        <v>11</v>
      </c>
      <c r="G2043" s="1">
        <v>25</v>
      </c>
      <c r="H2043" s="1">
        <v>150</v>
      </c>
      <c r="I2043" s="1">
        <v>100</v>
      </c>
      <c r="J2043" s="1">
        <v>10.791</v>
      </c>
      <c r="K2043" s="1">
        <v>78.418999999999997</v>
      </c>
      <c r="L2043" s="1">
        <v>21.58</v>
      </c>
      <c r="M2043" s="1">
        <v>79</v>
      </c>
      <c r="N2043" s="1">
        <v>6.4600000000000005E-2</v>
      </c>
      <c r="O2043" s="1">
        <v>3.7530000000000002E-4</v>
      </c>
      <c r="P204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1.1690296492558905</v>
      </c>
      <c r="Q2043" s="1">
        <f>LN(Table1[[#This Row],[qe_mg_g]]-Table1[[#This Row],[qt]])</f>
        <v>2.264049061869907</v>
      </c>
      <c r="R2043" s="1">
        <v>2</v>
      </c>
    </row>
    <row r="2044" spans="1:18" x14ac:dyDescent="0.3">
      <c r="A2044" s="1">
        <v>2043</v>
      </c>
      <c r="B2044" s="1" t="s">
        <v>19</v>
      </c>
      <c r="C2044" s="1">
        <v>2</v>
      </c>
      <c r="D2044" s="1">
        <v>30</v>
      </c>
      <c r="E2044" s="1">
        <v>100</v>
      </c>
      <c r="F2044" s="1">
        <v>11</v>
      </c>
      <c r="G2044" s="1">
        <v>25</v>
      </c>
      <c r="H2044" s="1">
        <v>150</v>
      </c>
      <c r="I2044" s="1">
        <v>100</v>
      </c>
      <c r="J2044" s="1">
        <v>11.666</v>
      </c>
      <c r="K2044" s="1">
        <v>76.668999999999997</v>
      </c>
      <c r="L2044" s="1">
        <v>23.33</v>
      </c>
      <c r="M2044" s="1">
        <v>53.6</v>
      </c>
      <c r="N2044" s="1">
        <v>5.2010000000000001E-2</v>
      </c>
      <c r="O2044" s="1">
        <v>3.9419999999999999E-4</v>
      </c>
      <c r="P204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1.4143406205062103</v>
      </c>
      <c r="Q2044" s="1">
        <f>LN(Table1[[#This Row],[qe_mg_g]]-Table1[[#This Row],[qt]])</f>
        <v>2.3274395831638559</v>
      </c>
      <c r="R2044" s="1">
        <v>3</v>
      </c>
    </row>
    <row r="2045" spans="1:18" x14ac:dyDescent="0.3">
      <c r="A2045" s="1">
        <v>2044</v>
      </c>
      <c r="B2045" s="1" t="s">
        <v>19</v>
      </c>
      <c r="C2045" s="1">
        <v>2</v>
      </c>
      <c r="D2045" s="1">
        <v>30</v>
      </c>
      <c r="E2045" s="1">
        <v>200</v>
      </c>
      <c r="F2045" s="1">
        <v>3</v>
      </c>
      <c r="G2045" s="1">
        <v>25</v>
      </c>
      <c r="H2045" s="1">
        <v>150</v>
      </c>
      <c r="I2045" s="1">
        <v>100</v>
      </c>
      <c r="J2045" s="1">
        <v>31.521000000000001</v>
      </c>
      <c r="K2045" s="1">
        <v>136.95699999999999</v>
      </c>
      <c r="L2045" s="1">
        <v>31.52</v>
      </c>
      <c r="M2045" s="1">
        <v>48.1</v>
      </c>
      <c r="N2045" s="1">
        <v>5.2409999999999998E-2</v>
      </c>
      <c r="O2045" s="1">
        <v>3.8919999999999997E-4</v>
      </c>
      <c r="P2045" s="1">
        <f>(Table1[[#This Row],[Rate_Constant_k2_g_mg_min]]*Table1[[#This Row],[Contact_Time_min]]*Table1[[#This Row],[qe_mg_g]]^2)/(1+Table1[[#This Row],[Contact_Time_min]]*Table1[[#This Row],[qe_mg_g]]*Table1[[#This Row],[Rate_Constant_k2_g_mg_min]])</f>
        <v>8.4799935053293591</v>
      </c>
      <c r="Q2045" s="1">
        <f>LN(Table1[[#This Row],[qe_mg_g]]-Table1[[#This Row],[qt]])</f>
        <v>3.1372755195380675</v>
      </c>
      <c r="R2045" s="1">
        <v>1</v>
      </c>
    </row>
    <row r="2046" spans="1:18" x14ac:dyDescent="0.3">
      <c r="A2046" s="1">
        <v>2045</v>
      </c>
      <c r="B2046" s="1" t="s">
        <v>19</v>
      </c>
      <c r="C2046" s="1">
        <v>2</v>
      </c>
      <c r="D2046" s="1">
        <v>30</v>
      </c>
      <c r="E2046" s="1">
        <v>200</v>
      </c>
      <c r="F2046" s="1">
        <v>3</v>
      </c>
      <c r="G2046" s="1">
        <v>25</v>
      </c>
      <c r="H2046" s="1">
        <v>150</v>
      </c>
      <c r="I2046" s="1">
        <v>100</v>
      </c>
      <c r="J2046" s="1">
        <v>34.42</v>
      </c>
      <c r="K2046" s="1">
        <v>131.161</v>
      </c>
      <c r="L2046" s="1">
        <v>34.42</v>
      </c>
      <c r="M2046" s="1">
        <v>67</v>
      </c>
      <c r="N2046" s="1">
        <v>5.9159999999999997E-2</v>
      </c>
      <c r="O2046" s="1">
        <v>3.412E-4</v>
      </c>
      <c r="P2046" s="1">
        <f>(Table1[[#This Row],[Rate_Constant_k2_g_mg_min]]*Table1[[#This Row],[Contact_Time_min]]*Table1[[#This Row],[qe_mg_g]]^2)/(1+Table1[[#This Row],[Contact_Time_min]]*Table1[[#This Row],[qe_mg_g]]*Table1[[#This Row],[Rate_Constant_k2_g_mg_min]])</f>
        <v>8.9675031144923434</v>
      </c>
      <c r="Q2046" s="1">
        <f>LN(Table1[[#This Row],[qe_mg_g]]-Table1[[#This Row],[qt]])</f>
        <v>3.2368138476343171</v>
      </c>
      <c r="R2046" s="1">
        <v>2</v>
      </c>
    </row>
    <row r="2047" spans="1:18" x14ac:dyDescent="0.3">
      <c r="A2047" s="1">
        <v>2046</v>
      </c>
      <c r="B2047" s="1" t="s">
        <v>19</v>
      </c>
      <c r="C2047" s="1">
        <v>2</v>
      </c>
      <c r="D2047" s="1">
        <v>30</v>
      </c>
      <c r="E2047" s="1">
        <v>200</v>
      </c>
      <c r="F2047" s="1">
        <v>3</v>
      </c>
      <c r="G2047" s="1">
        <v>25</v>
      </c>
      <c r="H2047" s="1">
        <v>150</v>
      </c>
      <c r="I2047" s="1">
        <v>100</v>
      </c>
      <c r="J2047" s="1">
        <v>23.928999999999998</v>
      </c>
      <c r="K2047" s="1">
        <v>152.14099999999999</v>
      </c>
      <c r="L2047" s="1">
        <v>23.93</v>
      </c>
      <c r="M2047" s="1">
        <v>57</v>
      </c>
      <c r="N2047" s="1">
        <v>5.4989999999999997E-2</v>
      </c>
      <c r="O2047" s="1">
        <v>3.5490000000000001E-4</v>
      </c>
      <c r="P204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4.8586041045185429</v>
      </c>
      <c r="Q2047" s="1">
        <f>LN(Table1[[#This Row],[qe_mg_g]]-Table1[[#This Row],[qt]])</f>
        <v>2.948137179516475</v>
      </c>
      <c r="R2047" s="1">
        <v>3</v>
      </c>
    </row>
    <row r="2048" spans="1:18" x14ac:dyDescent="0.3">
      <c r="A2048" s="1">
        <v>2047</v>
      </c>
      <c r="B2048" s="1" t="s">
        <v>19</v>
      </c>
      <c r="C2048" s="1">
        <v>2</v>
      </c>
      <c r="D2048" s="1">
        <v>30</v>
      </c>
      <c r="E2048" s="1">
        <v>200</v>
      </c>
      <c r="F2048" s="1">
        <v>7</v>
      </c>
      <c r="G2048" s="1">
        <v>25</v>
      </c>
      <c r="H2048" s="1">
        <v>150</v>
      </c>
      <c r="I2048" s="1">
        <v>100</v>
      </c>
      <c r="J2048" s="1">
        <v>48.204999999999998</v>
      </c>
      <c r="K2048" s="1">
        <v>103.59099999999999</v>
      </c>
      <c r="L2048" s="1">
        <v>48.2</v>
      </c>
      <c r="M2048" s="1">
        <v>43.7</v>
      </c>
      <c r="N2048" s="1">
        <v>5.8069999999999997E-2</v>
      </c>
      <c r="O2048" s="1">
        <v>3.7209999999999999E-4</v>
      </c>
      <c r="P2048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16.864637923798956</v>
      </c>
      <c r="Q2048" s="1">
        <f>LN(Table1[[#This Row],[qe_mg_g]]-Table1[[#This Row],[qt]])</f>
        <v>3.4449067900264545</v>
      </c>
      <c r="R2048" s="1">
        <v>1</v>
      </c>
    </row>
    <row r="2049" spans="1:18" x14ac:dyDescent="0.3">
      <c r="A2049" s="1">
        <v>2048</v>
      </c>
      <c r="B2049" s="1" t="s">
        <v>19</v>
      </c>
      <c r="C2049" s="1">
        <v>2</v>
      </c>
      <c r="D2049" s="1">
        <v>30</v>
      </c>
      <c r="E2049" s="1">
        <v>200</v>
      </c>
      <c r="F2049" s="1">
        <v>7</v>
      </c>
      <c r="G2049" s="1">
        <v>25</v>
      </c>
      <c r="H2049" s="1">
        <v>150</v>
      </c>
      <c r="I2049" s="1">
        <v>100</v>
      </c>
      <c r="J2049" s="1">
        <v>50.317</v>
      </c>
      <c r="K2049" s="1">
        <v>99.366</v>
      </c>
      <c r="L2049" s="1">
        <v>50.32</v>
      </c>
      <c r="M2049" s="1">
        <v>62.3</v>
      </c>
      <c r="N2049" s="1">
        <v>5.8319999999999997E-2</v>
      </c>
      <c r="O2049" s="1">
        <v>3.3560000000000003E-4</v>
      </c>
      <c r="P2049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16.919096102548448</v>
      </c>
      <c r="Q2049" s="1">
        <f>LN(Table1[[#This Row],[qe_mg_g]]-Table1[[#This Row],[qt]])</f>
        <v>3.5084931404519861</v>
      </c>
      <c r="R2049" s="1">
        <v>2</v>
      </c>
    </row>
    <row r="2050" spans="1:18" x14ac:dyDescent="0.3">
      <c r="A2050" s="1">
        <v>2049</v>
      </c>
      <c r="B2050" s="1" t="s">
        <v>19</v>
      </c>
      <c r="C2050" s="1">
        <v>2</v>
      </c>
      <c r="D2050" s="1">
        <v>30</v>
      </c>
      <c r="E2050" s="1">
        <v>200</v>
      </c>
      <c r="F2050" s="1">
        <v>7</v>
      </c>
      <c r="G2050" s="1">
        <v>25</v>
      </c>
      <c r="H2050" s="1">
        <v>150</v>
      </c>
      <c r="I2050" s="1">
        <v>100</v>
      </c>
      <c r="J2050" s="1">
        <v>47.784999999999997</v>
      </c>
      <c r="K2050" s="1">
        <v>104.43</v>
      </c>
      <c r="L2050" s="1">
        <v>47.79</v>
      </c>
      <c r="M2050" s="1">
        <v>55.3</v>
      </c>
      <c r="N2050" s="1">
        <v>5.5590000000000001E-2</v>
      </c>
      <c r="O2050" s="1">
        <v>3.8489999999999998E-4</v>
      </c>
      <c r="P2050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16.99119972351053</v>
      </c>
      <c r="Q2050" s="1">
        <f>LN(Table1[[#This Row],[qe_mg_g]]-Table1[[#This Row],[qt]])</f>
        <v>3.4273133799936653</v>
      </c>
      <c r="R2050" s="1">
        <v>3</v>
      </c>
    </row>
    <row r="2051" spans="1:18" x14ac:dyDescent="0.3">
      <c r="A2051" s="1">
        <v>2050</v>
      </c>
      <c r="B2051" s="1" t="s">
        <v>19</v>
      </c>
      <c r="C2051" s="1">
        <v>2</v>
      </c>
      <c r="D2051" s="1">
        <v>30</v>
      </c>
      <c r="E2051" s="1">
        <v>200</v>
      </c>
      <c r="F2051" s="1">
        <v>11</v>
      </c>
      <c r="G2051" s="1">
        <v>25</v>
      </c>
      <c r="H2051" s="1">
        <v>150</v>
      </c>
      <c r="I2051" s="1">
        <v>100</v>
      </c>
      <c r="J2051" s="1">
        <v>39.258000000000003</v>
      </c>
      <c r="K2051" s="1">
        <v>121.48399999999999</v>
      </c>
      <c r="L2051" s="1">
        <v>39.26</v>
      </c>
      <c r="M2051" s="1">
        <v>71.5</v>
      </c>
      <c r="N2051" s="1">
        <v>6.7140000000000005E-2</v>
      </c>
      <c r="O2051" s="1">
        <v>3.5280000000000001E-4</v>
      </c>
      <c r="P2051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11.523761245383945</v>
      </c>
      <c r="Q2051" s="1">
        <f>LN(Table1[[#This Row],[qe_mg_g]]-Table1[[#This Row],[qt]])</f>
        <v>3.3226677060281595</v>
      </c>
      <c r="R2051" s="1">
        <v>1</v>
      </c>
    </row>
    <row r="2052" spans="1:18" x14ac:dyDescent="0.3">
      <c r="A2052" s="1">
        <v>2051</v>
      </c>
      <c r="B2052" s="1" t="s">
        <v>19</v>
      </c>
      <c r="C2052" s="1">
        <v>2</v>
      </c>
      <c r="D2052" s="1">
        <v>30</v>
      </c>
      <c r="E2052" s="1">
        <v>200</v>
      </c>
      <c r="F2052" s="1">
        <v>11</v>
      </c>
      <c r="G2052" s="1">
        <v>25</v>
      </c>
      <c r="H2052" s="1">
        <v>150</v>
      </c>
      <c r="I2052" s="1">
        <v>100</v>
      </c>
      <c r="J2052" s="1">
        <v>27.477</v>
      </c>
      <c r="K2052" s="1">
        <v>145.04599999999999</v>
      </c>
      <c r="L2052" s="1">
        <v>27.48</v>
      </c>
      <c r="M2052" s="1">
        <v>64.7</v>
      </c>
      <c r="N2052" s="1">
        <v>5.203E-2</v>
      </c>
      <c r="O2052" s="1">
        <v>3.2190000000000002E-4</v>
      </c>
      <c r="P205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5.7619803390716742</v>
      </c>
      <c r="Q2052" s="1">
        <f>LN(Table1[[#This Row],[qe_mg_g]]-Table1[[#This Row],[qt]])</f>
        <v>3.0780041713940811</v>
      </c>
      <c r="R2052" s="1">
        <v>2</v>
      </c>
    </row>
    <row r="2053" spans="1:18" x14ac:dyDescent="0.3">
      <c r="A2053" s="1">
        <v>2052</v>
      </c>
      <c r="B2053" s="1" t="s">
        <v>19</v>
      </c>
      <c r="C2053" s="1">
        <v>2</v>
      </c>
      <c r="D2053" s="1">
        <v>30</v>
      </c>
      <c r="E2053" s="1">
        <v>200</v>
      </c>
      <c r="F2053" s="1">
        <v>11</v>
      </c>
      <c r="G2053" s="1">
        <v>25</v>
      </c>
      <c r="H2053" s="1">
        <v>150</v>
      </c>
      <c r="I2053" s="1">
        <v>100</v>
      </c>
      <c r="J2053" s="1">
        <v>36.518000000000001</v>
      </c>
      <c r="K2053" s="1">
        <v>126.964</v>
      </c>
      <c r="L2053" s="1">
        <v>36.520000000000003</v>
      </c>
      <c r="M2053" s="1">
        <v>50.9</v>
      </c>
      <c r="N2053" s="1">
        <v>5.8369999999999998E-2</v>
      </c>
      <c r="O2053" s="1">
        <v>2.9540000000000002E-4</v>
      </c>
      <c r="P2053" s="1">
        <f>(Table1[[#This Row],[Rate_Constant_k2_g_mg_min]]*Table1[[#This Row],[Contact_Time_min]]*Table1[[#This Row],[qe_mg_g]]^2)/(1+Table1[[#This Row],[Contact_Time_min]]*Table1[[#This Row],[qe_mg_g]]*Table1[[#This Row],[Rate_Constant_k2_g_mg_min]])</f>
        <v>8.9285630128159603</v>
      </c>
      <c r="Q2053" s="1">
        <f>LN(Table1[[#This Row],[qe_mg_g]]-Table1[[#This Row],[qt]])</f>
        <v>3.3174329816122836</v>
      </c>
      <c r="R2053" s="1">
        <v>3</v>
      </c>
    </row>
    <row r="2054" spans="1:18" x14ac:dyDescent="0.3">
      <c r="A2054" s="1">
        <v>2053</v>
      </c>
      <c r="B2054" s="1" t="s">
        <v>19</v>
      </c>
      <c r="C2054" s="1">
        <v>2</v>
      </c>
      <c r="D2054" s="1">
        <v>60</v>
      </c>
      <c r="E2054" s="1">
        <v>25</v>
      </c>
      <c r="F2054" s="1">
        <v>3</v>
      </c>
      <c r="G2054" s="1">
        <v>25</v>
      </c>
      <c r="H2054" s="1">
        <v>150</v>
      </c>
      <c r="I2054" s="1">
        <v>100</v>
      </c>
      <c r="J2054" s="1">
        <v>1.34</v>
      </c>
      <c r="K2054" s="1">
        <v>22.32</v>
      </c>
      <c r="L2054" s="1">
        <v>10.72</v>
      </c>
      <c r="M2054" s="1">
        <v>57.4</v>
      </c>
      <c r="N2054" s="1">
        <v>5.8430000000000003E-2</v>
      </c>
      <c r="O2054" s="1">
        <v>3.725E-4</v>
      </c>
      <c r="P2054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3.8964706019424276E-2</v>
      </c>
      <c r="Q2054" s="1">
        <f>LN(Table1[[#This Row],[qe_mg_g]]-Table1[[#This Row],[qt]])</f>
        <v>0.26316032751026891</v>
      </c>
      <c r="R2054" s="1">
        <v>1</v>
      </c>
    </row>
    <row r="2055" spans="1:18" x14ac:dyDescent="0.3">
      <c r="A2055" s="1">
        <v>2054</v>
      </c>
      <c r="B2055" s="1" t="s">
        <v>19</v>
      </c>
      <c r="C2055" s="1">
        <v>2</v>
      </c>
      <c r="D2055" s="1">
        <v>60</v>
      </c>
      <c r="E2055" s="1">
        <v>25</v>
      </c>
      <c r="F2055" s="1">
        <v>3</v>
      </c>
      <c r="G2055" s="1">
        <v>25</v>
      </c>
      <c r="H2055" s="1">
        <v>150</v>
      </c>
      <c r="I2055" s="1">
        <v>100</v>
      </c>
      <c r="J2055" s="1">
        <v>1.37</v>
      </c>
      <c r="K2055" s="1">
        <v>22.260999999999999</v>
      </c>
      <c r="L2055" s="1">
        <v>10.96</v>
      </c>
      <c r="M2055" s="1">
        <v>46.5</v>
      </c>
      <c r="N2055" s="1">
        <v>5.2209999999999999E-2</v>
      </c>
      <c r="O2055" s="1">
        <v>3.5839999999999998E-4</v>
      </c>
      <c r="P205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3.9205834885473217E-2</v>
      </c>
      <c r="Q2055" s="1">
        <f>LN(Table1[[#This Row],[qe_mg_g]]-Table1[[#This Row],[qt]])</f>
        <v>0.28577588065792808</v>
      </c>
      <c r="R2055" s="1">
        <v>2</v>
      </c>
    </row>
    <row r="2056" spans="1:18" x14ac:dyDescent="0.3">
      <c r="A2056" s="1">
        <v>2055</v>
      </c>
      <c r="B2056" s="1" t="s">
        <v>19</v>
      </c>
      <c r="C2056" s="1">
        <v>2</v>
      </c>
      <c r="D2056" s="1">
        <v>60</v>
      </c>
      <c r="E2056" s="1">
        <v>25</v>
      </c>
      <c r="F2056" s="1">
        <v>3</v>
      </c>
      <c r="G2056" s="1">
        <v>25</v>
      </c>
      <c r="H2056" s="1">
        <v>150</v>
      </c>
      <c r="I2056" s="1">
        <v>100</v>
      </c>
      <c r="J2056" s="1">
        <v>1.6</v>
      </c>
      <c r="K2056" s="1">
        <v>21.8</v>
      </c>
      <c r="L2056" s="1">
        <v>12.8</v>
      </c>
      <c r="M2056" s="1">
        <v>37.799999999999997</v>
      </c>
      <c r="N2056" s="1">
        <v>5.3789999999999998E-2</v>
      </c>
      <c r="O2056" s="1">
        <v>3.034E-4</v>
      </c>
      <c r="P205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4.5283300476987094E-2</v>
      </c>
      <c r="Q2056" s="1">
        <f>LN(Table1[[#This Row],[qe_mg_g]]-Table1[[#This Row],[qt]])</f>
        <v>0.44129334223124522</v>
      </c>
      <c r="R2056" s="1">
        <v>3</v>
      </c>
    </row>
    <row r="2057" spans="1:18" x14ac:dyDescent="0.3">
      <c r="A2057" s="1">
        <v>2056</v>
      </c>
      <c r="B2057" s="1" t="s">
        <v>19</v>
      </c>
      <c r="C2057" s="1">
        <v>2</v>
      </c>
      <c r="D2057" s="1">
        <v>60</v>
      </c>
      <c r="E2057" s="1">
        <v>25</v>
      </c>
      <c r="F2057" s="1">
        <v>7</v>
      </c>
      <c r="G2057" s="1">
        <v>25</v>
      </c>
      <c r="H2057" s="1">
        <v>150</v>
      </c>
      <c r="I2057" s="1">
        <v>100</v>
      </c>
      <c r="J2057" s="1">
        <v>2.161</v>
      </c>
      <c r="K2057" s="1">
        <v>20.678000000000001</v>
      </c>
      <c r="L2057" s="1">
        <v>17.29</v>
      </c>
      <c r="M2057" s="1">
        <v>62.5</v>
      </c>
      <c r="N2057" s="1">
        <v>5.8000000000000003E-2</v>
      </c>
      <c r="O2057" s="1">
        <v>3.657E-4</v>
      </c>
      <c r="P2057" s="1">
        <f>(Table1[[#This Row],[Rate_Constant_k2_g_mg_min]]*Table1[[#This Row],[Contact_Time_min]]*Table1[[#This Row],[qe_mg_g]]^2)/(1+Table1[[#This Row],[Contact_Time_min]]*Table1[[#This Row],[qe_mg_g]]*Table1[[#This Row],[Rate_Constant_k2_g_mg_min]])</f>
        <v>9.7828696353123329E-2</v>
      </c>
      <c r="Q2057" s="1">
        <f>LN(Table1[[#This Row],[qe_mg_g]]-Table1[[#This Row],[qt]])</f>
        <v>0.72424426682545495</v>
      </c>
      <c r="R2057" s="1">
        <v>1</v>
      </c>
    </row>
    <row r="2058" spans="1:18" x14ac:dyDescent="0.3">
      <c r="A2058" s="1">
        <v>2057</v>
      </c>
      <c r="B2058" s="1" t="s">
        <v>19</v>
      </c>
      <c r="C2058" s="1">
        <v>2</v>
      </c>
      <c r="D2058" s="1">
        <v>60</v>
      </c>
      <c r="E2058" s="1">
        <v>25</v>
      </c>
      <c r="F2058" s="1">
        <v>7</v>
      </c>
      <c r="G2058" s="1">
        <v>25</v>
      </c>
      <c r="H2058" s="1">
        <v>150</v>
      </c>
      <c r="I2058" s="1">
        <v>100</v>
      </c>
      <c r="J2058" s="1">
        <v>2.601</v>
      </c>
      <c r="K2058" s="1">
        <v>19.797000000000001</v>
      </c>
      <c r="L2058" s="1">
        <v>20.81</v>
      </c>
      <c r="M2058" s="1">
        <v>50.6</v>
      </c>
      <c r="N2058" s="1">
        <v>5.262E-2</v>
      </c>
      <c r="O2058" s="1">
        <v>4.2650000000000001E-4</v>
      </c>
      <c r="P205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0.16231769440092889</v>
      </c>
      <c r="Q2058" s="1">
        <f>LN(Table1[[#This Row],[qe_mg_g]]-Table1[[#This Row],[qt]])</f>
        <v>0.89145785474279182</v>
      </c>
      <c r="R2058" s="1">
        <v>2</v>
      </c>
    </row>
    <row r="2059" spans="1:18" x14ac:dyDescent="0.3">
      <c r="A2059" s="1">
        <v>2058</v>
      </c>
      <c r="B2059" s="1" t="s">
        <v>19</v>
      </c>
      <c r="C2059" s="1">
        <v>2</v>
      </c>
      <c r="D2059" s="1">
        <v>60</v>
      </c>
      <c r="E2059" s="1">
        <v>25</v>
      </c>
      <c r="F2059" s="1">
        <v>7</v>
      </c>
      <c r="G2059" s="1">
        <v>25</v>
      </c>
      <c r="H2059" s="1">
        <v>150</v>
      </c>
      <c r="I2059" s="1">
        <v>100</v>
      </c>
      <c r="J2059" s="1">
        <v>2.4020000000000001</v>
      </c>
      <c r="K2059" s="1">
        <v>20.196999999999999</v>
      </c>
      <c r="L2059" s="1">
        <v>19.21</v>
      </c>
      <c r="M2059" s="1">
        <v>60.6</v>
      </c>
      <c r="N2059" s="1">
        <v>5.5039999999999999E-2</v>
      </c>
      <c r="O2059" s="1">
        <v>2.853E-4</v>
      </c>
      <c r="P2059" s="1">
        <f>(Table1[[#This Row],[Rate_Constant_k2_g_mg_min]]*Table1[[#This Row],[Contact_Time_min]]*Table1[[#This Row],[qe_mg_g]]^2)/(1+Table1[[#This Row],[Contact_Time_min]]*Table1[[#This Row],[qe_mg_g]]*Table1[[#This Row],[Rate_Constant_k2_g_mg_min]])</f>
        <v>9.4863535905665139E-2</v>
      </c>
      <c r="Q2059" s="1">
        <f>LN(Table1[[#This Row],[qe_mg_g]]-Table1[[#This Row],[qt]])</f>
        <v>0.83600712962872936</v>
      </c>
      <c r="R2059" s="1">
        <v>3</v>
      </c>
    </row>
    <row r="2060" spans="1:18" x14ac:dyDescent="0.3">
      <c r="A2060" s="1">
        <v>2059</v>
      </c>
      <c r="B2060" s="1" t="s">
        <v>19</v>
      </c>
      <c r="C2060" s="1">
        <v>2</v>
      </c>
      <c r="D2060" s="1">
        <v>60</v>
      </c>
      <c r="E2060" s="1">
        <v>25</v>
      </c>
      <c r="F2060" s="1">
        <v>11</v>
      </c>
      <c r="G2060" s="1">
        <v>25</v>
      </c>
      <c r="H2060" s="1">
        <v>150</v>
      </c>
      <c r="I2060" s="1">
        <v>100</v>
      </c>
      <c r="J2060" s="1">
        <v>1.5609999999999999</v>
      </c>
      <c r="K2060" s="1">
        <v>21.876999999999999</v>
      </c>
      <c r="L2060" s="1">
        <v>12.49</v>
      </c>
      <c r="M2060" s="1">
        <v>49.8</v>
      </c>
      <c r="N2060" s="1">
        <v>6.0810000000000003E-2</v>
      </c>
      <c r="O2060" s="1">
        <v>3.7760000000000002E-4</v>
      </c>
      <c r="P2060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5.332061331246167E-2</v>
      </c>
      <c r="Q2060" s="1">
        <f>LN(Table1[[#This Row],[qe_mg_g]]-Table1[[#This Row],[qt]])</f>
        <v>0.41057163868402785</v>
      </c>
      <c r="R2060" s="1">
        <v>1</v>
      </c>
    </row>
    <row r="2061" spans="1:18" x14ac:dyDescent="0.3">
      <c r="A2061" s="1">
        <v>2060</v>
      </c>
      <c r="B2061" s="1" t="s">
        <v>19</v>
      </c>
      <c r="C2061" s="1">
        <v>2</v>
      </c>
      <c r="D2061" s="1">
        <v>60</v>
      </c>
      <c r="E2061" s="1">
        <v>25</v>
      </c>
      <c r="F2061" s="1">
        <v>11</v>
      </c>
      <c r="G2061" s="1">
        <v>25</v>
      </c>
      <c r="H2061" s="1">
        <v>150</v>
      </c>
      <c r="I2061" s="1">
        <v>100</v>
      </c>
      <c r="J2061" s="1">
        <v>1.9390000000000001</v>
      </c>
      <c r="K2061" s="1">
        <v>21.123000000000001</v>
      </c>
      <c r="L2061" s="1">
        <v>15.51</v>
      </c>
      <c r="M2061" s="1">
        <v>46.5</v>
      </c>
      <c r="N2061" s="1">
        <v>6.3890000000000002E-2</v>
      </c>
      <c r="O2061" s="1">
        <v>3.1619999999999999E-4</v>
      </c>
      <c r="P2061" s="1">
        <f>(Table1[[#This Row],[Rate_Constant_k2_g_mg_min]]*Table1[[#This Row],[Contact_Time_min]]*Table1[[#This Row],[qe_mg_g]]^2)/(1+Table1[[#This Row],[Contact_Time_min]]*Table1[[#This Row],[qe_mg_g]]*Table1[[#This Row],[Rate_Constant_k2_g_mg_min]])</f>
        <v>6.879855447761006E-2</v>
      </c>
      <c r="Q2061" s="1">
        <f>LN(Table1[[#This Row],[qe_mg_g]]-Table1[[#This Row],[qt]])</f>
        <v>0.62604614994287067</v>
      </c>
      <c r="R2061" s="1">
        <v>2</v>
      </c>
    </row>
    <row r="2062" spans="1:18" x14ac:dyDescent="0.3">
      <c r="A2062" s="1">
        <v>2061</v>
      </c>
      <c r="B2062" s="1" t="s">
        <v>19</v>
      </c>
      <c r="C2062" s="1">
        <v>2</v>
      </c>
      <c r="D2062" s="1">
        <v>60</v>
      </c>
      <c r="E2062" s="1">
        <v>25</v>
      </c>
      <c r="F2062" s="1">
        <v>11</v>
      </c>
      <c r="G2062" s="1">
        <v>25</v>
      </c>
      <c r="H2062" s="1">
        <v>150</v>
      </c>
      <c r="I2062" s="1">
        <v>100</v>
      </c>
      <c r="J2062" s="1">
        <v>1.849</v>
      </c>
      <c r="K2062" s="1">
        <v>21.300999999999998</v>
      </c>
      <c r="L2062" s="1">
        <v>14.79</v>
      </c>
      <c r="M2062" s="1">
        <v>54.5</v>
      </c>
      <c r="N2062" s="1">
        <v>5.4039999999999998E-2</v>
      </c>
      <c r="O2062" s="1">
        <v>3.969E-4</v>
      </c>
      <c r="P2062" s="1">
        <f>(Table1[[#This Row],[Rate_Constant_k2_g_mg_min]]*Table1[[#This Row],[Contact_Time_min]]*Table1[[#This Row],[qe_mg_g]]^2)/(1+Table1[[#This Row],[Contact_Time_min]]*Table1[[#This Row],[qe_mg_g]]*Table1[[#This Row],[Rate_Constant_k2_g_mg_min]])</f>
        <v>7.798163304149637E-2</v>
      </c>
      <c r="Q2062" s="1">
        <f>LN(Table1[[#This Row],[qe_mg_g]]-Table1[[#This Row],[qt]])</f>
        <v>0.57155472970033672</v>
      </c>
      <c r="R2062" s="1">
        <v>3</v>
      </c>
    </row>
    <row r="2063" spans="1:18" x14ac:dyDescent="0.3">
      <c r="A2063" s="1">
        <v>2062</v>
      </c>
      <c r="B2063" s="1" t="s">
        <v>19</v>
      </c>
      <c r="C2063" s="1">
        <v>2</v>
      </c>
      <c r="D2063" s="1">
        <v>60</v>
      </c>
      <c r="E2063" s="1">
        <v>50</v>
      </c>
      <c r="F2063" s="1">
        <v>3</v>
      </c>
      <c r="G2063" s="1">
        <v>25</v>
      </c>
      <c r="H2063" s="1">
        <v>150</v>
      </c>
      <c r="I2063" s="1">
        <v>100</v>
      </c>
      <c r="J2063" s="1">
        <v>4.7350000000000003</v>
      </c>
      <c r="K2063" s="1">
        <v>40.53</v>
      </c>
      <c r="L2063" s="1">
        <v>18.940000000000001</v>
      </c>
      <c r="M2063" s="1">
        <v>43.5</v>
      </c>
      <c r="N2063" s="1">
        <v>5.5109999999999999E-2</v>
      </c>
      <c r="O2063" s="1">
        <v>3.3599999999999998E-4</v>
      </c>
      <c r="P206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0.41260541348200053</v>
      </c>
      <c r="Q2063" s="1">
        <f>LN(Table1[[#This Row],[qe_mg_g]]-Table1[[#This Row],[qt]])</f>
        <v>1.4638095511218929</v>
      </c>
      <c r="R2063" s="1">
        <v>1</v>
      </c>
    </row>
    <row r="2064" spans="1:18" x14ac:dyDescent="0.3">
      <c r="A2064" s="1">
        <v>2063</v>
      </c>
      <c r="B2064" s="1" t="s">
        <v>19</v>
      </c>
      <c r="C2064" s="1">
        <v>2</v>
      </c>
      <c r="D2064" s="1">
        <v>60</v>
      </c>
      <c r="E2064" s="1">
        <v>50</v>
      </c>
      <c r="F2064" s="1">
        <v>3</v>
      </c>
      <c r="G2064" s="1">
        <v>25</v>
      </c>
      <c r="H2064" s="1">
        <v>150</v>
      </c>
      <c r="I2064" s="1">
        <v>100</v>
      </c>
      <c r="J2064" s="1">
        <v>6.1580000000000004</v>
      </c>
      <c r="K2064" s="1">
        <v>37.683999999999997</v>
      </c>
      <c r="L2064" s="1">
        <v>24.63</v>
      </c>
      <c r="M2064" s="1">
        <v>60.1</v>
      </c>
      <c r="N2064" s="1">
        <v>5.2749999999999998E-2</v>
      </c>
      <c r="O2064" s="1">
        <v>3.1300000000000002E-4</v>
      </c>
      <c r="P206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0.63833412425239378</v>
      </c>
      <c r="Q2064" s="1">
        <f>LN(Table1[[#This Row],[qe_mg_g]]-Table1[[#This Row],[qt]])</f>
        <v>1.708317328701136</v>
      </c>
      <c r="R2064" s="1">
        <v>2</v>
      </c>
    </row>
    <row r="2065" spans="1:18" x14ac:dyDescent="0.3">
      <c r="A2065" s="1">
        <v>2064</v>
      </c>
      <c r="B2065" s="1" t="s">
        <v>19</v>
      </c>
      <c r="C2065" s="1">
        <v>2</v>
      </c>
      <c r="D2065" s="1">
        <v>60</v>
      </c>
      <c r="E2065" s="1">
        <v>50</v>
      </c>
      <c r="F2065" s="1">
        <v>3</v>
      </c>
      <c r="G2065" s="1">
        <v>25</v>
      </c>
      <c r="H2065" s="1">
        <v>150</v>
      </c>
      <c r="I2065" s="1">
        <v>100</v>
      </c>
      <c r="J2065" s="1">
        <v>4.3250000000000002</v>
      </c>
      <c r="K2065" s="1">
        <v>41.35</v>
      </c>
      <c r="L2065" s="1">
        <v>17.3</v>
      </c>
      <c r="M2065" s="1">
        <v>46.2</v>
      </c>
      <c r="N2065" s="1">
        <v>5.5629999999999999E-2</v>
      </c>
      <c r="O2065" s="1">
        <v>4.0000000000000002E-4</v>
      </c>
      <c r="P206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0.40671770248233374</v>
      </c>
      <c r="Q2065" s="1">
        <f>LN(Table1[[#This Row],[qe_mg_g]]-Table1[[#This Row],[qt]])</f>
        <v>1.3656533683605789</v>
      </c>
      <c r="R2065" s="1">
        <v>3</v>
      </c>
    </row>
    <row r="2066" spans="1:18" x14ac:dyDescent="0.3">
      <c r="A2066" s="1">
        <v>2065</v>
      </c>
      <c r="B2066" s="1" t="s">
        <v>19</v>
      </c>
      <c r="C2066" s="1">
        <v>2</v>
      </c>
      <c r="D2066" s="1">
        <v>60</v>
      </c>
      <c r="E2066" s="1">
        <v>50</v>
      </c>
      <c r="F2066" s="1">
        <v>7</v>
      </c>
      <c r="G2066" s="1">
        <v>25</v>
      </c>
      <c r="H2066" s="1">
        <v>150</v>
      </c>
      <c r="I2066" s="1">
        <v>100</v>
      </c>
      <c r="J2066" s="1">
        <v>8.7330000000000005</v>
      </c>
      <c r="K2066" s="1">
        <v>32.533999999999999</v>
      </c>
      <c r="L2066" s="1">
        <v>34.93</v>
      </c>
      <c r="M2066" s="1">
        <v>56.4</v>
      </c>
      <c r="N2066" s="1">
        <v>5.3220000000000003E-2</v>
      </c>
      <c r="O2066" s="1">
        <v>3.5940000000000001E-4</v>
      </c>
      <c r="P206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1.3839596150227789</v>
      </c>
      <c r="Q2066" s="1">
        <f>LN(Table1[[#This Row],[qe_mg_g]]-Table1[[#This Row],[qt]])</f>
        <v>1.9945697448340194</v>
      </c>
      <c r="R2066" s="1">
        <v>1</v>
      </c>
    </row>
    <row r="2067" spans="1:18" x14ac:dyDescent="0.3">
      <c r="A2067" s="1">
        <v>2066</v>
      </c>
      <c r="B2067" s="1" t="s">
        <v>19</v>
      </c>
      <c r="C2067" s="1">
        <v>2</v>
      </c>
      <c r="D2067" s="1">
        <v>60</v>
      </c>
      <c r="E2067" s="1">
        <v>50</v>
      </c>
      <c r="F2067" s="1">
        <v>7</v>
      </c>
      <c r="G2067" s="1">
        <v>25</v>
      </c>
      <c r="H2067" s="1">
        <v>150</v>
      </c>
      <c r="I2067" s="1">
        <v>100</v>
      </c>
      <c r="J2067" s="1">
        <v>7.8029999999999999</v>
      </c>
      <c r="K2067" s="1">
        <v>34.393999999999998</v>
      </c>
      <c r="L2067" s="1">
        <v>31.21</v>
      </c>
      <c r="M2067" s="1">
        <v>68.599999999999994</v>
      </c>
      <c r="N2067" s="1">
        <v>5.3960000000000001E-2</v>
      </c>
      <c r="O2067" s="1">
        <v>3.4699999999999998E-4</v>
      </c>
      <c r="P206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1.0905020755580375</v>
      </c>
      <c r="Q2067" s="1">
        <f>LN(Table1[[#This Row],[qe_mg_g]]-Table1[[#This Row],[qt]])</f>
        <v>1.9039711506270338</v>
      </c>
      <c r="R2067" s="1">
        <v>2</v>
      </c>
    </row>
    <row r="2068" spans="1:18" x14ac:dyDescent="0.3">
      <c r="A2068" s="1">
        <v>2067</v>
      </c>
      <c r="B2068" s="1" t="s">
        <v>19</v>
      </c>
      <c r="C2068" s="1">
        <v>2</v>
      </c>
      <c r="D2068" s="1">
        <v>60</v>
      </c>
      <c r="E2068" s="1">
        <v>50</v>
      </c>
      <c r="F2068" s="1">
        <v>7</v>
      </c>
      <c r="G2068" s="1">
        <v>25</v>
      </c>
      <c r="H2068" s="1">
        <v>150</v>
      </c>
      <c r="I2068" s="1">
        <v>100</v>
      </c>
      <c r="J2068" s="1">
        <v>6.8410000000000002</v>
      </c>
      <c r="K2068" s="1">
        <v>36.317999999999998</v>
      </c>
      <c r="L2068" s="1">
        <v>27.36</v>
      </c>
      <c r="M2068" s="1">
        <v>52.9</v>
      </c>
      <c r="N2068" s="1">
        <v>5.96E-2</v>
      </c>
      <c r="O2068" s="1">
        <v>3.1260000000000001E-4</v>
      </c>
      <c r="P206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0.77794885548968518</v>
      </c>
      <c r="Q2068" s="1">
        <f>LN(Table1[[#This Row],[qe_mg_g]]-Table1[[#This Row],[qt]])</f>
        <v>1.8022131625661895</v>
      </c>
      <c r="R2068" s="1">
        <v>3</v>
      </c>
    </row>
    <row r="2069" spans="1:18" x14ac:dyDescent="0.3">
      <c r="A2069" s="1">
        <v>2068</v>
      </c>
      <c r="B2069" s="1" t="s">
        <v>19</v>
      </c>
      <c r="C2069" s="1">
        <v>2</v>
      </c>
      <c r="D2069" s="1">
        <v>60</v>
      </c>
      <c r="E2069" s="1">
        <v>50</v>
      </c>
      <c r="F2069" s="1">
        <v>11</v>
      </c>
      <c r="G2069" s="1">
        <v>25</v>
      </c>
      <c r="H2069" s="1">
        <v>150</v>
      </c>
      <c r="I2069" s="1">
        <v>100</v>
      </c>
      <c r="J2069" s="1">
        <v>5.843</v>
      </c>
      <c r="K2069" s="1">
        <v>38.314999999999998</v>
      </c>
      <c r="L2069" s="1">
        <v>23.37</v>
      </c>
      <c r="M2069" s="1">
        <v>61</v>
      </c>
      <c r="N2069" s="1">
        <v>4.6879999999999998E-2</v>
      </c>
      <c r="O2069" s="1">
        <v>3.8699999999999997E-4</v>
      </c>
      <c r="P206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0.6980397091786319</v>
      </c>
      <c r="Q2069" s="1">
        <f>LN(Table1[[#This Row],[qe_mg_g]]-Table1[[#This Row],[qt]])</f>
        <v>1.6380176512428894</v>
      </c>
      <c r="R2069" s="1">
        <v>1</v>
      </c>
    </row>
    <row r="2070" spans="1:18" x14ac:dyDescent="0.3">
      <c r="A2070" s="1">
        <v>2069</v>
      </c>
      <c r="B2070" s="1" t="s">
        <v>19</v>
      </c>
      <c r="C2070" s="1">
        <v>2</v>
      </c>
      <c r="D2070" s="1">
        <v>60</v>
      </c>
      <c r="E2070" s="1">
        <v>50</v>
      </c>
      <c r="F2070" s="1">
        <v>11</v>
      </c>
      <c r="G2070" s="1">
        <v>25</v>
      </c>
      <c r="H2070" s="1">
        <v>150</v>
      </c>
      <c r="I2070" s="1">
        <v>100</v>
      </c>
      <c r="J2070" s="1">
        <v>5.9370000000000003</v>
      </c>
      <c r="K2070" s="1">
        <v>38.125999999999998</v>
      </c>
      <c r="L2070" s="1">
        <v>23.75</v>
      </c>
      <c r="M2070" s="1">
        <v>51.4</v>
      </c>
      <c r="N2070" s="1">
        <v>4.8820000000000002E-2</v>
      </c>
      <c r="O2070" s="1">
        <v>3.6319999999999999E-4</v>
      </c>
      <c r="P207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0.68012923005878456</v>
      </c>
      <c r="Q2070" s="1">
        <f>LN(Table1[[#This Row],[qe_mg_g]]-Table1[[#This Row],[qt]])</f>
        <v>1.6595359390624951</v>
      </c>
      <c r="R2070" s="1">
        <v>2</v>
      </c>
    </row>
    <row r="2071" spans="1:18" x14ac:dyDescent="0.3">
      <c r="A2071" s="1">
        <v>2070</v>
      </c>
      <c r="B2071" s="1" t="s">
        <v>19</v>
      </c>
      <c r="C2071" s="1">
        <v>2</v>
      </c>
      <c r="D2071" s="1">
        <v>60</v>
      </c>
      <c r="E2071" s="1">
        <v>50</v>
      </c>
      <c r="F2071" s="1">
        <v>11</v>
      </c>
      <c r="G2071" s="1">
        <v>25</v>
      </c>
      <c r="H2071" s="1">
        <v>150</v>
      </c>
      <c r="I2071" s="1">
        <v>100</v>
      </c>
      <c r="J2071" s="1">
        <v>7.2290000000000001</v>
      </c>
      <c r="K2071" s="1">
        <v>35.542999999999999</v>
      </c>
      <c r="L2071" s="1">
        <v>28.91</v>
      </c>
      <c r="M2071" s="1">
        <v>60.9</v>
      </c>
      <c r="N2071" s="1">
        <v>5.0250000000000003E-2</v>
      </c>
      <c r="O2071" s="1">
        <v>3.8969999999999999E-4</v>
      </c>
      <c r="P207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1.0452327641773669</v>
      </c>
      <c r="Q2071" s="1">
        <f>LN(Table1[[#This Row],[qe_mg_g]]-Table1[[#This Row],[qt]])</f>
        <v>1.8219276708326517</v>
      </c>
      <c r="R2071" s="1">
        <v>3</v>
      </c>
    </row>
    <row r="2072" spans="1:18" x14ac:dyDescent="0.3">
      <c r="A2072" s="1">
        <v>2071</v>
      </c>
      <c r="B2072" s="1" t="s">
        <v>19</v>
      </c>
      <c r="C2072" s="1">
        <v>2</v>
      </c>
      <c r="D2072" s="1">
        <v>60</v>
      </c>
      <c r="E2072" s="1">
        <v>100</v>
      </c>
      <c r="F2072" s="1">
        <v>3</v>
      </c>
      <c r="G2072" s="1">
        <v>25</v>
      </c>
      <c r="H2072" s="1">
        <v>150</v>
      </c>
      <c r="I2072" s="1">
        <v>100</v>
      </c>
      <c r="J2072" s="1">
        <v>15.191000000000001</v>
      </c>
      <c r="K2072" s="1">
        <v>69.619</v>
      </c>
      <c r="L2072" s="1">
        <v>30.38</v>
      </c>
      <c r="M2072" s="1">
        <v>65.8</v>
      </c>
      <c r="N2072" s="1">
        <v>5.944E-2</v>
      </c>
      <c r="O2072" s="1">
        <v>2.4699999999999999E-4</v>
      </c>
      <c r="P207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2.7915058138208972</v>
      </c>
      <c r="Q2072" s="1">
        <f>LN(Table1[[#This Row],[qe_mg_g]]-Table1[[#This Row],[qt]])</f>
        <v>2.5176556803418286</v>
      </c>
      <c r="R2072" s="1">
        <v>1</v>
      </c>
    </row>
    <row r="2073" spans="1:18" x14ac:dyDescent="0.3">
      <c r="A2073" s="1">
        <v>2072</v>
      </c>
      <c r="B2073" s="1" t="s">
        <v>19</v>
      </c>
      <c r="C2073" s="1">
        <v>2</v>
      </c>
      <c r="D2073" s="1">
        <v>60</v>
      </c>
      <c r="E2073" s="1">
        <v>100</v>
      </c>
      <c r="F2073" s="1">
        <v>3</v>
      </c>
      <c r="G2073" s="1">
        <v>25</v>
      </c>
      <c r="H2073" s="1">
        <v>150</v>
      </c>
      <c r="I2073" s="1">
        <v>100</v>
      </c>
      <c r="J2073" s="1">
        <v>14.443</v>
      </c>
      <c r="K2073" s="1">
        <v>71.114000000000004</v>
      </c>
      <c r="L2073" s="1">
        <v>28.89</v>
      </c>
      <c r="M2073" s="1">
        <v>62.3</v>
      </c>
      <c r="N2073" s="1">
        <v>5.5829999999999998E-2</v>
      </c>
      <c r="O2073" s="1">
        <v>3.1419999999999999E-4</v>
      </c>
      <c r="P2073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3.0909341005398439</v>
      </c>
      <c r="Q2073" s="1">
        <f>LN(Table1[[#This Row],[qe_mg_g]]-Table1[[#This Row],[qt]])</f>
        <v>2.4293997449378049</v>
      </c>
      <c r="R2073" s="1">
        <v>2</v>
      </c>
    </row>
    <row r="2074" spans="1:18" x14ac:dyDescent="0.3">
      <c r="A2074" s="1">
        <v>2073</v>
      </c>
      <c r="B2074" s="1" t="s">
        <v>19</v>
      </c>
      <c r="C2074" s="1">
        <v>2</v>
      </c>
      <c r="D2074" s="1">
        <v>60</v>
      </c>
      <c r="E2074" s="1">
        <v>100</v>
      </c>
      <c r="F2074" s="1">
        <v>3</v>
      </c>
      <c r="G2074" s="1">
        <v>25</v>
      </c>
      <c r="H2074" s="1">
        <v>150</v>
      </c>
      <c r="I2074" s="1">
        <v>100</v>
      </c>
      <c r="J2074" s="1">
        <v>14.846</v>
      </c>
      <c r="K2074" s="1">
        <v>70.308000000000007</v>
      </c>
      <c r="L2074" s="1">
        <v>29.69</v>
      </c>
      <c r="M2074" s="1">
        <v>38.9</v>
      </c>
      <c r="N2074" s="1">
        <v>5.4510000000000003E-2</v>
      </c>
      <c r="O2074" s="1">
        <v>4.2739999999999998E-4</v>
      </c>
      <c r="P207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4.093567454428821</v>
      </c>
      <c r="Q2074" s="1">
        <f>LN(Table1[[#This Row],[qe_mg_g]]-Table1[[#This Row],[qt]])</f>
        <v>2.3751320122844124</v>
      </c>
      <c r="R2074" s="1">
        <v>3</v>
      </c>
    </row>
    <row r="2075" spans="1:18" x14ac:dyDescent="0.3">
      <c r="A2075" s="1">
        <v>2074</v>
      </c>
      <c r="B2075" s="1" t="s">
        <v>19</v>
      </c>
      <c r="C2075" s="1">
        <v>2</v>
      </c>
      <c r="D2075" s="1">
        <v>60</v>
      </c>
      <c r="E2075" s="1">
        <v>100</v>
      </c>
      <c r="F2075" s="1">
        <v>7</v>
      </c>
      <c r="G2075" s="1">
        <v>25</v>
      </c>
      <c r="H2075" s="1">
        <v>150</v>
      </c>
      <c r="I2075" s="1">
        <v>100</v>
      </c>
      <c r="J2075" s="1">
        <v>25.456</v>
      </c>
      <c r="K2075" s="1">
        <v>49.088000000000001</v>
      </c>
      <c r="L2075" s="1">
        <v>50.91</v>
      </c>
      <c r="M2075" s="1">
        <v>72.5</v>
      </c>
      <c r="N2075" s="1">
        <v>5.985E-2</v>
      </c>
      <c r="O2075" s="1">
        <v>3.86E-4</v>
      </c>
      <c r="P2075" s="1">
        <f>(Table1[[#This Row],[Rate_Constant_k2_g_mg_min]]*Table1[[#This Row],[Contact_Time_min]]*Table1[[#This Row],[qe_mg_g]]^2)/(1+Table1[[#This Row],[Contact_Time_min]]*Table1[[#This Row],[qe_mg_g]]*Table1[[#This Row],[Rate_Constant_k2_g_mg_min]])</f>
        <v>9.4415150946837532</v>
      </c>
      <c r="Q2075" s="1">
        <f>LN(Table1[[#This Row],[qe_mg_g]]-Table1[[#This Row],[qt]])</f>
        <v>2.7734936192791984</v>
      </c>
      <c r="R2075" s="1">
        <v>1</v>
      </c>
    </row>
    <row r="2076" spans="1:18" x14ac:dyDescent="0.3">
      <c r="A2076" s="1">
        <v>2075</v>
      </c>
      <c r="B2076" s="1" t="s">
        <v>19</v>
      </c>
      <c r="C2076" s="1">
        <v>2</v>
      </c>
      <c r="D2076" s="1">
        <v>60</v>
      </c>
      <c r="E2076" s="1">
        <v>100</v>
      </c>
      <c r="F2076" s="1">
        <v>7</v>
      </c>
      <c r="G2076" s="1">
        <v>25</v>
      </c>
      <c r="H2076" s="1">
        <v>150</v>
      </c>
      <c r="I2076" s="1">
        <v>100</v>
      </c>
      <c r="J2076" s="1">
        <v>27.428000000000001</v>
      </c>
      <c r="K2076" s="1">
        <v>45.143000000000001</v>
      </c>
      <c r="L2076" s="1">
        <v>54.86</v>
      </c>
      <c r="M2076" s="1">
        <v>57.6</v>
      </c>
      <c r="N2076" s="1">
        <v>5.3969999999999997E-2</v>
      </c>
      <c r="O2076" s="1">
        <v>3.8610000000000001E-4</v>
      </c>
      <c r="P2076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10.656537660904471</v>
      </c>
      <c r="Q2076" s="1">
        <f>LN(Table1[[#This Row],[qe_mg_g]]-Table1[[#This Row],[qt]])</f>
        <v>2.819678771740989</v>
      </c>
      <c r="R2076" s="1">
        <v>2</v>
      </c>
    </row>
    <row r="2077" spans="1:18" x14ac:dyDescent="0.3">
      <c r="A2077" s="1">
        <v>2076</v>
      </c>
      <c r="B2077" s="1" t="s">
        <v>19</v>
      </c>
      <c r="C2077" s="1">
        <v>2</v>
      </c>
      <c r="D2077" s="1">
        <v>60</v>
      </c>
      <c r="E2077" s="1">
        <v>100</v>
      </c>
      <c r="F2077" s="1">
        <v>7</v>
      </c>
      <c r="G2077" s="1">
        <v>25</v>
      </c>
      <c r="H2077" s="1">
        <v>150</v>
      </c>
      <c r="I2077" s="1">
        <v>100</v>
      </c>
      <c r="J2077" s="1">
        <v>26.550999999999998</v>
      </c>
      <c r="K2077" s="1">
        <v>46.898000000000003</v>
      </c>
      <c r="L2077" s="1">
        <v>53.1</v>
      </c>
      <c r="M2077" s="1">
        <v>50.6</v>
      </c>
      <c r="N2077" s="1">
        <v>5.1029999999999999E-2</v>
      </c>
      <c r="O2077" s="1">
        <v>3.5490000000000001E-4</v>
      </c>
      <c r="P2077" s="1">
        <f>(Table1[[#This Row],[Rate_Constant_k2_g_mg_min]]*Table1[[#This Row],[Contact_Time_min]]*Table1[[#This Row],[qe_mg_g]]^2)/(1+Table1[[#This Row],[Contact_Time_min]]*Table1[[#This Row],[qe_mg_g]]*Table1[[#This Row],[Rate_Constant_k2_g_mg_min]])</f>
        <v>9.5895906386969667</v>
      </c>
      <c r="Q2077" s="1">
        <f>LN(Table1[[#This Row],[qe_mg_g]]-Table1[[#This Row],[qt]])</f>
        <v>2.8309407260446489</v>
      </c>
      <c r="R2077" s="1">
        <v>3</v>
      </c>
    </row>
    <row r="2078" spans="1:18" x14ac:dyDescent="0.3">
      <c r="A2078" s="1">
        <v>2077</v>
      </c>
      <c r="B2078" s="1" t="s">
        <v>19</v>
      </c>
      <c r="C2078" s="1">
        <v>2</v>
      </c>
      <c r="D2078" s="1">
        <v>60</v>
      </c>
      <c r="E2078" s="1">
        <v>100</v>
      </c>
      <c r="F2078" s="1">
        <v>11</v>
      </c>
      <c r="G2078" s="1">
        <v>25</v>
      </c>
      <c r="H2078" s="1">
        <v>150</v>
      </c>
      <c r="I2078" s="1">
        <v>100</v>
      </c>
      <c r="J2078" s="1">
        <v>19.95</v>
      </c>
      <c r="K2078" s="1">
        <v>60.100999999999999</v>
      </c>
      <c r="L2078" s="1">
        <v>39.9</v>
      </c>
      <c r="M2078" s="1">
        <v>61.1</v>
      </c>
      <c r="N2078" s="1">
        <v>4.7169999999999997E-2</v>
      </c>
      <c r="O2078" s="1">
        <v>4.169E-4</v>
      </c>
      <c r="P2078" s="1">
        <f>(Table1[[#This Row],[Rate_Constant_k2_g_mg_min]]*Table1[[#This Row],[Contact_Time_min]]*Table1[[#This Row],[qe_mg_g]]^2)/(1+Table1[[#This Row],[Contact_Time_min]]*Table1[[#This Row],[qe_mg_g]]*Table1[[#This Row],[Rate_Constant_k2_g_mg_min]])</f>
        <v>6.6413875532653019</v>
      </c>
      <c r="Q2078" s="1">
        <f>LN(Table1[[#This Row],[qe_mg_g]]-Table1[[#This Row],[qt]])</f>
        <v>2.5884113780421969</v>
      </c>
      <c r="R2078" s="1">
        <v>1</v>
      </c>
    </row>
    <row r="2079" spans="1:18" x14ac:dyDescent="0.3">
      <c r="A2079" s="1">
        <v>2078</v>
      </c>
      <c r="B2079" s="1" t="s">
        <v>19</v>
      </c>
      <c r="C2079" s="1">
        <v>2</v>
      </c>
      <c r="D2079" s="1">
        <v>60</v>
      </c>
      <c r="E2079" s="1">
        <v>100</v>
      </c>
      <c r="F2079" s="1">
        <v>11</v>
      </c>
      <c r="G2079" s="1">
        <v>25</v>
      </c>
      <c r="H2079" s="1">
        <v>150</v>
      </c>
      <c r="I2079" s="1">
        <v>100</v>
      </c>
      <c r="J2079" s="1">
        <v>18.006</v>
      </c>
      <c r="K2079" s="1">
        <v>63.987000000000002</v>
      </c>
      <c r="L2079" s="1">
        <v>36.01</v>
      </c>
      <c r="M2079" s="1">
        <v>52.4</v>
      </c>
      <c r="N2079" s="1">
        <v>5.0040000000000001E-2</v>
      </c>
      <c r="O2079" s="1">
        <v>4.4440000000000001E-4</v>
      </c>
      <c r="P2079" s="1">
        <f>(Table1[[#This Row],[Rate_Constant_k2_g_mg_min]]*Table1[[#This Row],[Contact_Time_min]]*Table1[[#This Row],[qe_mg_g]]^2)/(1+Table1[[#This Row],[Contact_Time_min]]*Table1[[#This Row],[qe_mg_g]]*Table1[[#This Row],[Rate_Constant_k2_g_mg_min]])</f>
        <v>5.8407042692412929</v>
      </c>
      <c r="Q2079" s="1">
        <f>LN(Table1[[#This Row],[qe_mg_g]]-Table1[[#This Row],[qt]])</f>
        <v>2.498587285907838</v>
      </c>
      <c r="R2079" s="1">
        <v>2</v>
      </c>
    </row>
    <row r="2080" spans="1:18" x14ac:dyDescent="0.3">
      <c r="A2080" s="1">
        <v>2079</v>
      </c>
      <c r="B2080" s="1" t="s">
        <v>19</v>
      </c>
      <c r="C2080" s="1">
        <v>2</v>
      </c>
      <c r="D2080" s="1">
        <v>60</v>
      </c>
      <c r="E2080" s="1">
        <v>100</v>
      </c>
      <c r="F2080" s="1">
        <v>11</v>
      </c>
      <c r="G2080" s="1">
        <v>25</v>
      </c>
      <c r="H2080" s="1">
        <v>150</v>
      </c>
      <c r="I2080" s="1">
        <v>100</v>
      </c>
      <c r="J2080" s="1">
        <v>19.172000000000001</v>
      </c>
      <c r="K2080" s="1">
        <v>61.655999999999999</v>
      </c>
      <c r="L2080" s="1">
        <v>38.340000000000003</v>
      </c>
      <c r="M2080" s="1">
        <v>47.6</v>
      </c>
      <c r="N2080" s="1">
        <v>5.9749999999999998E-2</v>
      </c>
      <c r="O2080" s="1">
        <v>3.769E-4</v>
      </c>
      <c r="P2080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5.7982599839098814</v>
      </c>
      <c r="Q2080" s="1">
        <f>LN(Table1[[#This Row],[qe_mg_g]]-Table1[[#This Row],[qt]])</f>
        <v>2.5932930839400794</v>
      </c>
      <c r="R2080" s="1">
        <v>3</v>
      </c>
    </row>
    <row r="2081" spans="1:18" x14ac:dyDescent="0.3">
      <c r="A2081" s="1">
        <v>2080</v>
      </c>
      <c r="B2081" s="1" t="s">
        <v>19</v>
      </c>
      <c r="C2081" s="1">
        <v>2</v>
      </c>
      <c r="D2081" s="1">
        <v>60</v>
      </c>
      <c r="E2081" s="1">
        <v>200</v>
      </c>
      <c r="F2081" s="1">
        <v>3</v>
      </c>
      <c r="G2081" s="1">
        <v>25</v>
      </c>
      <c r="H2081" s="1">
        <v>150</v>
      </c>
      <c r="I2081" s="1">
        <v>100</v>
      </c>
      <c r="J2081" s="1">
        <v>42.497999999999998</v>
      </c>
      <c r="K2081" s="1">
        <v>115.004</v>
      </c>
      <c r="L2081" s="1">
        <v>42.5</v>
      </c>
      <c r="M2081" s="1">
        <v>61.4</v>
      </c>
      <c r="N2081" s="1">
        <v>5.0459999999999998E-2</v>
      </c>
      <c r="O2081" s="1">
        <v>3.3270000000000001E-4</v>
      </c>
      <c r="P2081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19.505540122340228</v>
      </c>
      <c r="Q2081" s="1">
        <f>LN(Table1[[#This Row],[qe_mg_g]]-Table1[[#This Row],[qt]])</f>
        <v>3.1351663307745898</v>
      </c>
      <c r="R2081" s="1">
        <v>1</v>
      </c>
    </row>
    <row r="2082" spans="1:18" x14ac:dyDescent="0.3">
      <c r="A2082" s="1">
        <v>2081</v>
      </c>
      <c r="B2082" s="1" t="s">
        <v>19</v>
      </c>
      <c r="C2082" s="1">
        <v>2</v>
      </c>
      <c r="D2082" s="1">
        <v>60</v>
      </c>
      <c r="E2082" s="1">
        <v>200</v>
      </c>
      <c r="F2082" s="1">
        <v>3</v>
      </c>
      <c r="G2082" s="1">
        <v>25</v>
      </c>
      <c r="H2082" s="1">
        <v>150</v>
      </c>
      <c r="I2082" s="1">
        <v>100</v>
      </c>
      <c r="J2082" s="1">
        <v>37.003999999999998</v>
      </c>
      <c r="K2082" s="1">
        <v>125.991</v>
      </c>
      <c r="L2082" s="1">
        <v>37</v>
      </c>
      <c r="M2082" s="1">
        <v>43.7</v>
      </c>
      <c r="N2082" s="1">
        <v>6.4939999999999998E-2</v>
      </c>
      <c r="O2082" s="1">
        <v>4.0749999999999998E-4</v>
      </c>
      <c r="P2082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17.576756141259221</v>
      </c>
      <c r="Q2082" s="1">
        <f>LN(Table1[[#This Row],[qe_mg_g]]-Table1[[#This Row],[qt]])</f>
        <v>2.9666764035459763</v>
      </c>
      <c r="R2082" s="1">
        <v>2</v>
      </c>
    </row>
    <row r="2083" spans="1:18" x14ac:dyDescent="0.3">
      <c r="A2083" s="1">
        <v>2082</v>
      </c>
      <c r="B2083" s="1" t="s">
        <v>19</v>
      </c>
      <c r="C2083" s="1">
        <v>2</v>
      </c>
      <c r="D2083" s="1">
        <v>60</v>
      </c>
      <c r="E2083" s="1">
        <v>200</v>
      </c>
      <c r="F2083" s="1">
        <v>3</v>
      </c>
      <c r="G2083" s="1">
        <v>25</v>
      </c>
      <c r="H2083" s="1">
        <v>150</v>
      </c>
      <c r="I2083" s="1">
        <v>100</v>
      </c>
      <c r="J2083" s="1">
        <v>43.262</v>
      </c>
      <c r="K2083" s="1">
        <v>113.47499999999999</v>
      </c>
      <c r="L2083" s="1">
        <v>43.26</v>
      </c>
      <c r="M2083" s="1">
        <v>68.2</v>
      </c>
      <c r="N2083" s="1">
        <v>5.4120000000000001E-2</v>
      </c>
      <c r="O2083" s="1">
        <v>3.4150000000000001E-4</v>
      </c>
      <c r="P2083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20.328836394624247</v>
      </c>
      <c r="Q2083" s="1">
        <f>LN(Table1[[#This Row],[qe_mg_g]]-Table1[[#This Row],[qt]])</f>
        <v>3.1325840553154185</v>
      </c>
      <c r="R2083" s="1">
        <v>3</v>
      </c>
    </row>
    <row r="2084" spans="1:18" x14ac:dyDescent="0.3">
      <c r="A2084" s="1">
        <v>2083</v>
      </c>
      <c r="B2084" s="1" t="s">
        <v>19</v>
      </c>
      <c r="C2084" s="1">
        <v>2</v>
      </c>
      <c r="D2084" s="1">
        <v>60</v>
      </c>
      <c r="E2084" s="1">
        <v>200</v>
      </c>
      <c r="F2084" s="1">
        <v>7</v>
      </c>
      <c r="G2084" s="1">
        <v>25</v>
      </c>
      <c r="H2084" s="1">
        <v>150</v>
      </c>
      <c r="I2084" s="1">
        <v>100</v>
      </c>
      <c r="J2084" s="1">
        <v>63.896000000000001</v>
      </c>
      <c r="K2084" s="1">
        <v>72.206999999999994</v>
      </c>
      <c r="L2084" s="1">
        <v>63.9</v>
      </c>
      <c r="M2084" s="1">
        <v>53.5</v>
      </c>
      <c r="N2084" s="1">
        <v>5.382E-2</v>
      </c>
      <c r="O2084" s="1">
        <v>3.8999999999999999E-4</v>
      </c>
      <c r="P2084" s="1">
        <f>(Table1[[#This Row],[Rate_Constant_k2_g_mg_min]]*Table1[[#This Row],[Contact_Time_min]]*Table1[[#This Row],[qe_mg_g]]^2)/(1+Table1[[#This Row],[Contact_Time_min]]*Table1[[#This Row],[qe_mg_g]]*Table1[[#This Row],[Rate_Constant_k2_g_mg_min]])</f>
        <v>38.288088639859851</v>
      </c>
      <c r="Q2084" s="1">
        <f>LN(Table1[[#This Row],[qe_mg_g]]-Table1[[#This Row],[qt]])</f>
        <v>3.2429013412487375</v>
      </c>
      <c r="R2084" s="1">
        <v>1</v>
      </c>
    </row>
    <row r="2085" spans="1:18" x14ac:dyDescent="0.3">
      <c r="A2085" s="1">
        <v>2084</v>
      </c>
      <c r="B2085" s="1" t="s">
        <v>19</v>
      </c>
      <c r="C2085" s="1">
        <v>2</v>
      </c>
      <c r="D2085" s="1">
        <v>60</v>
      </c>
      <c r="E2085" s="1">
        <v>200</v>
      </c>
      <c r="F2085" s="1">
        <v>7</v>
      </c>
      <c r="G2085" s="1">
        <v>25</v>
      </c>
      <c r="H2085" s="1">
        <v>150</v>
      </c>
      <c r="I2085" s="1">
        <v>100</v>
      </c>
      <c r="J2085" s="1">
        <v>64.313000000000002</v>
      </c>
      <c r="K2085" s="1">
        <v>71.373000000000005</v>
      </c>
      <c r="L2085" s="1">
        <v>64.31</v>
      </c>
      <c r="M2085" s="1">
        <v>60.4</v>
      </c>
      <c r="N2085" s="1">
        <v>6.0670000000000002E-2</v>
      </c>
      <c r="O2085" s="1">
        <v>3.636E-4</v>
      </c>
      <c r="P2085" s="1">
        <f>(Table1[[#This Row],[Rate_Constant_k2_g_mg_min]]*Table1[[#This Row],[Contact_Time_min]]*Table1[[#This Row],[qe_mg_g]]^2)/(1+Table1[[#This Row],[Contact_Time_min]]*Table1[[#This Row],[qe_mg_g]]*Table1[[#This Row],[Rate_Constant_k2_g_mg_min]])</f>
        <v>37.549954888750811</v>
      </c>
      <c r="Q2085" s="1">
        <f>LN(Table1[[#This Row],[qe_mg_g]]-Table1[[#This Row],[qt]])</f>
        <v>3.2870220221810129</v>
      </c>
      <c r="R2085" s="1">
        <v>2</v>
      </c>
    </row>
    <row r="2086" spans="1:18" x14ac:dyDescent="0.3">
      <c r="A2086" s="1">
        <v>2085</v>
      </c>
      <c r="B2086" s="1" t="s">
        <v>19</v>
      </c>
      <c r="C2086" s="1">
        <v>2</v>
      </c>
      <c r="D2086" s="1">
        <v>60</v>
      </c>
      <c r="E2086" s="1">
        <v>200</v>
      </c>
      <c r="F2086" s="1">
        <v>7</v>
      </c>
      <c r="G2086" s="1">
        <v>25</v>
      </c>
      <c r="H2086" s="1">
        <v>150</v>
      </c>
      <c r="I2086" s="1">
        <v>100</v>
      </c>
      <c r="J2086" s="1">
        <v>59.322000000000003</v>
      </c>
      <c r="K2086" s="1">
        <v>81.355999999999995</v>
      </c>
      <c r="L2086" s="1">
        <v>59.32</v>
      </c>
      <c r="M2086" s="1">
        <v>43.5</v>
      </c>
      <c r="N2086" s="1">
        <v>5.5820000000000002E-2</v>
      </c>
      <c r="O2086" s="1">
        <v>3.4400000000000001E-4</v>
      </c>
      <c r="P2086" s="1">
        <f>(Table1[[#This Row],[Rate_Constant_k2_g_mg_min]]*Table1[[#This Row],[Contact_Time_min]]*Table1[[#This Row],[qe_mg_g]]^2)/(1+Table1[[#This Row],[Contact_Time_min]]*Table1[[#This Row],[qe_mg_g]]*Table1[[#This Row],[Rate_Constant_k2_g_mg_min]])</f>
        <v>32.653308283422788</v>
      </c>
      <c r="Q2086" s="1">
        <f>LN(Table1[[#This Row],[qe_mg_g]]-Table1[[#This Row],[qt]])</f>
        <v>3.2834902824941694</v>
      </c>
      <c r="R2086" s="1">
        <v>3</v>
      </c>
    </row>
    <row r="2087" spans="1:18" x14ac:dyDescent="0.3">
      <c r="A2087" s="1">
        <v>2086</v>
      </c>
      <c r="B2087" s="1" t="s">
        <v>19</v>
      </c>
      <c r="C2087" s="1">
        <v>2</v>
      </c>
      <c r="D2087" s="1">
        <v>60</v>
      </c>
      <c r="E2087" s="1">
        <v>200</v>
      </c>
      <c r="F2087" s="1">
        <v>11</v>
      </c>
      <c r="G2087" s="1">
        <v>25</v>
      </c>
      <c r="H2087" s="1">
        <v>150</v>
      </c>
      <c r="I2087" s="1">
        <v>100</v>
      </c>
      <c r="J2087" s="1">
        <v>51.473999999999997</v>
      </c>
      <c r="K2087" s="1">
        <v>97.052000000000007</v>
      </c>
      <c r="L2087" s="1">
        <v>51.47</v>
      </c>
      <c r="M2087" s="1">
        <v>54.4</v>
      </c>
      <c r="N2087" s="1">
        <v>6.9209999999999994E-2</v>
      </c>
      <c r="O2087" s="1">
        <v>3.034E-4</v>
      </c>
      <c r="P2087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24.900364920791201</v>
      </c>
      <c r="Q2087" s="1">
        <f>LN(Table1[[#This Row],[qe_mg_g]]-Table1[[#This Row],[qt]])</f>
        <v>3.2799195618255919</v>
      </c>
      <c r="R2087" s="1">
        <v>1</v>
      </c>
    </row>
    <row r="2088" spans="1:18" x14ac:dyDescent="0.3">
      <c r="A2088" s="1">
        <v>2087</v>
      </c>
      <c r="B2088" s="1" t="s">
        <v>19</v>
      </c>
      <c r="C2088" s="1">
        <v>2</v>
      </c>
      <c r="D2088" s="1">
        <v>60</v>
      </c>
      <c r="E2088" s="1">
        <v>200</v>
      </c>
      <c r="F2088" s="1">
        <v>11</v>
      </c>
      <c r="G2088" s="1">
        <v>25</v>
      </c>
      <c r="H2088" s="1">
        <v>150</v>
      </c>
      <c r="I2088" s="1">
        <v>100</v>
      </c>
      <c r="J2088" s="1">
        <v>44.034999999999997</v>
      </c>
      <c r="K2088" s="1">
        <v>111.931</v>
      </c>
      <c r="L2088" s="1">
        <v>44.03</v>
      </c>
      <c r="M2088" s="1">
        <v>57.3</v>
      </c>
      <c r="N2088" s="1">
        <v>5.2929999999999998E-2</v>
      </c>
      <c r="O2088" s="1">
        <v>3.611E-4</v>
      </c>
      <c r="P2088" s="1">
        <f>(Table1[[#This Row],[Rate_Constant_k2_g_mg_min]]*Table1[[#This Row],[Contact_Time_min]]*Table1[[#This Row],[qe_mg_g]]^2)/(1+Table1[[#This Row],[Contact_Time_min]]*Table1[[#This Row],[qe_mg_g]]*Table1[[#This Row],[Rate_Constant_k2_g_mg_min]])</f>
        <v>21.499894658348946</v>
      </c>
      <c r="Q2088" s="1">
        <f>LN(Table1[[#This Row],[qe_mg_g]]-Table1[[#This Row],[qt]])</f>
        <v>3.1150743307112752</v>
      </c>
      <c r="R2088" s="1">
        <v>2</v>
      </c>
    </row>
    <row r="2089" spans="1:18" x14ac:dyDescent="0.3">
      <c r="A2089" s="1">
        <v>2088</v>
      </c>
      <c r="B2089" s="1" t="s">
        <v>19</v>
      </c>
      <c r="C2089" s="1">
        <v>2</v>
      </c>
      <c r="D2089" s="1">
        <v>60</v>
      </c>
      <c r="E2089" s="1">
        <v>200</v>
      </c>
      <c r="F2089" s="1">
        <v>11</v>
      </c>
      <c r="G2089" s="1">
        <v>25</v>
      </c>
      <c r="H2089" s="1">
        <v>150</v>
      </c>
      <c r="I2089" s="1">
        <v>100</v>
      </c>
      <c r="J2089" s="1">
        <v>53.252000000000002</v>
      </c>
      <c r="K2089" s="1">
        <v>93.495999999999995</v>
      </c>
      <c r="L2089" s="1">
        <v>53.25</v>
      </c>
      <c r="M2089" s="1">
        <v>65.099999999999994</v>
      </c>
      <c r="N2089" s="1">
        <v>4.6710000000000002E-2</v>
      </c>
      <c r="O2089" s="1">
        <v>3.3050000000000001E-4</v>
      </c>
      <c r="P2089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27.351060034985824</v>
      </c>
      <c r="Q2089" s="1">
        <f>LN(Table1[[#This Row],[qe_mg_g]]-Table1[[#This Row],[qt]])</f>
        <v>3.25427926013244</v>
      </c>
      <c r="R2089" s="1">
        <v>3</v>
      </c>
    </row>
    <row r="2090" spans="1:18" x14ac:dyDescent="0.3">
      <c r="A2090" s="1">
        <v>2089</v>
      </c>
      <c r="B2090" s="1" t="s">
        <v>19</v>
      </c>
      <c r="C2090" s="1">
        <v>2</v>
      </c>
      <c r="D2090" s="1">
        <v>120</v>
      </c>
      <c r="E2090" s="1">
        <v>25</v>
      </c>
      <c r="F2090" s="1">
        <v>3</v>
      </c>
      <c r="G2090" s="1">
        <v>25</v>
      </c>
      <c r="H2090" s="1">
        <v>150</v>
      </c>
      <c r="I2090" s="1">
        <v>100</v>
      </c>
      <c r="J2090" s="1">
        <v>2.5670000000000002</v>
      </c>
      <c r="K2090" s="1">
        <v>19.866</v>
      </c>
      <c r="L2090" s="1">
        <v>20.53</v>
      </c>
      <c r="M2090" s="1">
        <v>60.8</v>
      </c>
      <c r="N2090" s="1">
        <v>6.7059999999999995E-2</v>
      </c>
      <c r="O2090" s="1">
        <v>3.834E-4</v>
      </c>
      <c r="P209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0.27114616070596237</v>
      </c>
      <c r="Q2090" s="1">
        <f>LN(Table1[[#This Row],[qe_mg_g]]-Table1[[#This Row],[qt]])</f>
        <v>0.83110481758694965</v>
      </c>
      <c r="R2090" s="1">
        <v>1</v>
      </c>
    </row>
    <row r="2091" spans="1:18" x14ac:dyDescent="0.3">
      <c r="A2091" s="1">
        <v>2090</v>
      </c>
      <c r="B2091" s="1" t="s">
        <v>19</v>
      </c>
      <c r="C2091" s="1">
        <v>2</v>
      </c>
      <c r="D2091" s="1">
        <v>120</v>
      </c>
      <c r="E2091" s="1">
        <v>25</v>
      </c>
      <c r="F2091" s="1">
        <v>3</v>
      </c>
      <c r="G2091" s="1">
        <v>25</v>
      </c>
      <c r="H2091" s="1">
        <v>150</v>
      </c>
      <c r="I2091" s="1">
        <v>100</v>
      </c>
      <c r="J2091" s="1">
        <v>2.4820000000000002</v>
      </c>
      <c r="K2091" s="1">
        <v>20.036000000000001</v>
      </c>
      <c r="L2091" s="1">
        <v>19.86</v>
      </c>
      <c r="M2091" s="1">
        <v>47.3</v>
      </c>
      <c r="N2091" s="1">
        <v>5.1900000000000002E-2</v>
      </c>
      <c r="O2091" s="1">
        <v>3.2929999999999998E-4</v>
      </c>
      <c r="P209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0.22168844594084075</v>
      </c>
      <c r="Q2091" s="1">
        <f>LN(Table1[[#This Row],[qe_mg_g]]-Table1[[#This Row],[qt]])</f>
        <v>0.81550265956134904</v>
      </c>
      <c r="R2091" s="1">
        <v>2</v>
      </c>
    </row>
    <row r="2092" spans="1:18" x14ac:dyDescent="0.3">
      <c r="A2092" s="1">
        <v>2091</v>
      </c>
      <c r="B2092" s="1" t="s">
        <v>19</v>
      </c>
      <c r="C2092" s="1">
        <v>2</v>
      </c>
      <c r="D2092" s="1">
        <v>120</v>
      </c>
      <c r="E2092" s="1">
        <v>25</v>
      </c>
      <c r="F2092" s="1">
        <v>3</v>
      </c>
      <c r="G2092" s="1">
        <v>25</v>
      </c>
      <c r="H2092" s="1">
        <v>150</v>
      </c>
      <c r="I2092" s="1">
        <v>100</v>
      </c>
      <c r="J2092" s="1">
        <v>2.6059999999999999</v>
      </c>
      <c r="K2092" s="1">
        <v>19.786999999999999</v>
      </c>
      <c r="L2092" s="1">
        <v>20.85</v>
      </c>
      <c r="M2092" s="1">
        <v>56.6</v>
      </c>
      <c r="N2092" s="1">
        <v>4.7719999999999999E-2</v>
      </c>
      <c r="O2092" s="1">
        <v>3.347E-4</v>
      </c>
      <c r="P209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0.24691885236651465</v>
      </c>
      <c r="Q2092" s="1">
        <f>LN(Table1[[#This Row],[qe_mg_g]]-Table1[[#This Row],[qt]])</f>
        <v>0.85827219900027796</v>
      </c>
      <c r="R2092" s="1">
        <v>3</v>
      </c>
    </row>
    <row r="2093" spans="1:18" x14ac:dyDescent="0.3">
      <c r="A2093" s="1">
        <v>2092</v>
      </c>
      <c r="B2093" s="1" t="s">
        <v>19</v>
      </c>
      <c r="C2093" s="1">
        <v>2</v>
      </c>
      <c r="D2093" s="1">
        <v>120</v>
      </c>
      <c r="E2093" s="1">
        <v>25</v>
      </c>
      <c r="F2093" s="1">
        <v>7</v>
      </c>
      <c r="G2093" s="1">
        <v>25</v>
      </c>
      <c r="H2093" s="1">
        <v>150</v>
      </c>
      <c r="I2093" s="1">
        <v>100</v>
      </c>
      <c r="J2093" s="1">
        <v>4.3</v>
      </c>
      <c r="K2093" s="1">
        <v>16.399999999999999</v>
      </c>
      <c r="L2093" s="1">
        <v>34.4</v>
      </c>
      <c r="M2093" s="1">
        <v>57.4</v>
      </c>
      <c r="N2093" s="1">
        <v>5.8130000000000001E-2</v>
      </c>
      <c r="O2093" s="1">
        <v>3.634E-4</v>
      </c>
      <c r="P209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0.67899127791629299</v>
      </c>
      <c r="Q2093" s="1">
        <f>LN(Table1[[#This Row],[qe_mg_g]]-Table1[[#This Row],[qt]])</f>
        <v>1.2867526395305913</v>
      </c>
      <c r="R2093" s="1">
        <v>1</v>
      </c>
    </row>
    <row r="2094" spans="1:18" x14ac:dyDescent="0.3">
      <c r="A2094" s="1">
        <v>2093</v>
      </c>
      <c r="B2094" s="1" t="s">
        <v>19</v>
      </c>
      <c r="C2094" s="1">
        <v>2</v>
      </c>
      <c r="D2094" s="1">
        <v>120</v>
      </c>
      <c r="E2094" s="1">
        <v>25</v>
      </c>
      <c r="F2094" s="1">
        <v>7</v>
      </c>
      <c r="G2094" s="1">
        <v>25</v>
      </c>
      <c r="H2094" s="1">
        <v>150</v>
      </c>
      <c r="I2094" s="1">
        <v>100</v>
      </c>
      <c r="J2094" s="1">
        <v>4.5119999999999996</v>
      </c>
      <c r="K2094" s="1">
        <v>15.975</v>
      </c>
      <c r="L2094" s="1">
        <v>36.1</v>
      </c>
      <c r="M2094" s="1">
        <v>56.5</v>
      </c>
      <c r="N2094" s="1">
        <v>5.2880000000000003E-2</v>
      </c>
      <c r="O2094" s="1">
        <v>3.1789999999999998E-4</v>
      </c>
      <c r="P209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0.66257718955442446</v>
      </c>
      <c r="Q2094" s="1">
        <f>LN(Table1[[#This Row],[qe_mg_g]]-Table1[[#This Row],[qt]])</f>
        <v>1.347923217695876</v>
      </c>
      <c r="R2094" s="1">
        <v>2</v>
      </c>
    </row>
    <row r="2095" spans="1:18" x14ac:dyDescent="0.3">
      <c r="A2095" s="1">
        <v>2094</v>
      </c>
      <c r="B2095" s="1" t="s">
        <v>19</v>
      </c>
      <c r="C2095" s="1">
        <v>2</v>
      </c>
      <c r="D2095" s="1">
        <v>120</v>
      </c>
      <c r="E2095" s="1">
        <v>25</v>
      </c>
      <c r="F2095" s="1">
        <v>7</v>
      </c>
      <c r="G2095" s="1">
        <v>25</v>
      </c>
      <c r="H2095" s="1">
        <v>150</v>
      </c>
      <c r="I2095" s="1">
        <v>100</v>
      </c>
      <c r="J2095" s="1">
        <v>4.1219999999999999</v>
      </c>
      <c r="K2095" s="1">
        <v>16.756</v>
      </c>
      <c r="L2095" s="1">
        <v>32.979999999999997</v>
      </c>
      <c r="M2095" s="1">
        <v>34.6</v>
      </c>
      <c r="N2095" s="1">
        <v>5.3990000000000003E-2</v>
      </c>
      <c r="O2095" s="1">
        <v>3.4279999999999998E-4</v>
      </c>
      <c r="P209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0.59760547148553111</v>
      </c>
      <c r="Q2095" s="1">
        <f>LN(Table1[[#This Row],[qe_mg_g]]-Table1[[#This Row],[qt]])</f>
        <v>1.2597086565505073</v>
      </c>
      <c r="R2095" s="1">
        <v>3</v>
      </c>
    </row>
    <row r="2096" spans="1:18" x14ac:dyDescent="0.3">
      <c r="A2096" s="1">
        <v>2095</v>
      </c>
      <c r="B2096" s="1" t="s">
        <v>19</v>
      </c>
      <c r="C2096" s="1">
        <v>2</v>
      </c>
      <c r="D2096" s="1">
        <v>120</v>
      </c>
      <c r="E2096" s="1">
        <v>25</v>
      </c>
      <c r="F2096" s="1">
        <v>11</v>
      </c>
      <c r="G2096" s="1">
        <v>25</v>
      </c>
      <c r="H2096" s="1">
        <v>150</v>
      </c>
      <c r="I2096" s="1">
        <v>100</v>
      </c>
      <c r="J2096" s="1">
        <v>2.7909999999999999</v>
      </c>
      <c r="K2096" s="1">
        <v>19.419</v>
      </c>
      <c r="L2096" s="1">
        <v>22.33</v>
      </c>
      <c r="M2096" s="1">
        <v>47</v>
      </c>
      <c r="N2096" s="1">
        <v>5.9450000000000003E-2</v>
      </c>
      <c r="O2096" s="1">
        <v>3.5809999999999998E-4</v>
      </c>
      <c r="P209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0.29889075363108702</v>
      </c>
      <c r="Q2096" s="1">
        <f>LN(Table1[[#This Row],[qe_mg_g]]-Table1[[#This Row],[qt]])</f>
        <v>0.91312943879614028</v>
      </c>
      <c r="R2096" s="1">
        <v>1</v>
      </c>
    </row>
    <row r="2097" spans="1:18" x14ac:dyDescent="0.3">
      <c r="A2097" s="1">
        <v>2096</v>
      </c>
      <c r="B2097" s="1" t="s">
        <v>19</v>
      </c>
      <c r="C2097" s="1">
        <v>2</v>
      </c>
      <c r="D2097" s="1">
        <v>120</v>
      </c>
      <c r="E2097" s="1">
        <v>25</v>
      </c>
      <c r="F2097" s="1">
        <v>11</v>
      </c>
      <c r="G2097" s="1">
        <v>25</v>
      </c>
      <c r="H2097" s="1">
        <v>150</v>
      </c>
      <c r="I2097" s="1">
        <v>100</v>
      </c>
      <c r="J2097" s="1">
        <v>3.1070000000000002</v>
      </c>
      <c r="K2097" s="1">
        <v>18.785</v>
      </c>
      <c r="L2097" s="1">
        <v>24.86</v>
      </c>
      <c r="M2097" s="1">
        <v>57.1</v>
      </c>
      <c r="N2097" s="1">
        <v>5.5509999999999997E-2</v>
      </c>
      <c r="O2097" s="1">
        <v>3.9350000000000002E-4</v>
      </c>
      <c r="P209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0.39751537188212849</v>
      </c>
      <c r="Q2097" s="1">
        <f>LN(Table1[[#This Row],[qe_mg_g]]-Table1[[#This Row],[qt]])</f>
        <v>0.99675844267997082</v>
      </c>
      <c r="R2097" s="1">
        <v>2</v>
      </c>
    </row>
    <row r="2098" spans="1:18" x14ac:dyDescent="0.3">
      <c r="A2098" s="1">
        <v>2097</v>
      </c>
      <c r="B2098" s="1" t="s">
        <v>19</v>
      </c>
      <c r="C2098" s="1">
        <v>2</v>
      </c>
      <c r="D2098" s="1">
        <v>120</v>
      </c>
      <c r="E2098" s="1">
        <v>25</v>
      </c>
      <c r="F2098" s="1">
        <v>11</v>
      </c>
      <c r="G2098" s="1">
        <v>25</v>
      </c>
      <c r="H2098" s="1">
        <v>150</v>
      </c>
      <c r="I2098" s="1">
        <v>100</v>
      </c>
      <c r="J2098" s="1">
        <v>3.1120000000000001</v>
      </c>
      <c r="K2098" s="1">
        <v>18.776</v>
      </c>
      <c r="L2098" s="1">
        <v>24.9</v>
      </c>
      <c r="M2098" s="1">
        <v>42.6</v>
      </c>
      <c r="N2098" s="1">
        <v>6.3969999999999999E-2</v>
      </c>
      <c r="O2098" s="1">
        <v>3.6299999999999999E-4</v>
      </c>
      <c r="P209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0.37149883067253459</v>
      </c>
      <c r="Q2098" s="1">
        <f>LN(Table1[[#This Row],[qe_mg_g]]-Table1[[#This Row],[qt]])</f>
        <v>1.0081408121879296</v>
      </c>
      <c r="R2098" s="1">
        <v>3</v>
      </c>
    </row>
    <row r="2099" spans="1:18" x14ac:dyDescent="0.3">
      <c r="A2099" s="1">
        <v>2098</v>
      </c>
      <c r="B2099" s="1" t="s">
        <v>19</v>
      </c>
      <c r="C2099" s="1">
        <v>2</v>
      </c>
      <c r="D2099" s="1">
        <v>120</v>
      </c>
      <c r="E2099" s="1">
        <v>50</v>
      </c>
      <c r="F2099" s="1">
        <v>3</v>
      </c>
      <c r="G2099" s="1">
        <v>25</v>
      </c>
      <c r="H2099" s="1">
        <v>150</v>
      </c>
      <c r="I2099" s="1">
        <v>100</v>
      </c>
      <c r="J2099" s="1">
        <v>7.4569999999999999</v>
      </c>
      <c r="K2099" s="1">
        <v>35.085000000000001</v>
      </c>
      <c r="L2099" s="1">
        <v>29.83</v>
      </c>
      <c r="M2099" s="1">
        <v>44.3</v>
      </c>
      <c r="N2099" s="1">
        <v>5.7180000000000002E-2</v>
      </c>
      <c r="O2099" s="1">
        <v>3.4590000000000001E-4</v>
      </c>
      <c r="P209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1.7625694914806203</v>
      </c>
      <c r="Q2099" s="1">
        <f>LN(Table1[[#This Row],[qe_mg_g]]-Table1[[#This Row],[qt]])</f>
        <v>1.739488593394902</v>
      </c>
      <c r="R2099" s="1">
        <v>1</v>
      </c>
    </row>
    <row r="2100" spans="1:18" x14ac:dyDescent="0.3">
      <c r="A2100" s="1">
        <v>2099</v>
      </c>
      <c r="B2100" s="1" t="s">
        <v>19</v>
      </c>
      <c r="C2100" s="1">
        <v>2</v>
      </c>
      <c r="D2100" s="1">
        <v>120</v>
      </c>
      <c r="E2100" s="1">
        <v>50</v>
      </c>
      <c r="F2100" s="1">
        <v>3</v>
      </c>
      <c r="G2100" s="1">
        <v>25</v>
      </c>
      <c r="H2100" s="1">
        <v>150</v>
      </c>
      <c r="I2100" s="1">
        <v>100</v>
      </c>
      <c r="J2100" s="1">
        <v>8.6349999999999998</v>
      </c>
      <c r="K2100" s="1">
        <v>32.728999999999999</v>
      </c>
      <c r="L2100" s="1">
        <v>34.54</v>
      </c>
      <c r="M2100" s="1">
        <v>51.7</v>
      </c>
      <c r="N2100" s="1">
        <v>5.0389999999999997E-2</v>
      </c>
      <c r="O2100" s="1">
        <v>3.814E-4</v>
      </c>
      <c r="P210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2.445952797330357</v>
      </c>
      <c r="Q2100" s="1">
        <f>LN(Table1[[#This Row],[qe_mg_g]]-Table1[[#This Row],[qt]])</f>
        <v>1.8227811495934887</v>
      </c>
      <c r="R2100" s="1">
        <v>2</v>
      </c>
    </row>
    <row r="2101" spans="1:18" x14ac:dyDescent="0.3">
      <c r="A2101" s="1">
        <v>2100</v>
      </c>
      <c r="B2101" s="1" t="s">
        <v>19</v>
      </c>
      <c r="C2101" s="1">
        <v>2</v>
      </c>
      <c r="D2101" s="1">
        <v>120</v>
      </c>
      <c r="E2101" s="1">
        <v>50</v>
      </c>
      <c r="F2101" s="1">
        <v>3</v>
      </c>
      <c r="G2101" s="1">
        <v>25</v>
      </c>
      <c r="H2101" s="1">
        <v>150</v>
      </c>
      <c r="I2101" s="1">
        <v>100</v>
      </c>
      <c r="J2101" s="1">
        <v>8.282</v>
      </c>
      <c r="K2101" s="1">
        <v>33.436</v>
      </c>
      <c r="L2101" s="1">
        <v>33.130000000000003</v>
      </c>
      <c r="M2101" s="1">
        <v>55.9</v>
      </c>
      <c r="N2101" s="1">
        <v>5.8720000000000001E-2</v>
      </c>
      <c r="O2101" s="1">
        <v>3.4870000000000002E-4</v>
      </c>
      <c r="P210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2.1314763285815843</v>
      </c>
      <c r="Q2101" s="1">
        <f>LN(Table1[[#This Row],[qe_mg_g]]-Table1[[#This Row],[qt]])</f>
        <v>1.8165372280175187</v>
      </c>
      <c r="R2101" s="1">
        <v>3</v>
      </c>
    </row>
    <row r="2102" spans="1:18" x14ac:dyDescent="0.3">
      <c r="A2102" s="1">
        <v>2101</v>
      </c>
      <c r="B2102" s="1" t="s">
        <v>19</v>
      </c>
      <c r="C2102" s="1">
        <v>2</v>
      </c>
      <c r="D2102" s="1">
        <v>120</v>
      </c>
      <c r="E2102" s="1">
        <v>50</v>
      </c>
      <c r="F2102" s="1">
        <v>7</v>
      </c>
      <c r="G2102" s="1">
        <v>25</v>
      </c>
      <c r="H2102" s="1">
        <v>150</v>
      </c>
      <c r="I2102" s="1">
        <v>100</v>
      </c>
      <c r="J2102" s="1">
        <v>12.263</v>
      </c>
      <c r="K2102" s="1">
        <v>25.475000000000001</v>
      </c>
      <c r="L2102" s="1">
        <v>49.05</v>
      </c>
      <c r="M2102" s="1">
        <v>64.099999999999994</v>
      </c>
      <c r="N2102" s="1">
        <v>5.8439999999999999E-2</v>
      </c>
      <c r="O2102" s="1">
        <v>3.4410000000000002E-4</v>
      </c>
      <c r="P2102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4.1222042423196958</v>
      </c>
      <c r="Q2102" s="1">
        <f>LN(Table1[[#This Row],[qe_mg_g]]-Table1[[#This Row],[qt]])</f>
        <v>2.0968879341651405</v>
      </c>
      <c r="R2102" s="1">
        <v>1</v>
      </c>
    </row>
    <row r="2103" spans="1:18" x14ac:dyDescent="0.3">
      <c r="A2103" s="1">
        <v>2102</v>
      </c>
      <c r="B2103" s="1" t="s">
        <v>19</v>
      </c>
      <c r="C2103" s="1">
        <v>2</v>
      </c>
      <c r="D2103" s="1">
        <v>120</v>
      </c>
      <c r="E2103" s="1">
        <v>50</v>
      </c>
      <c r="F2103" s="1">
        <v>7</v>
      </c>
      <c r="G2103" s="1">
        <v>25</v>
      </c>
      <c r="H2103" s="1">
        <v>150</v>
      </c>
      <c r="I2103" s="1">
        <v>100</v>
      </c>
      <c r="J2103" s="1">
        <v>13.207000000000001</v>
      </c>
      <c r="K2103" s="1">
        <v>23.585000000000001</v>
      </c>
      <c r="L2103" s="1">
        <v>52.83</v>
      </c>
      <c r="M2103" s="1">
        <v>35.200000000000003</v>
      </c>
      <c r="N2103" s="1">
        <v>6.6290000000000002E-2</v>
      </c>
      <c r="O2103" s="1">
        <v>2.9030000000000001E-4</v>
      </c>
      <c r="P210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4.161599354117711</v>
      </c>
      <c r="Q2103" s="1">
        <f>LN(Table1[[#This Row],[qe_mg_g]]-Table1[[#This Row],[qt]])</f>
        <v>2.2022564126017414</v>
      </c>
      <c r="R2103" s="1">
        <v>2</v>
      </c>
    </row>
    <row r="2104" spans="1:18" x14ac:dyDescent="0.3">
      <c r="A2104" s="1">
        <v>2103</v>
      </c>
      <c r="B2104" s="1" t="s">
        <v>19</v>
      </c>
      <c r="C2104" s="1">
        <v>2</v>
      </c>
      <c r="D2104" s="1">
        <v>120</v>
      </c>
      <c r="E2104" s="1">
        <v>50</v>
      </c>
      <c r="F2104" s="1">
        <v>7</v>
      </c>
      <c r="G2104" s="1">
        <v>25</v>
      </c>
      <c r="H2104" s="1">
        <v>150</v>
      </c>
      <c r="I2104" s="1">
        <v>100</v>
      </c>
      <c r="J2104" s="1">
        <v>11.536</v>
      </c>
      <c r="K2104" s="1">
        <v>26.928999999999998</v>
      </c>
      <c r="L2104" s="1">
        <v>46.14</v>
      </c>
      <c r="M2104" s="1">
        <v>54.2</v>
      </c>
      <c r="N2104" s="1">
        <v>5.4190000000000002E-2</v>
      </c>
      <c r="O2104" s="1">
        <v>3.8519999999999998E-4</v>
      </c>
      <c r="P210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4.0120640744644671</v>
      </c>
      <c r="Q2104" s="1">
        <f>LN(Table1[[#This Row],[qe_mg_g]]-Table1[[#This Row],[qt]])</f>
        <v>2.018089395391828</v>
      </c>
      <c r="R2104" s="1">
        <v>3</v>
      </c>
    </row>
    <row r="2105" spans="1:18" x14ac:dyDescent="0.3">
      <c r="A2105" s="1">
        <v>2104</v>
      </c>
      <c r="B2105" s="1" t="s">
        <v>19</v>
      </c>
      <c r="C2105" s="1">
        <v>2</v>
      </c>
      <c r="D2105" s="1">
        <v>120</v>
      </c>
      <c r="E2105" s="1">
        <v>50</v>
      </c>
      <c r="F2105" s="1">
        <v>11</v>
      </c>
      <c r="G2105" s="1">
        <v>25</v>
      </c>
      <c r="H2105" s="1">
        <v>150</v>
      </c>
      <c r="I2105" s="1">
        <v>100</v>
      </c>
      <c r="J2105" s="1">
        <v>8.74</v>
      </c>
      <c r="K2105" s="1">
        <v>32.520000000000003</v>
      </c>
      <c r="L2105" s="1">
        <v>34.96</v>
      </c>
      <c r="M2105" s="1">
        <v>56.7</v>
      </c>
      <c r="N2105" s="1">
        <v>5.1819999999999998E-2</v>
      </c>
      <c r="O2105" s="1">
        <v>3.6029999999999998E-4</v>
      </c>
      <c r="P210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2.3969343815812936</v>
      </c>
      <c r="Q2105" s="1">
        <f>LN(Table1[[#This Row],[qe_mg_g]]-Table1[[#This Row],[qt]])</f>
        <v>1.8473621876114474</v>
      </c>
      <c r="R2105" s="1">
        <v>1</v>
      </c>
    </row>
    <row r="2106" spans="1:18" x14ac:dyDescent="0.3">
      <c r="A2106" s="1">
        <v>2105</v>
      </c>
      <c r="B2106" s="1" t="s">
        <v>19</v>
      </c>
      <c r="C2106" s="1">
        <v>2</v>
      </c>
      <c r="D2106" s="1">
        <v>120</v>
      </c>
      <c r="E2106" s="1">
        <v>50</v>
      </c>
      <c r="F2106" s="1">
        <v>11</v>
      </c>
      <c r="G2106" s="1">
        <v>25</v>
      </c>
      <c r="H2106" s="1">
        <v>150</v>
      </c>
      <c r="I2106" s="1">
        <v>100</v>
      </c>
      <c r="J2106" s="1">
        <v>9.3960000000000008</v>
      </c>
      <c r="K2106" s="1">
        <v>31.207999999999998</v>
      </c>
      <c r="L2106" s="1">
        <v>37.58</v>
      </c>
      <c r="M2106" s="1">
        <v>55.3</v>
      </c>
      <c r="N2106" s="1">
        <v>5.1979999999999998E-2</v>
      </c>
      <c r="O2106" s="1">
        <v>3.321E-4</v>
      </c>
      <c r="P210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2.5598079548875821</v>
      </c>
      <c r="Q2106" s="1">
        <f>LN(Table1[[#This Row],[qe_mg_g]]-Table1[[#This Row],[qt]])</f>
        <v>1.9222308580583312</v>
      </c>
      <c r="R2106" s="1">
        <v>2</v>
      </c>
    </row>
    <row r="2107" spans="1:18" x14ac:dyDescent="0.3">
      <c r="A2107" s="1">
        <v>2106</v>
      </c>
      <c r="B2107" s="1" t="s">
        <v>19</v>
      </c>
      <c r="C2107" s="1">
        <v>2</v>
      </c>
      <c r="D2107" s="1">
        <v>120</v>
      </c>
      <c r="E2107" s="1">
        <v>50</v>
      </c>
      <c r="F2107" s="1">
        <v>11</v>
      </c>
      <c r="G2107" s="1">
        <v>25</v>
      </c>
      <c r="H2107" s="1">
        <v>150</v>
      </c>
      <c r="I2107" s="1">
        <v>100</v>
      </c>
      <c r="J2107" s="1">
        <v>9.6289999999999996</v>
      </c>
      <c r="K2107" s="1">
        <v>30.742000000000001</v>
      </c>
      <c r="L2107" s="1">
        <v>38.520000000000003</v>
      </c>
      <c r="M2107" s="1">
        <v>62.3</v>
      </c>
      <c r="N2107" s="1">
        <v>5.1709999999999999E-2</v>
      </c>
      <c r="O2107" s="1">
        <v>3.1960000000000002E-4</v>
      </c>
      <c r="P2107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2.5968956986488294</v>
      </c>
      <c r="Q2107" s="1">
        <f>LN(Table1[[#This Row],[qe_mg_g]]-Table1[[#This Row],[qt]])</f>
        <v>1.9504859926606999</v>
      </c>
      <c r="R2107" s="1">
        <v>3</v>
      </c>
    </row>
    <row r="2108" spans="1:18" x14ac:dyDescent="0.3">
      <c r="A2108" s="1">
        <v>2107</v>
      </c>
      <c r="B2108" s="1" t="s">
        <v>19</v>
      </c>
      <c r="C2108" s="1">
        <v>2</v>
      </c>
      <c r="D2108" s="1">
        <v>120</v>
      </c>
      <c r="E2108" s="1">
        <v>100</v>
      </c>
      <c r="F2108" s="1">
        <v>3</v>
      </c>
      <c r="G2108" s="1">
        <v>25</v>
      </c>
      <c r="H2108" s="1">
        <v>150</v>
      </c>
      <c r="I2108" s="1">
        <v>100</v>
      </c>
      <c r="J2108" s="1">
        <v>22.532</v>
      </c>
      <c r="K2108" s="1">
        <v>54.935000000000002</v>
      </c>
      <c r="L2108" s="1">
        <v>45.06</v>
      </c>
      <c r="M2108" s="1">
        <v>54.3</v>
      </c>
      <c r="N2108" s="1">
        <v>5.9569999999999998E-2</v>
      </c>
      <c r="O2108" s="1">
        <v>3.1829999999999998E-4</v>
      </c>
      <c r="P2108" s="1">
        <f>(Table1[[#This Row],[Rate_Constant_k2_g_mg_min]]*Table1[[#This Row],[Contact_Time_min]]*Table1[[#This Row],[qe_mg_g]]^2)/(1+Table1[[#This Row],[Contact_Time_min]]*Table1[[#This Row],[qe_mg_g]]*Table1[[#This Row],[Rate_Constant_k2_g_mg_min]])</f>
        <v>10.422138025080971</v>
      </c>
      <c r="Q2108" s="1">
        <f>LN(Table1[[#This Row],[qe_mg_g]]-Table1[[#This Row],[qt]])</f>
        <v>2.4940201598880765</v>
      </c>
      <c r="R2108" s="1">
        <v>1</v>
      </c>
    </row>
    <row r="2109" spans="1:18" x14ac:dyDescent="0.3">
      <c r="A2109" s="1">
        <v>2108</v>
      </c>
      <c r="B2109" s="1" t="s">
        <v>19</v>
      </c>
      <c r="C2109" s="1">
        <v>2</v>
      </c>
      <c r="D2109" s="1">
        <v>120</v>
      </c>
      <c r="E2109" s="1">
        <v>100</v>
      </c>
      <c r="F2109" s="1">
        <v>3</v>
      </c>
      <c r="G2109" s="1">
        <v>25</v>
      </c>
      <c r="H2109" s="1">
        <v>150</v>
      </c>
      <c r="I2109" s="1">
        <v>100</v>
      </c>
      <c r="J2109" s="1">
        <v>18.913</v>
      </c>
      <c r="K2109" s="1">
        <v>62.173000000000002</v>
      </c>
      <c r="L2109" s="1">
        <v>37.83</v>
      </c>
      <c r="M2109" s="1">
        <v>50.2</v>
      </c>
      <c r="N2109" s="1">
        <v>5.0790000000000002E-2</v>
      </c>
      <c r="O2109" s="1">
        <v>3.4719999999999998E-4</v>
      </c>
      <c r="P210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8.3352076364186551</v>
      </c>
      <c r="Q2109" s="1">
        <f>LN(Table1[[#This Row],[qe_mg_g]]-Table1[[#This Row],[qt]])</f>
        <v>2.3587567433701508</v>
      </c>
      <c r="R2109" s="1">
        <v>2</v>
      </c>
    </row>
    <row r="2110" spans="1:18" x14ac:dyDescent="0.3">
      <c r="A2110" s="1">
        <v>2109</v>
      </c>
      <c r="B2110" s="1" t="s">
        <v>19</v>
      </c>
      <c r="C2110" s="1">
        <v>2</v>
      </c>
      <c r="D2110" s="1">
        <v>120</v>
      </c>
      <c r="E2110" s="1">
        <v>100</v>
      </c>
      <c r="F2110" s="1">
        <v>3</v>
      </c>
      <c r="G2110" s="1">
        <v>25</v>
      </c>
      <c r="H2110" s="1">
        <v>150</v>
      </c>
      <c r="I2110" s="1">
        <v>100</v>
      </c>
      <c r="J2110" s="1">
        <v>20.640999999999998</v>
      </c>
      <c r="K2110" s="1">
        <v>58.716999999999999</v>
      </c>
      <c r="L2110" s="1">
        <v>41.28</v>
      </c>
      <c r="M2110" s="1">
        <v>60.6</v>
      </c>
      <c r="N2110" s="1">
        <v>5.3420000000000002E-2</v>
      </c>
      <c r="O2110" s="1">
        <v>3.5530000000000002E-4</v>
      </c>
      <c r="P2110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9.6620347824873107</v>
      </c>
      <c r="Q2110" s="1">
        <f>LN(Table1[[#This Row],[qe_mg_g]]-Table1[[#This Row],[qt]])</f>
        <v>2.3959811891550991</v>
      </c>
      <c r="R2110" s="1">
        <v>3</v>
      </c>
    </row>
    <row r="2111" spans="1:18" x14ac:dyDescent="0.3">
      <c r="A2111" s="1">
        <v>2110</v>
      </c>
      <c r="B2111" s="1" t="s">
        <v>19</v>
      </c>
      <c r="C2111" s="1">
        <v>2</v>
      </c>
      <c r="D2111" s="1">
        <v>120</v>
      </c>
      <c r="E2111" s="1">
        <v>100</v>
      </c>
      <c r="F2111" s="1">
        <v>7</v>
      </c>
      <c r="G2111" s="1">
        <v>25</v>
      </c>
      <c r="H2111" s="1">
        <v>150</v>
      </c>
      <c r="I2111" s="1">
        <v>100</v>
      </c>
      <c r="J2111" s="1">
        <v>32.277000000000001</v>
      </c>
      <c r="K2111" s="1">
        <v>35.447000000000003</v>
      </c>
      <c r="L2111" s="1">
        <v>64.55</v>
      </c>
      <c r="M2111" s="1">
        <v>56.1</v>
      </c>
      <c r="N2111" s="1">
        <v>5.4870000000000002E-2</v>
      </c>
      <c r="O2111" s="1">
        <v>3.679E-4</v>
      </c>
      <c r="P2111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18.966704777907651</v>
      </c>
      <c r="Q2111" s="1">
        <f>LN(Table1[[#This Row],[qe_mg_g]]-Table1[[#This Row],[qt]])</f>
        <v>2.5885378126337906</v>
      </c>
      <c r="R2111" s="1">
        <v>1</v>
      </c>
    </row>
    <row r="2112" spans="1:18" x14ac:dyDescent="0.3">
      <c r="A2112" s="1">
        <v>2111</v>
      </c>
      <c r="B2112" s="1" t="s">
        <v>19</v>
      </c>
      <c r="C2112" s="1">
        <v>2</v>
      </c>
      <c r="D2112" s="1">
        <v>120</v>
      </c>
      <c r="E2112" s="1">
        <v>100</v>
      </c>
      <c r="F2112" s="1">
        <v>7</v>
      </c>
      <c r="G2112" s="1">
        <v>25</v>
      </c>
      <c r="H2112" s="1">
        <v>150</v>
      </c>
      <c r="I2112" s="1">
        <v>100</v>
      </c>
      <c r="J2112" s="1">
        <v>30.146000000000001</v>
      </c>
      <c r="K2112" s="1">
        <v>39.707000000000001</v>
      </c>
      <c r="L2112" s="1">
        <v>60.29</v>
      </c>
      <c r="M2112" s="1">
        <v>66</v>
      </c>
      <c r="N2112" s="1">
        <v>5.3699999999999998E-2</v>
      </c>
      <c r="O2112" s="1">
        <v>3.0410000000000002E-4</v>
      </c>
      <c r="P2112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15.791362284066604</v>
      </c>
      <c r="Q2112" s="1">
        <f>LN(Table1[[#This Row],[qe_mg_g]]-Table1[[#This Row],[qt]])</f>
        <v>2.6640730757716864</v>
      </c>
      <c r="R2112" s="1">
        <v>2</v>
      </c>
    </row>
    <row r="2113" spans="1:18" x14ac:dyDescent="0.3">
      <c r="A2113" s="1">
        <v>2112</v>
      </c>
      <c r="B2113" s="1" t="s">
        <v>19</v>
      </c>
      <c r="C2113" s="1">
        <v>2</v>
      </c>
      <c r="D2113" s="1">
        <v>120</v>
      </c>
      <c r="E2113" s="1">
        <v>100</v>
      </c>
      <c r="F2113" s="1">
        <v>7</v>
      </c>
      <c r="G2113" s="1">
        <v>25</v>
      </c>
      <c r="H2113" s="1">
        <v>150</v>
      </c>
      <c r="I2113" s="1">
        <v>100</v>
      </c>
      <c r="J2113" s="1">
        <v>32.344999999999999</v>
      </c>
      <c r="K2113" s="1">
        <v>35.311</v>
      </c>
      <c r="L2113" s="1">
        <v>64.69</v>
      </c>
      <c r="M2113" s="1">
        <v>47.6</v>
      </c>
      <c r="N2113" s="1">
        <v>5.8659999999999997E-2</v>
      </c>
      <c r="O2113" s="1">
        <v>4.2729999999999998E-4</v>
      </c>
      <c r="P2113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20.178466368394691</v>
      </c>
      <c r="Q2113" s="1">
        <f>LN(Table1[[#This Row],[qe_mg_g]]-Table1[[#This Row],[qt]])</f>
        <v>2.4986890374719506</v>
      </c>
      <c r="R2113" s="1">
        <v>3</v>
      </c>
    </row>
    <row r="2114" spans="1:18" x14ac:dyDescent="0.3">
      <c r="A2114" s="1">
        <v>2113</v>
      </c>
      <c r="B2114" s="1" t="s">
        <v>19</v>
      </c>
      <c r="C2114" s="1">
        <v>2</v>
      </c>
      <c r="D2114" s="1">
        <v>120</v>
      </c>
      <c r="E2114" s="1">
        <v>100</v>
      </c>
      <c r="F2114" s="1">
        <v>11</v>
      </c>
      <c r="G2114" s="1">
        <v>25</v>
      </c>
      <c r="H2114" s="1">
        <v>150</v>
      </c>
      <c r="I2114" s="1">
        <v>100</v>
      </c>
      <c r="J2114" s="1">
        <v>24.251999999999999</v>
      </c>
      <c r="K2114" s="1">
        <v>51.496000000000002</v>
      </c>
      <c r="L2114" s="1">
        <v>48.5</v>
      </c>
      <c r="M2114" s="1">
        <v>57.3</v>
      </c>
      <c r="N2114" s="1">
        <v>4.5339999999999998E-2</v>
      </c>
      <c r="O2114" s="1">
        <v>3.659E-4</v>
      </c>
      <c r="P2114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12.506875683351016</v>
      </c>
      <c r="Q2114" s="1">
        <f>LN(Table1[[#This Row],[qe_mg_g]]-Table1[[#This Row],[qt]])</f>
        <v>2.4634382026993022</v>
      </c>
      <c r="R2114" s="1">
        <v>1</v>
      </c>
    </row>
    <row r="2115" spans="1:18" x14ac:dyDescent="0.3">
      <c r="A2115" s="1">
        <v>2114</v>
      </c>
      <c r="B2115" s="1" t="s">
        <v>19</v>
      </c>
      <c r="C2115" s="1">
        <v>2</v>
      </c>
      <c r="D2115" s="1">
        <v>120</v>
      </c>
      <c r="E2115" s="1">
        <v>100</v>
      </c>
      <c r="F2115" s="1">
        <v>11</v>
      </c>
      <c r="G2115" s="1">
        <v>25</v>
      </c>
      <c r="H2115" s="1">
        <v>150</v>
      </c>
      <c r="I2115" s="1">
        <v>100</v>
      </c>
      <c r="J2115" s="1">
        <v>24.074000000000002</v>
      </c>
      <c r="K2115" s="1">
        <v>51.853000000000002</v>
      </c>
      <c r="L2115" s="1">
        <v>48.15</v>
      </c>
      <c r="M2115" s="1">
        <v>49.4</v>
      </c>
      <c r="N2115" s="1">
        <v>4.8939999999999997E-2</v>
      </c>
      <c r="O2115" s="1">
        <v>3.7560000000000002E-4</v>
      </c>
      <c r="P2115" s="1">
        <f>(Table1[[#This Row],[Rate_Constant_k2_g_mg_min]]*Table1[[#This Row],[Contact_Time_min]]*Table1[[#This Row],[qe_mg_g]]^2)/(1+Table1[[#This Row],[Contact_Time_min]]*Table1[[#This Row],[qe_mg_g]]*Table1[[#This Row],[Rate_Constant_k2_g_mg_min]])</f>
        <v>12.528067712613858</v>
      </c>
      <c r="Q2115" s="1">
        <f>LN(Table1[[#This Row],[qe_mg_g]]-Table1[[#This Row],[qt]])</f>
        <v>2.4463331920265463</v>
      </c>
      <c r="R2115" s="1">
        <v>2</v>
      </c>
    </row>
    <row r="2116" spans="1:18" x14ac:dyDescent="0.3">
      <c r="A2116" s="1">
        <v>2115</v>
      </c>
      <c r="B2116" s="1" t="s">
        <v>19</v>
      </c>
      <c r="C2116" s="1">
        <v>2</v>
      </c>
      <c r="D2116" s="1">
        <v>120</v>
      </c>
      <c r="E2116" s="1">
        <v>100</v>
      </c>
      <c r="F2116" s="1">
        <v>11</v>
      </c>
      <c r="G2116" s="1">
        <v>25</v>
      </c>
      <c r="H2116" s="1">
        <v>150</v>
      </c>
      <c r="I2116" s="1">
        <v>100</v>
      </c>
      <c r="J2116" s="1">
        <v>27.475000000000001</v>
      </c>
      <c r="K2116" s="1">
        <v>45.051000000000002</v>
      </c>
      <c r="L2116" s="1">
        <v>54.95</v>
      </c>
      <c r="M2116" s="1">
        <v>54.7</v>
      </c>
      <c r="N2116" s="1">
        <v>5.0250000000000003E-2</v>
      </c>
      <c r="O2116" s="1">
        <v>4.0559999999999999E-4</v>
      </c>
      <c r="P2116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15.719798446319615</v>
      </c>
      <c r="Q2116" s="1">
        <f>LN(Table1[[#This Row],[qe_mg_g]]-Table1[[#This Row],[qt]])</f>
        <v>2.4642958280534932</v>
      </c>
      <c r="R2116" s="1">
        <v>3</v>
      </c>
    </row>
    <row r="2117" spans="1:18" x14ac:dyDescent="0.3">
      <c r="A2117" s="1">
        <v>2116</v>
      </c>
      <c r="B2117" s="1" t="s">
        <v>19</v>
      </c>
      <c r="C2117" s="1">
        <v>2</v>
      </c>
      <c r="D2117" s="1">
        <v>120</v>
      </c>
      <c r="E2117" s="1">
        <v>200</v>
      </c>
      <c r="F2117" s="1">
        <v>3</v>
      </c>
      <c r="G2117" s="1">
        <v>25</v>
      </c>
      <c r="H2117" s="1">
        <v>150</v>
      </c>
      <c r="I2117" s="1">
        <v>100</v>
      </c>
      <c r="J2117" s="1">
        <v>50.725999999999999</v>
      </c>
      <c r="K2117" s="1">
        <v>98.548000000000002</v>
      </c>
      <c r="L2117" s="1">
        <v>50.73</v>
      </c>
      <c r="M2117" s="1">
        <v>36.9</v>
      </c>
      <c r="N2117" s="1">
        <v>5.7520000000000002E-2</v>
      </c>
      <c r="O2117" s="1">
        <v>3.1129999999999998E-4</v>
      </c>
      <c r="P2117" s="1">
        <f>(Table1[[#This Row],[Rate_Constant_k2_g_mg_min]]*Table1[[#This Row],[Contact_Time_min]]*Table1[[#This Row],[qe_mg_g]]^2)/(1+Table1[[#This Row],[Contact_Time_min]]*Table1[[#This Row],[qe_mg_g]]*Table1[[#This Row],[Rate_Constant_k2_g_mg_min]])</f>
        <v>33.203584178568534</v>
      </c>
      <c r="Q2117" s="1">
        <f>LN(Table1[[#This Row],[qe_mg_g]]-Table1[[#This Row],[qt]])</f>
        <v>2.8634809653534936</v>
      </c>
      <c r="R2117" s="1">
        <v>1</v>
      </c>
    </row>
    <row r="2118" spans="1:18" x14ac:dyDescent="0.3">
      <c r="A2118" s="1">
        <v>2117</v>
      </c>
      <c r="B2118" s="1" t="s">
        <v>19</v>
      </c>
      <c r="C2118" s="1">
        <v>2</v>
      </c>
      <c r="D2118" s="1">
        <v>120</v>
      </c>
      <c r="E2118" s="1">
        <v>200</v>
      </c>
      <c r="F2118" s="1">
        <v>3</v>
      </c>
      <c r="G2118" s="1">
        <v>25</v>
      </c>
      <c r="H2118" s="1">
        <v>150</v>
      </c>
      <c r="I2118" s="1">
        <v>100</v>
      </c>
      <c r="J2118" s="1">
        <v>57.244</v>
      </c>
      <c r="K2118" s="1">
        <v>85.513000000000005</v>
      </c>
      <c r="L2118" s="1">
        <v>57.24</v>
      </c>
      <c r="M2118" s="1">
        <v>51.4</v>
      </c>
      <c r="N2118" s="1">
        <v>5.8319999999999997E-2</v>
      </c>
      <c r="O2118" s="1">
        <v>3.991E-4</v>
      </c>
      <c r="P2118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41.944375144535002</v>
      </c>
      <c r="Q2118" s="1">
        <f>LN(Table1[[#This Row],[qe_mg_g]]-Table1[[#This Row],[qt]])</f>
        <v>2.7278283088471342</v>
      </c>
      <c r="R2118" s="1">
        <v>2</v>
      </c>
    </row>
    <row r="2119" spans="1:18" x14ac:dyDescent="0.3">
      <c r="A2119" s="1">
        <v>2118</v>
      </c>
      <c r="B2119" s="1" t="s">
        <v>19</v>
      </c>
      <c r="C2119" s="1">
        <v>2</v>
      </c>
      <c r="D2119" s="1">
        <v>120</v>
      </c>
      <c r="E2119" s="1">
        <v>200</v>
      </c>
      <c r="F2119" s="1">
        <v>3</v>
      </c>
      <c r="G2119" s="1">
        <v>25</v>
      </c>
      <c r="H2119" s="1">
        <v>150</v>
      </c>
      <c r="I2119" s="1">
        <v>100</v>
      </c>
      <c r="J2119" s="1">
        <v>49.008000000000003</v>
      </c>
      <c r="K2119" s="1">
        <v>101.98399999999999</v>
      </c>
      <c r="L2119" s="1">
        <v>49.01</v>
      </c>
      <c r="M2119" s="1">
        <v>49.9</v>
      </c>
      <c r="N2119" s="1">
        <v>5.4579999999999997E-2</v>
      </c>
      <c r="O2119" s="1">
        <v>4.038E-4</v>
      </c>
      <c r="P2119" s="1">
        <f>(Table1[[#This Row],[Rate_Constant_k2_g_mg_min]]*Table1[[#This Row],[Contact_Time_min]]*Table1[[#This Row],[qe_mg_g]]^2)/(1+Table1[[#This Row],[Contact_Time_min]]*Table1[[#This Row],[qe_mg_g]]*Table1[[#This Row],[Rate_Constant_k2_g_mg_min]])</f>
        <v>34.485956438686294</v>
      </c>
      <c r="Q2119" s="1">
        <f>LN(Table1[[#This Row],[qe_mg_g]]-Table1[[#This Row],[qt]])</f>
        <v>2.6756677406308529</v>
      </c>
      <c r="R2119" s="1">
        <v>3</v>
      </c>
    </row>
    <row r="2120" spans="1:18" x14ac:dyDescent="0.3">
      <c r="A2120" s="1">
        <v>2119</v>
      </c>
      <c r="B2120" s="1" t="s">
        <v>19</v>
      </c>
      <c r="C2120" s="1">
        <v>2</v>
      </c>
      <c r="D2120" s="1">
        <v>120</v>
      </c>
      <c r="E2120" s="1">
        <v>200</v>
      </c>
      <c r="F2120" s="1">
        <v>7</v>
      </c>
      <c r="G2120" s="1">
        <v>25</v>
      </c>
      <c r="H2120" s="1">
        <v>150</v>
      </c>
      <c r="I2120" s="1">
        <v>100</v>
      </c>
      <c r="J2120" s="1">
        <v>72.504000000000005</v>
      </c>
      <c r="K2120" s="1">
        <v>54.993000000000002</v>
      </c>
      <c r="L2120" s="1">
        <v>72.5</v>
      </c>
      <c r="M2120" s="1">
        <v>49.7</v>
      </c>
      <c r="N2120" s="1">
        <v>5.7630000000000001E-2</v>
      </c>
      <c r="O2120" s="1">
        <v>3.2979999999999999E-4</v>
      </c>
      <c r="P2120" s="1">
        <f>(Table1[[#This Row],[Rate_Constant_k2_g_mg_min]]*Table1[[#This Row],[Contact_Time_min]]*Table1[[#This Row],[qe_mg_g]]^2)/(1+Table1[[#This Row],[Contact_Time_min]]*Table1[[#This Row],[qe_mg_g]]*Table1[[#This Row],[Rate_Constant_k2_g_mg_min]])</f>
        <v>53.766299833272306</v>
      </c>
      <c r="Q2120" s="1">
        <f>LN(Table1[[#This Row],[qe_mg_g]]-Table1[[#This Row],[qt]])</f>
        <v>2.9305375460522542</v>
      </c>
      <c r="R2120" s="1">
        <v>1</v>
      </c>
    </row>
    <row r="2121" spans="1:18" x14ac:dyDescent="0.3">
      <c r="A2121" s="1">
        <v>2120</v>
      </c>
      <c r="B2121" s="1" t="s">
        <v>19</v>
      </c>
      <c r="C2121" s="1">
        <v>2</v>
      </c>
      <c r="D2121" s="1">
        <v>120</v>
      </c>
      <c r="E2121" s="1">
        <v>200</v>
      </c>
      <c r="F2121" s="1">
        <v>7</v>
      </c>
      <c r="G2121" s="1">
        <v>25</v>
      </c>
      <c r="H2121" s="1">
        <v>150</v>
      </c>
      <c r="I2121" s="1">
        <v>100</v>
      </c>
      <c r="J2121" s="1">
        <v>76.817999999999998</v>
      </c>
      <c r="K2121" s="1">
        <v>46.363999999999997</v>
      </c>
      <c r="L2121" s="1">
        <v>76.819999999999993</v>
      </c>
      <c r="M2121" s="1">
        <v>41.9</v>
      </c>
      <c r="N2121" s="1">
        <v>6.7180000000000004E-2</v>
      </c>
      <c r="O2121" s="1">
        <v>3.0279999999999999E-4</v>
      </c>
      <c r="P2121" s="1">
        <f>(Table1[[#This Row],[Rate_Constant_k2_g_mg_min]]*Table1[[#This Row],[Contact_Time_min]]*Table1[[#This Row],[qe_mg_g]]^2)/(1+Table1[[#This Row],[Contact_Time_min]]*Table1[[#This Row],[qe_mg_g]]*Table1[[#This Row],[Rate_Constant_k2_g_mg_min]])</f>
        <v>56.556128394867109</v>
      </c>
      <c r="Q2121" s="1">
        <f>LN(Table1[[#This Row],[qe_mg_g]]-Table1[[#This Row],[qt]])</f>
        <v>3.008740873879244</v>
      </c>
      <c r="R2121" s="1">
        <v>2</v>
      </c>
    </row>
    <row r="2122" spans="1:18" x14ac:dyDescent="0.3">
      <c r="A2122" s="1">
        <v>2121</v>
      </c>
      <c r="B2122" s="1" t="s">
        <v>19</v>
      </c>
      <c r="C2122" s="1">
        <v>2</v>
      </c>
      <c r="D2122" s="1">
        <v>120</v>
      </c>
      <c r="E2122" s="1">
        <v>200</v>
      </c>
      <c r="F2122" s="1">
        <v>7</v>
      </c>
      <c r="G2122" s="1">
        <v>25</v>
      </c>
      <c r="H2122" s="1">
        <v>150</v>
      </c>
      <c r="I2122" s="1">
        <v>100</v>
      </c>
      <c r="J2122" s="1">
        <v>74.295000000000002</v>
      </c>
      <c r="K2122" s="1">
        <v>51.411000000000001</v>
      </c>
      <c r="L2122" s="1">
        <v>74.290000000000006</v>
      </c>
      <c r="M2122" s="1">
        <v>54.3</v>
      </c>
      <c r="N2122" s="1">
        <v>6.5519999999999995E-2</v>
      </c>
      <c r="O2122" s="1">
        <v>3.0360000000000001E-4</v>
      </c>
      <c r="P2122" s="1">
        <f>(Table1[[#This Row],[Rate_Constant_k2_g_mg_min]]*Table1[[#This Row],[Contact_Time_min]]*Table1[[#This Row],[qe_mg_g]]^2)/(1+Table1[[#This Row],[Contact_Time_min]]*Table1[[#This Row],[qe_mg_g]]*Table1[[#This Row],[Rate_Constant_k2_g_mg_min]])</f>
        <v>54.251648627983165</v>
      </c>
      <c r="Q2122" s="1">
        <f>LN(Table1[[#This Row],[qe_mg_g]]-Table1[[#This Row],[qt]])</f>
        <v>2.9978974963671718</v>
      </c>
      <c r="R2122" s="1">
        <v>3</v>
      </c>
    </row>
    <row r="2123" spans="1:18" x14ac:dyDescent="0.3">
      <c r="A2123" s="1">
        <v>2122</v>
      </c>
      <c r="B2123" s="1" t="s">
        <v>19</v>
      </c>
      <c r="C2123" s="1">
        <v>2</v>
      </c>
      <c r="D2123" s="1">
        <v>120</v>
      </c>
      <c r="E2123" s="1">
        <v>200</v>
      </c>
      <c r="F2123" s="1">
        <v>11</v>
      </c>
      <c r="G2123" s="1">
        <v>25</v>
      </c>
      <c r="H2123" s="1">
        <v>150</v>
      </c>
      <c r="I2123" s="1">
        <v>100</v>
      </c>
      <c r="J2123" s="1">
        <v>71.138000000000005</v>
      </c>
      <c r="K2123" s="1">
        <v>57.723999999999997</v>
      </c>
      <c r="L2123" s="1">
        <v>71.14</v>
      </c>
      <c r="M2123" s="1">
        <v>60.7</v>
      </c>
      <c r="N2123" s="1">
        <v>5.7290000000000001E-2</v>
      </c>
      <c r="O2123" s="1">
        <v>3.1550000000000003E-4</v>
      </c>
      <c r="P2123" s="1">
        <f>(Table1[[#This Row],[Rate_Constant_k2_g_mg_min]]*Table1[[#This Row],[Contact_Time_min]]*Table1[[#This Row],[qe_mg_g]]^2)/(1+Table1[[#This Row],[Contact_Time_min]]*Table1[[#This Row],[qe_mg_g]]*Table1[[#This Row],[Rate_Constant_k2_g_mg_min]])</f>
        <v>51.876554927750661</v>
      </c>
      <c r="Q2123" s="1">
        <f>LN(Table1[[#This Row],[qe_mg_g]]-Table1[[#This Row],[qt]])</f>
        <v>2.9581054332671952</v>
      </c>
      <c r="R2123" s="1">
        <v>1</v>
      </c>
    </row>
    <row r="2124" spans="1:18" x14ac:dyDescent="0.3">
      <c r="A2124" s="1">
        <v>2123</v>
      </c>
      <c r="B2124" s="1" t="s">
        <v>19</v>
      </c>
      <c r="C2124" s="1">
        <v>2</v>
      </c>
      <c r="D2124" s="1">
        <v>120</v>
      </c>
      <c r="E2124" s="1">
        <v>200</v>
      </c>
      <c r="F2124" s="1">
        <v>11</v>
      </c>
      <c r="G2124" s="1">
        <v>25</v>
      </c>
      <c r="H2124" s="1">
        <v>150</v>
      </c>
      <c r="I2124" s="1">
        <v>100</v>
      </c>
      <c r="J2124" s="1">
        <v>64.962000000000003</v>
      </c>
      <c r="K2124" s="1">
        <v>70.075999999999993</v>
      </c>
      <c r="L2124" s="1">
        <v>64.959999999999994</v>
      </c>
      <c r="M2124" s="1">
        <v>48.6</v>
      </c>
      <c r="N2124" s="1">
        <v>6.1969999999999997E-2</v>
      </c>
      <c r="O2124" s="1">
        <v>3.1599999999999998E-4</v>
      </c>
      <c r="P2124" s="1">
        <f>(Table1[[#This Row],[Rate_Constant_k2_g_mg_min]]*Table1[[#This Row],[Contact_Time_min]]*Table1[[#This Row],[qe_mg_g]]^2)/(1+Table1[[#This Row],[Contact_Time_min]]*Table1[[#This Row],[qe_mg_g]]*Table1[[#This Row],[Rate_Constant_k2_g_mg_min]])</f>
        <v>46.205065114034497</v>
      </c>
      <c r="Q2124" s="1">
        <f>LN(Table1[[#This Row],[qe_mg_g]]-Table1[[#This Row],[qt]])</f>
        <v>2.9315635446196815</v>
      </c>
      <c r="R2124" s="1">
        <v>2</v>
      </c>
    </row>
    <row r="2125" spans="1:18" x14ac:dyDescent="0.3">
      <c r="A2125" s="1">
        <v>2124</v>
      </c>
      <c r="B2125" s="1" t="s">
        <v>19</v>
      </c>
      <c r="C2125" s="1">
        <v>2</v>
      </c>
      <c r="D2125" s="1">
        <v>120</v>
      </c>
      <c r="E2125" s="1">
        <v>200</v>
      </c>
      <c r="F2125" s="1">
        <v>11</v>
      </c>
      <c r="G2125" s="1">
        <v>25</v>
      </c>
      <c r="H2125" s="1">
        <v>150</v>
      </c>
      <c r="I2125" s="1">
        <v>100</v>
      </c>
      <c r="J2125" s="1">
        <v>61.97</v>
      </c>
      <c r="K2125" s="1">
        <v>76.061000000000007</v>
      </c>
      <c r="L2125" s="1">
        <v>61.97</v>
      </c>
      <c r="M2125" s="1">
        <v>50</v>
      </c>
      <c r="N2125" s="1">
        <v>4.9570000000000003E-2</v>
      </c>
      <c r="O2125" s="1">
        <v>3.7589999999999998E-4</v>
      </c>
      <c r="P2125" s="1">
        <f>(Table1[[#This Row],[Rate_Constant_k2_g_mg_min]]*Table1[[#This Row],[Contact_Time_min]]*Table1[[#This Row],[qe_mg_g]]^2)/(1+Table1[[#This Row],[Contact_Time_min]]*Table1[[#This Row],[qe_mg_g]]*Table1[[#This Row],[Rate_Constant_k2_g_mg_min]])</f>
        <v>45.642093953379849</v>
      </c>
      <c r="Q2125" s="1">
        <f>LN(Table1[[#This Row],[qe_mg_g]]-Table1[[#This Row],[qt]])</f>
        <v>2.7928756713643441</v>
      </c>
      <c r="R2125" s="1">
        <v>3</v>
      </c>
    </row>
    <row r="2126" spans="1:18" x14ac:dyDescent="0.3">
      <c r="A2126" s="1">
        <v>2125</v>
      </c>
      <c r="B2126" s="1" t="s">
        <v>19</v>
      </c>
      <c r="C2126" s="1">
        <v>2</v>
      </c>
      <c r="D2126" s="1">
        <v>240</v>
      </c>
      <c r="E2126" s="1">
        <v>25</v>
      </c>
      <c r="F2126" s="1">
        <v>3</v>
      </c>
      <c r="G2126" s="1">
        <v>25</v>
      </c>
      <c r="H2126" s="1">
        <v>150</v>
      </c>
      <c r="I2126" s="1">
        <v>100</v>
      </c>
      <c r="J2126" s="1">
        <v>4.0369999999999999</v>
      </c>
      <c r="K2126" s="1">
        <v>16.925000000000001</v>
      </c>
      <c r="L2126" s="1">
        <v>32.299999999999997</v>
      </c>
      <c r="M2126" s="1">
        <v>64.400000000000006</v>
      </c>
      <c r="N2126" s="1">
        <v>4.521E-2</v>
      </c>
      <c r="O2126" s="1">
        <v>3.8719999999999998E-4</v>
      </c>
      <c r="P212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1.1013209732670275</v>
      </c>
      <c r="Q2126" s="1">
        <f>LN(Table1[[#This Row],[qe_mg_g]]-Table1[[#This Row],[qt]])</f>
        <v>1.0769387814562073</v>
      </c>
      <c r="R2126" s="1">
        <v>1</v>
      </c>
    </row>
    <row r="2127" spans="1:18" x14ac:dyDescent="0.3">
      <c r="A2127" s="1">
        <v>2126</v>
      </c>
      <c r="B2127" s="1" t="s">
        <v>19</v>
      </c>
      <c r="C2127" s="1">
        <v>2</v>
      </c>
      <c r="D2127" s="1">
        <v>240</v>
      </c>
      <c r="E2127" s="1">
        <v>25</v>
      </c>
      <c r="F2127" s="1">
        <v>3</v>
      </c>
      <c r="G2127" s="1">
        <v>25</v>
      </c>
      <c r="H2127" s="1">
        <v>150</v>
      </c>
      <c r="I2127" s="1">
        <v>100</v>
      </c>
      <c r="J2127" s="1">
        <v>4.5739999999999998</v>
      </c>
      <c r="K2127" s="1">
        <v>15.852</v>
      </c>
      <c r="L2127" s="1">
        <v>36.590000000000003</v>
      </c>
      <c r="M2127" s="1">
        <v>50.9</v>
      </c>
      <c r="N2127" s="1">
        <v>6.5420000000000006E-2</v>
      </c>
      <c r="O2127" s="1">
        <v>3.4079999999999999E-4</v>
      </c>
      <c r="P212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1.2453159761183819</v>
      </c>
      <c r="Q2127" s="1">
        <f>LN(Table1[[#This Row],[qe_mg_g]]-Table1[[#This Row],[qt]])</f>
        <v>1.2025770378614486</v>
      </c>
      <c r="R2127" s="1">
        <v>2</v>
      </c>
    </row>
    <row r="2128" spans="1:18" x14ac:dyDescent="0.3">
      <c r="A2128" s="1">
        <v>2127</v>
      </c>
      <c r="B2128" s="1" t="s">
        <v>19</v>
      </c>
      <c r="C2128" s="1">
        <v>2</v>
      </c>
      <c r="D2128" s="1">
        <v>240</v>
      </c>
      <c r="E2128" s="1">
        <v>25</v>
      </c>
      <c r="F2128" s="1">
        <v>3</v>
      </c>
      <c r="G2128" s="1">
        <v>25</v>
      </c>
      <c r="H2128" s="1">
        <v>150</v>
      </c>
      <c r="I2128" s="1">
        <v>100</v>
      </c>
      <c r="J2128" s="1">
        <v>3.5179999999999998</v>
      </c>
      <c r="K2128" s="1">
        <v>17.965</v>
      </c>
      <c r="L2128" s="1">
        <v>28.14</v>
      </c>
      <c r="M2128" s="1">
        <v>52</v>
      </c>
      <c r="N2128" s="1">
        <v>6.0769999999999998E-2</v>
      </c>
      <c r="O2128" s="1">
        <v>3.2069999999999999E-4</v>
      </c>
      <c r="P212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0.7496071979799287</v>
      </c>
      <c r="Q2128" s="1">
        <f>LN(Table1[[#This Row],[qe_mg_g]]-Table1[[#This Row],[qt]])</f>
        <v>1.0182669359316461</v>
      </c>
      <c r="R2128" s="1">
        <v>3</v>
      </c>
    </row>
    <row r="2129" spans="1:18" x14ac:dyDescent="0.3">
      <c r="A2129" s="1">
        <v>2128</v>
      </c>
      <c r="B2129" s="1" t="s">
        <v>19</v>
      </c>
      <c r="C2129" s="1">
        <v>2</v>
      </c>
      <c r="D2129" s="1">
        <v>240</v>
      </c>
      <c r="E2129" s="1">
        <v>25</v>
      </c>
      <c r="F2129" s="1">
        <v>7</v>
      </c>
      <c r="G2129" s="1">
        <v>25</v>
      </c>
      <c r="H2129" s="1">
        <v>150</v>
      </c>
      <c r="I2129" s="1">
        <v>100</v>
      </c>
      <c r="J2129" s="1">
        <v>5.782</v>
      </c>
      <c r="K2129" s="1">
        <v>13.435</v>
      </c>
      <c r="L2129" s="1">
        <v>46.26</v>
      </c>
      <c r="M2129" s="1">
        <v>59.4</v>
      </c>
      <c r="N2129" s="1">
        <v>5.5019999999999999E-2</v>
      </c>
      <c r="O2129" s="1">
        <v>3.7050000000000001E-4</v>
      </c>
      <c r="P212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1.9633191559666552</v>
      </c>
      <c r="Q2129" s="1">
        <f>LN(Table1[[#This Row],[qe_mg_g]]-Table1[[#This Row],[qt]])</f>
        <v>1.3399050341916852</v>
      </c>
      <c r="R2129" s="1">
        <v>1</v>
      </c>
    </row>
    <row r="2130" spans="1:18" x14ac:dyDescent="0.3">
      <c r="A2130" s="1">
        <v>2129</v>
      </c>
      <c r="B2130" s="1" t="s">
        <v>19</v>
      </c>
      <c r="C2130" s="1">
        <v>2</v>
      </c>
      <c r="D2130" s="1">
        <v>240</v>
      </c>
      <c r="E2130" s="1">
        <v>25</v>
      </c>
      <c r="F2130" s="1">
        <v>7</v>
      </c>
      <c r="G2130" s="1">
        <v>25</v>
      </c>
      <c r="H2130" s="1">
        <v>150</v>
      </c>
      <c r="I2130" s="1">
        <v>100</v>
      </c>
      <c r="J2130" s="1">
        <v>6.1369999999999996</v>
      </c>
      <c r="K2130" s="1">
        <v>12.727</v>
      </c>
      <c r="L2130" s="1">
        <v>49.09</v>
      </c>
      <c r="M2130" s="1">
        <v>58.5</v>
      </c>
      <c r="N2130" s="1">
        <v>5.262E-2</v>
      </c>
      <c r="O2130" s="1">
        <v>3.5809999999999998E-4</v>
      </c>
      <c r="P213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2.1191618408412753</v>
      </c>
      <c r="Q2130" s="1">
        <f>LN(Table1[[#This Row],[qe_mg_g]]-Table1[[#This Row],[qt]])</f>
        <v>1.3907439866265026</v>
      </c>
      <c r="R2130" s="1">
        <v>2</v>
      </c>
    </row>
    <row r="2131" spans="1:18" x14ac:dyDescent="0.3">
      <c r="A2131" s="1">
        <v>2130</v>
      </c>
      <c r="B2131" s="1" t="s">
        <v>19</v>
      </c>
      <c r="C2131" s="1">
        <v>2</v>
      </c>
      <c r="D2131" s="1">
        <v>240</v>
      </c>
      <c r="E2131" s="1">
        <v>25</v>
      </c>
      <c r="F2131" s="1">
        <v>7</v>
      </c>
      <c r="G2131" s="1">
        <v>25</v>
      </c>
      <c r="H2131" s="1">
        <v>150</v>
      </c>
      <c r="I2131" s="1">
        <v>100</v>
      </c>
      <c r="J2131" s="1">
        <v>5.6440000000000001</v>
      </c>
      <c r="K2131" s="1">
        <v>13.712</v>
      </c>
      <c r="L2131" s="1">
        <v>45.15</v>
      </c>
      <c r="M2131" s="1">
        <v>65.099999999999994</v>
      </c>
      <c r="N2131" s="1">
        <v>5.151E-2</v>
      </c>
      <c r="O2131" s="1">
        <v>3.8949999999999998E-4</v>
      </c>
      <c r="P213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1.9493182364778574</v>
      </c>
      <c r="Q2131" s="1">
        <f>LN(Table1[[#This Row],[qe_mg_g]]-Table1[[#This Row],[qt]])</f>
        <v>1.3068944244453882</v>
      </c>
      <c r="R2131" s="1">
        <v>3</v>
      </c>
    </row>
    <row r="2132" spans="1:18" x14ac:dyDescent="0.3">
      <c r="A2132" s="1">
        <v>2131</v>
      </c>
      <c r="B2132" s="1" t="s">
        <v>19</v>
      </c>
      <c r="C2132" s="1">
        <v>2</v>
      </c>
      <c r="D2132" s="1">
        <v>240</v>
      </c>
      <c r="E2132" s="1">
        <v>25</v>
      </c>
      <c r="F2132" s="1">
        <v>11</v>
      </c>
      <c r="G2132" s="1">
        <v>25</v>
      </c>
      <c r="H2132" s="1">
        <v>150</v>
      </c>
      <c r="I2132" s="1">
        <v>100</v>
      </c>
      <c r="J2132" s="1">
        <v>4.6449999999999996</v>
      </c>
      <c r="K2132" s="1">
        <v>15.71</v>
      </c>
      <c r="L2132" s="1">
        <v>37.159999999999997</v>
      </c>
      <c r="M2132" s="1">
        <v>56.2</v>
      </c>
      <c r="N2132" s="1">
        <v>5.228E-2</v>
      </c>
      <c r="O2132" s="1">
        <v>3.144E-4</v>
      </c>
      <c r="P213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1.2055156137337448</v>
      </c>
      <c r="Q2132" s="1">
        <f>LN(Table1[[#This Row],[qe_mg_g]]-Table1[[#This Row],[qt]])</f>
        <v>1.2353215724377231</v>
      </c>
      <c r="R2132" s="1">
        <v>1</v>
      </c>
    </row>
    <row r="2133" spans="1:18" x14ac:dyDescent="0.3">
      <c r="A2133" s="1">
        <v>2132</v>
      </c>
      <c r="B2133" s="1" t="s">
        <v>19</v>
      </c>
      <c r="C2133" s="1">
        <v>2</v>
      </c>
      <c r="D2133" s="1">
        <v>240</v>
      </c>
      <c r="E2133" s="1">
        <v>25</v>
      </c>
      <c r="F2133" s="1">
        <v>11</v>
      </c>
      <c r="G2133" s="1">
        <v>25</v>
      </c>
      <c r="H2133" s="1">
        <v>150</v>
      </c>
      <c r="I2133" s="1">
        <v>100</v>
      </c>
      <c r="J2133" s="1">
        <v>4.1459999999999999</v>
      </c>
      <c r="K2133" s="1">
        <v>16.709</v>
      </c>
      <c r="L2133" s="1">
        <v>33.159999999999997</v>
      </c>
      <c r="M2133" s="1">
        <v>45.9</v>
      </c>
      <c r="N2133" s="1">
        <v>5.3220000000000003E-2</v>
      </c>
      <c r="O2133" s="1">
        <v>3.5740000000000001E-4</v>
      </c>
      <c r="P213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1.0876372684192395</v>
      </c>
      <c r="Q2133" s="1">
        <f>LN(Table1[[#This Row],[qe_mg_g]]-Table1[[#This Row],[qt]])</f>
        <v>1.117879717732295</v>
      </c>
      <c r="R2133" s="1">
        <v>2</v>
      </c>
    </row>
    <row r="2134" spans="1:18" x14ac:dyDescent="0.3">
      <c r="A2134" s="1">
        <v>2133</v>
      </c>
      <c r="B2134" s="1" t="s">
        <v>19</v>
      </c>
      <c r="C2134" s="1">
        <v>2</v>
      </c>
      <c r="D2134" s="1">
        <v>240</v>
      </c>
      <c r="E2134" s="1">
        <v>25</v>
      </c>
      <c r="F2134" s="1">
        <v>11</v>
      </c>
      <c r="G2134" s="1">
        <v>25</v>
      </c>
      <c r="H2134" s="1">
        <v>150</v>
      </c>
      <c r="I2134" s="1">
        <v>100</v>
      </c>
      <c r="J2134" s="1">
        <v>5.056</v>
      </c>
      <c r="K2134" s="1">
        <v>14.887</v>
      </c>
      <c r="L2134" s="1">
        <v>40.450000000000003</v>
      </c>
      <c r="M2134" s="1">
        <v>50.9</v>
      </c>
      <c r="N2134" s="1">
        <v>5.015E-2</v>
      </c>
      <c r="O2134" s="1">
        <v>2.9950000000000002E-4</v>
      </c>
      <c r="P213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1.34769264046505</v>
      </c>
      <c r="Q2134" s="1">
        <f>LN(Table1[[#This Row],[qe_mg_g]]-Table1[[#This Row],[qt]])</f>
        <v>1.3105755351893142</v>
      </c>
      <c r="R2134" s="1">
        <v>3</v>
      </c>
    </row>
    <row r="2135" spans="1:18" x14ac:dyDescent="0.3">
      <c r="A2135" s="1">
        <v>2134</v>
      </c>
      <c r="B2135" s="1" t="s">
        <v>19</v>
      </c>
      <c r="C2135" s="1">
        <v>2</v>
      </c>
      <c r="D2135" s="1">
        <v>240</v>
      </c>
      <c r="E2135" s="1">
        <v>50</v>
      </c>
      <c r="F2135" s="1">
        <v>3</v>
      </c>
      <c r="G2135" s="1">
        <v>25</v>
      </c>
      <c r="H2135" s="1">
        <v>150</v>
      </c>
      <c r="I2135" s="1">
        <v>100</v>
      </c>
      <c r="J2135" s="1">
        <v>11.179</v>
      </c>
      <c r="K2135" s="1">
        <v>27.641999999999999</v>
      </c>
      <c r="L2135" s="1">
        <v>44.72</v>
      </c>
      <c r="M2135" s="1">
        <v>65.900000000000006</v>
      </c>
      <c r="N2135" s="1">
        <v>6.1960000000000001E-2</v>
      </c>
      <c r="O2135" s="1">
        <v>3.748E-4</v>
      </c>
      <c r="P2135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5.6050329961455096</v>
      </c>
      <c r="Q2135" s="1">
        <f>LN(Table1[[#This Row],[qe_mg_g]]-Table1[[#This Row],[qt]])</f>
        <v>1.7181070093892914</v>
      </c>
      <c r="R2135" s="1">
        <v>1</v>
      </c>
    </row>
    <row r="2136" spans="1:18" x14ac:dyDescent="0.3">
      <c r="A2136" s="1">
        <v>2135</v>
      </c>
      <c r="B2136" s="1" t="s">
        <v>19</v>
      </c>
      <c r="C2136" s="1">
        <v>2</v>
      </c>
      <c r="D2136" s="1">
        <v>240</v>
      </c>
      <c r="E2136" s="1">
        <v>50</v>
      </c>
      <c r="F2136" s="1">
        <v>3</v>
      </c>
      <c r="G2136" s="1">
        <v>25</v>
      </c>
      <c r="H2136" s="1">
        <v>150</v>
      </c>
      <c r="I2136" s="1">
        <v>100</v>
      </c>
      <c r="J2136" s="1">
        <v>11.298999999999999</v>
      </c>
      <c r="K2136" s="1">
        <v>27.402000000000001</v>
      </c>
      <c r="L2136" s="1">
        <v>45.2</v>
      </c>
      <c r="M2136" s="1">
        <v>68.400000000000006</v>
      </c>
      <c r="N2136" s="1">
        <v>5.6829999999999999E-2</v>
      </c>
      <c r="O2136" s="1">
        <v>3.726E-4</v>
      </c>
      <c r="P2136" s="1">
        <f>(Table1[[#This Row],[Rate_Constant_k2_g_mg_min]]*Table1[[#This Row],[Contact_Time_min]]*Table1[[#This Row],[qe_mg_g]]^2)/(1+Table1[[#This Row],[Contact_Time_min]]*Table1[[#This Row],[qe_mg_g]]*Table1[[#This Row],[Rate_Constant_k2_g_mg_min]])</f>
        <v>5.6787303927570738</v>
      </c>
      <c r="Q2136" s="1">
        <f>LN(Table1[[#This Row],[qe_mg_g]]-Table1[[#This Row],[qt]])</f>
        <v>1.7263796355739667</v>
      </c>
      <c r="R2136" s="1">
        <v>2</v>
      </c>
    </row>
    <row r="2137" spans="1:18" x14ac:dyDescent="0.3">
      <c r="A2137" s="1">
        <v>2136</v>
      </c>
      <c r="B2137" s="1" t="s">
        <v>19</v>
      </c>
      <c r="C2137" s="1">
        <v>2</v>
      </c>
      <c r="D2137" s="1">
        <v>240</v>
      </c>
      <c r="E2137" s="1">
        <v>50</v>
      </c>
      <c r="F2137" s="1">
        <v>3</v>
      </c>
      <c r="G2137" s="1">
        <v>25</v>
      </c>
      <c r="H2137" s="1">
        <v>150</v>
      </c>
      <c r="I2137" s="1">
        <v>100</v>
      </c>
      <c r="J2137" s="1">
        <v>10.573</v>
      </c>
      <c r="K2137" s="1">
        <v>28.853999999999999</v>
      </c>
      <c r="L2137" s="1">
        <v>42.29</v>
      </c>
      <c r="M2137" s="1">
        <v>43.4</v>
      </c>
      <c r="N2137" s="1">
        <v>5.1240000000000001E-2</v>
      </c>
      <c r="O2137" s="1">
        <v>3.4969999999999999E-4</v>
      </c>
      <c r="P2137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4.9710269729135961</v>
      </c>
      <c r="Q2137" s="1">
        <f>LN(Table1[[#This Row],[qe_mg_g]]-Table1[[#This Row],[qt]])</f>
        <v>1.7231188619542088</v>
      </c>
      <c r="R2137" s="1">
        <v>3</v>
      </c>
    </row>
    <row r="2138" spans="1:18" x14ac:dyDescent="0.3">
      <c r="A2138" s="1">
        <v>2137</v>
      </c>
      <c r="B2138" s="1" t="s">
        <v>19</v>
      </c>
      <c r="C2138" s="1">
        <v>2</v>
      </c>
      <c r="D2138" s="1">
        <v>240</v>
      </c>
      <c r="E2138" s="1">
        <v>50</v>
      </c>
      <c r="F2138" s="1">
        <v>7</v>
      </c>
      <c r="G2138" s="1">
        <v>25</v>
      </c>
      <c r="H2138" s="1">
        <v>150</v>
      </c>
      <c r="I2138" s="1">
        <v>100</v>
      </c>
      <c r="J2138" s="1">
        <v>16.048999999999999</v>
      </c>
      <c r="K2138" s="1">
        <v>17.902000000000001</v>
      </c>
      <c r="L2138" s="1">
        <v>64.2</v>
      </c>
      <c r="M2138" s="1">
        <v>70.3</v>
      </c>
      <c r="N2138" s="1">
        <v>5.5449999999999999E-2</v>
      </c>
      <c r="O2138" s="1">
        <v>3.9130000000000002E-4</v>
      </c>
      <c r="P2138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9.6478192388908095</v>
      </c>
      <c r="Q2138" s="1">
        <f>LN(Table1[[#This Row],[qe_mg_g]]-Table1[[#This Row],[qt]])</f>
        <v>1.8564824672720261</v>
      </c>
      <c r="R2138" s="1">
        <v>1</v>
      </c>
    </row>
    <row r="2139" spans="1:18" x14ac:dyDescent="0.3">
      <c r="A2139" s="1">
        <v>2138</v>
      </c>
      <c r="B2139" s="1" t="s">
        <v>19</v>
      </c>
      <c r="C2139" s="1">
        <v>2</v>
      </c>
      <c r="D2139" s="1">
        <v>240</v>
      </c>
      <c r="E2139" s="1">
        <v>50</v>
      </c>
      <c r="F2139" s="1">
        <v>7</v>
      </c>
      <c r="G2139" s="1">
        <v>25</v>
      </c>
      <c r="H2139" s="1">
        <v>150</v>
      </c>
      <c r="I2139" s="1">
        <v>100</v>
      </c>
      <c r="J2139" s="1">
        <v>15.494</v>
      </c>
      <c r="K2139" s="1">
        <v>19.010999999999999</v>
      </c>
      <c r="L2139" s="1">
        <v>61.98</v>
      </c>
      <c r="M2139" s="1">
        <v>52</v>
      </c>
      <c r="N2139" s="1">
        <v>4.7690000000000003E-2</v>
      </c>
      <c r="O2139" s="1">
        <v>3.2400000000000001E-4</v>
      </c>
      <c r="P2139" s="1">
        <f>(Table1[[#This Row],[Rate_Constant_k2_g_mg_min]]*Table1[[#This Row],[Contact_Time_min]]*Table1[[#This Row],[qe_mg_g]]^2)/(1+Table1[[#This Row],[Contact_Time_min]]*Table1[[#This Row],[qe_mg_g]]*Table1[[#This Row],[Rate_Constant_k2_g_mg_min]])</f>
        <v>8.4666480622324212</v>
      </c>
      <c r="Q2139" s="1">
        <f>LN(Table1[[#This Row],[qe_mg_g]]-Table1[[#This Row],[qt]])</f>
        <v>1.9498099546000862</v>
      </c>
      <c r="R2139" s="1">
        <v>2</v>
      </c>
    </row>
    <row r="2140" spans="1:18" x14ac:dyDescent="0.3">
      <c r="A2140" s="1">
        <v>2139</v>
      </c>
      <c r="B2140" s="1" t="s">
        <v>19</v>
      </c>
      <c r="C2140" s="1">
        <v>2</v>
      </c>
      <c r="D2140" s="1">
        <v>240</v>
      </c>
      <c r="E2140" s="1">
        <v>50</v>
      </c>
      <c r="F2140" s="1">
        <v>7</v>
      </c>
      <c r="G2140" s="1">
        <v>25</v>
      </c>
      <c r="H2140" s="1">
        <v>150</v>
      </c>
      <c r="I2140" s="1">
        <v>100</v>
      </c>
      <c r="J2140" s="1">
        <v>16.57</v>
      </c>
      <c r="K2140" s="1">
        <v>16.859000000000002</v>
      </c>
      <c r="L2140" s="1">
        <v>66.28</v>
      </c>
      <c r="M2140" s="1">
        <v>54.6</v>
      </c>
      <c r="N2140" s="1">
        <v>6.019E-2</v>
      </c>
      <c r="O2140" s="1">
        <v>3.5629999999999999E-4</v>
      </c>
      <c r="P2140" s="1">
        <f>(Table1[[#This Row],[Rate_Constant_k2_g_mg_min]]*Table1[[#This Row],[Contact_Time_min]]*Table1[[#This Row],[qe_mg_g]]^2)/(1+Table1[[#This Row],[Contact_Time_min]]*Table1[[#This Row],[qe_mg_g]]*Table1[[#This Row],[Rate_Constant_k2_g_mg_min]])</f>
        <v>9.7142062145979136</v>
      </c>
      <c r="Q2140" s="1">
        <f>LN(Table1[[#This Row],[qe_mg_g]]-Table1[[#This Row],[qt]])</f>
        <v>1.9250941028679358</v>
      </c>
      <c r="R2140" s="1">
        <v>3</v>
      </c>
    </row>
    <row r="2141" spans="1:18" x14ac:dyDescent="0.3">
      <c r="A2141" s="1">
        <v>2140</v>
      </c>
      <c r="B2141" s="1" t="s">
        <v>19</v>
      </c>
      <c r="C2141" s="1">
        <v>2</v>
      </c>
      <c r="D2141" s="1">
        <v>240</v>
      </c>
      <c r="E2141" s="1">
        <v>50</v>
      </c>
      <c r="F2141" s="1">
        <v>11</v>
      </c>
      <c r="G2141" s="1">
        <v>25</v>
      </c>
      <c r="H2141" s="1">
        <v>150</v>
      </c>
      <c r="I2141" s="1">
        <v>100</v>
      </c>
      <c r="J2141" s="1">
        <v>12.531000000000001</v>
      </c>
      <c r="K2141" s="1">
        <v>24.937999999999999</v>
      </c>
      <c r="L2141" s="1">
        <v>50.12</v>
      </c>
      <c r="M2141" s="1">
        <v>72.099999999999994</v>
      </c>
      <c r="N2141" s="1">
        <v>5.4480000000000001E-2</v>
      </c>
      <c r="O2141" s="1">
        <v>3.9070000000000001E-4</v>
      </c>
      <c r="P2141" s="1">
        <f>(Table1[[#This Row],[Rate_Constant_k2_g_mg_min]]*Table1[[#This Row],[Contact_Time_min]]*Table1[[#This Row],[qe_mg_g]]^2)/(1+Table1[[#This Row],[Contact_Time_min]]*Table1[[#This Row],[qe_mg_g]]*Table1[[#This Row],[Rate_Constant_k2_g_mg_min]])</f>
        <v>6.7696387233781952</v>
      </c>
      <c r="Q2141" s="1">
        <f>LN(Table1[[#This Row],[qe_mg_g]]-Table1[[#This Row],[qt]])</f>
        <v>1.7511737795324567</v>
      </c>
      <c r="R2141" s="1">
        <v>1</v>
      </c>
    </row>
    <row r="2142" spans="1:18" x14ac:dyDescent="0.3">
      <c r="A2142" s="1">
        <v>2141</v>
      </c>
      <c r="B2142" s="1" t="s">
        <v>19</v>
      </c>
      <c r="C2142" s="1">
        <v>2</v>
      </c>
      <c r="D2142" s="1">
        <v>240</v>
      </c>
      <c r="E2142" s="1">
        <v>50</v>
      </c>
      <c r="F2142" s="1">
        <v>11</v>
      </c>
      <c r="G2142" s="1">
        <v>25</v>
      </c>
      <c r="H2142" s="1">
        <v>150</v>
      </c>
      <c r="I2142" s="1">
        <v>100</v>
      </c>
      <c r="J2142" s="1">
        <v>12.487</v>
      </c>
      <c r="K2142" s="1">
        <v>25.026</v>
      </c>
      <c r="L2142" s="1">
        <v>49.95</v>
      </c>
      <c r="M2142" s="1">
        <v>60.4</v>
      </c>
      <c r="N2142" s="1">
        <v>6.0100000000000001E-2</v>
      </c>
      <c r="O2142" s="1">
        <v>3.5730000000000001E-4</v>
      </c>
      <c r="P2142" s="1">
        <f>(Table1[[#This Row],[Rate_Constant_k2_g_mg_min]]*Table1[[#This Row],[Contact_Time_min]]*Table1[[#This Row],[qe_mg_g]]^2)/(1+Table1[[#This Row],[Contact_Time_min]]*Table1[[#This Row],[qe_mg_g]]*Table1[[#This Row],[Rate_Constant_k2_g_mg_min]])</f>
        <v>6.4569202721373111</v>
      </c>
      <c r="Q2142" s="1">
        <f>LN(Table1[[#This Row],[qe_mg_g]]-Table1[[#This Row],[qt]])</f>
        <v>1.7967602325194618</v>
      </c>
      <c r="R2142" s="1">
        <v>2</v>
      </c>
    </row>
    <row r="2143" spans="1:18" x14ac:dyDescent="0.3">
      <c r="A2143" s="1">
        <v>2142</v>
      </c>
      <c r="B2143" s="1" t="s">
        <v>19</v>
      </c>
      <c r="C2143" s="1">
        <v>2</v>
      </c>
      <c r="D2143" s="1">
        <v>240</v>
      </c>
      <c r="E2143" s="1">
        <v>50</v>
      </c>
      <c r="F2143" s="1">
        <v>11</v>
      </c>
      <c r="G2143" s="1">
        <v>25</v>
      </c>
      <c r="H2143" s="1">
        <v>150</v>
      </c>
      <c r="I2143" s="1">
        <v>100</v>
      </c>
      <c r="J2143" s="1">
        <v>10.73</v>
      </c>
      <c r="K2143" s="1">
        <v>28.539000000000001</v>
      </c>
      <c r="L2143" s="1">
        <v>42.92</v>
      </c>
      <c r="M2143" s="1">
        <v>54.7</v>
      </c>
      <c r="N2143" s="1">
        <v>6.1769999999999999E-2</v>
      </c>
      <c r="O2143" s="1">
        <v>3.6850000000000001E-4</v>
      </c>
      <c r="P2143" s="1">
        <f>(Table1[[#This Row],[Rate_Constant_k2_g_mg_min]]*Table1[[#This Row],[Contact_Time_min]]*Table1[[#This Row],[qe_mg_g]]^2)/(1+Table1[[#This Row],[Contact_Time_min]]*Table1[[#This Row],[qe_mg_g]]*Table1[[#This Row],[Rate_Constant_k2_g_mg_min]])</f>
        <v>5.2245030203782408</v>
      </c>
      <c r="Q2143" s="1">
        <f>LN(Table1[[#This Row],[qe_mg_g]]-Table1[[#This Row],[qt]])</f>
        <v>1.7057470439602893</v>
      </c>
      <c r="R2143" s="1">
        <v>3</v>
      </c>
    </row>
    <row r="2144" spans="1:18" x14ac:dyDescent="0.3">
      <c r="A2144" s="1">
        <v>2143</v>
      </c>
      <c r="B2144" s="1" t="s">
        <v>19</v>
      </c>
      <c r="C2144" s="1">
        <v>2</v>
      </c>
      <c r="D2144" s="1">
        <v>240</v>
      </c>
      <c r="E2144" s="1">
        <v>100</v>
      </c>
      <c r="F2144" s="1">
        <v>3</v>
      </c>
      <c r="G2144" s="1">
        <v>25</v>
      </c>
      <c r="H2144" s="1">
        <v>150</v>
      </c>
      <c r="I2144" s="1">
        <v>100</v>
      </c>
      <c r="J2144" s="1">
        <v>27.687999999999999</v>
      </c>
      <c r="K2144" s="1">
        <v>44.625</v>
      </c>
      <c r="L2144" s="1">
        <v>55.38</v>
      </c>
      <c r="M2144" s="1">
        <v>40.5</v>
      </c>
      <c r="N2144" s="1">
        <v>5.1040000000000002E-2</v>
      </c>
      <c r="O2144" s="1">
        <v>3.6440000000000002E-4</v>
      </c>
      <c r="P2144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19.595599630472144</v>
      </c>
      <c r="Q2144" s="1">
        <f>LN(Table1[[#This Row],[qe_mg_g]]-Table1[[#This Row],[qt]])</f>
        <v>2.0909253952846885</v>
      </c>
      <c r="R2144" s="1">
        <v>1</v>
      </c>
    </row>
    <row r="2145" spans="1:18" x14ac:dyDescent="0.3">
      <c r="A2145" s="1">
        <v>2144</v>
      </c>
      <c r="B2145" s="1" t="s">
        <v>19</v>
      </c>
      <c r="C2145" s="1">
        <v>2</v>
      </c>
      <c r="D2145" s="1">
        <v>240</v>
      </c>
      <c r="E2145" s="1">
        <v>100</v>
      </c>
      <c r="F2145" s="1">
        <v>3</v>
      </c>
      <c r="G2145" s="1">
        <v>25</v>
      </c>
      <c r="H2145" s="1">
        <v>150</v>
      </c>
      <c r="I2145" s="1">
        <v>100</v>
      </c>
      <c r="J2145" s="1">
        <v>27.620999999999999</v>
      </c>
      <c r="K2145" s="1">
        <v>44.758000000000003</v>
      </c>
      <c r="L2145" s="1">
        <v>55.24</v>
      </c>
      <c r="M2145" s="1">
        <v>64.5</v>
      </c>
      <c r="N2145" s="1">
        <v>5.4199999999999998E-2</v>
      </c>
      <c r="O2145" s="1">
        <v>3.6420000000000002E-4</v>
      </c>
      <c r="P2145" s="1">
        <f>(Table1[[#This Row],[Rate_Constant_k2_g_mg_min]]*Table1[[#This Row],[Contact_Time_min]]*Table1[[#This Row],[qe_mg_g]]^2)/(1+Table1[[#This Row],[Contact_Time_min]]*Table1[[#This Row],[qe_mg_g]]*Table1[[#This Row],[Rate_Constant_k2_g_mg_min]])</f>
        <v>19.531192606923685</v>
      </c>
      <c r="Q2145" s="1">
        <f>LN(Table1[[#This Row],[qe_mg_g]]-Table1[[#This Row],[qt]])</f>
        <v>2.0906049227618073</v>
      </c>
      <c r="R2145" s="1">
        <v>2</v>
      </c>
    </row>
    <row r="2146" spans="1:18" x14ac:dyDescent="0.3">
      <c r="A2146" s="1">
        <v>2145</v>
      </c>
      <c r="B2146" s="1" t="s">
        <v>19</v>
      </c>
      <c r="C2146" s="1">
        <v>2</v>
      </c>
      <c r="D2146" s="1">
        <v>240</v>
      </c>
      <c r="E2146" s="1">
        <v>100</v>
      </c>
      <c r="F2146" s="1">
        <v>3</v>
      </c>
      <c r="G2146" s="1">
        <v>25</v>
      </c>
      <c r="H2146" s="1">
        <v>150</v>
      </c>
      <c r="I2146" s="1">
        <v>100</v>
      </c>
      <c r="J2146" s="1">
        <v>26.881</v>
      </c>
      <c r="K2146" s="1">
        <v>46.238999999999997</v>
      </c>
      <c r="L2146" s="1">
        <v>53.76</v>
      </c>
      <c r="M2146" s="1">
        <v>46.5</v>
      </c>
      <c r="N2146" s="1">
        <v>4.2590000000000003E-2</v>
      </c>
      <c r="O2146" s="1">
        <v>3.6509999999999998E-4</v>
      </c>
      <c r="P2146" s="1">
        <f>(Table1[[#This Row],[Rate_Constant_k2_g_mg_min]]*Table1[[#This Row],[Contact_Time_min]]*Table1[[#This Row],[qe_mg_g]]^2)/(1+Table1[[#This Row],[Contact_Time_min]]*Table1[[#This Row],[qe_mg_g]]*Table1[[#This Row],[Rate_Constant_k2_g_mg_min]])</f>
        <v>18.869784104626135</v>
      </c>
      <c r="Q2146" s="1">
        <f>LN(Table1[[#This Row],[qe_mg_g]]-Table1[[#This Row],[qt]])</f>
        <v>2.0808425467355067</v>
      </c>
      <c r="R2146" s="1">
        <v>3</v>
      </c>
    </row>
    <row r="2147" spans="1:18" x14ac:dyDescent="0.3">
      <c r="A2147" s="1">
        <v>2146</v>
      </c>
      <c r="B2147" s="1" t="s">
        <v>19</v>
      </c>
      <c r="C2147" s="1">
        <v>2</v>
      </c>
      <c r="D2147" s="1">
        <v>240</v>
      </c>
      <c r="E2147" s="1">
        <v>100</v>
      </c>
      <c r="F2147" s="1">
        <v>7</v>
      </c>
      <c r="G2147" s="1">
        <v>25</v>
      </c>
      <c r="H2147" s="1">
        <v>150</v>
      </c>
      <c r="I2147" s="1">
        <v>100</v>
      </c>
      <c r="J2147" s="1">
        <v>38.576999999999998</v>
      </c>
      <c r="K2147" s="1">
        <v>22.846</v>
      </c>
      <c r="L2147" s="1">
        <v>77.150000000000006</v>
      </c>
      <c r="M2147" s="1">
        <v>49.5</v>
      </c>
      <c r="N2147" s="1">
        <v>4.6089999999999999E-2</v>
      </c>
      <c r="O2147" s="1">
        <v>3.7199999999999999E-4</v>
      </c>
      <c r="P2147" s="1">
        <f>(Table1[[#This Row],[Rate_Constant_k2_g_mg_min]]*Table1[[#This Row],[Contact_Time_min]]*Table1[[#This Row],[qe_mg_g]]^2)/(1+Table1[[#This Row],[Contact_Time_min]]*Table1[[#This Row],[qe_mg_g]]*Table1[[#This Row],[Rate_Constant_k2_g_mg_min]])</f>
        <v>29.89660883016634</v>
      </c>
      <c r="Q2147" s="1">
        <f>LN(Table1[[#This Row],[qe_mg_g]]-Table1[[#This Row],[qt]])</f>
        <v>2.1610665933058719</v>
      </c>
      <c r="R2147" s="1">
        <v>1</v>
      </c>
    </row>
    <row r="2148" spans="1:18" x14ac:dyDescent="0.3">
      <c r="A2148" s="1">
        <v>2147</v>
      </c>
      <c r="B2148" s="1" t="s">
        <v>19</v>
      </c>
      <c r="C2148" s="1">
        <v>2</v>
      </c>
      <c r="D2148" s="1">
        <v>240</v>
      </c>
      <c r="E2148" s="1">
        <v>100</v>
      </c>
      <c r="F2148" s="1">
        <v>7</v>
      </c>
      <c r="G2148" s="1">
        <v>25</v>
      </c>
      <c r="H2148" s="1">
        <v>150</v>
      </c>
      <c r="I2148" s="1">
        <v>100</v>
      </c>
      <c r="J2148" s="1">
        <v>37.404000000000003</v>
      </c>
      <c r="K2148" s="1">
        <v>25.193000000000001</v>
      </c>
      <c r="L2148" s="1">
        <v>74.81</v>
      </c>
      <c r="M2148" s="1">
        <v>59.1</v>
      </c>
      <c r="N2148" s="1">
        <v>6.5250000000000002E-2</v>
      </c>
      <c r="O2148" s="1">
        <v>2.7500000000000002E-4</v>
      </c>
      <c r="P2148" s="1">
        <f>(Table1[[#This Row],[Rate_Constant_k2_g_mg_min]]*Table1[[#This Row],[Contact_Time_min]]*Table1[[#This Row],[qe_mg_g]]^2)/(1+Table1[[#This Row],[Contact_Time_min]]*Table1[[#This Row],[qe_mg_g]]*Table1[[#This Row],[Rate_Constant_k2_g_mg_min]])</f>
        <v>26.620597514201435</v>
      </c>
      <c r="Q2148" s="1">
        <f>LN(Table1[[#This Row],[qe_mg_g]]-Table1[[#This Row],[qt]])</f>
        <v>2.3780081451607322</v>
      </c>
      <c r="R2148" s="1">
        <v>2</v>
      </c>
    </row>
    <row r="2149" spans="1:18" x14ac:dyDescent="0.3">
      <c r="A2149" s="1">
        <v>2148</v>
      </c>
      <c r="B2149" s="1" t="s">
        <v>19</v>
      </c>
      <c r="C2149" s="1">
        <v>2</v>
      </c>
      <c r="D2149" s="1">
        <v>240</v>
      </c>
      <c r="E2149" s="1">
        <v>100</v>
      </c>
      <c r="F2149" s="1">
        <v>7</v>
      </c>
      <c r="G2149" s="1">
        <v>25</v>
      </c>
      <c r="H2149" s="1">
        <v>150</v>
      </c>
      <c r="I2149" s="1">
        <v>100</v>
      </c>
      <c r="J2149" s="1">
        <v>36.247</v>
      </c>
      <c r="K2149" s="1">
        <v>27.507000000000001</v>
      </c>
      <c r="L2149" s="1">
        <v>72.489999999999995</v>
      </c>
      <c r="M2149" s="1">
        <v>52.8</v>
      </c>
      <c r="N2149" s="1">
        <v>6.3E-2</v>
      </c>
      <c r="O2149" s="1">
        <v>2.9270000000000001E-4</v>
      </c>
      <c r="P2149" s="1">
        <f>(Table1[[#This Row],[Rate_Constant_k2_g_mg_min]]*Table1[[#This Row],[Contact_Time_min]]*Table1[[#This Row],[qe_mg_g]]^2)/(1+Table1[[#This Row],[Contact_Time_min]]*Table1[[#This Row],[qe_mg_g]]*Table1[[#This Row],[Rate_Constant_k2_g_mg_min]])</f>
        <v>26.02586472457768</v>
      </c>
      <c r="Q2149" s="1">
        <f>LN(Table1[[#This Row],[qe_mg_g]]-Table1[[#This Row],[qt]])</f>
        <v>2.3244576623070352</v>
      </c>
      <c r="R2149" s="1">
        <v>3</v>
      </c>
    </row>
    <row r="2150" spans="1:18" x14ac:dyDescent="0.3">
      <c r="A2150" s="1">
        <v>2149</v>
      </c>
      <c r="B2150" s="1" t="s">
        <v>19</v>
      </c>
      <c r="C2150" s="1">
        <v>2</v>
      </c>
      <c r="D2150" s="1">
        <v>240</v>
      </c>
      <c r="E2150" s="1">
        <v>100</v>
      </c>
      <c r="F2150" s="1">
        <v>11</v>
      </c>
      <c r="G2150" s="1">
        <v>25</v>
      </c>
      <c r="H2150" s="1">
        <v>150</v>
      </c>
      <c r="I2150" s="1">
        <v>100</v>
      </c>
      <c r="J2150" s="1">
        <v>35.569000000000003</v>
      </c>
      <c r="K2150" s="1">
        <v>28.861000000000001</v>
      </c>
      <c r="L2150" s="1">
        <v>71.14</v>
      </c>
      <c r="M2150" s="1">
        <v>55.7</v>
      </c>
      <c r="N2150" s="1">
        <v>5.4469999999999998E-2</v>
      </c>
      <c r="O2150" s="1">
        <v>3.4309999999999999E-4</v>
      </c>
      <c r="P2150" s="1">
        <f>(Table1[[#This Row],[Rate_Constant_k2_g_mg_min]]*Table1[[#This Row],[Contact_Time_min]]*Table1[[#This Row],[qe_mg_g]]^2)/(1+Table1[[#This Row],[Contact_Time_min]]*Table1[[#This Row],[qe_mg_g]]*Table1[[#This Row],[Rate_Constant_k2_g_mg_min]])</f>
        <v>26.515815467650516</v>
      </c>
      <c r="Q2150" s="1">
        <f>LN(Table1[[#This Row],[qe_mg_g]]-Table1[[#This Row],[qt]])</f>
        <v>2.2031165778434412</v>
      </c>
      <c r="R2150" s="1">
        <v>1</v>
      </c>
    </row>
    <row r="2151" spans="1:18" x14ac:dyDescent="0.3">
      <c r="A2151" s="1">
        <v>2150</v>
      </c>
      <c r="B2151" s="1" t="s">
        <v>19</v>
      </c>
      <c r="C2151" s="1">
        <v>2</v>
      </c>
      <c r="D2151" s="1">
        <v>240</v>
      </c>
      <c r="E2151" s="1">
        <v>100</v>
      </c>
      <c r="F2151" s="1">
        <v>11</v>
      </c>
      <c r="G2151" s="1">
        <v>25</v>
      </c>
      <c r="H2151" s="1">
        <v>150</v>
      </c>
      <c r="I2151" s="1">
        <v>100</v>
      </c>
      <c r="J2151" s="1">
        <v>30.367999999999999</v>
      </c>
      <c r="K2151" s="1">
        <v>39.264000000000003</v>
      </c>
      <c r="L2151" s="1">
        <v>60.74</v>
      </c>
      <c r="M2151" s="1">
        <v>63.1</v>
      </c>
      <c r="N2151" s="1">
        <v>4.9119999999999997E-2</v>
      </c>
      <c r="O2151" s="1">
        <v>3.6210000000000002E-4</v>
      </c>
      <c r="P2151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22.023081093618067</v>
      </c>
      <c r="Q2151" s="1">
        <f>LN(Table1[[#This Row],[qe_mg_g]]-Table1[[#This Row],[qt]])</f>
        <v>2.121652839437095</v>
      </c>
      <c r="R2151" s="1">
        <v>2</v>
      </c>
    </row>
    <row r="2152" spans="1:18" x14ac:dyDescent="0.3">
      <c r="A2152" s="1">
        <v>2151</v>
      </c>
      <c r="B2152" s="1" t="s">
        <v>19</v>
      </c>
      <c r="C2152" s="1">
        <v>2</v>
      </c>
      <c r="D2152" s="1">
        <v>240</v>
      </c>
      <c r="E2152" s="1">
        <v>100</v>
      </c>
      <c r="F2152" s="1">
        <v>11</v>
      </c>
      <c r="G2152" s="1">
        <v>25</v>
      </c>
      <c r="H2152" s="1">
        <v>150</v>
      </c>
      <c r="I2152" s="1">
        <v>100</v>
      </c>
      <c r="J2152" s="1">
        <v>30.481999999999999</v>
      </c>
      <c r="K2152" s="1">
        <v>39.036000000000001</v>
      </c>
      <c r="L2152" s="1">
        <v>60.96</v>
      </c>
      <c r="M2152" s="1">
        <v>48.3</v>
      </c>
      <c r="N2152" s="1">
        <v>6.9220000000000004E-2</v>
      </c>
      <c r="O2152" s="1">
        <v>3.6469999999999997E-4</v>
      </c>
      <c r="P2152" s="1">
        <f>(Table1[[#This Row],[Rate_Constant_k2_g_mg_min]]*Table1[[#This Row],[Contact_Time_min]]*Table1[[#This Row],[qe_mg_g]]^2)/(1+Table1[[#This Row],[Contact_Time_min]]*Table1[[#This Row],[qe_mg_g]]*Table1[[#This Row],[Rate_Constant_k2_g_mg_min]])</f>
        <v>22.171813742384838</v>
      </c>
      <c r="Q2152" s="1">
        <f>LN(Table1[[#This Row],[qe_mg_g]]-Table1[[#This Row],[qt]])</f>
        <v>2.1174820222882755</v>
      </c>
      <c r="R2152" s="1">
        <v>3</v>
      </c>
    </row>
    <row r="2153" spans="1:18" x14ac:dyDescent="0.3">
      <c r="A2153" s="1">
        <v>2152</v>
      </c>
      <c r="B2153" s="1" t="s">
        <v>19</v>
      </c>
      <c r="C2153" s="1">
        <v>2</v>
      </c>
      <c r="D2153" s="1">
        <v>240</v>
      </c>
      <c r="E2153" s="1">
        <v>200</v>
      </c>
      <c r="F2153" s="1">
        <v>3</v>
      </c>
      <c r="G2153" s="1">
        <v>25</v>
      </c>
      <c r="H2153" s="1">
        <v>150</v>
      </c>
      <c r="I2153" s="1">
        <v>100</v>
      </c>
      <c r="J2153" s="1">
        <v>63.567999999999998</v>
      </c>
      <c r="K2153" s="1">
        <v>72.864999999999995</v>
      </c>
      <c r="L2153" s="1">
        <v>63.57</v>
      </c>
      <c r="M2153" s="1">
        <v>63.9</v>
      </c>
      <c r="N2153" s="1">
        <v>4.718E-2</v>
      </c>
      <c r="O2153" s="1">
        <v>4.1130000000000002E-4</v>
      </c>
      <c r="P2153" s="1">
        <f>(Table1[[#This Row],[Rate_Constant_k2_g_mg_min]]*Table1[[#This Row],[Contact_Time_min]]*Table1[[#This Row],[qe_mg_g]]^2)/(1+Table1[[#This Row],[Contact_Time_min]]*Table1[[#This Row],[qe_mg_g]]*Table1[[#This Row],[Rate_Constant_k2_g_mg_min]])</f>
        <v>54.830039800689519</v>
      </c>
      <c r="Q2153" s="1">
        <f>LN(Table1[[#This Row],[qe_mg_g]]-Table1[[#This Row],[qt]])</f>
        <v>2.1676767756219237</v>
      </c>
      <c r="R2153" s="1">
        <v>1</v>
      </c>
    </row>
    <row r="2154" spans="1:18" x14ac:dyDescent="0.3">
      <c r="A2154" s="1">
        <v>2153</v>
      </c>
      <c r="B2154" s="1" t="s">
        <v>19</v>
      </c>
      <c r="C2154" s="1">
        <v>2</v>
      </c>
      <c r="D2154" s="1">
        <v>240</v>
      </c>
      <c r="E2154" s="1">
        <v>200</v>
      </c>
      <c r="F2154" s="1">
        <v>3</v>
      </c>
      <c r="G2154" s="1">
        <v>25</v>
      </c>
      <c r="H2154" s="1">
        <v>150</v>
      </c>
      <c r="I2154" s="1">
        <v>100</v>
      </c>
      <c r="J2154" s="1">
        <v>50.246000000000002</v>
      </c>
      <c r="K2154" s="1">
        <v>99.507000000000005</v>
      </c>
      <c r="L2154" s="1">
        <v>50.25</v>
      </c>
      <c r="M2154" s="1">
        <v>48.3</v>
      </c>
      <c r="N2154" s="1">
        <v>5.2479999999999999E-2</v>
      </c>
      <c r="O2154" s="1">
        <v>3.704E-4</v>
      </c>
      <c r="P2154" s="1">
        <f>(Table1[[#This Row],[Rate_Constant_k2_g_mg_min]]*Table1[[#This Row],[Contact_Time_min]]*Table1[[#This Row],[qe_mg_g]]^2)/(1+Table1[[#This Row],[Contact_Time_min]]*Table1[[#This Row],[qe_mg_g]]*Table1[[#This Row],[Rate_Constant_k2_g_mg_min]])</f>
        <v>41.054661477813703</v>
      </c>
      <c r="Q2154" s="1">
        <f>LN(Table1[[#This Row],[qe_mg_g]]-Table1[[#This Row],[qt]])</f>
        <v>2.2182615756187363</v>
      </c>
      <c r="R2154" s="1">
        <v>2</v>
      </c>
    </row>
    <row r="2155" spans="1:18" x14ac:dyDescent="0.3">
      <c r="A2155" s="1">
        <v>2154</v>
      </c>
      <c r="B2155" s="1" t="s">
        <v>19</v>
      </c>
      <c r="C2155" s="1">
        <v>2</v>
      </c>
      <c r="D2155" s="1">
        <v>240</v>
      </c>
      <c r="E2155" s="1">
        <v>200</v>
      </c>
      <c r="F2155" s="1">
        <v>3</v>
      </c>
      <c r="G2155" s="1">
        <v>25</v>
      </c>
      <c r="H2155" s="1">
        <v>150</v>
      </c>
      <c r="I2155" s="1">
        <v>100</v>
      </c>
      <c r="J2155" s="1">
        <v>61.884</v>
      </c>
      <c r="K2155" s="1">
        <v>76.230999999999995</v>
      </c>
      <c r="L2155" s="1">
        <v>61.88</v>
      </c>
      <c r="M2155" s="1">
        <v>53.2</v>
      </c>
      <c r="N2155" s="1">
        <v>5.493E-2</v>
      </c>
      <c r="O2155" s="1">
        <v>3.1579999999999998E-4</v>
      </c>
      <c r="P2155" s="1">
        <f>(Table1[[#This Row],[Rate_Constant_k2_g_mg_min]]*Table1[[#This Row],[Contact_Time_min]]*Table1[[#This Row],[qe_mg_g]]^2)/(1+Table1[[#This Row],[Contact_Time_min]]*Table1[[#This Row],[qe_mg_g]]*Table1[[#This Row],[Rate_Constant_k2_g_mg_min]])</f>
        <v>51.00867390048942</v>
      </c>
      <c r="Q2155" s="1">
        <f>LN(Table1[[#This Row],[qe_mg_g]]-Table1[[#This Row],[qt]])</f>
        <v>2.3864965626870642</v>
      </c>
      <c r="R2155" s="1">
        <v>3</v>
      </c>
    </row>
    <row r="2156" spans="1:18" x14ac:dyDescent="0.3">
      <c r="A2156" s="1">
        <v>2155</v>
      </c>
      <c r="B2156" s="1" t="s">
        <v>19</v>
      </c>
      <c r="C2156" s="1">
        <v>2</v>
      </c>
      <c r="D2156" s="1">
        <v>240</v>
      </c>
      <c r="E2156" s="1">
        <v>200</v>
      </c>
      <c r="F2156" s="1">
        <v>7</v>
      </c>
      <c r="G2156" s="1">
        <v>25</v>
      </c>
      <c r="H2156" s="1">
        <v>150</v>
      </c>
      <c r="I2156" s="1">
        <v>100</v>
      </c>
      <c r="J2156" s="1">
        <v>75.358999999999995</v>
      </c>
      <c r="K2156" s="1">
        <v>49.281999999999996</v>
      </c>
      <c r="L2156" s="1">
        <v>75.36</v>
      </c>
      <c r="M2156" s="1">
        <v>60.5</v>
      </c>
      <c r="N2156" s="1">
        <v>5.8819999999999997E-2</v>
      </c>
      <c r="O2156" s="1">
        <v>4.0549999999999999E-4</v>
      </c>
      <c r="P2156" s="1">
        <f>(Table1[[#This Row],[Rate_Constant_k2_g_mg_min]]*Table1[[#This Row],[Contact_Time_min]]*Table1[[#This Row],[qe_mg_g]]^2)/(1+Table1[[#This Row],[Contact_Time_min]]*Table1[[#This Row],[qe_mg_g]]*Table1[[#This Row],[Rate_Constant_k2_g_mg_min]])</f>
        <v>66.316575988075385</v>
      </c>
      <c r="Q2156" s="1">
        <f>LN(Table1[[#This Row],[qe_mg_g]]-Table1[[#This Row],[qt]])</f>
        <v>2.2019272813722139</v>
      </c>
      <c r="R2156" s="1">
        <v>1</v>
      </c>
    </row>
    <row r="2157" spans="1:18" x14ac:dyDescent="0.3">
      <c r="A2157" s="1">
        <v>2156</v>
      </c>
      <c r="B2157" s="1" t="s">
        <v>19</v>
      </c>
      <c r="C2157" s="1">
        <v>2</v>
      </c>
      <c r="D2157" s="1">
        <v>240</v>
      </c>
      <c r="E2157" s="1">
        <v>200</v>
      </c>
      <c r="F2157" s="1">
        <v>7</v>
      </c>
      <c r="G2157" s="1">
        <v>25</v>
      </c>
      <c r="H2157" s="1">
        <v>150</v>
      </c>
      <c r="I2157" s="1">
        <v>100</v>
      </c>
      <c r="J2157" s="1">
        <v>79.527000000000001</v>
      </c>
      <c r="K2157" s="1">
        <v>40.947000000000003</v>
      </c>
      <c r="L2157" s="1">
        <v>79.53</v>
      </c>
      <c r="M2157" s="1">
        <v>60.2</v>
      </c>
      <c r="N2157" s="1">
        <v>5.3440000000000001E-2</v>
      </c>
      <c r="O2157" s="1">
        <v>3.9169999999999998E-4</v>
      </c>
      <c r="P2157" s="1">
        <f>(Table1[[#This Row],[Rate_Constant_k2_g_mg_min]]*Table1[[#This Row],[Contact_Time_min]]*Table1[[#This Row],[qe_mg_g]]^2)/(1+Table1[[#This Row],[Contact_Time_min]]*Table1[[#This Row],[qe_mg_g]]*Table1[[#This Row],[Rate_Constant_k2_g_mg_min]])</f>
        <v>70.144583124957322</v>
      </c>
      <c r="Q2157" s="1">
        <f>LN(Table1[[#This Row],[qe_mg_g]]-Table1[[#This Row],[qt]])</f>
        <v>2.238837392413338</v>
      </c>
      <c r="R2157" s="1">
        <v>2</v>
      </c>
    </row>
    <row r="2158" spans="1:18" x14ac:dyDescent="0.3">
      <c r="A2158" s="1">
        <v>2157</v>
      </c>
      <c r="B2158" s="1" t="s">
        <v>19</v>
      </c>
      <c r="C2158" s="1">
        <v>2</v>
      </c>
      <c r="D2158" s="1">
        <v>240</v>
      </c>
      <c r="E2158" s="1">
        <v>200</v>
      </c>
      <c r="F2158" s="1">
        <v>7</v>
      </c>
      <c r="G2158" s="1">
        <v>25</v>
      </c>
      <c r="H2158" s="1">
        <v>150</v>
      </c>
      <c r="I2158" s="1">
        <v>100</v>
      </c>
      <c r="J2158" s="1">
        <v>90.203999999999994</v>
      </c>
      <c r="K2158" s="1">
        <v>19.591999999999999</v>
      </c>
      <c r="L2158" s="1">
        <v>90.2</v>
      </c>
      <c r="M2158" s="1">
        <v>56.3</v>
      </c>
      <c r="N2158" s="1">
        <v>5.3129999999999997E-2</v>
      </c>
      <c r="O2158" s="1">
        <v>3.836E-4</v>
      </c>
      <c r="P2158" s="1">
        <f>(Table1[[#This Row],[Rate_Constant_k2_g_mg_min]]*Table1[[#This Row],[Contact_Time_min]]*Table1[[#This Row],[qe_mg_g]]^2)/(1+Table1[[#This Row],[Contact_Time_min]]*Table1[[#This Row],[qe_mg_g]]*Table1[[#This Row],[Rate_Constant_k2_g_mg_min]])</f>
        <v>80.509378905085029</v>
      </c>
      <c r="Q2158" s="1">
        <f>LN(Table1[[#This Row],[qe_mg_g]]-Table1[[#This Row],[qt]])</f>
        <v>2.271571205405341</v>
      </c>
      <c r="R2158" s="1">
        <v>3</v>
      </c>
    </row>
    <row r="2159" spans="1:18" x14ac:dyDescent="0.3">
      <c r="A2159" s="1">
        <v>2158</v>
      </c>
      <c r="B2159" s="1" t="s">
        <v>19</v>
      </c>
      <c r="C2159" s="1">
        <v>2</v>
      </c>
      <c r="D2159" s="1">
        <v>240</v>
      </c>
      <c r="E2159" s="1">
        <v>200</v>
      </c>
      <c r="F2159" s="1">
        <v>11</v>
      </c>
      <c r="G2159" s="1">
        <v>25</v>
      </c>
      <c r="H2159" s="1">
        <v>150</v>
      </c>
      <c r="I2159" s="1">
        <v>100</v>
      </c>
      <c r="J2159" s="1">
        <v>73.402000000000001</v>
      </c>
      <c r="K2159" s="1">
        <v>53.197000000000003</v>
      </c>
      <c r="L2159" s="1">
        <v>73.400000000000006</v>
      </c>
      <c r="M2159" s="1">
        <v>48.9</v>
      </c>
      <c r="N2159" s="1">
        <v>4.7699999999999999E-2</v>
      </c>
      <c r="O2159" s="1">
        <v>3.3990000000000002E-4</v>
      </c>
      <c r="P2159" s="1">
        <f>(Table1[[#This Row],[Rate_Constant_k2_g_mg_min]]*Table1[[#This Row],[Contact_Time_min]]*Table1[[#This Row],[qe_mg_g]]^2)/(1+Table1[[#This Row],[Contact_Time_min]]*Table1[[#This Row],[qe_mg_g]]*Table1[[#This Row],[Rate_Constant_k2_g_mg_min]])</f>
        <v>62.897754954691059</v>
      </c>
      <c r="Q2159" s="1">
        <f>LN(Table1[[#This Row],[qe_mg_g]]-Table1[[#This Row],[qt]])</f>
        <v>2.3517794654897073</v>
      </c>
      <c r="R2159" s="1">
        <v>1</v>
      </c>
    </row>
    <row r="2160" spans="1:18" x14ac:dyDescent="0.3">
      <c r="A2160" s="1">
        <v>2159</v>
      </c>
      <c r="B2160" s="1" t="s">
        <v>19</v>
      </c>
      <c r="C2160" s="1">
        <v>2</v>
      </c>
      <c r="D2160" s="1">
        <v>240</v>
      </c>
      <c r="E2160" s="1">
        <v>200</v>
      </c>
      <c r="F2160" s="1">
        <v>11</v>
      </c>
      <c r="G2160" s="1">
        <v>25</v>
      </c>
      <c r="H2160" s="1">
        <v>150</v>
      </c>
      <c r="I2160" s="1">
        <v>100</v>
      </c>
      <c r="J2160" s="1">
        <v>77.671000000000006</v>
      </c>
      <c r="K2160" s="1">
        <v>44.658000000000001</v>
      </c>
      <c r="L2160" s="1">
        <v>77.67</v>
      </c>
      <c r="M2160" s="1">
        <v>63.9</v>
      </c>
      <c r="N2160" s="1">
        <v>4.888E-2</v>
      </c>
      <c r="O2160" s="1">
        <v>3.0909999999999998E-4</v>
      </c>
      <c r="P2160" s="1">
        <f>(Table1[[#This Row],[Rate_Constant_k2_g_mg_min]]*Table1[[#This Row],[Contact_Time_min]]*Table1[[#This Row],[qe_mg_g]]^2)/(1+Table1[[#This Row],[Contact_Time_min]]*Table1[[#This Row],[qe_mg_g]]*Table1[[#This Row],[Rate_Constant_k2_g_mg_min]])</f>
        <v>66.18451280285926</v>
      </c>
      <c r="Q2160" s="1">
        <f>LN(Table1[[#This Row],[qe_mg_g]]-Table1[[#This Row],[qt]])</f>
        <v>2.4411713181489141</v>
      </c>
      <c r="R2160" s="1">
        <v>2</v>
      </c>
    </row>
    <row r="2161" spans="1:18" x14ac:dyDescent="0.3">
      <c r="A2161" s="1">
        <v>2160</v>
      </c>
      <c r="B2161" s="1" t="s">
        <v>19</v>
      </c>
      <c r="C2161" s="1">
        <v>2</v>
      </c>
      <c r="D2161" s="1">
        <v>240</v>
      </c>
      <c r="E2161" s="1">
        <v>200</v>
      </c>
      <c r="F2161" s="1">
        <v>11</v>
      </c>
      <c r="G2161" s="1">
        <v>25</v>
      </c>
      <c r="H2161" s="1">
        <v>150</v>
      </c>
      <c r="I2161" s="1">
        <v>100</v>
      </c>
      <c r="J2161" s="1">
        <v>76.486999999999995</v>
      </c>
      <c r="K2161" s="1">
        <v>47.024999999999999</v>
      </c>
      <c r="L2161" s="1">
        <v>76.489999999999995</v>
      </c>
      <c r="M2161" s="1">
        <v>45.3</v>
      </c>
      <c r="N2161" s="1">
        <v>5.7799999999999997E-2</v>
      </c>
      <c r="O2161" s="1">
        <v>3.2840000000000001E-4</v>
      </c>
      <c r="P2161" s="1">
        <f>(Table1[[#This Row],[Rate_Constant_k2_g_mg_min]]*Table1[[#This Row],[Contact_Time_min]]*Table1[[#This Row],[qe_mg_g]]^2)/(1+Table1[[#This Row],[Contact_Time_min]]*Table1[[#This Row],[qe_mg_g]]*Table1[[#This Row],[Rate_Constant_k2_g_mg_min]])</f>
        <v>65.604436882277838</v>
      </c>
      <c r="Q2161" s="1">
        <f>LN(Table1[[#This Row],[qe_mg_g]]-Table1[[#This Row],[qt]])</f>
        <v>2.3871617943560195</v>
      </c>
      <c r="R2161" s="1">
        <v>3</v>
      </c>
    </row>
    <row r="2162" spans="1:18" x14ac:dyDescent="0.3">
      <c r="A2162" s="1">
        <v>2161</v>
      </c>
      <c r="B2162" s="1" t="s">
        <v>19</v>
      </c>
      <c r="C2162" s="1">
        <v>4</v>
      </c>
      <c r="D2162" s="1">
        <v>30</v>
      </c>
      <c r="E2162" s="1">
        <v>25</v>
      </c>
      <c r="F2162" s="1">
        <v>3</v>
      </c>
      <c r="G2162" s="1">
        <v>25</v>
      </c>
      <c r="H2162" s="1">
        <v>150</v>
      </c>
      <c r="I2162" s="1">
        <v>100</v>
      </c>
      <c r="J2162" s="1">
        <v>0.217</v>
      </c>
      <c r="K2162" s="1">
        <v>24.131</v>
      </c>
      <c r="L2162" s="1">
        <v>3.48</v>
      </c>
      <c r="M2162" s="1">
        <v>48.2</v>
      </c>
      <c r="N2162" s="1">
        <v>6.1289999999999997E-2</v>
      </c>
      <c r="O2162" s="1">
        <v>3.5649999999999999E-4</v>
      </c>
      <c r="P216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5.0245075974003389E-4</v>
      </c>
      <c r="Q2162" s="1">
        <f>LN(Table1[[#This Row],[qe_mg_g]]-Table1[[#This Row],[qt]])</f>
        <v>-1.5301760515100837</v>
      </c>
      <c r="R2162" s="1">
        <v>1</v>
      </c>
    </row>
    <row r="2163" spans="1:18" x14ac:dyDescent="0.3">
      <c r="A2163" s="1">
        <v>2162</v>
      </c>
      <c r="B2163" s="1" t="s">
        <v>19</v>
      </c>
      <c r="C2163" s="1">
        <v>4</v>
      </c>
      <c r="D2163" s="1">
        <v>30</v>
      </c>
      <c r="E2163" s="1">
        <v>25</v>
      </c>
      <c r="F2163" s="1">
        <v>3</v>
      </c>
      <c r="G2163" s="1">
        <v>25</v>
      </c>
      <c r="H2163" s="1">
        <v>150</v>
      </c>
      <c r="I2163" s="1">
        <v>100</v>
      </c>
      <c r="J2163" s="1">
        <v>0.19900000000000001</v>
      </c>
      <c r="K2163" s="1">
        <v>24.206</v>
      </c>
      <c r="L2163" s="1">
        <v>3.18</v>
      </c>
      <c r="M2163" s="1">
        <v>38.4</v>
      </c>
      <c r="N2163" s="1">
        <v>4.2880000000000001E-2</v>
      </c>
      <c r="O2163" s="1">
        <v>3.4230000000000003E-4</v>
      </c>
      <c r="P216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4.0583333599705665E-4</v>
      </c>
      <c r="Q2163" s="1">
        <f>LN(Table1[[#This Row],[qe_mg_g]]-Table1[[#This Row],[qt]])</f>
        <v>-1.6164919000884259</v>
      </c>
      <c r="R2163" s="1">
        <v>2</v>
      </c>
    </row>
    <row r="2164" spans="1:18" x14ac:dyDescent="0.3">
      <c r="A2164" s="1">
        <v>2163</v>
      </c>
      <c r="B2164" s="1" t="s">
        <v>19</v>
      </c>
      <c r="C2164" s="1">
        <v>4</v>
      </c>
      <c r="D2164" s="1">
        <v>30</v>
      </c>
      <c r="E2164" s="1">
        <v>25</v>
      </c>
      <c r="F2164" s="1">
        <v>3</v>
      </c>
      <c r="G2164" s="1">
        <v>25</v>
      </c>
      <c r="H2164" s="1">
        <v>150</v>
      </c>
      <c r="I2164" s="1">
        <v>100</v>
      </c>
      <c r="J2164" s="1">
        <v>0.19900000000000001</v>
      </c>
      <c r="K2164" s="1">
        <v>24.206</v>
      </c>
      <c r="L2164" s="1">
        <v>3.18</v>
      </c>
      <c r="M2164" s="1">
        <v>45.3</v>
      </c>
      <c r="N2164" s="1">
        <v>4.9009999999999998E-2</v>
      </c>
      <c r="O2164" s="1">
        <v>3.6969999999999999E-4</v>
      </c>
      <c r="P2164" s="1">
        <f>(Table1[[#This Row],[Rate_Constant_k2_g_mg_min]]*Table1[[#This Row],[Contact_Time_min]]*Table1[[#This Row],[qe_mg_g]]^2)/(1+Table1[[#This Row],[Contact_Time_min]]*Table1[[#This Row],[qe_mg_g]]*Table1[[#This Row],[Rate_Constant_k2_g_mg_min]])</f>
        <v>4.3824743115048094E-4</v>
      </c>
      <c r="Q2164" s="1">
        <f>LN(Table1[[#This Row],[qe_mg_g]]-Table1[[#This Row],[qt]])</f>
        <v>-1.6166551311705057</v>
      </c>
      <c r="R2164" s="1">
        <v>3</v>
      </c>
    </row>
    <row r="2165" spans="1:18" x14ac:dyDescent="0.3">
      <c r="A2165" s="1">
        <v>2164</v>
      </c>
      <c r="B2165" s="1" t="s">
        <v>19</v>
      </c>
      <c r="C2165" s="1">
        <v>4</v>
      </c>
      <c r="D2165" s="1">
        <v>30</v>
      </c>
      <c r="E2165" s="1">
        <v>25</v>
      </c>
      <c r="F2165" s="1">
        <v>7</v>
      </c>
      <c r="G2165" s="1">
        <v>25</v>
      </c>
      <c r="H2165" s="1">
        <v>150</v>
      </c>
      <c r="I2165" s="1">
        <v>100</v>
      </c>
      <c r="J2165" s="1">
        <v>0.35499999999999998</v>
      </c>
      <c r="K2165" s="1">
        <v>23.58</v>
      </c>
      <c r="L2165" s="1">
        <v>5.68</v>
      </c>
      <c r="M2165" s="1">
        <v>53.4</v>
      </c>
      <c r="N2165" s="1">
        <v>5.9290000000000002E-2</v>
      </c>
      <c r="O2165" s="1">
        <v>3.0889999999999997E-4</v>
      </c>
      <c r="P216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1.1640442197864099E-3</v>
      </c>
      <c r="Q2165" s="1">
        <f>LN(Table1[[#This Row],[qe_mg_g]]-Table1[[#This Row],[qt]])</f>
        <v>-1.038921875002945</v>
      </c>
      <c r="R2165" s="1">
        <v>1</v>
      </c>
    </row>
    <row r="2166" spans="1:18" x14ac:dyDescent="0.3">
      <c r="A2166" s="1">
        <v>2165</v>
      </c>
      <c r="B2166" s="1" t="s">
        <v>19</v>
      </c>
      <c r="C2166" s="1">
        <v>4</v>
      </c>
      <c r="D2166" s="1">
        <v>30</v>
      </c>
      <c r="E2166" s="1">
        <v>25</v>
      </c>
      <c r="F2166" s="1">
        <v>7</v>
      </c>
      <c r="G2166" s="1">
        <v>25</v>
      </c>
      <c r="H2166" s="1">
        <v>150</v>
      </c>
      <c r="I2166" s="1">
        <v>100</v>
      </c>
      <c r="J2166" s="1">
        <v>0.33300000000000002</v>
      </c>
      <c r="K2166" s="1">
        <v>23.667000000000002</v>
      </c>
      <c r="L2166" s="1">
        <v>5.33</v>
      </c>
      <c r="M2166" s="1">
        <v>68</v>
      </c>
      <c r="N2166" s="1">
        <v>5.5379999999999999E-2</v>
      </c>
      <c r="O2166" s="1">
        <v>3.5439999999999999E-4</v>
      </c>
      <c r="P216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1.1748124761200459E-3</v>
      </c>
      <c r="Q2166" s="1">
        <f>LN(Table1[[#This Row],[qe_mg_g]]-Table1[[#This Row],[qt]])</f>
        <v>-1.1031469923411827</v>
      </c>
      <c r="R2166" s="1">
        <v>2</v>
      </c>
    </row>
    <row r="2167" spans="1:18" x14ac:dyDescent="0.3">
      <c r="A2167" s="1">
        <v>2166</v>
      </c>
      <c r="B2167" s="1" t="s">
        <v>19</v>
      </c>
      <c r="C2167" s="1">
        <v>4</v>
      </c>
      <c r="D2167" s="1">
        <v>30</v>
      </c>
      <c r="E2167" s="1">
        <v>25</v>
      </c>
      <c r="F2167" s="1">
        <v>7</v>
      </c>
      <c r="G2167" s="1">
        <v>25</v>
      </c>
      <c r="H2167" s="1">
        <v>150</v>
      </c>
      <c r="I2167" s="1">
        <v>100</v>
      </c>
      <c r="J2167" s="1">
        <v>0.39700000000000002</v>
      </c>
      <c r="K2167" s="1">
        <v>23.413</v>
      </c>
      <c r="L2167" s="1">
        <v>6.35</v>
      </c>
      <c r="M2167" s="1">
        <v>43.1</v>
      </c>
      <c r="N2167" s="1">
        <v>5.9380000000000002E-2</v>
      </c>
      <c r="O2167" s="1">
        <v>4.082E-4</v>
      </c>
      <c r="P216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1.9207418164989168E-3</v>
      </c>
      <c r="Q2167" s="1">
        <f>LN(Table1[[#This Row],[qe_mg_g]]-Table1[[#This Row],[qt]])</f>
        <v>-0.92866888058014541</v>
      </c>
      <c r="R2167" s="1">
        <v>3</v>
      </c>
    </row>
    <row r="2168" spans="1:18" x14ac:dyDescent="0.3">
      <c r="A2168" s="1">
        <v>2167</v>
      </c>
      <c r="B2168" s="1" t="s">
        <v>19</v>
      </c>
      <c r="C2168" s="1">
        <v>4</v>
      </c>
      <c r="D2168" s="1">
        <v>30</v>
      </c>
      <c r="E2168" s="1">
        <v>25</v>
      </c>
      <c r="F2168" s="1">
        <v>11</v>
      </c>
      <c r="G2168" s="1">
        <v>25</v>
      </c>
      <c r="H2168" s="1">
        <v>150</v>
      </c>
      <c r="I2168" s="1">
        <v>100</v>
      </c>
      <c r="J2168" s="1">
        <v>0.24299999999999999</v>
      </c>
      <c r="K2168" s="1">
        <v>24.026</v>
      </c>
      <c r="L2168" s="1">
        <v>3.9</v>
      </c>
      <c r="M2168" s="1">
        <v>61.6</v>
      </c>
      <c r="N2168" s="1">
        <v>4.9599999999999998E-2</v>
      </c>
      <c r="O2168" s="1">
        <v>3.2600000000000001E-4</v>
      </c>
      <c r="P2168" s="1">
        <f>(Table1[[#This Row],[Rate_Constant_k2_g_mg_min]]*Table1[[#This Row],[Contact_Time_min]]*Table1[[#This Row],[qe_mg_g]]^2)/(1+Table1[[#This Row],[Contact_Time_min]]*Table1[[#This Row],[qe_mg_g]]*Table1[[#This Row],[Rate_Constant_k2_g_mg_min]])</f>
        <v>5.7613002395287506E-4</v>
      </c>
      <c r="Q2168" s="1">
        <f>LN(Table1[[#This Row],[qe_mg_g]]-Table1[[#This Row],[qt]])</f>
        <v>-1.4170675561366302</v>
      </c>
      <c r="R2168" s="1">
        <v>1</v>
      </c>
    </row>
    <row r="2169" spans="1:18" x14ac:dyDescent="0.3">
      <c r="A2169" s="1">
        <v>2168</v>
      </c>
      <c r="B2169" s="1" t="s">
        <v>19</v>
      </c>
      <c r="C2169" s="1">
        <v>4</v>
      </c>
      <c r="D2169" s="1">
        <v>30</v>
      </c>
      <c r="E2169" s="1">
        <v>25</v>
      </c>
      <c r="F2169" s="1">
        <v>11</v>
      </c>
      <c r="G2169" s="1">
        <v>25</v>
      </c>
      <c r="H2169" s="1">
        <v>150</v>
      </c>
      <c r="I2169" s="1">
        <v>100</v>
      </c>
      <c r="J2169" s="1">
        <v>0.25600000000000001</v>
      </c>
      <c r="K2169" s="1">
        <v>23.977</v>
      </c>
      <c r="L2169" s="1">
        <v>4.09</v>
      </c>
      <c r="M2169" s="1">
        <v>61.1</v>
      </c>
      <c r="N2169" s="1">
        <v>6.1170000000000002E-2</v>
      </c>
      <c r="O2169" s="1">
        <v>4.0489999999999998E-4</v>
      </c>
      <c r="P216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7.9359799428184539E-4</v>
      </c>
      <c r="Q2169" s="1">
        <f>LN(Table1[[#This Row],[qe_mg_g]]-Table1[[#This Row],[qt]])</f>
        <v>-1.3656826415968533</v>
      </c>
      <c r="R2169" s="1">
        <v>2</v>
      </c>
    </row>
    <row r="2170" spans="1:18" x14ac:dyDescent="0.3">
      <c r="A2170" s="1">
        <v>2169</v>
      </c>
      <c r="B2170" s="1" t="s">
        <v>19</v>
      </c>
      <c r="C2170" s="1">
        <v>4</v>
      </c>
      <c r="D2170" s="1">
        <v>30</v>
      </c>
      <c r="E2170" s="1">
        <v>25</v>
      </c>
      <c r="F2170" s="1">
        <v>11</v>
      </c>
      <c r="G2170" s="1">
        <v>25</v>
      </c>
      <c r="H2170" s="1">
        <v>150</v>
      </c>
      <c r="I2170" s="1">
        <v>100</v>
      </c>
      <c r="J2170" s="1">
        <v>0.248</v>
      </c>
      <c r="K2170" s="1">
        <v>24.007999999999999</v>
      </c>
      <c r="L2170" s="1">
        <v>3.97</v>
      </c>
      <c r="M2170" s="1">
        <v>64.3</v>
      </c>
      <c r="N2170" s="1">
        <v>5.3120000000000001E-2</v>
      </c>
      <c r="O2170" s="1">
        <v>3.8160000000000001E-4</v>
      </c>
      <c r="P2170" s="1">
        <f>(Table1[[#This Row],[Rate_Constant_k2_g_mg_min]]*Table1[[#This Row],[Contact_Time_min]]*Table1[[#This Row],[qe_mg_g]]^2)/(1+Table1[[#This Row],[Contact_Time_min]]*Table1[[#This Row],[qe_mg_g]]*Table1[[#This Row],[Rate_Constant_k2_g_mg_min]])</f>
        <v>7.0210444446330638E-4</v>
      </c>
      <c r="Q2170" s="1">
        <f>LN(Table1[[#This Row],[qe_mg_g]]-Table1[[#This Row],[qt]])</f>
        <v>-1.3971616141733976</v>
      </c>
      <c r="R2170" s="1">
        <v>3</v>
      </c>
    </row>
    <row r="2171" spans="1:18" x14ac:dyDescent="0.3">
      <c r="A2171" s="1">
        <v>2170</v>
      </c>
      <c r="B2171" s="1" t="s">
        <v>19</v>
      </c>
      <c r="C2171" s="1">
        <v>4</v>
      </c>
      <c r="D2171" s="1">
        <v>30</v>
      </c>
      <c r="E2171" s="1">
        <v>50</v>
      </c>
      <c r="F2171" s="1">
        <v>3</v>
      </c>
      <c r="G2171" s="1">
        <v>25</v>
      </c>
      <c r="H2171" s="1">
        <v>150</v>
      </c>
      <c r="I2171" s="1">
        <v>100</v>
      </c>
      <c r="J2171" s="1">
        <v>0.75700000000000001</v>
      </c>
      <c r="K2171" s="1">
        <v>46.973999999999997</v>
      </c>
      <c r="L2171" s="1">
        <v>6.05</v>
      </c>
      <c r="M2171" s="1">
        <v>58.2</v>
      </c>
      <c r="N2171" s="1">
        <v>5.7329999999999999E-2</v>
      </c>
      <c r="O2171" s="1">
        <v>2.9379999999999999E-4</v>
      </c>
      <c r="P2171" s="1">
        <f>(Table1[[#This Row],[Rate_Constant_k2_g_mg_min]]*Table1[[#This Row],[Contact_Time_min]]*Table1[[#This Row],[qe_mg_g]]^2)/(1+Table1[[#This Row],[Contact_Time_min]]*Table1[[#This Row],[qe_mg_g]]*Table1[[#This Row],[Rate_Constant_k2_g_mg_min]])</f>
        <v>5.0173769535254414E-3</v>
      </c>
      <c r="Q2171" s="1">
        <f>LN(Table1[[#This Row],[qe_mg_g]]-Table1[[#This Row],[qt]])</f>
        <v>-0.28504206295024781</v>
      </c>
      <c r="R2171" s="1">
        <v>1</v>
      </c>
    </row>
    <row r="2172" spans="1:18" x14ac:dyDescent="0.3">
      <c r="A2172" s="1">
        <v>2171</v>
      </c>
      <c r="B2172" s="1" t="s">
        <v>19</v>
      </c>
      <c r="C2172" s="1">
        <v>4</v>
      </c>
      <c r="D2172" s="1">
        <v>30</v>
      </c>
      <c r="E2172" s="1">
        <v>50</v>
      </c>
      <c r="F2172" s="1">
        <v>3</v>
      </c>
      <c r="G2172" s="1">
        <v>25</v>
      </c>
      <c r="H2172" s="1">
        <v>150</v>
      </c>
      <c r="I2172" s="1">
        <v>100</v>
      </c>
      <c r="J2172" s="1">
        <v>0.68700000000000006</v>
      </c>
      <c r="K2172" s="1">
        <v>47.252000000000002</v>
      </c>
      <c r="L2172" s="1">
        <v>5.5</v>
      </c>
      <c r="M2172" s="1">
        <v>55.4</v>
      </c>
      <c r="N2172" s="1">
        <v>4.5719999999999997E-2</v>
      </c>
      <c r="O2172" s="1">
        <v>3.791E-4</v>
      </c>
      <c r="P217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5.3260893639510212E-3</v>
      </c>
      <c r="Q2172" s="1">
        <f>LN(Table1[[#This Row],[qe_mg_g]]-Table1[[#This Row],[qt]])</f>
        <v>-0.38320387237985959</v>
      </c>
      <c r="R2172" s="1">
        <v>2</v>
      </c>
    </row>
    <row r="2173" spans="1:18" x14ac:dyDescent="0.3">
      <c r="A2173" s="1">
        <v>2172</v>
      </c>
      <c r="B2173" s="1" t="s">
        <v>19</v>
      </c>
      <c r="C2173" s="1">
        <v>4</v>
      </c>
      <c r="D2173" s="1">
        <v>30</v>
      </c>
      <c r="E2173" s="1">
        <v>50</v>
      </c>
      <c r="F2173" s="1">
        <v>3</v>
      </c>
      <c r="G2173" s="1">
        <v>25</v>
      </c>
      <c r="H2173" s="1">
        <v>150</v>
      </c>
      <c r="I2173" s="1">
        <v>100</v>
      </c>
      <c r="J2173" s="1">
        <v>0.79100000000000004</v>
      </c>
      <c r="K2173" s="1">
        <v>46.835000000000001</v>
      </c>
      <c r="L2173" s="1">
        <v>6.33</v>
      </c>
      <c r="M2173" s="1">
        <v>57.2</v>
      </c>
      <c r="N2173" s="1">
        <v>4.8829999999999998E-2</v>
      </c>
      <c r="O2173" s="1">
        <v>3.9829999999999998E-4</v>
      </c>
      <c r="P2173" s="1">
        <f>(Table1[[#This Row],[Rate_Constant_k2_g_mg_min]]*Table1[[#This Row],[Contact_Time_min]]*Table1[[#This Row],[qe_mg_g]]^2)/(1+Table1[[#This Row],[Contact_Time_min]]*Table1[[#This Row],[qe_mg_g]]*Table1[[#This Row],[Rate_Constant_k2_g_mg_min]])</f>
        <v>7.406260817289915E-3</v>
      </c>
      <c r="Q2173" s="1">
        <f>LN(Table1[[#This Row],[qe_mg_g]]-Table1[[#This Row],[qt]])</f>
        <v>-0.24386458275644429</v>
      </c>
      <c r="R2173" s="1">
        <v>3</v>
      </c>
    </row>
    <row r="2174" spans="1:18" x14ac:dyDescent="0.3">
      <c r="A2174" s="1">
        <v>2173</v>
      </c>
      <c r="B2174" s="1" t="s">
        <v>19</v>
      </c>
      <c r="C2174" s="1">
        <v>4</v>
      </c>
      <c r="D2174" s="1">
        <v>30</v>
      </c>
      <c r="E2174" s="1">
        <v>50</v>
      </c>
      <c r="F2174" s="1">
        <v>7</v>
      </c>
      <c r="G2174" s="1">
        <v>25</v>
      </c>
      <c r="H2174" s="1">
        <v>150</v>
      </c>
      <c r="I2174" s="1">
        <v>100</v>
      </c>
      <c r="J2174" s="1">
        <v>1.4710000000000001</v>
      </c>
      <c r="K2174" s="1">
        <v>44.116</v>
      </c>
      <c r="L2174" s="1">
        <v>11.77</v>
      </c>
      <c r="M2174" s="1">
        <v>55.7</v>
      </c>
      <c r="N2174" s="1">
        <v>5.781E-2</v>
      </c>
      <c r="O2174" s="1">
        <v>3.5710000000000001E-4</v>
      </c>
      <c r="P217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2.2821587278499082E-2</v>
      </c>
      <c r="Q2174" s="1">
        <f>LN(Table1[[#This Row],[qe_mg_g]]-Table1[[#This Row],[qt]])</f>
        <v>0.37030649957885753</v>
      </c>
      <c r="R2174" s="1">
        <v>1</v>
      </c>
    </row>
    <row r="2175" spans="1:18" x14ac:dyDescent="0.3">
      <c r="A2175" s="1">
        <v>2174</v>
      </c>
      <c r="B2175" s="1" t="s">
        <v>19</v>
      </c>
      <c r="C2175" s="1">
        <v>4</v>
      </c>
      <c r="D2175" s="1">
        <v>30</v>
      </c>
      <c r="E2175" s="1">
        <v>50</v>
      </c>
      <c r="F2175" s="1">
        <v>7</v>
      </c>
      <c r="G2175" s="1">
        <v>25</v>
      </c>
      <c r="H2175" s="1">
        <v>150</v>
      </c>
      <c r="I2175" s="1">
        <v>100</v>
      </c>
      <c r="J2175" s="1">
        <v>1.335</v>
      </c>
      <c r="K2175" s="1">
        <v>44.658999999999999</v>
      </c>
      <c r="L2175" s="1">
        <v>10.68</v>
      </c>
      <c r="M2175" s="1">
        <v>53.6</v>
      </c>
      <c r="N2175" s="1">
        <v>5.4809999999999998E-2</v>
      </c>
      <c r="O2175" s="1">
        <v>3.8170000000000001E-4</v>
      </c>
      <c r="P217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2.0100973189272866E-2</v>
      </c>
      <c r="Q2175" s="1">
        <f>LN(Table1[[#This Row],[qe_mg_g]]-Table1[[#This Row],[qt]])</f>
        <v>0.27375987698629084</v>
      </c>
      <c r="R2175" s="1">
        <v>2</v>
      </c>
    </row>
    <row r="2176" spans="1:18" x14ac:dyDescent="0.3">
      <c r="A2176" s="1">
        <v>2175</v>
      </c>
      <c r="B2176" s="1" t="s">
        <v>19</v>
      </c>
      <c r="C2176" s="1">
        <v>4</v>
      </c>
      <c r="D2176" s="1">
        <v>30</v>
      </c>
      <c r="E2176" s="1">
        <v>50</v>
      </c>
      <c r="F2176" s="1">
        <v>7</v>
      </c>
      <c r="G2176" s="1">
        <v>25</v>
      </c>
      <c r="H2176" s="1">
        <v>150</v>
      </c>
      <c r="I2176" s="1">
        <v>100</v>
      </c>
      <c r="J2176" s="1">
        <v>1.4990000000000001</v>
      </c>
      <c r="K2176" s="1">
        <v>44.005000000000003</v>
      </c>
      <c r="L2176" s="1">
        <v>11.99</v>
      </c>
      <c r="M2176" s="1">
        <v>43.1</v>
      </c>
      <c r="N2176" s="1">
        <v>5.4429999999999999E-2</v>
      </c>
      <c r="O2176" s="1">
        <v>3.0870000000000002E-4</v>
      </c>
      <c r="P2176" s="1">
        <f>(Table1[[#This Row],[Rate_Constant_k2_g_mg_min]]*Table1[[#This Row],[Contact_Time_min]]*Table1[[#This Row],[qe_mg_g]]^2)/(1+Table1[[#This Row],[Contact_Time_min]]*Table1[[#This Row],[qe_mg_g]]*Table1[[#This Row],[Rate_Constant_k2_g_mg_min]])</f>
        <v>2.0524549558659351E-2</v>
      </c>
      <c r="Q2176" s="1">
        <f>LN(Table1[[#This Row],[qe_mg_g]]-Table1[[#This Row],[qt]])</f>
        <v>0.39101145580415436</v>
      </c>
      <c r="R2176" s="1">
        <v>3</v>
      </c>
    </row>
    <row r="2177" spans="1:18" x14ac:dyDescent="0.3">
      <c r="A2177" s="1">
        <v>2176</v>
      </c>
      <c r="B2177" s="1" t="s">
        <v>19</v>
      </c>
      <c r="C2177" s="1">
        <v>4</v>
      </c>
      <c r="D2177" s="1">
        <v>30</v>
      </c>
      <c r="E2177" s="1">
        <v>50</v>
      </c>
      <c r="F2177" s="1">
        <v>11</v>
      </c>
      <c r="G2177" s="1">
        <v>25</v>
      </c>
      <c r="H2177" s="1">
        <v>150</v>
      </c>
      <c r="I2177" s="1">
        <v>100</v>
      </c>
      <c r="J2177" s="1">
        <v>1.052</v>
      </c>
      <c r="K2177" s="1">
        <v>45.792000000000002</v>
      </c>
      <c r="L2177" s="1">
        <v>8.42</v>
      </c>
      <c r="M2177" s="1">
        <v>49.7</v>
      </c>
      <c r="N2177" s="1">
        <v>4.7059999999999998E-2</v>
      </c>
      <c r="O2177" s="1">
        <v>3.723E-4</v>
      </c>
      <c r="P217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1.2217227147074038E-2</v>
      </c>
      <c r="Q2177" s="1">
        <f>LN(Table1[[#This Row],[qe_mg_g]]-Table1[[#This Row],[qt]])</f>
        <v>3.9011819079631617E-2</v>
      </c>
      <c r="R2177" s="1">
        <v>1</v>
      </c>
    </row>
    <row r="2178" spans="1:18" x14ac:dyDescent="0.3">
      <c r="A2178" s="1">
        <v>2177</v>
      </c>
      <c r="B2178" s="1" t="s">
        <v>19</v>
      </c>
      <c r="C2178" s="1">
        <v>4</v>
      </c>
      <c r="D2178" s="1">
        <v>30</v>
      </c>
      <c r="E2178" s="1">
        <v>50</v>
      </c>
      <c r="F2178" s="1">
        <v>11</v>
      </c>
      <c r="G2178" s="1">
        <v>25</v>
      </c>
      <c r="H2178" s="1">
        <v>150</v>
      </c>
      <c r="I2178" s="1">
        <v>100</v>
      </c>
      <c r="J2178" s="1">
        <v>1.0620000000000001</v>
      </c>
      <c r="K2178" s="1">
        <v>45.750999999999998</v>
      </c>
      <c r="L2178" s="1">
        <v>8.5</v>
      </c>
      <c r="M2178" s="1">
        <v>60</v>
      </c>
      <c r="N2178" s="1">
        <v>5.6129999999999999E-2</v>
      </c>
      <c r="O2178" s="1">
        <v>3.6430000000000002E-4</v>
      </c>
      <c r="P2178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1.2184783195730008E-2</v>
      </c>
      <c r="Q2178" s="1">
        <f>LN(Table1[[#This Row],[qe_mg_g]]-Table1[[#This Row],[qt]])</f>
        <v>4.861416468649829E-2</v>
      </c>
      <c r="R2178" s="1">
        <v>2</v>
      </c>
    </row>
    <row r="2179" spans="1:18" x14ac:dyDescent="0.3">
      <c r="A2179" s="1">
        <v>2178</v>
      </c>
      <c r="B2179" s="1" t="s">
        <v>19</v>
      </c>
      <c r="C2179" s="1">
        <v>4</v>
      </c>
      <c r="D2179" s="1">
        <v>30</v>
      </c>
      <c r="E2179" s="1">
        <v>50</v>
      </c>
      <c r="F2179" s="1">
        <v>11</v>
      </c>
      <c r="G2179" s="1">
        <v>25</v>
      </c>
      <c r="H2179" s="1">
        <v>150</v>
      </c>
      <c r="I2179" s="1">
        <v>100</v>
      </c>
      <c r="J2179" s="1">
        <v>1.04</v>
      </c>
      <c r="K2179" s="1">
        <v>45.838999999999999</v>
      </c>
      <c r="L2179" s="1">
        <v>8.32</v>
      </c>
      <c r="M2179" s="1">
        <v>47.4</v>
      </c>
      <c r="N2179" s="1">
        <v>5.4379999999999998E-2</v>
      </c>
      <c r="O2179" s="1">
        <v>3.3419999999999999E-4</v>
      </c>
      <c r="P217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1.0732216350821333E-2</v>
      </c>
      <c r="Q2179" s="1">
        <f>LN(Table1[[#This Row],[qe_mg_g]]-Table1[[#This Row],[qt]])</f>
        <v>2.8847659778681315E-2</v>
      </c>
      <c r="R2179" s="1">
        <v>3</v>
      </c>
    </row>
    <row r="2180" spans="1:18" x14ac:dyDescent="0.3">
      <c r="A2180" s="1">
        <v>2179</v>
      </c>
      <c r="B2180" s="1" t="s">
        <v>19</v>
      </c>
      <c r="C2180" s="1">
        <v>4</v>
      </c>
      <c r="D2180" s="1">
        <v>30</v>
      </c>
      <c r="E2180" s="1">
        <v>100</v>
      </c>
      <c r="F2180" s="1">
        <v>3</v>
      </c>
      <c r="G2180" s="1">
        <v>25</v>
      </c>
      <c r="H2180" s="1">
        <v>150</v>
      </c>
      <c r="I2180" s="1">
        <v>100</v>
      </c>
      <c r="J2180" s="1">
        <v>2.5139999999999998</v>
      </c>
      <c r="K2180" s="1">
        <v>89.944999999999993</v>
      </c>
      <c r="L2180" s="1">
        <v>10.050000000000001</v>
      </c>
      <c r="M2180" s="1">
        <v>51.9</v>
      </c>
      <c r="N2180" s="1">
        <v>6.1089999999999998E-2</v>
      </c>
      <c r="O2180" s="1">
        <v>3.6979999999999999E-4</v>
      </c>
      <c r="P2180" s="1">
        <f>(Table1[[#This Row],[Rate_Constant_k2_g_mg_min]]*Table1[[#This Row],[Contact_Time_min]]*Table1[[#This Row],[qe_mg_g]]^2)/(1+Table1[[#This Row],[Contact_Time_min]]*Table1[[#This Row],[qe_mg_g]]*Table1[[#This Row],[Rate_Constant_k2_g_mg_min]])</f>
        <v>6.8213751343484785E-2</v>
      </c>
      <c r="Q2180" s="1">
        <f>LN(Table1[[#This Row],[qe_mg_g]]-Table1[[#This Row],[qt]])</f>
        <v>0.89436664532561294</v>
      </c>
      <c r="R2180" s="1">
        <v>1</v>
      </c>
    </row>
    <row r="2181" spans="1:18" x14ac:dyDescent="0.3">
      <c r="A2181" s="1">
        <v>2180</v>
      </c>
      <c r="B2181" s="1" t="s">
        <v>19</v>
      </c>
      <c r="C2181" s="1">
        <v>4</v>
      </c>
      <c r="D2181" s="1">
        <v>30</v>
      </c>
      <c r="E2181" s="1">
        <v>100</v>
      </c>
      <c r="F2181" s="1">
        <v>3</v>
      </c>
      <c r="G2181" s="1">
        <v>25</v>
      </c>
      <c r="H2181" s="1">
        <v>150</v>
      </c>
      <c r="I2181" s="1">
        <v>100</v>
      </c>
      <c r="J2181" s="1">
        <v>2.8610000000000002</v>
      </c>
      <c r="K2181" s="1">
        <v>88.555999999999997</v>
      </c>
      <c r="L2181" s="1">
        <v>11.44</v>
      </c>
      <c r="M2181" s="1">
        <v>55.7</v>
      </c>
      <c r="N2181" s="1">
        <v>5.7880000000000001E-2</v>
      </c>
      <c r="O2181" s="1">
        <v>3.2200000000000002E-4</v>
      </c>
      <c r="P2181" s="1">
        <f>(Table1[[#This Row],[Rate_Constant_k2_g_mg_min]]*Table1[[#This Row],[Contact_Time_min]]*Table1[[#This Row],[qe_mg_g]]^2)/(1+Table1[[#This Row],[Contact_Time_min]]*Table1[[#This Row],[qe_mg_g]]*Table1[[#This Row],[Rate_Constant_k2_g_mg_min]])</f>
        <v>7.6943688145367575E-2</v>
      </c>
      <c r="Q2181" s="1">
        <f>LN(Table1[[#This Row],[qe_mg_g]]-Table1[[#This Row],[qt]])</f>
        <v>1.0239089692268899</v>
      </c>
      <c r="R2181" s="1">
        <v>2</v>
      </c>
    </row>
    <row r="2182" spans="1:18" x14ac:dyDescent="0.3">
      <c r="A2182" s="1">
        <v>2181</v>
      </c>
      <c r="B2182" s="1" t="s">
        <v>19</v>
      </c>
      <c r="C2182" s="1">
        <v>4</v>
      </c>
      <c r="D2182" s="1">
        <v>30</v>
      </c>
      <c r="E2182" s="1">
        <v>100</v>
      </c>
      <c r="F2182" s="1">
        <v>3</v>
      </c>
      <c r="G2182" s="1">
        <v>25</v>
      </c>
      <c r="H2182" s="1">
        <v>150</v>
      </c>
      <c r="I2182" s="1">
        <v>100</v>
      </c>
      <c r="J2182" s="1">
        <v>2.6779999999999999</v>
      </c>
      <c r="K2182" s="1">
        <v>89.287000000000006</v>
      </c>
      <c r="L2182" s="1">
        <v>10.71</v>
      </c>
      <c r="M2182" s="1">
        <v>56.1</v>
      </c>
      <c r="N2182" s="1">
        <v>5.6529999999999997E-2</v>
      </c>
      <c r="O2182" s="1">
        <v>3.612E-4</v>
      </c>
      <c r="P2182" s="1">
        <f>(Table1[[#This Row],[Rate_Constant_k2_g_mg_min]]*Table1[[#This Row],[Contact_Time_min]]*Table1[[#This Row],[qe_mg_g]]^2)/(1+Table1[[#This Row],[Contact_Time_min]]*Table1[[#This Row],[qe_mg_g]]*Table1[[#This Row],[Rate_Constant_k2_g_mg_min]])</f>
        <v>7.5520842981521091E-2</v>
      </c>
      <c r="Q2182" s="1">
        <f>LN(Table1[[#This Row],[qe_mg_g]]-Table1[[#This Row],[qt]])</f>
        <v>0.95646451264436039</v>
      </c>
      <c r="R2182" s="1">
        <v>3</v>
      </c>
    </row>
    <row r="2183" spans="1:18" x14ac:dyDescent="0.3">
      <c r="A2183" s="1">
        <v>2182</v>
      </c>
      <c r="B2183" s="1" t="s">
        <v>19</v>
      </c>
      <c r="C2183" s="1">
        <v>4</v>
      </c>
      <c r="D2183" s="1">
        <v>30</v>
      </c>
      <c r="E2183" s="1">
        <v>100</v>
      </c>
      <c r="F2183" s="1">
        <v>7</v>
      </c>
      <c r="G2183" s="1">
        <v>25</v>
      </c>
      <c r="H2183" s="1">
        <v>150</v>
      </c>
      <c r="I2183" s="1">
        <v>100</v>
      </c>
      <c r="J2183" s="1">
        <v>4.57</v>
      </c>
      <c r="K2183" s="1">
        <v>81.72</v>
      </c>
      <c r="L2183" s="1">
        <v>18.28</v>
      </c>
      <c r="M2183" s="1">
        <v>51.5</v>
      </c>
      <c r="N2183" s="1">
        <v>7.2370000000000004E-2</v>
      </c>
      <c r="O2183" s="1">
        <v>3.8170000000000001E-4</v>
      </c>
      <c r="P218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0.22726021944785876</v>
      </c>
      <c r="Q2183" s="1">
        <f>LN(Table1[[#This Row],[qe_mg_g]]-Table1[[#This Row],[qt]])</f>
        <v>1.4685054347767348</v>
      </c>
      <c r="R2183" s="1">
        <v>1</v>
      </c>
    </row>
    <row r="2184" spans="1:18" x14ac:dyDescent="0.3">
      <c r="A2184" s="1">
        <v>2183</v>
      </c>
      <c r="B2184" s="1" t="s">
        <v>19</v>
      </c>
      <c r="C2184" s="1">
        <v>4</v>
      </c>
      <c r="D2184" s="1">
        <v>30</v>
      </c>
      <c r="E2184" s="1">
        <v>100</v>
      </c>
      <c r="F2184" s="1">
        <v>7</v>
      </c>
      <c r="G2184" s="1">
        <v>25</v>
      </c>
      <c r="H2184" s="1">
        <v>150</v>
      </c>
      <c r="I2184" s="1">
        <v>100</v>
      </c>
      <c r="J2184" s="1">
        <v>4.7480000000000002</v>
      </c>
      <c r="K2184" s="1">
        <v>81.007999999999996</v>
      </c>
      <c r="L2184" s="1">
        <v>18.989999999999998</v>
      </c>
      <c r="M2184" s="1">
        <v>52.6</v>
      </c>
      <c r="N2184" s="1">
        <v>5.2519999999999997E-2</v>
      </c>
      <c r="O2184" s="1">
        <v>3.4539999999999999E-4</v>
      </c>
      <c r="P218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0.22264207106547373</v>
      </c>
      <c r="Q2184" s="1">
        <f>LN(Table1[[#This Row],[qe_mg_g]]-Table1[[#This Row],[qt]])</f>
        <v>1.5096966743406468</v>
      </c>
      <c r="R2184" s="1">
        <v>2</v>
      </c>
    </row>
    <row r="2185" spans="1:18" x14ac:dyDescent="0.3">
      <c r="A2185" s="1">
        <v>2184</v>
      </c>
      <c r="B2185" s="1" t="s">
        <v>19</v>
      </c>
      <c r="C2185" s="1">
        <v>4</v>
      </c>
      <c r="D2185" s="1">
        <v>30</v>
      </c>
      <c r="E2185" s="1">
        <v>100</v>
      </c>
      <c r="F2185" s="1">
        <v>7</v>
      </c>
      <c r="G2185" s="1">
        <v>25</v>
      </c>
      <c r="H2185" s="1">
        <v>150</v>
      </c>
      <c r="I2185" s="1">
        <v>100</v>
      </c>
      <c r="J2185" s="1">
        <v>4.7089999999999996</v>
      </c>
      <c r="K2185" s="1">
        <v>81.162999999999997</v>
      </c>
      <c r="L2185" s="1">
        <v>18.84</v>
      </c>
      <c r="M2185" s="1">
        <v>39.200000000000003</v>
      </c>
      <c r="N2185" s="1">
        <v>4.6370000000000001E-2</v>
      </c>
      <c r="O2185" s="1">
        <v>3.277E-4</v>
      </c>
      <c r="P218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0.20835372430280907</v>
      </c>
      <c r="Q2185" s="1">
        <f>LN(Table1[[#This Row],[qe_mg_g]]-Table1[[#This Row],[qt]])</f>
        <v>1.5042210032859638</v>
      </c>
      <c r="R2185" s="1">
        <v>3</v>
      </c>
    </row>
    <row r="2186" spans="1:18" x14ac:dyDescent="0.3">
      <c r="A2186" s="1">
        <v>2185</v>
      </c>
      <c r="B2186" s="1" t="s">
        <v>19</v>
      </c>
      <c r="C2186" s="1">
        <v>4</v>
      </c>
      <c r="D2186" s="1">
        <v>30</v>
      </c>
      <c r="E2186" s="1">
        <v>100</v>
      </c>
      <c r="F2186" s="1">
        <v>11</v>
      </c>
      <c r="G2186" s="1">
        <v>25</v>
      </c>
      <c r="H2186" s="1">
        <v>150</v>
      </c>
      <c r="I2186" s="1">
        <v>100</v>
      </c>
      <c r="J2186" s="1">
        <v>3.4910000000000001</v>
      </c>
      <c r="K2186" s="1">
        <v>86.037000000000006</v>
      </c>
      <c r="L2186" s="1">
        <v>13.96</v>
      </c>
      <c r="M2186" s="1">
        <v>52.6</v>
      </c>
      <c r="N2186" s="1">
        <v>6.3130000000000006E-2</v>
      </c>
      <c r="O2186" s="1">
        <v>2.9809999999999998E-4</v>
      </c>
      <c r="P218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0.10568943970155475</v>
      </c>
      <c r="Q2186" s="1">
        <f>LN(Table1[[#This Row],[qe_mg_g]]-Table1[[#This Row],[qt]])</f>
        <v>1.2194456481819578</v>
      </c>
      <c r="R2186" s="1">
        <v>1</v>
      </c>
    </row>
    <row r="2187" spans="1:18" x14ac:dyDescent="0.3">
      <c r="A2187" s="1">
        <v>2186</v>
      </c>
      <c r="B2187" s="1" t="s">
        <v>19</v>
      </c>
      <c r="C2187" s="1">
        <v>4</v>
      </c>
      <c r="D2187" s="1">
        <v>30</v>
      </c>
      <c r="E2187" s="1">
        <v>100</v>
      </c>
      <c r="F2187" s="1">
        <v>11</v>
      </c>
      <c r="G2187" s="1">
        <v>25</v>
      </c>
      <c r="H2187" s="1">
        <v>150</v>
      </c>
      <c r="I2187" s="1">
        <v>100</v>
      </c>
      <c r="J2187" s="1">
        <v>3.26</v>
      </c>
      <c r="K2187" s="1">
        <v>86.96</v>
      </c>
      <c r="L2187" s="1">
        <v>13.04</v>
      </c>
      <c r="M2187" s="1">
        <v>67</v>
      </c>
      <c r="N2187" s="1">
        <v>5.5719999999999999E-2</v>
      </c>
      <c r="O2187" s="1">
        <v>3.8099999999999999E-4</v>
      </c>
      <c r="P218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0.11710974799226193</v>
      </c>
      <c r="Q2187" s="1">
        <f>LN(Table1[[#This Row],[qe_mg_g]]-Table1[[#This Row],[qt]])</f>
        <v>1.1451428389772473</v>
      </c>
      <c r="R2187" s="1">
        <v>2</v>
      </c>
    </row>
    <row r="2188" spans="1:18" x14ac:dyDescent="0.3">
      <c r="A2188" s="1">
        <v>2187</v>
      </c>
      <c r="B2188" s="1" t="s">
        <v>19</v>
      </c>
      <c r="C2188" s="1">
        <v>4</v>
      </c>
      <c r="D2188" s="1">
        <v>30</v>
      </c>
      <c r="E2188" s="1">
        <v>100</v>
      </c>
      <c r="F2188" s="1">
        <v>11</v>
      </c>
      <c r="G2188" s="1">
        <v>25</v>
      </c>
      <c r="H2188" s="1">
        <v>150</v>
      </c>
      <c r="I2188" s="1">
        <v>100</v>
      </c>
      <c r="J2188" s="1">
        <v>3.9350000000000001</v>
      </c>
      <c r="K2188" s="1">
        <v>84.26</v>
      </c>
      <c r="L2188" s="1">
        <v>15.74</v>
      </c>
      <c r="M2188" s="1">
        <v>48.9</v>
      </c>
      <c r="N2188" s="1">
        <v>5.4449999999999998E-2</v>
      </c>
      <c r="O2188" s="1">
        <v>3.4049999999999998E-4</v>
      </c>
      <c r="P218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0.15205918362839352</v>
      </c>
      <c r="Q2188" s="1">
        <f>LN(Table1[[#This Row],[qe_mg_g]]-Table1[[#This Row],[qt]])</f>
        <v>1.3305017009003368</v>
      </c>
      <c r="R2188" s="1">
        <v>3</v>
      </c>
    </row>
    <row r="2189" spans="1:18" x14ac:dyDescent="0.3">
      <c r="A2189" s="1">
        <v>2188</v>
      </c>
      <c r="B2189" s="1" t="s">
        <v>19</v>
      </c>
      <c r="C2189" s="1">
        <v>4</v>
      </c>
      <c r="D2189" s="1">
        <v>30</v>
      </c>
      <c r="E2189" s="1">
        <v>200</v>
      </c>
      <c r="F2189" s="1">
        <v>3</v>
      </c>
      <c r="G2189" s="1">
        <v>25</v>
      </c>
      <c r="H2189" s="1">
        <v>150</v>
      </c>
      <c r="I2189" s="1">
        <v>100</v>
      </c>
      <c r="J2189" s="1">
        <v>8.1150000000000002</v>
      </c>
      <c r="K2189" s="1">
        <v>167.541</v>
      </c>
      <c r="L2189" s="1">
        <v>16.23</v>
      </c>
      <c r="M2189" s="1">
        <v>52</v>
      </c>
      <c r="N2189" s="1">
        <v>5.985E-2</v>
      </c>
      <c r="O2189" s="1">
        <v>3.6890000000000002E-4</v>
      </c>
      <c r="P218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0.66873905276339307</v>
      </c>
      <c r="Q2189" s="1">
        <f>LN(Table1[[#This Row],[qe_mg_g]]-Table1[[#This Row],[qt]])</f>
        <v>2.0077120201274292</v>
      </c>
      <c r="R2189" s="1">
        <v>1</v>
      </c>
    </row>
    <row r="2190" spans="1:18" x14ac:dyDescent="0.3">
      <c r="A2190" s="1">
        <v>2189</v>
      </c>
      <c r="B2190" s="1" t="s">
        <v>19</v>
      </c>
      <c r="C2190" s="1">
        <v>4</v>
      </c>
      <c r="D2190" s="1">
        <v>30</v>
      </c>
      <c r="E2190" s="1">
        <v>200</v>
      </c>
      <c r="F2190" s="1">
        <v>3</v>
      </c>
      <c r="G2190" s="1">
        <v>25</v>
      </c>
      <c r="H2190" s="1">
        <v>150</v>
      </c>
      <c r="I2190" s="1">
        <v>100</v>
      </c>
      <c r="J2190" s="1">
        <v>9.8079999999999998</v>
      </c>
      <c r="K2190" s="1">
        <v>160.767</v>
      </c>
      <c r="L2190" s="1">
        <v>19.62</v>
      </c>
      <c r="M2190" s="1">
        <v>51.5</v>
      </c>
      <c r="N2190" s="1">
        <v>5.1389999999999998E-2</v>
      </c>
      <c r="O2190" s="1">
        <v>3.9439999999999999E-4</v>
      </c>
      <c r="P219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1.0198495349362384</v>
      </c>
      <c r="Q2190" s="1">
        <f>LN(Table1[[#This Row],[qe_mg_g]]-Table1[[#This Row],[qt]])</f>
        <v>2.1734042760261953</v>
      </c>
      <c r="R2190" s="1">
        <v>2</v>
      </c>
    </row>
    <row r="2191" spans="1:18" x14ac:dyDescent="0.3">
      <c r="A2191" s="1">
        <v>2190</v>
      </c>
      <c r="B2191" s="1" t="s">
        <v>19</v>
      </c>
      <c r="C2191" s="1">
        <v>4</v>
      </c>
      <c r="D2191" s="1">
        <v>30</v>
      </c>
      <c r="E2191" s="1">
        <v>200</v>
      </c>
      <c r="F2191" s="1">
        <v>3</v>
      </c>
      <c r="G2191" s="1">
        <v>25</v>
      </c>
      <c r="H2191" s="1">
        <v>150</v>
      </c>
      <c r="I2191" s="1">
        <v>100</v>
      </c>
      <c r="J2191" s="1">
        <v>9.0739999999999998</v>
      </c>
      <c r="K2191" s="1">
        <v>163.70500000000001</v>
      </c>
      <c r="L2191" s="1">
        <v>18.149999999999999</v>
      </c>
      <c r="M2191" s="1">
        <v>57</v>
      </c>
      <c r="N2191" s="1">
        <v>5.5899999999999998E-2</v>
      </c>
      <c r="O2191" s="1">
        <v>4.0119999999999999E-4</v>
      </c>
      <c r="P219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0.89343739611433759</v>
      </c>
      <c r="Q2191" s="1">
        <f>LN(Table1[[#This Row],[qe_mg_g]]-Table1[[#This Row],[qt]])</f>
        <v>2.1017609262306909</v>
      </c>
      <c r="R2191" s="1">
        <v>3</v>
      </c>
    </row>
    <row r="2192" spans="1:18" x14ac:dyDescent="0.3">
      <c r="A2192" s="1">
        <v>2191</v>
      </c>
      <c r="B2192" s="1" t="s">
        <v>19</v>
      </c>
      <c r="C2192" s="1">
        <v>4</v>
      </c>
      <c r="D2192" s="1">
        <v>30</v>
      </c>
      <c r="E2192" s="1">
        <v>200</v>
      </c>
      <c r="F2192" s="1">
        <v>7</v>
      </c>
      <c r="G2192" s="1">
        <v>25</v>
      </c>
      <c r="H2192" s="1">
        <v>150</v>
      </c>
      <c r="I2192" s="1">
        <v>100</v>
      </c>
      <c r="J2192" s="1">
        <v>16.318000000000001</v>
      </c>
      <c r="K2192" s="1">
        <v>134.72800000000001</v>
      </c>
      <c r="L2192" s="1">
        <v>32.64</v>
      </c>
      <c r="M2192" s="1">
        <v>43.9</v>
      </c>
      <c r="N2192" s="1">
        <v>4.8469999999999999E-2</v>
      </c>
      <c r="O2192" s="1">
        <v>3.703E-4</v>
      </c>
      <c r="P2192" s="1">
        <f>(Table1[[#This Row],[Rate_Constant_k2_g_mg_min]]*Table1[[#This Row],[Contact_Time_min]]*Table1[[#This Row],[qe_mg_g]]^2)/(1+Table1[[#This Row],[Contact_Time_min]]*Table1[[#This Row],[qe_mg_g]]*Table1[[#This Row],[Rate_Constant_k2_g_mg_min]])</f>
        <v>2.5041318987101104</v>
      </c>
      <c r="Q2192" s="1">
        <f>LN(Table1[[#This Row],[qe_mg_g]]-Table1[[#This Row],[qt]])</f>
        <v>2.6256730224302234</v>
      </c>
      <c r="R2192" s="1">
        <v>1</v>
      </c>
    </row>
    <row r="2193" spans="1:18" x14ac:dyDescent="0.3">
      <c r="A2193" s="1">
        <v>2192</v>
      </c>
      <c r="B2193" s="1" t="s">
        <v>19</v>
      </c>
      <c r="C2193" s="1">
        <v>4</v>
      </c>
      <c r="D2193" s="1">
        <v>30</v>
      </c>
      <c r="E2193" s="1">
        <v>200</v>
      </c>
      <c r="F2193" s="1">
        <v>7</v>
      </c>
      <c r="G2193" s="1">
        <v>25</v>
      </c>
      <c r="H2193" s="1">
        <v>150</v>
      </c>
      <c r="I2193" s="1">
        <v>100</v>
      </c>
      <c r="J2193" s="1">
        <v>15.21</v>
      </c>
      <c r="K2193" s="1">
        <v>139.15899999999999</v>
      </c>
      <c r="L2193" s="1">
        <v>30.42</v>
      </c>
      <c r="M2193" s="1">
        <v>50.8</v>
      </c>
      <c r="N2193" s="1">
        <v>6.0589999999999998E-2</v>
      </c>
      <c r="O2193" s="1">
        <v>3.5659999999999999E-4</v>
      </c>
      <c r="P2193" s="1">
        <f>(Table1[[#This Row],[Rate_Constant_k2_g_mg_min]]*Table1[[#This Row],[Contact_Time_min]]*Table1[[#This Row],[qe_mg_g]]^2)/(1+Table1[[#This Row],[Contact_Time_min]]*Table1[[#This Row],[qe_mg_g]]*Table1[[#This Row],[Rate_Constant_k2_g_mg_min]])</f>
        <v>2.1285661737101917</v>
      </c>
      <c r="Q2193" s="1">
        <f>LN(Table1[[#This Row],[qe_mg_g]]-Table1[[#This Row],[qt]])</f>
        <v>2.5711939597681743</v>
      </c>
      <c r="R2193" s="1">
        <v>2</v>
      </c>
    </row>
    <row r="2194" spans="1:18" x14ac:dyDescent="0.3">
      <c r="A2194" s="1">
        <v>2193</v>
      </c>
      <c r="B2194" s="1" t="s">
        <v>19</v>
      </c>
      <c r="C2194" s="1">
        <v>4</v>
      </c>
      <c r="D2194" s="1">
        <v>30</v>
      </c>
      <c r="E2194" s="1">
        <v>200</v>
      </c>
      <c r="F2194" s="1">
        <v>7</v>
      </c>
      <c r="G2194" s="1">
        <v>25</v>
      </c>
      <c r="H2194" s="1">
        <v>150</v>
      </c>
      <c r="I2194" s="1">
        <v>100</v>
      </c>
      <c r="J2194" s="1">
        <v>15.335000000000001</v>
      </c>
      <c r="K2194" s="1">
        <v>138.65899999999999</v>
      </c>
      <c r="L2194" s="1">
        <v>30.67</v>
      </c>
      <c r="M2194" s="1">
        <v>60.9</v>
      </c>
      <c r="N2194" s="1">
        <v>5.2940000000000001E-2</v>
      </c>
      <c r="O2194" s="1">
        <v>4.0489999999999998E-4</v>
      </c>
      <c r="P219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2.4079723209998551</v>
      </c>
      <c r="Q2194" s="1">
        <f>LN(Table1[[#This Row],[qe_mg_g]]-Table1[[#This Row],[qt]])</f>
        <v>2.5593202884769104</v>
      </c>
      <c r="R2194" s="1">
        <v>3</v>
      </c>
    </row>
    <row r="2195" spans="1:18" x14ac:dyDescent="0.3">
      <c r="A2195" s="1">
        <v>2194</v>
      </c>
      <c r="B2195" s="1" t="s">
        <v>19</v>
      </c>
      <c r="C2195" s="1">
        <v>4</v>
      </c>
      <c r="D2195" s="1">
        <v>30</v>
      </c>
      <c r="E2195" s="1">
        <v>200</v>
      </c>
      <c r="F2195" s="1">
        <v>11</v>
      </c>
      <c r="G2195" s="1">
        <v>25</v>
      </c>
      <c r="H2195" s="1">
        <v>150</v>
      </c>
      <c r="I2195" s="1">
        <v>100</v>
      </c>
      <c r="J2195" s="1">
        <v>10.996</v>
      </c>
      <c r="K2195" s="1">
        <v>156.01499999999999</v>
      </c>
      <c r="L2195" s="1">
        <v>21.99</v>
      </c>
      <c r="M2195" s="1">
        <v>59.9</v>
      </c>
      <c r="N2195" s="1">
        <v>6.2890000000000001E-2</v>
      </c>
      <c r="O2195" s="1">
        <v>3.0180000000000002E-4</v>
      </c>
      <c r="P219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0.99561606383389523</v>
      </c>
      <c r="Q2195" s="1">
        <f>LN(Table1[[#This Row],[qe_mg_g]]-Table1[[#This Row],[qt]])</f>
        <v>2.3026234858736401</v>
      </c>
      <c r="R2195" s="1">
        <v>1</v>
      </c>
    </row>
    <row r="2196" spans="1:18" x14ac:dyDescent="0.3">
      <c r="A2196" s="1">
        <v>2195</v>
      </c>
      <c r="B2196" s="1" t="s">
        <v>19</v>
      </c>
      <c r="C2196" s="1">
        <v>4</v>
      </c>
      <c r="D2196" s="1">
        <v>30</v>
      </c>
      <c r="E2196" s="1">
        <v>200</v>
      </c>
      <c r="F2196" s="1">
        <v>11</v>
      </c>
      <c r="G2196" s="1">
        <v>25</v>
      </c>
      <c r="H2196" s="1">
        <v>150</v>
      </c>
      <c r="I2196" s="1">
        <v>100</v>
      </c>
      <c r="J2196" s="1">
        <v>11.358000000000001</v>
      </c>
      <c r="K2196" s="1">
        <v>154.566</v>
      </c>
      <c r="L2196" s="1">
        <v>22.72</v>
      </c>
      <c r="M2196" s="1">
        <v>63.9</v>
      </c>
      <c r="N2196" s="1">
        <v>6.1359999999999998E-2</v>
      </c>
      <c r="O2196" s="1">
        <v>3.4400000000000001E-4</v>
      </c>
      <c r="P219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1.1916448461609739</v>
      </c>
      <c r="Q2196" s="1">
        <f>LN(Table1[[#This Row],[qe_mg_g]]-Table1[[#This Row],[qt]])</f>
        <v>2.3190837538698257</v>
      </c>
      <c r="R2196" s="1">
        <v>2</v>
      </c>
    </row>
    <row r="2197" spans="1:18" x14ac:dyDescent="0.3">
      <c r="A2197" s="1">
        <v>2196</v>
      </c>
      <c r="B2197" s="1" t="s">
        <v>19</v>
      </c>
      <c r="C2197" s="1">
        <v>4</v>
      </c>
      <c r="D2197" s="1">
        <v>30</v>
      </c>
      <c r="E2197" s="1">
        <v>200</v>
      </c>
      <c r="F2197" s="1">
        <v>11</v>
      </c>
      <c r="G2197" s="1">
        <v>25</v>
      </c>
      <c r="H2197" s="1">
        <v>150</v>
      </c>
      <c r="I2197" s="1">
        <v>100</v>
      </c>
      <c r="J2197" s="1">
        <v>11.04</v>
      </c>
      <c r="K2197" s="1">
        <v>155.84100000000001</v>
      </c>
      <c r="L2197" s="1">
        <v>22.08</v>
      </c>
      <c r="M2197" s="1">
        <v>62.4</v>
      </c>
      <c r="N2197" s="1">
        <v>6.1510000000000002E-2</v>
      </c>
      <c r="O2197" s="1">
        <v>3.0919999999999998E-4</v>
      </c>
      <c r="P219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1.0255501648465524</v>
      </c>
      <c r="Q2197" s="1">
        <f>LN(Table1[[#This Row],[qe_mg_g]]-Table1[[#This Row],[qt]])</f>
        <v>2.3040290335253193</v>
      </c>
      <c r="R2197" s="1">
        <v>3</v>
      </c>
    </row>
    <row r="2198" spans="1:18" x14ac:dyDescent="0.3">
      <c r="A2198" s="1">
        <v>2197</v>
      </c>
      <c r="B2198" s="1" t="s">
        <v>19</v>
      </c>
      <c r="C2198" s="1">
        <v>4</v>
      </c>
      <c r="D2198" s="1">
        <v>60</v>
      </c>
      <c r="E2198" s="1">
        <v>25</v>
      </c>
      <c r="F2198" s="1">
        <v>3</v>
      </c>
      <c r="G2198" s="1">
        <v>25</v>
      </c>
      <c r="H2198" s="1">
        <v>150</v>
      </c>
      <c r="I2198" s="1">
        <v>100</v>
      </c>
      <c r="J2198" s="1">
        <v>0.34200000000000003</v>
      </c>
      <c r="K2198" s="1">
        <v>23.634</v>
      </c>
      <c r="L2198" s="1">
        <v>5.46</v>
      </c>
      <c r="M2198" s="1">
        <v>56.4</v>
      </c>
      <c r="N2198" s="1">
        <v>5.8459999999999998E-2</v>
      </c>
      <c r="O2198" s="1">
        <v>3.3950000000000001E-4</v>
      </c>
      <c r="P219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2.3660733354655458E-3</v>
      </c>
      <c r="Q2198" s="1">
        <f>LN(Table1[[#This Row],[qe_mg_g]]-Table1[[#This Row],[qt]])</f>
        <v>-1.0798869276957717</v>
      </c>
      <c r="R2198" s="1">
        <v>1</v>
      </c>
    </row>
    <row r="2199" spans="1:18" x14ac:dyDescent="0.3">
      <c r="A2199" s="1">
        <v>2198</v>
      </c>
      <c r="B2199" s="1" t="s">
        <v>19</v>
      </c>
      <c r="C2199" s="1">
        <v>4</v>
      </c>
      <c r="D2199" s="1">
        <v>60</v>
      </c>
      <c r="E2199" s="1">
        <v>25</v>
      </c>
      <c r="F2199" s="1">
        <v>3</v>
      </c>
      <c r="G2199" s="1">
        <v>25</v>
      </c>
      <c r="H2199" s="1">
        <v>150</v>
      </c>
      <c r="I2199" s="1">
        <v>100</v>
      </c>
      <c r="J2199" s="1">
        <v>0.39100000000000001</v>
      </c>
      <c r="K2199" s="1">
        <v>23.437000000000001</v>
      </c>
      <c r="L2199" s="1">
        <v>6.25</v>
      </c>
      <c r="M2199" s="1">
        <v>48.7</v>
      </c>
      <c r="N2199" s="1">
        <v>4.3369999999999999E-2</v>
      </c>
      <c r="O2199" s="1">
        <v>3.3520000000000002E-4</v>
      </c>
      <c r="P219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3.0507521913238854E-3</v>
      </c>
      <c r="Q2199" s="1">
        <f>LN(Table1[[#This Row],[qe_mg_g]]-Table1[[#This Row],[qt]])</f>
        <v>-0.94688075253134774</v>
      </c>
      <c r="R2199" s="1">
        <v>2</v>
      </c>
    </row>
    <row r="2200" spans="1:18" x14ac:dyDescent="0.3">
      <c r="A2200" s="1">
        <v>2199</v>
      </c>
      <c r="B2200" s="1" t="s">
        <v>19</v>
      </c>
      <c r="C2200" s="1">
        <v>4</v>
      </c>
      <c r="D2200" s="1">
        <v>60</v>
      </c>
      <c r="E2200" s="1">
        <v>25</v>
      </c>
      <c r="F2200" s="1">
        <v>3</v>
      </c>
      <c r="G2200" s="1">
        <v>25</v>
      </c>
      <c r="H2200" s="1">
        <v>150</v>
      </c>
      <c r="I2200" s="1">
        <v>100</v>
      </c>
      <c r="J2200" s="1">
        <v>0.375</v>
      </c>
      <c r="K2200" s="1">
        <v>23.501999999999999</v>
      </c>
      <c r="L2200" s="1">
        <v>5.99</v>
      </c>
      <c r="M2200" s="1">
        <v>52.3</v>
      </c>
      <c r="N2200" s="1">
        <v>4.863E-2</v>
      </c>
      <c r="O2200" s="1">
        <v>2.8650000000000003E-4</v>
      </c>
      <c r="P220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2.4018607551073894E-3</v>
      </c>
      <c r="Q2200" s="1">
        <f>LN(Table1[[#This Row],[qe_mg_g]]-Table1[[#This Row],[qt]])</f>
        <v>-0.98725481480217903</v>
      </c>
      <c r="R2200" s="1">
        <v>3</v>
      </c>
    </row>
    <row r="2201" spans="1:18" x14ac:dyDescent="0.3">
      <c r="A2201" s="1">
        <v>2200</v>
      </c>
      <c r="B2201" s="1" t="s">
        <v>19</v>
      </c>
      <c r="C2201" s="1">
        <v>4</v>
      </c>
      <c r="D2201" s="1">
        <v>60</v>
      </c>
      <c r="E2201" s="1">
        <v>25</v>
      </c>
      <c r="F2201" s="1">
        <v>7</v>
      </c>
      <c r="G2201" s="1">
        <v>25</v>
      </c>
      <c r="H2201" s="1">
        <v>150</v>
      </c>
      <c r="I2201" s="1">
        <v>100</v>
      </c>
      <c r="J2201" s="1">
        <v>0.621</v>
      </c>
      <c r="K2201" s="1">
        <v>22.516999999999999</v>
      </c>
      <c r="L2201" s="1">
        <v>9.93</v>
      </c>
      <c r="M2201" s="1">
        <v>61.9</v>
      </c>
      <c r="N2201" s="1">
        <v>6.191E-2</v>
      </c>
      <c r="O2201" s="1">
        <v>3.9159999999999998E-4</v>
      </c>
      <c r="P2201" s="1">
        <f>(Table1[[#This Row],[Rate_Constant_k2_g_mg_min]]*Table1[[#This Row],[Contact_Time_min]]*Table1[[#This Row],[qe_mg_g]]^2)/(1+Table1[[#This Row],[Contact_Time_min]]*Table1[[#This Row],[qe_mg_g]]*Table1[[#This Row],[Rate_Constant_k2_g_mg_min]])</f>
        <v>8.9307127631810205E-3</v>
      </c>
      <c r="Q2201" s="1">
        <f>LN(Table1[[#This Row],[qe_mg_g]]-Table1[[#This Row],[qt]])</f>
        <v>-0.49090978843883526</v>
      </c>
      <c r="R2201" s="1">
        <v>1</v>
      </c>
    </row>
    <row r="2202" spans="1:18" x14ac:dyDescent="0.3">
      <c r="A2202" s="1">
        <v>2201</v>
      </c>
      <c r="B2202" s="1" t="s">
        <v>19</v>
      </c>
      <c r="C2202" s="1">
        <v>4</v>
      </c>
      <c r="D2202" s="1">
        <v>60</v>
      </c>
      <c r="E2202" s="1">
        <v>25</v>
      </c>
      <c r="F2202" s="1">
        <v>7</v>
      </c>
      <c r="G2202" s="1">
        <v>25</v>
      </c>
      <c r="H2202" s="1">
        <v>150</v>
      </c>
      <c r="I2202" s="1">
        <v>100</v>
      </c>
      <c r="J2202" s="1">
        <v>0.60699999999999998</v>
      </c>
      <c r="K2202" s="1">
        <v>22.571999999999999</v>
      </c>
      <c r="L2202" s="1">
        <v>9.7100000000000009</v>
      </c>
      <c r="M2202" s="1">
        <v>45.1</v>
      </c>
      <c r="N2202" s="1">
        <v>5.7729999999999997E-2</v>
      </c>
      <c r="O2202" s="1">
        <v>3.7219999999999999E-4</v>
      </c>
      <c r="P2202" s="1">
        <f>(Table1[[#This Row],[Rate_Constant_k2_g_mg_min]]*Table1[[#This Row],[Contact_Time_min]]*Table1[[#This Row],[qe_mg_g]]^2)/(1+Table1[[#This Row],[Contact_Time_min]]*Table1[[#This Row],[qe_mg_g]]*Table1[[#This Row],[Rate_Constant_k2_g_mg_min]])</f>
        <v>8.1181571933300421E-3</v>
      </c>
      <c r="Q2202" s="1">
        <f>LN(Table1[[#This Row],[qe_mg_g]]-Table1[[#This Row],[qt]])</f>
        <v>-0.51269095774240436</v>
      </c>
      <c r="R2202" s="1">
        <v>2</v>
      </c>
    </row>
    <row r="2203" spans="1:18" x14ac:dyDescent="0.3">
      <c r="A2203" s="1">
        <v>2202</v>
      </c>
      <c r="B2203" s="1" t="s">
        <v>19</v>
      </c>
      <c r="C2203" s="1">
        <v>4</v>
      </c>
      <c r="D2203" s="1">
        <v>60</v>
      </c>
      <c r="E2203" s="1">
        <v>25</v>
      </c>
      <c r="F2203" s="1">
        <v>7</v>
      </c>
      <c r="G2203" s="1">
        <v>25</v>
      </c>
      <c r="H2203" s="1">
        <v>150</v>
      </c>
      <c r="I2203" s="1">
        <v>100</v>
      </c>
      <c r="J2203" s="1">
        <v>0.66200000000000003</v>
      </c>
      <c r="K2203" s="1">
        <v>22.353000000000002</v>
      </c>
      <c r="L2203" s="1">
        <v>10.59</v>
      </c>
      <c r="M2203" s="1">
        <v>38.1</v>
      </c>
      <c r="N2203" s="1">
        <v>5.0229999999999997E-2</v>
      </c>
      <c r="O2203" s="1">
        <v>3.4900000000000003E-4</v>
      </c>
      <c r="P2203" s="1">
        <f>(Table1[[#This Row],[Rate_Constant_k2_g_mg_min]]*Table1[[#This Row],[Contact_Time_min]]*Table1[[#This Row],[qe_mg_g]]^2)/(1+Table1[[#This Row],[Contact_Time_min]]*Table1[[#This Row],[qe_mg_g]]*Table1[[#This Row],[Rate_Constant_k2_g_mg_min]])</f>
        <v>9.0513569160497829E-3</v>
      </c>
      <c r="Q2203" s="1">
        <f>LN(Table1[[#This Row],[qe_mg_g]]-Table1[[#This Row],[qt]])</f>
        <v>-0.42625680044951303</v>
      </c>
      <c r="R2203" s="1">
        <v>3</v>
      </c>
    </row>
    <row r="2204" spans="1:18" x14ac:dyDescent="0.3">
      <c r="A2204" s="1">
        <v>2203</v>
      </c>
      <c r="B2204" s="1" t="s">
        <v>19</v>
      </c>
      <c r="C2204" s="1">
        <v>4</v>
      </c>
      <c r="D2204" s="1">
        <v>60</v>
      </c>
      <c r="E2204" s="1">
        <v>25</v>
      </c>
      <c r="F2204" s="1">
        <v>11</v>
      </c>
      <c r="G2204" s="1">
        <v>25</v>
      </c>
      <c r="H2204" s="1">
        <v>150</v>
      </c>
      <c r="I2204" s="1">
        <v>100</v>
      </c>
      <c r="J2204" s="1">
        <v>0.49</v>
      </c>
      <c r="K2204" s="1">
        <v>23.042000000000002</v>
      </c>
      <c r="L2204" s="1">
        <v>7.83</v>
      </c>
      <c r="M2204" s="1">
        <v>60.8</v>
      </c>
      <c r="N2204" s="1">
        <v>5.5789999999999999E-2</v>
      </c>
      <c r="O2204" s="1">
        <v>3.6160000000000001E-4</v>
      </c>
      <c r="P2204" s="1">
        <f>(Table1[[#This Row],[Rate_Constant_k2_g_mg_min]]*Table1[[#This Row],[Contact_Time_min]]*Table1[[#This Row],[qe_mg_g]]^2)/(1+Table1[[#This Row],[Contact_Time_min]]*Table1[[#This Row],[qe_mg_g]]*Table1[[#This Row],[Rate_Constant_k2_g_mg_min]])</f>
        <v>5.1544128310169451E-3</v>
      </c>
      <c r="Q2204" s="1">
        <f>LN(Table1[[#This Row],[qe_mg_g]]-Table1[[#This Row],[qt]])</f>
        <v>-0.72392481570853051</v>
      </c>
      <c r="R2204" s="1">
        <v>1</v>
      </c>
    </row>
    <row r="2205" spans="1:18" x14ac:dyDescent="0.3">
      <c r="A2205" s="1">
        <v>2204</v>
      </c>
      <c r="B2205" s="1" t="s">
        <v>19</v>
      </c>
      <c r="C2205" s="1">
        <v>4</v>
      </c>
      <c r="D2205" s="1">
        <v>60</v>
      </c>
      <c r="E2205" s="1">
        <v>25</v>
      </c>
      <c r="F2205" s="1">
        <v>11</v>
      </c>
      <c r="G2205" s="1">
        <v>25</v>
      </c>
      <c r="H2205" s="1">
        <v>150</v>
      </c>
      <c r="I2205" s="1">
        <v>100</v>
      </c>
      <c r="J2205" s="1">
        <v>0.47599999999999998</v>
      </c>
      <c r="K2205" s="1">
        <v>23.094999999999999</v>
      </c>
      <c r="L2205" s="1">
        <v>7.62</v>
      </c>
      <c r="M2205" s="1">
        <v>60.2</v>
      </c>
      <c r="N2205" s="1">
        <v>5.672E-2</v>
      </c>
      <c r="O2205" s="1">
        <v>3.523E-4</v>
      </c>
      <c r="P2205" s="1">
        <f>(Table1[[#This Row],[Rate_Constant_k2_g_mg_min]]*Table1[[#This Row],[Contact_Time_min]]*Table1[[#This Row],[qe_mg_g]]^2)/(1+Table1[[#This Row],[Contact_Time_min]]*Table1[[#This Row],[qe_mg_g]]*Table1[[#This Row],[Rate_Constant_k2_g_mg_min]])</f>
        <v>4.7416544404167123E-3</v>
      </c>
      <c r="Q2205" s="1">
        <f>LN(Table1[[#This Row],[qe_mg_g]]-Table1[[#This Row],[qt]])</f>
        <v>-0.75234883096646998</v>
      </c>
      <c r="R2205" s="1">
        <v>2</v>
      </c>
    </row>
    <row r="2206" spans="1:18" x14ac:dyDescent="0.3">
      <c r="A2206" s="1">
        <v>2205</v>
      </c>
      <c r="B2206" s="1" t="s">
        <v>19</v>
      </c>
      <c r="C2206" s="1">
        <v>4</v>
      </c>
      <c r="D2206" s="1">
        <v>60</v>
      </c>
      <c r="E2206" s="1">
        <v>25</v>
      </c>
      <c r="F2206" s="1">
        <v>11</v>
      </c>
      <c r="G2206" s="1">
        <v>25</v>
      </c>
      <c r="H2206" s="1">
        <v>150</v>
      </c>
      <c r="I2206" s="1">
        <v>100</v>
      </c>
      <c r="J2206" s="1">
        <v>0.46400000000000002</v>
      </c>
      <c r="K2206" s="1">
        <v>23.141999999999999</v>
      </c>
      <c r="L2206" s="1">
        <v>7.43</v>
      </c>
      <c r="M2206" s="1">
        <v>55.2</v>
      </c>
      <c r="N2206" s="1">
        <v>5.7669999999999999E-2</v>
      </c>
      <c r="O2206" s="1">
        <v>3.5940000000000001E-4</v>
      </c>
      <c r="P2206" s="1">
        <f>(Table1[[#This Row],[Rate_Constant_k2_g_mg_min]]*Table1[[#This Row],[Contact_Time_min]]*Table1[[#This Row],[qe_mg_g]]^2)/(1+Table1[[#This Row],[Contact_Time_min]]*Table1[[#This Row],[qe_mg_g]]*Table1[[#This Row],[Rate_Constant_k2_g_mg_min]])</f>
        <v>4.5966502588912139E-3</v>
      </c>
      <c r="Q2206" s="1">
        <f>LN(Table1[[#This Row],[qe_mg_g]]-Table1[[#This Row],[qt]])</f>
        <v>-0.77782669719710773</v>
      </c>
      <c r="R2206" s="1">
        <v>3</v>
      </c>
    </row>
    <row r="2207" spans="1:18" x14ac:dyDescent="0.3">
      <c r="A2207" s="1">
        <v>2206</v>
      </c>
      <c r="B2207" s="1" t="s">
        <v>19</v>
      </c>
      <c r="C2207" s="1">
        <v>4</v>
      </c>
      <c r="D2207" s="1">
        <v>60</v>
      </c>
      <c r="E2207" s="1">
        <v>50</v>
      </c>
      <c r="F2207" s="1">
        <v>3</v>
      </c>
      <c r="G2207" s="1">
        <v>25</v>
      </c>
      <c r="H2207" s="1">
        <v>150</v>
      </c>
      <c r="I2207" s="1">
        <v>100</v>
      </c>
      <c r="J2207" s="1">
        <v>1.4059999999999999</v>
      </c>
      <c r="K2207" s="1">
        <v>44.377000000000002</v>
      </c>
      <c r="L2207" s="1">
        <v>11.25</v>
      </c>
      <c r="M2207" s="1">
        <v>65.5</v>
      </c>
      <c r="N2207" s="1">
        <v>5.6460000000000003E-2</v>
      </c>
      <c r="O2207" s="1">
        <v>3.2729999999999999E-4</v>
      </c>
      <c r="P220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3.7778015523593618E-2</v>
      </c>
      <c r="Q2207" s="1">
        <f>LN(Table1[[#This Row],[qe_mg_g]]-Table1[[#This Row],[qt]])</f>
        <v>0.31351207539020937</v>
      </c>
      <c r="R2207" s="1">
        <v>1</v>
      </c>
    </row>
    <row r="2208" spans="1:18" x14ac:dyDescent="0.3">
      <c r="A2208" s="1">
        <v>2207</v>
      </c>
      <c r="B2208" s="1" t="s">
        <v>19</v>
      </c>
      <c r="C2208" s="1">
        <v>4</v>
      </c>
      <c r="D2208" s="1">
        <v>60</v>
      </c>
      <c r="E2208" s="1">
        <v>50</v>
      </c>
      <c r="F2208" s="1">
        <v>3</v>
      </c>
      <c r="G2208" s="1">
        <v>25</v>
      </c>
      <c r="H2208" s="1">
        <v>150</v>
      </c>
      <c r="I2208" s="1">
        <v>100</v>
      </c>
      <c r="J2208" s="1">
        <v>1.454</v>
      </c>
      <c r="K2208" s="1">
        <v>44.183999999999997</v>
      </c>
      <c r="L2208" s="1">
        <v>11.63</v>
      </c>
      <c r="M2208" s="1">
        <v>43.4</v>
      </c>
      <c r="N2208" s="1">
        <v>4.9050000000000003E-2</v>
      </c>
      <c r="O2208" s="1">
        <v>3.6180000000000001E-4</v>
      </c>
      <c r="P220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4.4489004460949125E-2</v>
      </c>
      <c r="Q2208" s="1">
        <f>LN(Table1[[#This Row],[qe_mg_g]]-Table1[[#This Row],[qt]])</f>
        <v>0.34324283256256782</v>
      </c>
      <c r="R2208" s="1">
        <v>2</v>
      </c>
    </row>
    <row r="2209" spans="1:18" x14ac:dyDescent="0.3">
      <c r="A2209" s="1">
        <v>2208</v>
      </c>
      <c r="B2209" s="1" t="s">
        <v>19</v>
      </c>
      <c r="C2209" s="1">
        <v>4</v>
      </c>
      <c r="D2209" s="1">
        <v>60</v>
      </c>
      <c r="E2209" s="1">
        <v>50</v>
      </c>
      <c r="F2209" s="1">
        <v>3</v>
      </c>
      <c r="G2209" s="1">
        <v>25</v>
      </c>
      <c r="H2209" s="1">
        <v>150</v>
      </c>
      <c r="I2209" s="1">
        <v>100</v>
      </c>
      <c r="J2209" s="1">
        <v>1.419</v>
      </c>
      <c r="K2209" s="1">
        <v>44.325000000000003</v>
      </c>
      <c r="L2209" s="1">
        <v>11.35</v>
      </c>
      <c r="M2209" s="1">
        <v>44.4</v>
      </c>
      <c r="N2209" s="1">
        <v>5.289E-2</v>
      </c>
      <c r="O2209" s="1">
        <v>3.2880000000000002E-4</v>
      </c>
      <c r="P2209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3.86417918504025E-2</v>
      </c>
      <c r="Q2209" s="1">
        <f>LN(Table1[[#This Row],[qe_mg_g]]-Table1[[#This Row],[qt]])</f>
        <v>0.32234303660925473</v>
      </c>
      <c r="R2209" s="1">
        <v>3</v>
      </c>
    </row>
    <row r="2210" spans="1:18" x14ac:dyDescent="0.3">
      <c r="A2210" s="1">
        <v>2209</v>
      </c>
      <c r="B2210" s="1" t="s">
        <v>19</v>
      </c>
      <c r="C2210" s="1">
        <v>4</v>
      </c>
      <c r="D2210" s="1">
        <v>60</v>
      </c>
      <c r="E2210" s="1">
        <v>50</v>
      </c>
      <c r="F2210" s="1">
        <v>7</v>
      </c>
      <c r="G2210" s="1">
        <v>25</v>
      </c>
      <c r="H2210" s="1">
        <v>150</v>
      </c>
      <c r="I2210" s="1">
        <v>100</v>
      </c>
      <c r="J2210" s="1">
        <v>2.2290000000000001</v>
      </c>
      <c r="K2210" s="1">
        <v>41.082000000000001</v>
      </c>
      <c r="L2210" s="1">
        <v>17.84</v>
      </c>
      <c r="M2210" s="1">
        <v>62.3</v>
      </c>
      <c r="N2210" s="1">
        <v>5.8889999999999998E-2</v>
      </c>
      <c r="O2210" s="1">
        <v>3.4929999999999998E-4</v>
      </c>
      <c r="P2210" s="1">
        <f>(Table1[[#This Row],[Rate_Constant_k2_g_mg_min]]*Table1[[#This Row],[Contact_Time_min]]*Table1[[#This Row],[qe_mg_g]]^2)/(1+Table1[[#This Row],[Contact_Time_min]]*Table1[[#This Row],[qe_mg_g]]*Table1[[#This Row],[Rate_Constant_k2_g_mg_min]])</f>
        <v>9.9481280459485982E-2</v>
      </c>
      <c r="Q2210" s="1">
        <f>LN(Table1[[#This Row],[qe_mg_g]]-Table1[[#This Row],[qt]])</f>
        <v>0.75589600092268405</v>
      </c>
      <c r="R2210" s="1">
        <v>1</v>
      </c>
    </row>
    <row r="2211" spans="1:18" x14ac:dyDescent="0.3">
      <c r="A2211" s="1">
        <v>2210</v>
      </c>
      <c r="B2211" s="1" t="s">
        <v>19</v>
      </c>
      <c r="C2211" s="1">
        <v>4</v>
      </c>
      <c r="D2211" s="1">
        <v>60</v>
      </c>
      <c r="E2211" s="1">
        <v>50</v>
      </c>
      <c r="F2211" s="1">
        <v>7</v>
      </c>
      <c r="G2211" s="1">
        <v>25</v>
      </c>
      <c r="H2211" s="1">
        <v>150</v>
      </c>
      <c r="I2211" s="1">
        <v>100</v>
      </c>
      <c r="J2211" s="1">
        <v>2.2200000000000002</v>
      </c>
      <c r="K2211" s="1">
        <v>41.12</v>
      </c>
      <c r="L2211" s="1">
        <v>17.760000000000002</v>
      </c>
      <c r="M2211" s="1">
        <v>43.5</v>
      </c>
      <c r="N2211" s="1">
        <v>6.2810000000000005E-2</v>
      </c>
      <c r="O2211" s="1">
        <v>3.7070000000000001E-4</v>
      </c>
      <c r="P221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0.10445954859855737</v>
      </c>
      <c r="Q2211" s="1">
        <f>LN(Table1[[#This Row],[qe_mg_g]]-Table1[[#This Row],[qt]])</f>
        <v>0.74931031243286728</v>
      </c>
      <c r="R2211" s="1">
        <v>2</v>
      </c>
    </row>
    <row r="2212" spans="1:18" x14ac:dyDescent="0.3">
      <c r="A2212" s="1">
        <v>2211</v>
      </c>
      <c r="B2212" s="1" t="s">
        <v>19</v>
      </c>
      <c r="C2212" s="1">
        <v>4</v>
      </c>
      <c r="D2212" s="1">
        <v>60</v>
      </c>
      <c r="E2212" s="1">
        <v>50</v>
      </c>
      <c r="F2212" s="1">
        <v>7</v>
      </c>
      <c r="G2212" s="1">
        <v>25</v>
      </c>
      <c r="H2212" s="1">
        <v>150</v>
      </c>
      <c r="I2212" s="1">
        <v>100</v>
      </c>
      <c r="J2212" s="1">
        <v>2.194</v>
      </c>
      <c r="K2212" s="1">
        <v>41.223999999999997</v>
      </c>
      <c r="L2212" s="1">
        <v>17.55</v>
      </c>
      <c r="M2212" s="1">
        <v>60.4</v>
      </c>
      <c r="N2212" s="1">
        <v>5.4609999999999999E-2</v>
      </c>
      <c r="O2212" s="1">
        <v>3.4000000000000002E-4</v>
      </c>
      <c r="P2212" s="1">
        <f>(Table1[[#This Row],[Rate_Constant_k2_g_mg_min]]*Table1[[#This Row],[Contact_Time_min]]*Table1[[#This Row],[qe_mg_g]]^2)/(1+Table1[[#This Row],[Contact_Time_min]]*Table1[[#This Row],[qe_mg_g]]*Table1[[#This Row],[Rate_Constant_k2_g_mg_min]])</f>
        <v>9.3991347275195702E-2</v>
      </c>
      <c r="Q2212" s="1">
        <f>LN(Table1[[#This Row],[qe_mg_g]]-Table1[[#This Row],[qt]])</f>
        <v>0.74194146506603365</v>
      </c>
      <c r="R2212" s="1">
        <v>3</v>
      </c>
    </row>
    <row r="2213" spans="1:18" x14ac:dyDescent="0.3">
      <c r="A2213" s="1">
        <v>2212</v>
      </c>
      <c r="B2213" s="1" t="s">
        <v>19</v>
      </c>
      <c r="C2213" s="1">
        <v>4</v>
      </c>
      <c r="D2213" s="1">
        <v>60</v>
      </c>
      <c r="E2213" s="1">
        <v>50</v>
      </c>
      <c r="F2213" s="1">
        <v>11</v>
      </c>
      <c r="G2213" s="1">
        <v>25</v>
      </c>
      <c r="H2213" s="1">
        <v>150</v>
      </c>
      <c r="I2213" s="1">
        <v>100</v>
      </c>
      <c r="J2213" s="1">
        <v>1.774</v>
      </c>
      <c r="K2213" s="1">
        <v>42.905999999999999</v>
      </c>
      <c r="L2213" s="1">
        <v>14.19</v>
      </c>
      <c r="M2213" s="1">
        <v>48.5</v>
      </c>
      <c r="N2213" s="1">
        <v>5.3109999999999997E-2</v>
      </c>
      <c r="O2213" s="1">
        <v>3.5429999999999999E-4</v>
      </c>
      <c r="P2213" s="1">
        <f>(Table1[[#This Row],[Rate_Constant_k2_g_mg_min]]*Table1[[#This Row],[Contact_Time_min]]*Table1[[#This Row],[qe_mg_g]]^2)/(1+Table1[[#This Row],[Contact_Time_min]]*Table1[[#This Row],[qe_mg_g]]*Table1[[#This Row],[Rate_Constant_k2_g_mg_min]])</f>
        <v>6.446929539654836E-2</v>
      </c>
      <c r="Q2213" s="1">
        <f>LN(Table1[[#This Row],[qe_mg_g]]-Table1[[#This Row],[qt]])</f>
        <v>0.53621889109617171</v>
      </c>
      <c r="R2213" s="1">
        <v>1</v>
      </c>
    </row>
    <row r="2214" spans="1:18" x14ac:dyDescent="0.3">
      <c r="A2214" s="1">
        <v>2213</v>
      </c>
      <c r="B2214" s="1" t="s">
        <v>19</v>
      </c>
      <c r="C2214" s="1">
        <v>4</v>
      </c>
      <c r="D2214" s="1">
        <v>60</v>
      </c>
      <c r="E2214" s="1">
        <v>50</v>
      </c>
      <c r="F2214" s="1">
        <v>11</v>
      </c>
      <c r="G2214" s="1">
        <v>25</v>
      </c>
      <c r="H2214" s="1">
        <v>150</v>
      </c>
      <c r="I2214" s="1">
        <v>100</v>
      </c>
      <c r="J2214" s="1">
        <v>1.661</v>
      </c>
      <c r="K2214" s="1">
        <v>43.356000000000002</v>
      </c>
      <c r="L2214" s="1">
        <v>13.29</v>
      </c>
      <c r="M2214" s="1">
        <v>60</v>
      </c>
      <c r="N2214" s="1">
        <v>6.5280000000000005E-2</v>
      </c>
      <c r="O2214" s="1">
        <v>3.2360000000000001E-4</v>
      </c>
      <c r="P2214" s="1">
        <f>(Table1[[#This Row],[Rate_Constant_k2_g_mg_min]]*Table1[[#This Row],[Contact_Time_min]]*Table1[[#This Row],[qe_mg_g]]^2)/(1+Table1[[#This Row],[Contact_Time_min]]*Table1[[#This Row],[qe_mg_g]]*Table1[[#This Row],[Rate_Constant_k2_g_mg_min]])</f>
        <v>5.1893641444850959E-2</v>
      </c>
      <c r="Q2214" s="1">
        <f>LN(Table1[[#This Row],[qe_mg_g]]-Table1[[#This Row],[qt]])</f>
        <v>0.47567896809727717</v>
      </c>
      <c r="R2214" s="1">
        <v>2</v>
      </c>
    </row>
    <row r="2215" spans="1:18" x14ac:dyDescent="0.3">
      <c r="A2215" s="1">
        <v>2214</v>
      </c>
      <c r="B2215" s="1" t="s">
        <v>19</v>
      </c>
      <c r="C2215" s="1">
        <v>4</v>
      </c>
      <c r="D2215" s="1">
        <v>60</v>
      </c>
      <c r="E2215" s="1">
        <v>50</v>
      </c>
      <c r="F2215" s="1">
        <v>11</v>
      </c>
      <c r="G2215" s="1">
        <v>25</v>
      </c>
      <c r="H2215" s="1">
        <v>150</v>
      </c>
      <c r="I2215" s="1">
        <v>100</v>
      </c>
      <c r="J2215" s="1">
        <v>1.52</v>
      </c>
      <c r="K2215" s="1">
        <v>43.917999999999999</v>
      </c>
      <c r="L2215" s="1">
        <v>12.16</v>
      </c>
      <c r="M2215" s="1">
        <v>38.200000000000003</v>
      </c>
      <c r="N2215" s="1">
        <v>5.4170000000000003E-2</v>
      </c>
      <c r="O2215" s="1">
        <v>3.2679999999999997E-4</v>
      </c>
      <c r="P2215" s="1">
        <f>(Table1[[#This Row],[Rate_Constant_k2_g_mg_min]]*Table1[[#This Row],[Contact_Time_min]]*Table1[[#This Row],[qe_mg_g]]^2)/(1+Table1[[#This Row],[Contact_Time_min]]*Table1[[#This Row],[qe_mg_g]]*Table1[[#This Row],[Rate_Constant_k2_g_mg_min]])</f>
        <v>4.3991202366088701E-2</v>
      </c>
      <c r="Q2215" s="1">
        <f>LN(Table1[[#This Row],[qe_mg_g]]-Table1[[#This Row],[qt]])</f>
        <v>0.38934168661709678</v>
      </c>
      <c r="R2215" s="1">
        <v>3</v>
      </c>
    </row>
    <row r="2216" spans="1:18" x14ac:dyDescent="0.3">
      <c r="A2216" s="1">
        <v>2215</v>
      </c>
      <c r="B2216" s="1" t="s">
        <v>19</v>
      </c>
      <c r="C2216" s="1">
        <v>4</v>
      </c>
      <c r="D2216" s="1">
        <v>60</v>
      </c>
      <c r="E2216" s="1">
        <v>100</v>
      </c>
      <c r="F2216" s="1">
        <v>3</v>
      </c>
      <c r="G2216" s="1">
        <v>25</v>
      </c>
      <c r="H2216" s="1">
        <v>150</v>
      </c>
      <c r="I2216" s="1">
        <v>100</v>
      </c>
      <c r="J2216" s="1">
        <v>4.7729999999999997</v>
      </c>
      <c r="K2216" s="1">
        <v>80.91</v>
      </c>
      <c r="L2216" s="1">
        <v>19.09</v>
      </c>
      <c r="M2216" s="1">
        <v>55.6</v>
      </c>
      <c r="N2216" s="1">
        <v>4.6179999999999999E-2</v>
      </c>
      <c r="O2216" s="1">
        <v>2.8650000000000003E-4</v>
      </c>
      <c r="P221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0.36191973975236413</v>
      </c>
      <c r="Q2216" s="1">
        <f>LN(Table1[[#This Row],[qe_mg_g]]-Table1[[#This Row],[qt]])</f>
        <v>1.484119616433947</v>
      </c>
      <c r="R2216" s="1">
        <v>1</v>
      </c>
    </row>
    <row r="2217" spans="1:18" x14ac:dyDescent="0.3">
      <c r="A2217" s="1">
        <v>2216</v>
      </c>
      <c r="B2217" s="1" t="s">
        <v>19</v>
      </c>
      <c r="C2217" s="1">
        <v>4</v>
      </c>
      <c r="D2217" s="1">
        <v>60</v>
      </c>
      <c r="E2217" s="1">
        <v>100</v>
      </c>
      <c r="F2217" s="1">
        <v>3</v>
      </c>
      <c r="G2217" s="1">
        <v>25</v>
      </c>
      <c r="H2217" s="1">
        <v>150</v>
      </c>
      <c r="I2217" s="1">
        <v>100</v>
      </c>
      <c r="J2217" s="1">
        <v>4.8019999999999996</v>
      </c>
      <c r="K2217" s="1">
        <v>80.793999999999997</v>
      </c>
      <c r="L2217" s="1">
        <v>19.21</v>
      </c>
      <c r="M2217" s="1">
        <v>55.7</v>
      </c>
      <c r="N2217" s="1">
        <v>5.2659999999999998E-2</v>
      </c>
      <c r="O2217" s="1">
        <v>2.92E-4</v>
      </c>
      <c r="P221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0.37264614624446135</v>
      </c>
      <c r="Q2217" s="1">
        <f>LN(Table1[[#This Row],[qe_mg_g]]-Table1[[#This Row],[qt]])</f>
        <v>1.4882537164788272</v>
      </c>
      <c r="R2217" s="1">
        <v>2</v>
      </c>
    </row>
    <row r="2218" spans="1:18" x14ac:dyDescent="0.3">
      <c r="A2218" s="1">
        <v>2217</v>
      </c>
      <c r="B2218" s="1" t="s">
        <v>19</v>
      </c>
      <c r="C2218" s="1">
        <v>4</v>
      </c>
      <c r="D2218" s="1">
        <v>60</v>
      </c>
      <c r="E2218" s="1">
        <v>100</v>
      </c>
      <c r="F2218" s="1">
        <v>3</v>
      </c>
      <c r="G2218" s="1">
        <v>25</v>
      </c>
      <c r="H2218" s="1">
        <v>150</v>
      </c>
      <c r="I2218" s="1">
        <v>100</v>
      </c>
      <c r="J2218" s="1">
        <v>4.859</v>
      </c>
      <c r="K2218" s="1">
        <v>80.563000000000002</v>
      </c>
      <c r="L2218" s="1">
        <v>19.440000000000001</v>
      </c>
      <c r="M2218" s="1">
        <v>65</v>
      </c>
      <c r="N2218" s="1">
        <v>5.6529999999999997E-2</v>
      </c>
      <c r="O2218" s="1">
        <v>3.2029999999999998E-4</v>
      </c>
      <c r="P221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0.41498343149896744</v>
      </c>
      <c r="Q2218" s="1">
        <f>LN(Table1[[#This Row],[qe_mg_g]]-Table1[[#This Row],[qt]])</f>
        <v>1.4915586000559944</v>
      </c>
      <c r="R2218" s="1">
        <v>3</v>
      </c>
    </row>
    <row r="2219" spans="1:18" x14ac:dyDescent="0.3">
      <c r="A2219" s="1">
        <v>2218</v>
      </c>
      <c r="B2219" s="1" t="s">
        <v>19</v>
      </c>
      <c r="C2219" s="1">
        <v>4</v>
      </c>
      <c r="D2219" s="1">
        <v>60</v>
      </c>
      <c r="E2219" s="1">
        <v>100</v>
      </c>
      <c r="F2219" s="1">
        <v>7</v>
      </c>
      <c r="G2219" s="1">
        <v>25</v>
      </c>
      <c r="H2219" s="1">
        <v>150</v>
      </c>
      <c r="I2219" s="1">
        <v>100</v>
      </c>
      <c r="J2219" s="1">
        <v>7.6689999999999996</v>
      </c>
      <c r="K2219" s="1">
        <v>69.323999999999998</v>
      </c>
      <c r="L2219" s="1">
        <v>30.68</v>
      </c>
      <c r="M2219" s="1">
        <v>43.4</v>
      </c>
      <c r="N2219" s="1">
        <v>6.0819999999999999E-2</v>
      </c>
      <c r="O2219" s="1">
        <v>3.5290000000000001E-4</v>
      </c>
      <c r="P221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1.0713490352545518</v>
      </c>
      <c r="Q2219" s="1">
        <f>LN(Table1[[#This Row],[qe_mg_g]]-Table1[[#This Row],[qt]])</f>
        <v>1.8867136712472978</v>
      </c>
      <c r="R2219" s="1">
        <v>1</v>
      </c>
    </row>
    <row r="2220" spans="1:18" x14ac:dyDescent="0.3">
      <c r="A2220" s="1">
        <v>2219</v>
      </c>
      <c r="B2220" s="1" t="s">
        <v>19</v>
      </c>
      <c r="C2220" s="1">
        <v>4</v>
      </c>
      <c r="D2220" s="1">
        <v>60</v>
      </c>
      <c r="E2220" s="1">
        <v>100</v>
      </c>
      <c r="F2220" s="1">
        <v>7</v>
      </c>
      <c r="G2220" s="1">
        <v>25</v>
      </c>
      <c r="H2220" s="1">
        <v>150</v>
      </c>
      <c r="I2220" s="1">
        <v>100</v>
      </c>
      <c r="J2220" s="1">
        <v>6.6989999999999998</v>
      </c>
      <c r="K2220" s="1">
        <v>73.203999999999994</v>
      </c>
      <c r="L2220" s="1">
        <v>26.8</v>
      </c>
      <c r="M2220" s="1">
        <v>52.1</v>
      </c>
      <c r="N2220" s="1">
        <v>5.7549999999999997E-2</v>
      </c>
      <c r="O2220" s="1">
        <v>3.3829999999999998E-4</v>
      </c>
      <c r="P222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0.80186993821460906</v>
      </c>
      <c r="Q2220" s="1">
        <f>LN(Table1[[#This Row],[qe_mg_g]]-Table1[[#This Row],[qt]])</f>
        <v>1.7744658023602558</v>
      </c>
      <c r="R2220" s="1">
        <v>2</v>
      </c>
    </row>
    <row r="2221" spans="1:18" x14ac:dyDescent="0.3">
      <c r="A2221" s="1">
        <v>2220</v>
      </c>
      <c r="B2221" s="1" t="s">
        <v>19</v>
      </c>
      <c r="C2221" s="1">
        <v>4</v>
      </c>
      <c r="D2221" s="1">
        <v>60</v>
      </c>
      <c r="E2221" s="1">
        <v>100</v>
      </c>
      <c r="F2221" s="1">
        <v>7</v>
      </c>
      <c r="G2221" s="1">
        <v>25</v>
      </c>
      <c r="H2221" s="1">
        <v>150</v>
      </c>
      <c r="I2221" s="1">
        <v>100</v>
      </c>
      <c r="J2221" s="1">
        <v>7.4980000000000002</v>
      </c>
      <c r="K2221" s="1">
        <v>70.010000000000005</v>
      </c>
      <c r="L2221" s="1">
        <v>29.99</v>
      </c>
      <c r="M2221" s="1">
        <v>44.5</v>
      </c>
      <c r="N2221" s="1">
        <v>5.8119999999999998E-2</v>
      </c>
      <c r="O2221" s="1">
        <v>3.2729999999999999E-4</v>
      </c>
      <c r="P222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0.96234696321430779</v>
      </c>
      <c r="Q2221" s="1">
        <f>LN(Table1[[#This Row],[qe_mg_g]]-Table1[[#This Row],[qt]])</f>
        <v>1.8772722712015366</v>
      </c>
      <c r="R2221" s="1">
        <v>3</v>
      </c>
    </row>
    <row r="2222" spans="1:18" x14ac:dyDescent="0.3">
      <c r="A2222" s="1">
        <v>2221</v>
      </c>
      <c r="B2222" s="1" t="s">
        <v>19</v>
      </c>
      <c r="C2222" s="1">
        <v>4</v>
      </c>
      <c r="D2222" s="1">
        <v>60</v>
      </c>
      <c r="E2222" s="1">
        <v>100</v>
      </c>
      <c r="F2222" s="1">
        <v>11</v>
      </c>
      <c r="G2222" s="1">
        <v>25</v>
      </c>
      <c r="H2222" s="1">
        <v>150</v>
      </c>
      <c r="I2222" s="1">
        <v>100</v>
      </c>
      <c r="J2222" s="1">
        <v>4.944</v>
      </c>
      <c r="K2222" s="1">
        <v>80.221999999999994</v>
      </c>
      <c r="L2222" s="1">
        <v>19.78</v>
      </c>
      <c r="M2222" s="1">
        <v>51.5</v>
      </c>
      <c r="N2222" s="1">
        <v>6.0400000000000002E-2</v>
      </c>
      <c r="O2222" s="1">
        <v>3.3649999999999999E-4</v>
      </c>
      <c r="P222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0.44871633814483863</v>
      </c>
      <c r="Q2222" s="1">
        <f>LN(Table1[[#This Row],[qe_mg_g]]-Table1[[#This Row],[qt]])</f>
        <v>1.503028772018165</v>
      </c>
      <c r="R2222" s="1">
        <v>1</v>
      </c>
    </row>
    <row r="2223" spans="1:18" x14ac:dyDescent="0.3">
      <c r="A2223" s="1">
        <v>2222</v>
      </c>
      <c r="B2223" s="1" t="s">
        <v>19</v>
      </c>
      <c r="C2223" s="1">
        <v>4</v>
      </c>
      <c r="D2223" s="1">
        <v>60</v>
      </c>
      <c r="E2223" s="1">
        <v>100</v>
      </c>
      <c r="F2223" s="1">
        <v>11</v>
      </c>
      <c r="G2223" s="1">
        <v>25</v>
      </c>
      <c r="H2223" s="1">
        <v>150</v>
      </c>
      <c r="I2223" s="1">
        <v>100</v>
      </c>
      <c r="J2223" s="1">
        <v>6.532</v>
      </c>
      <c r="K2223" s="1">
        <v>73.872</v>
      </c>
      <c r="L2223" s="1">
        <v>26.13</v>
      </c>
      <c r="M2223" s="1">
        <v>58.1</v>
      </c>
      <c r="N2223" s="1">
        <v>5.6860000000000001E-2</v>
      </c>
      <c r="O2223" s="1">
        <v>3.455E-4</v>
      </c>
      <c r="P222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0.77900378285042737</v>
      </c>
      <c r="Q2223" s="1">
        <f>LN(Table1[[#This Row],[qe_mg_g]]-Table1[[#This Row],[qt]])</f>
        <v>1.7497208003369757</v>
      </c>
      <c r="R2223" s="1">
        <v>2</v>
      </c>
    </row>
    <row r="2224" spans="1:18" x14ac:dyDescent="0.3">
      <c r="A2224" s="1">
        <v>2223</v>
      </c>
      <c r="B2224" s="1" t="s">
        <v>19</v>
      </c>
      <c r="C2224" s="1">
        <v>4</v>
      </c>
      <c r="D2224" s="1">
        <v>60</v>
      </c>
      <c r="E2224" s="1">
        <v>100</v>
      </c>
      <c r="F2224" s="1">
        <v>11</v>
      </c>
      <c r="G2224" s="1">
        <v>25</v>
      </c>
      <c r="H2224" s="1">
        <v>150</v>
      </c>
      <c r="I2224" s="1">
        <v>100</v>
      </c>
      <c r="J2224" s="1">
        <v>5.7960000000000003</v>
      </c>
      <c r="K2224" s="1">
        <v>76.816999999999993</v>
      </c>
      <c r="L2224" s="1">
        <v>23.18</v>
      </c>
      <c r="M2224" s="1">
        <v>52.4</v>
      </c>
      <c r="N2224" s="1">
        <v>5.3339999999999999E-2</v>
      </c>
      <c r="O2224" s="1">
        <v>3.6860000000000001E-4</v>
      </c>
      <c r="P222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0.65854168308183303</v>
      </c>
      <c r="Q2224" s="1">
        <f>LN(Table1[[#This Row],[qe_mg_g]]-Table1[[#This Row],[qt]])</f>
        <v>1.636558466294191</v>
      </c>
      <c r="R2224" s="1">
        <v>3</v>
      </c>
    </row>
    <row r="2225" spans="1:18" x14ac:dyDescent="0.3">
      <c r="A2225" s="1">
        <v>2224</v>
      </c>
      <c r="B2225" s="1" t="s">
        <v>19</v>
      </c>
      <c r="C2225" s="1">
        <v>4</v>
      </c>
      <c r="D2225" s="1">
        <v>60</v>
      </c>
      <c r="E2225" s="1">
        <v>200</v>
      </c>
      <c r="F2225" s="1">
        <v>3</v>
      </c>
      <c r="G2225" s="1">
        <v>25</v>
      </c>
      <c r="H2225" s="1">
        <v>150</v>
      </c>
      <c r="I2225" s="1">
        <v>100</v>
      </c>
      <c r="J2225" s="1">
        <v>13.711</v>
      </c>
      <c r="K2225" s="1">
        <v>145.15700000000001</v>
      </c>
      <c r="L2225" s="1">
        <v>27.42</v>
      </c>
      <c r="M2225" s="1">
        <v>45.7</v>
      </c>
      <c r="N2225" s="1">
        <v>4.8820000000000002E-2</v>
      </c>
      <c r="O2225" s="1">
        <v>4.216E-4</v>
      </c>
      <c r="P2225" s="1">
        <f>(Table1[[#This Row],[Rate_Constant_k2_g_mg_min]]*Table1[[#This Row],[Contact_Time_min]]*Table1[[#This Row],[qe_mg_g]]^2)/(1+Table1[[#This Row],[Contact_Time_min]]*Table1[[#This Row],[qe_mg_g]]*Table1[[#This Row],[Rate_Constant_k2_g_mg_min]])</f>
        <v>3.5308252063616692</v>
      </c>
      <c r="Q2225" s="1">
        <f>LN(Table1[[#This Row],[qe_mg_g]]-Table1[[#This Row],[qt]])</f>
        <v>2.3204421812734295</v>
      </c>
      <c r="R2225" s="1">
        <v>1</v>
      </c>
    </row>
    <row r="2226" spans="1:18" x14ac:dyDescent="0.3">
      <c r="A2226" s="1">
        <v>2225</v>
      </c>
      <c r="B2226" s="1" t="s">
        <v>19</v>
      </c>
      <c r="C2226" s="1">
        <v>4</v>
      </c>
      <c r="D2226" s="1">
        <v>60</v>
      </c>
      <c r="E2226" s="1">
        <v>200</v>
      </c>
      <c r="F2226" s="1">
        <v>3</v>
      </c>
      <c r="G2226" s="1">
        <v>25</v>
      </c>
      <c r="H2226" s="1">
        <v>150</v>
      </c>
      <c r="I2226" s="1">
        <v>100</v>
      </c>
      <c r="J2226" s="1">
        <v>15.215999999999999</v>
      </c>
      <c r="K2226" s="1">
        <v>139.13399999999999</v>
      </c>
      <c r="L2226" s="1">
        <v>30.43</v>
      </c>
      <c r="M2226" s="1">
        <v>57</v>
      </c>
      <c r="N2226" s="1">
        <v>4.9180000000000001E-2</v>
      </c>
      <c r="O2226" s="1">
        <v>3.7179999999999998E-4</v>
      </c>
      <c r="P222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3.8560161844530718</v>
      </c>
      <c r="Q2226" s="1">
        <f>LN(Table1[[#This Row],[qe_mg_g]]-Table1[[#This Row],[qt]])</f>
        <v>2.4300969886042201</v>
      </c>
      <c r="R2226" s="1">
        <v>2</v>
      </c>
    </row>
    <row r="2227" spans="1:18" x14ac:dyDescent="0.3">
      <c r="A2227" s="1">
        <v>2226</v>
      </c>
      <c r="B2227" s="1" t="s">
        <v>19</v>
      </c>
      <c r="C2227" s="1">
        <v>4</v>
      </c>
      <c r="D2227" s="1">
        <v>60</v>
      </c>
      <c r="E2227" s="1">
        <v>200</v>
      </c>
      <c r="F2227" s="1">
        <v>3</v>
      </c>
      <c r="G2227" s="1">
        <v>25</v>
      </c>
      <c r="H2227" s="1">
        <v>150</v>
      </c>
      <c r="I2227" s="1">
        <v>100</v>
      </c>
      <c r="J2227" s="1">
        <v>14.552</v>
      </c>
      <c r="K2227" s="1">
        <v>141.792</v>
      </c>
      <c r="L2227" s="1">
        <v>29.1</v>
      </c>
      <c r="M2227" s="1">
        <v>56.3</v>
      </c>
      <c r="N2227" s="1">
        <v>4.9630000000000001E-2</v>
      </c>
      <c r="O2227" s="1">
        <v>3.5560000000000002E-4</v>
      </c>
      <c r="P222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3.4476842878584395</v>
      </c>
      <c r="Q2227" s="1">
        <f>LN(Table1[[#This Row],[qe_mg_g]]-Table1[[#This Row],[qt]])</f>
        <v>2.4073338356496645</v>
      </c>
      <c r="R2227" s="1">
        <v>3</v>
      </c>
    </row>
    <row r="2228" spans="1:18" x14ac:dyDescent="0.3">
      <c r="A2228" s="1">
        <v>2227</v>
      </c>
      <c r="B2228" s="1" t="s">
        <v>19</v>
      </c>
      <c r="C2228" s="1">
        <v>4</v>
      </c>
      <c r="D2228" s="1">
        <v>60</v>
      </c>
      <c r="E2228" s="1">
        <v>200</v>
      </c>
      <c r="F2228" s="1">
        <v>7</v>
      </c>
      <c r="G2228" s="1">
        <v>25</v>
      </c>
      <c r="H2228" s="1">
        <v>150</v>
      </c>
      <c r="I2228" s="1">
        <v>100</v>
      </c>
      <c r="J2228" s="1">
        <v>22.076000000000001</v>
      </c>
      <c r="K2228" s="1">
        <v>111.694</v>
      </c>
      <c r="L2228" s="1">
        <v>44.15</v>
      </c>
      <c r="M2228" s="1">
        <v>48.3</v>
      </c>
      <c r="N2228" s="1">
        <v>5.9040000000000002E-2</v>
      </c>
      <c r="O2228" s="1">
        <v>2.9619999999999999E-4</v>
      </c>
      <c r="P2228" s="1">
        <f>(Table1[[#This Row],[Rate_Constant_k2_g_mg_min]]*Table1[[#This Row],[Contact_Time_min]]*Table1[[#This Row],[qe_mg_g]]^2)/(1+Table1[[#This Row],[Contact_Time_min]]*Table1[[#This Row],[qe_mg_g]]*Table1[[#This Row],[Rate_Constant_k2_g_mg_min]])</f>
        <v>6.2206166328033516</v>
      </c>
      <c r="Q2228" s="1">
        <f>LN(Table1[[#This Row],[qe_mg_g]]-Table1[[#This Row],[qt]])</f>
        <v>2.7635090872751982</v>
      </c>
      <c r="R2228" s="1">
        <v>1</v>
      </c>
    </row>
    <row r="2229" spans="1:18" x14ac:dyDescent="0.3">
      <c r="A2229" s="1">
        <v>2228</v>
      </c>
      <c r="B2229" s="1" t="s">
        <v>19</v>
      </c>
      <c r="C2229" s="1">
        <v>4</v>
      </c>
      <c r="D2229" s="1">
        <v>60</v>
      </c>
      <c r="E2229" s="1">
        <v>200</v>
      </c>
      <c r="F2229" s="1">
        <v>7</v>
      </c>
      <c r="G2229" s="1">
        <v>25</v>
      </c>
      <c r="H2229" s="1">
        <v>150</v>
      </c>
      <c r="I2229" s="1">
        <v>100</v>
      </c>
      <c r="J2229" s="1">
        <v>23.651</v>
      </c>
      <c r="K2229" s="1">
        <v>105.39700000000001</v>
      </c>
      <c r="L2229" s="1">
        <v>47.3</v>
      </c>
      <c r="M2229" s="1">
        <v>60.1</v>
      </c>
      <c r="N2229" s="1">
        <v>5.0160000000000003E-2</v>
      </c>
      <c r="O2229" s="1">
        <v>3.213E-4</v>
      </c>
      <c r="P2229" s="1">
        <f>(Table1[[#This Row],[Rate_Constant_k2_g_mg_min]]*Table1[[#This Row],[Contact_Time_min]]*Table1[[#This Row],[qe_mg_g]]^2)/(1+Table1[[#This Row],[Contact_Time_min]]*Table1[[#This Row],[qe_mg_g]]*Table1[[#This Row],[Rate_Constant_k2_g_mg_min]])</f>
        <v>7.4065562869329016</v>
      </c>
      <c r="Q2229" s="1">
        <f>LN(Table1[[#This Row],[qe_mg_g]]-Table1[[#This Row],[qt]])</f>
        <v>2.7877509249562284</v>
      </c>
      <c r="R2229" s="1">
        <v>2</v>
      </c>
    </row>
    <row r="2230" spans="1:18" x14ac:dyDescent="0.3">
      <c r="A2230" s="1">
        <v>2229</v>
      </c>
      <c r="B2230" s="1" t="s">
        <v>19</v>
      </c>
      <c r="C2230" s="1">
        <v>4</v>
      </c>
      <c r="D2230" s="1">
        <v>60</v>
      </c>
      <c r="E2230" s="1">
        <v>200</v>
      </c>
      <c r="F2230" s="1">
        <v>7</v>
      </c>
      <c r="G2230" s="1">
        <v>25</v>
      </c>
      <c r="H2230" s="1">
        <v>150</v>
      </c>
      <c r="I2230" s="1">
        <v>100</v>
      </c>
      <c r="J2230" s="1">
        <v>22.396000000000001</v>
      </c>
      <c r="K2230" s="1">
        <v>110.41500000000001</v>
      </c>
      <c r="L2230" s="1">
        <v>44.79</v>
      </c>
      <c r="M2230" s="1">
        <v>56.9</v>
      </c>
      <c r="N2230" s="1">
        <v>5.416E-2</v>
      </c>
      <c r="O2230" s="1">
        <v>3.6519999999999999E-4</v>
      </c>
      <c r="P2230" s="1">
        <f>(Table1[[#This Row],[Rate_Constant_k2_g_mg_min]]*Table1[[#This Row],[Contact_Time_min]]*Table1[[#This Row],[qe_mg_g]]^2)/(1+Table1[[#This Row],[Contact_Time_min]]*Table1[[#This Row],[qe_mg_g]]*Table1[[#This Row],[Rate_Constant_k2_g_mg_min]])</f>
        <v>7.3726004178839508</v>
      </c>
      <c r="Q2230" s="1">
        <f>LN(Table1[[#This Row],[qe_mg_g]]-Table1[[#This Row],[qt]])</f>
        <v>2.7096089577506652</v>
      </c>
      <c r="R2230" s="1">
        <v>3</v>
      </c>
    </row>
    <row r="2231" spans="1:18" x14ac:dyDescent="0.3">
      <c r="A2231" s="1">
        <v>2230</v>
      </c>
      <c r="B2231" s="1" t="s">
        <v>19</v>
      </c>
      <c r="C2231" s="1">
        <v>4</v>
      </c>
      <c r="D2231" s="1">
        <v>60</v>
      </c>
      <c r="E2231" s="1">
        <v>200</v>
      </c>
      <c r="F2231" s="1">
        <v>11</v>
      </c>
      <c r="G2231" s="1">
        <v>25</v>
      </c>
      <c r="H2231" s="1">
        <v>150</v>
      </c>
      <c r="I2231" s="1">
        <v>100</v>
      </c>
      <c r="J2231" s="1">
        <v>19.998999999999999</v>
      </c>
      <c r="K2231" s="1">
        <v>120.003</v>
      </c>
      <c r="L2231" s="1">
        <v>40</v>
      </c>
      <c r="M2231" s="1">
        <v>50.4</v>
      </c>
      <c r="N2231" s="1">
        <v>4.5569999999999999E-2</v>
      </c>
      <c r="O2231" s="1">
        <v>3.7889999999999999E-4</v>
      </c>
      <c r="P2231" s="1">
        <f>(Table1[[#This Row],[Rate_Constant_k2_g_mg_min]]*Table1[[#This Row],[Contact_Time_min]]*Table1[[#This Row],[qe_mg_g]]^2)/(1+Table1[[#This Row],[Contact_Time_min]]*Table1[[#This Row],[qe_mg_g]]*Table1[[#This Row],[Rate_Constant_k2_g_mg_min]])</f>
        <v>6.250744333568675</v>
      </c>
      <c r="Q2231" s="1">
        <f>LN(Table1[[#This Row],[qe_mg_g]]-Table1[[#This Row],[qt]])</f>
        <v>2.6209119554419145</v>
      </c>
      <c r="R2231" s="1">
        <v>1</v>
      </c>
    </row>
    <row r="2232" spans="1:18" x14ac:dyDescent="0.3">
      <c r="A2232" s="1">
        <v>2231</v>
      </c>
      <c r="B2232" s="1" t="s">
        <v>19</v>
      </c>
      <c r="C2232" s="1">
        <v>4</v>
      </c>
      <c r="D2232" s="1">
        <v>60</v>
      </c>
      <c r="E2232" s="1">
        <v>200</v>
      </c>
      <c r="F2232" s="1">
        <v>11</v>
      </c>
      <c r="G2232" s="1">
        <v>25</v>
      </c>
      <c r="H2232" s="1">
        <v>150</v>
      </c>
      <c r="I2232" s="1">
        <v>100</v>
      </c>
      <c r="J2232" s="1">
        <v>19.899999999999999</v>
      </c>
      <c r="K2232" s="1">
        <v>120.4</v>
      </c>
      <c r="L2232" s="1">
        <v>39.799999999999997</v>
      </c>
      <c r="M2232" s="1">
        <v>57.8</v>
      </c>
      <c r="N2232" s="1">
        <v>4.9020000000000001E-2</v>
      </c>
      <c r="O2232" s="1">
        <v>3.457E-4</v>
      </c>
      <c r="P2232" s="1">
        <f>(Table1[[#This Row],[Rate_Constant_k2_g_mg_min]]*Table1[[#This Row],[Contact_Time_min]]*Table1[[#This Row],[qe_mg_g]]^2)/(1+Table1[[#This Row],[Contact_Time_min]]*Table1[[#This Row],[qe_mg_g]]*Table1[[#This Row],[Rate_Constant_k2_g_mg_min]])</f>
        <v>5.8141550566980023</v>
      </c>
      <c r="Q2232" s="1">
        <f>LN(Table1[[#This Row],[qe_mg_g]]-Table1[[#This Row],[qt]])</f>
        <v>2.6451703884039066</v>
      </c>
      <c r="R2232" s="1">
        <v>2</v>
      </c>
    </row>
    <row r="2233" spans="1:18" x14ac:dyDescent="0.3">
      <c r="A2233" s="1">
        <v>2232</v>
      </c>
      <c r="B2233" s="1" t="s">
        <v>19</v>
      </c>
      <c r="C2233" s="1">
        <v>4</v>
      </c>
      <c r="D2233" s="1">
        <v>60</v>
      </c>
      <c r="E2233" s="1">
        <v>200</v>
      </c>
      <c r="F2233" s="1">
        <v>11</v>
      </c>
      <c r="G2233" s="1">
        <v>25</v>
      </c>
      <c r="H2233" s="1">
        <v>150</v>
      </c>
      <c r="I2233" s="1">
        <v>100</v>
      </c>
      <c r="J2233" s="1">
        <v>16.408000000000001</v>
      </c>
      <c r="K2233" s="1">
        <v>134.36600000000001</v>
      </c>
      <c r="L2233" s="1">
        <v>32.82</v>
      </c>
      <c r="M2233" s="1">
        <v>59.8</v>
      </c>
      <c r="N2233" s="1">
        <v>4.7570000000000001E-2</v>
      </c>
      <c r="O2233" s="1">
        <v>3.3950000000000001E-4</v>
      </c>
      <c r="P2233" s="1">
        <f>(Table1[[#This Row],[Rate_Constant_k2_g_mg_min]]*Table1[[#This Row],[Contact_Time_min]]*Table1[[#This Row],[qe_mg_g]]^2)/(1+Table1[[#This Row],[Contact_Time_min]]*Table1[[#This Row],[qe_mg_g]]*Table1[[#This Row],[Rate_Constant_k2_g_mg_min]])</f>
        <v>4.1102790716833617</v>
      </c>
      <c r="Q2233" s="1">
        <f>LN(Table1[[#This Row],[qe_mg_g]]-Table1[[#This Row],[qt]])</f>
        <v>2.5094139548292276</v>
      </c>
      <c r="R2233" s="1">
        <v>3</v>
      </c>
    </row>
    <row r="2234" spans="1:18" x14ac:dyDescent="0.3">
      <c r="A2234" s="1">
        <v>2233</v>
      </c>
      <c r="B2234" s="1" t="s">
        <v>19</v>
      </c>
      <c r="C2234" s="1">
        <v>4</v>
      </c>
      <c r="D2234" s="1">
        <v>120</v>
      </c>
      <c r="E2234" s="1">
        <v>25</v>
      </c>
      <c r="F2234" s="1">
        <v>3</v>
      </c>
      <c r="G2234" s="1">
        <v>25</v>
      </c>
      <c r="H2234" s="1">
        <v>150</v>
      </c>
      <c r="I2234" s="1">
        <v>100</v>
      </c>
      <c r="J2234" s="1">
        <v>0.63700000000000001</v>
      </c>
      <c r="K2234" s="1">
        <v>22.454000000000001</v>
      </c>
      <c r="L2234" s="1">
        <v>10.19</v>
      </c>
      <c r="M2234" s="1">
        <v>55.6</v>
      </c>
      <c r="N2234" s="1">
        <v>5.2990000000000002E-2</v>
      </c>
      <c r="O2234" s="1">
        <v>3.5619999999999998E-4</v>
      </c>
      <c r="P223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1.6884461241010961E-2</v>
      </c>
      <c r="Q2234" s="1">
        <f>LN(Table1[[#This Row],[qe_mg_g]]-Table1[[#This Row],[qt]])</f>
        <v>-0.47784946546745377</v>
      </c>
      <c r="R2234" s="1">
        <v>1</v>
      </c>
    </row>
    <row r="2235" spans="1:18" x14ac:dyDescent="0.3">
      <c r="A2235" s="1">
        <v>2234</v>
      </c>
      <c r="B2235" s="1" t="s">
        <v>19</v>
      </c>
      <c r="C2235" s="1">
        <v>4</v>
      </c>
      <c r="D2235" s="1">
        <v>120</v>
      </c>
      <c r="E2235" s="1">
        <v>25</v>
      </c>
      <c r="F2235" s="1">
        <v>3</v>
      </c>
      <c r="G2235" s="1">
        <v>25</v>
      </c>
      <c r="H2235" s="1">
        <v>150</v>
      </c>
      <c r="I2235" s="1">
        <v>100</v>
      </c>
      <c r="J2235" s="1">
        <v>0.68600000000000005</v>
      </c>
      <c r="K2235" s="1">
        <v>22.257000000000001</v>
      </c>
      <c r="L2235" s="1">
        <v>10.97</v>
      </c>
      <c r="M2235" s="1">
        <v>46.5</v>
      </c>
      <c r="N2235" s="1">
        <v>5.8450000000000002E-2</v>
      </c>
      <c r="O2235" s="1">
        <v>3.4830000000000001E-4</v>
      </c>
      <c r="P223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1.9120797829857646E-2</v>
      </c>
      <c r="Q2235" s="1">
        <f>LN(Table1[[#This Row],[qe_mg_g]]-Table1[[#This Row],[qt]])</f>
        <v>-0.40514635565991053</v>
      </c>
      <c r="R2235" s="1">
        <v>2</v>
      </c>
    </row>
    <row r="2236" spans="1:18" x14ac:dyDescent="0.3">
      <c r="A2236" s="1">
        <v>2235</v>
      </c>
      <c r="B2236" s="1" t="s">
        <v>19</v>
      </c>
      <c r="C2236" s="1">
        <v>4</v>
      </c>
      <c r="D2236" s="1">
        <v>120</v>
      </c>
      <c r="E2236" s="1">
        <v>25</v>
      </c>
      <c r="F2236" s="1">
        <v>3</v>
      </c>
      <c r="G2236" s="1">
        <v>25</v>
      </c>
      <c r="H2236" s="1">
        <v>150</v>
      </c>
      <c r="I2236" s="1">
        <v>100</v>
      </c>
      <c r="J2236" s="1">
        <v>0.63700000000000001</v>
      </c>
      <c r="K2236" s="1">
        <v>22.451000000000001</v>
      </c>
      <c r="L2236" s="1">
        <v>10.199999999999999</v>
      </c>
      <c r="M2236" s="1">
        <v>72.900000000000006</v>
      </c>
      <c r="N2236" s="1">
        <v>5.7619999999999998E-2</v>
      </c>
      <c r="O2236" s="1">
        <v>3.4459999999999997E-4</v>
      </c>
      <c r="P223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1.6348714536287591E-2</v>
      </c>
      <c r="Q2236" s="1">
        <f>LN(Table1[[#This Row],[qe_mg_g]]-Table1[[#This Row],[qt]])</f>
        <v>-0.47698589186513113</v>
      </c>
      <c r="R2236" s="1">
        <v>3</v>
      </c>
    </row>
    <row r="2237" spans="1:18" x14ac:dyDescent="0.3">
      <c r="A2237" s="1">
        <v>2236</v>
      </c>
      <c r="B2237" s="1" t="s">
        <v>19</v>
      </c>
      <c r="C2237" s="1">
        <v>4</v>
      </c>
      <c r="D2237" s="1">
        <v>120</v>
      </c>
      <c r="E2237" s="1">
        <v>25</v>
      </c>
      <c r="F2237" s="1">
        <v>7</v>
      </c>
      <c r="G2237" s="1">
        <v>25</v>
      </c>
      <c r="H2237" s="1">
        <v>150</v>
      </c>
      <c r="I2237" s="1">
        <v>100</v>
      </c>
      <c r="J2237" s="1">
        <v>1.2689999999999999</v>
      </c>
      <c r="K2237" s="1">
        <v>19.925999999999998</v>
      </c>
      <c r="L2237" s="1">
        <v>20.3</v>
      </c>
      <c r="M2237" s="1">
        <v>69.599999999999994</v>
      </c>
      <c r="N2237" s="1">
        <v>5.4199999999999998E-2</v>
      </c>
      <c r="O2237" s="1">
        <v>3.6220000000000002E-4</v>
      </c>
      <c r="P2237" s="1">
        <f>(Table1[[#This Row],[Rate_Constant_k2_g_mg_min]]*Table1[[#This Row],[Contact_Time_min]]*Table1[[#This Row],[qe_mg_g]]^2)/(1+Table1[[#This Row],[Contact_Time_min]]*Table1[[#This Row],[qe_mg_g]]*Table1[[#This Row],[Rate_Constant_k2_g_mg_min]])</f>
        <v>6.6334023319263011E-2</v>
      </c>
      <c r="Q2237" s="1">
        <f>LN(Table1[[#This Row],[qe_mg_g]]-Table1[[#This Row],[qt]])</f>
        <v>0.18454073981874666</v>
      </c>
      <c r="R2237" s="1">
        <v>1</v>
      </c>
    </row>
    <row r="2238" spans="1:18" x14ac:dyDescent="0.3">
      <c r="A2238" s="1">
        <v>2237</v>
      </c>
      <c r="B2238" s="1" t="s">
        <v>19</v>
      </c>
      <c r="C2238" s="1">
        <v>4</v>
      </c>
      <c r="D2238" s="1">
        <v>120</v>
      </c>
      <c r="E2238" s="1">
        <v>25</v>
      </c>
      <c r="F2238" s="1">
        <v>7</v>
      </c>
      <c r="G2238" s="1">
        <v>25</v>
      </c>
      <c r="H2238" s="1">
        <v>150</v>
      </c>
      <c r="I2238" s="1">
        <v>100</v>
      </c>
      <c r="J2238" s="1">
        <v>1.0740000000000001</v>
      </c>
      <c r="K2238" s="1">
        <v>20.702000000000002</v>
      </c>
      <c r="L2238" s="1">
        <v>17.190000000000001</v>
      </c>
      <c r="M2238" s="1">
        <v>53.3</v>
      </c>
      <c r="N2238" s="1">
        <v>5.391E-2</v>
      </c>
      <c r="O2238" s="1">
        <v>3.5649999999999999E-4</v>
      </c>
      <c r="P223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4.7178072758880842E-2</v>
      </c>
      <c r="Q2238" s="1">
        <f>LN(Table1[[#This Row],[qe_mg_g]]-Table1[[#This Row],[qt]])</f>
        <v>2.6468524715856472E-2</v>
      </c>
      <c r="R2238" s="1">
        <v>2</v>
      </c>
    </row>
    <row r="2239" spans="1:18" x14ac:dyDescent="0.3">
      <c r="A2239" s="1">
        <v>2238</v>
      </c>
      <c r="B2239" s="1" t="s">
        <v>19</v>
      </c>
      <c r="C2239" s="1">
        <v>4</v>
      </c>
      <c r="D2239" s="1">
        <v>120</v>
      </c>
      <c r="E2239" s="1">
        <v>25</v>
      </c>
      <c r="F2239" s="1">
        <v>7</v>
      </c>
      <c r="G2239" s="1">
        <v>25</v>
      </c>
      <c r="H2239" s="1">
        <v>150</v>
      </c>
      <c r="I2239" s="1">
        <v>100</v>
      </c>
      <c r="J2239" s="1">
        <v>1.181</v>
      </c>
      <c r="K2239" s="1">
        <v>20.274999999999999</v>
      </c>
      <c r="L2239" s="1">
        <v>18.899999999999999</v>
      </c>
      <c r="M2239" s="1">
        <v>59.1</v>
      </c>
      <c r="N2239" s="1">
        <v>5.6309999999999999E-2</v>
      </c>
      <c r="O2239" s="1">
        <v>3.076E-4</v>
      </c>
      <c r="P2239" s="1">
        <f>(Table1[[#This Row],[Rate_Constant_k2_g_mg_min]]*Table1[[#This Row],[Contact_Time_min]]*Table1[[#This Row],[qe_mg_g]]^2)/(1+Table1[[#This Row],[Contact_Time_min]]*Table1[[#This Row],[qe_mg_g]]*Table1[[#This Row],[Rate_Constant_k2_g_mg_min]])</f>
        <v>4.933284765232708E-2</v>
      </c>
      <c r="Q2239" s="1">
        <f>LN(Table1[[#This Row],[qe_mg_g]]-Table1[[#This Row],[qt]])</f>
        <v>0.12369190151565905</v>
      </c>
      <c r="R2239" s="1">
        <v>3</v>
      </c>
    </row>
    <row r="2240" spans="1:18" x14ac:dyDescent="0.3">
      <c r="A2240" s="1">
        <v>2239</v>
      </c>
      <c r="B2240" s="1" t="s">
        <v>19</v>
      </c>
      <c r="C2240" s="1">
        <v>4</v>
      </c>
      <c r="D2240" s="1">
        <v>120</v>
      </c>
      <c r="E2240" s="1">
        <v>25</v>
      </c>
      <c r="F2240" s="1">
        <v>11</v>
      </c>
      <c r="G2240" s="1">
        <v>25</v>
      </c>
      <c r="H2240" s="1">
        <v>150</v>
      </c>
      <c r="I2240" s="1">
        <v>100</v>
      </c>
      <c r="J2240" s="1">
        <v>0.80400000000000005</v>
      </c>
      <c r="K2240" s="1">
        <v>21.783000000000001</v>
      </c>
      <c r="L2240" s="1">
        <v>12.87</v>
      </c>
      <c r="M2240" s="1">
        <v>50.1</v>
      </c>
      <c r="N2240" s="1">
        <v>5.3449999999999998E-2</v>
      </c>
      <c r="O2240" s="1">
        <v>3.8680000000000002E-4</v>
      </c>
      <c r="P224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2.8924622569911195E-2</v>
      </c>
      <c r="Q2240" s="1">
        <f>LN(Table1[[#This Row],[qe_mg_g]]-Table1[[#This Row],[qt]])</f>
        <v>-0.25479499315823934</v>
      </c>
      <c r="R2240" s="1">
        <v>1</v>
      </c>
    </row>
    <row r="2241" spans="1:18" x14ac:dyDescent="0.3">
      <c r="A2241" s="1">
        <v>2240</v>
      </c>
      <c r="B2241" s="1" t="s">
        <v>19</v>
      </c>
      <c r="C2241" s="1">
        <v>4</v>
      </c>
      <c r="D2241" s="1">
        <v>120</v>
      </c>
      <c r="E2241" s="1">
        <v>25</v>
      </c>
      <c r="F2241" s="1">
        <v>11</v>
      </c>
      <c r="G2241" s="1">
        <v>25</v>
      </c>
      <c r="H2241" s="1">
        <v>150</v>
      </c>
      <c r="I2241" s="1">
        <v>100</v>
      </c>
      <c r="J2241" s="1">
        <v>0.79100000000000004</v>
      </c>
      <c r="K2241" s="1">
        <v>21.837</v>
      </c>
      <c r="L2241" s="1">
        <v>12.65</v>
      </c>
      <c r="M2241" s="1">
        <v>51.6</v>
      </c>
      <c r="N2241" s="1">
        <v>6.0240000000000002E-2</v>
      </c>
      <c r="O2241" s="1">
        <v>3.3950000000000001E-4</v>
      </c>
      <c r="P2241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2.4694456677453781E-2</v>
      </c>
      <c r="Q2241" s="1">
        <f>LN(Table1[[#This Row],[qe_mg_g]]-Table1[[#This Row],[qt]])</f>
        <v>-0.26617430715154833</v>
      </c>
      <c r="R2241" s="1">
        <v>2</v>
      </c>
    </row>
    <row r="2242" spans="1:18" x14ac:dyDescent="0.3">
      <c r="A2242" s="1">
        <v>2241</v>
      </c>
      <c r="B2242" s="1" t="s">
        <v>19</v>
      </c>
      <c r="C2242" s="1">
        <v>4</v>
      </c>
      <c r="D2242" s="1">
        <v>120</v>
      </c>
      <c r="E2242" s="1">
        <v>25</v>
      </c>
      <c r="F2242" s="1">
        <v>11</v>
      </c>
      <c r="G2242" s="1">
        <v>25</v>
      </c>
      <c r="H2242" s="1">
        <v>150</v>
      </c>
      <c r="I2242" s="1">
        <v>100</v>
      </c>
      <c r="J2242" s="1">
        <v>0.88800000000000001</v>
      </c>
      <c r="K2242" s="1">
        <v>21.446000000000002</v>
      </c>
      <c r="L2242" s="1">
        <v>14.21</v>
      </c>
      <c r="M2242" s="1">
        <v>53.4</v>
      </c>
      <c r="N2242" s="1">
        <v>5.6410000000000002E-2</v>
      </c>
      <c r="O2242" s="1">
        <v>3.4200000000000002E-4</v>
      </c>
      <c r="P2242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3.1223935637129559E-2</v>
      </c>
      <c r="Q2242" s="1">
        <f>LN(Table1[[#This Row],[qe_mg_g]]-Table1[[#This Row],[qt]])</f>
        <v>-0.15457869632323595</v>
      </c>
      <c r="R2242" s="1">
        <v>3</v>
      </c>
    </row>
    <row r="2243" spans="1:18" x14ac:dyDescent="0.3">
      <c r="A2243" s="1">
        <v>2242</v>
      </c>
      <c r="B2243" s="1" t="s">
        <v>19</v>
      </c>
      <c r="C2243" s="1">
        <v>4</v>
      </c>
      <c r="D2243" s="1">
        <v>120</v>
      </c>
      <c r="E2243" s="1">
        <v>50</v>
      </c>
      <c r="F2243" s="1">
        <v>3</v>
      </c>
      <c r="G2243" s="1">
        <v>25</v>
      </c>
      <c r="H2243" s="1">
        <v>150</v>
      </c>
      <c r="I2243" s="1">
        <v>100</v>
      </c>
      <c r="J2243" s="1">
        <v>2.4630000000000001</v>
      </c>
      <c r="K2243" s="1">
        <v>40.149000000000001</v>
      </c>
      <c r="L2243" s="1">
        <v>19.7</v>
      </c>
      <c r="M2243" s="1">
        <v>41.9</v>
      </c>
      <c r="N2243" s="1">
        <v>5.2999999999999999E-2</v>
      </c>
      <c r="O2243" s="1">
        <v>3.6039999999999998E-4</v>
      </c>
      <c r="P224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0.23710223786465123</v>
      </c>
      <c r="Q2243" s="1">
        <f>LN(Table1[[#This Row],[qe_mg_g]]-Table1[[#This Row],[qt]])</f>
        <v>0.80016032283872485</v>
      </c>
      <c r="R2243" s="1">
        <v>1</v>
      </c>
    </row>
    <row r="2244" spans="1:18" x14ac:dyDescent="0.3">
      <c r="A2244" s="1">
        <v>2243</v>
      </c>
      <c r="B2244" s="1" t="s">
        <v>19</v>
      </c>
      <c r="C2244" s="1">
        <v>4</v>
      </c>
      <c r="D2244" s="1">
        <v>120</v>
      </c>
      <c r="E2244" s="1">
        <v>50</v>
      </c>
      <c r="F2244" s="1">
        <v>3</v>
      </c>
      <c r="G2244" s="1">
        <v>25</v>
      </c>
      <c r="H2244" s="1">
        <v>150</v>
      </c>
      <c r="I2244" s="1">
        <v>100</v>
      </c>
      <c r="J2244" s="1">
        <v>2.4409999999999998</v>
      </c>
      <c r="K2244" s="1">
        <v>40.237000000000002</v>
      </c>
      <c r="L2244" s="1">
        <v>19.53</v>
      </c>
      <c r="M2244" s="1">
        <v>66.8</v>
      </c>
      <c r="N2244" s="1">
        <v>5.2850000000000001E-2</v>
      </c>
      <c r="O2244" s="1">
        <v>4.0180000000000001E-4</v>
      </c>
      <c r="P224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0.2570415489855134</v>
      </c>
      <c r="Q2244" s="1">
        <f>LN(Table1[[#This Row],[qe_mg_g]]-Table1[[#This Row],[qt]])</f>
        <v>0.78113903344092872</v>
      </c>
      <c r="R2244" s="1">
        <v>2</v>
      </c>
    </row>
    <row r="2245" spans="1:18" x14ac:dyDescent="0.3">
      <c r="A2245" s="1">
        <v>2244</v>
      </c>
      <c r="B2245" s="1" t="s">
        <v>19</v>
      </c>
      <c r="C2245" s="1">
        <v>4</v>
      </c>
      <c r="D2245" s="1">
        <v>120</v>
      </c>
      <c r="E2245" s="1">
        <v>50</v>
      </c>
      <c r="F2245" s="1">
        <v>3</v>
      </c>
      <c r="G2245" s="1">
        <v>25</v>
      </c>
      <c r="H2245" s="1">
        <v>150</v>
      </c>
      <c r="I2245" s="1">
        <v>100</v>
      </c>
      <c r="J2245" s="1">
        <v>2.2440000000000002</v>
      </c>
      <c r="K2245" s="1">
        <v>41.023000000000003</v>
      </c>
      <c r="L2245" s="1">
        <v>17.95</v>
      </c>
      <c r="M2245" s="1">
        <v>65.400000000000006</v>
      </c>
      <c r="N2245" s="1">
        <v>5.9499999999999997E-2</v>
      </c>
      <c r="O2245" s="1">
        <v>3.1799999999999998E-4</v>
      </c>
      <c r="P224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0.17699941018635582</v>
      </c>
      <c r="Q2245" s="1">
        <f>LN(Table1[[#This Row],[qe_mg_g]]-Table1[[#This Row],[qt]])</f>
        <v>0.72609856604726553</v>
      </c>
      <c r="R2245" s="1">
        <v>3</v>
      </c>
    </row>
    <row r="2246" spans="1:18" x14ac:dyDescent="0.3">
      <c r="A2246" s="1">
        <v>2245</v>
      </c>
      <c r="B2246" s="1" t="s">
        <v>19</v>
      </c>
      <c r="C2246" s="1">
        <v>4</v>
      </c>
      <c r="D2246" s="1">
        <v>120</v>
      </c>
      <c r="E2246" s="1">
        <v>50</v>
      </c>
      <c r="F2246" s="1">
        <v>7</v>
      </c>
      <c r="G2246" s="1">
        <v>25</v>
      </c>
      <c r="H2246" s="1">
        <v>150</v>
      </c>
      <c r="I2246" s="1">
        <v>100</v>
      </c>
      <c r="J2246" s="1">
        <v>3.9060000000000001</v>
      </c>
      <c r="K2246" s="1">
        <v>34.375999999999998</v>
      </c>
      <c r="L2246" s="1">
        <v>31.25</v>
      </c>
      <c r="M2246" s="1">
        <v>54.1</v>
      </c>
      <c r="N2246" s="1">
        <v>5.8439999999999999E-2</v>
      </c>
      <c r="O2246" s="1">
        <v>3.4220000000000002E-4</v>
      </c>
      <c r="P224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0.53990768853264159</v>
      </c>
      <c r="Q2246" s="1">
        <f>LN(Table1[[#This Row],[qe_mg_g]]-Table1[[#This Row],[qt]])</f>
        <v>1.2137525200709243</v>
      </c>
      <c r="R2246" s="1">
        <v>1</v>
      </c>
    </row>
    <row r="2247" spans="1:18" x14ac:dyDescent="0.3">
      <c r="A2247" s="1">
        <v>2246</v>
      </c>
      <c r="B2247" s="1" t="s">
        <v>19</v>
      </c>
      <c r="C2247" s="1">
        <v>4</v>
      </c>
      <c r="D2247" s="1">
        <v>120</v>
      </c>
      <c r="E2247" s="1">
        <v>50</v>
      </c>
      <c r="F2247" s="1">
        <v>7</v>
      </c>
      <c r="G2247" s="1">
        <v>25</v>
      </c>
      <c r="H2247" s="1">
        <v>150</v>
      </c>
      <c r="I2247" s="1">
        <v>100</v>
      </c>
      <c r="J2247" s="1">
        <v>3.742</v>
      </c>
      <c r="K2247" s="1">
        <v>35.033999999999999</v>
      </c>
      <c r="L2247" s="1">
        <v>29.93</v>
      </c>
      <c r="M2247" s="1">
        <v>65.7</v>
      </c>
      <c r="N2247" s="1">
        <v>5.4460000000000001E-2</v>
      </c>
      <c r="O2247" s="1">
        <v>3.7889999999999999E-4</v>
      </c>
      <c r="P224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0.54409548991408263</v>
      </c>
      <c r="Q2247" s="1">
        <f>LN(Table1[[#This Row],[qe_mg_g]]-Table1[[#This Row],[qt]])</f>
        <v>1.1624957547057775</v>
      </c>
      <c r="R2247" s="1">
        <v>2</v>
      </c>
    </row>
    <row r="2248" spans="1:18" x14ac:dyDescent="0.3">
      <c r="A2248" s="1">
        <v>2247</v>
      </c>
      <c r="B2248" s="1" t="s">
        <v>19</v>
      </c>
      <c r="C2248" s="1">
        <v>4</v>
      </c>
      <c r="D2248" s="1">
        <v>120</v>
      </c>
      <c r="E2248" s="1">
        <v>50</v>
      </c>
      <c r="F2248" s="1">
        <v>7</v>
      </c>
      <c r="G2248" s="1">
        <v>25</v>
      </c>
      <c r="H2248" s="1">
        <v>150</v>
      </c>
      <c r="I2248" s="1">
        <v>100</v>
      </c>
      <c r="J2248" s="1">
        <v>3.7639999999999998</v>
      </c>
      <c r="K2248" s="1">
        <v>34.945999999999998</v>
      </c>
      <c r="L2248" s="1">
        <v>30.11</v>
      </c>
      <c r="M2248" s="1">
        <v>68.2</v>
      </c>
      <c r="N2248" s="1">
        <v>5.1270000000000003E-2</v>
      </c>
      <c r="O2248" s="1">
        <v>3.2850000000000002E-4</v>
      </c>
      <c r="P224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0.48633039035059639</v>
      </c>
      <c r="Q2248" s="1">
        <f>LN(Table1[[#This Row],[qe_mg_g]]-Table1[[#This Row],[qt]])</f>
        <v>1.1871326850190833</v>
      </c>
      <c r="R2248" s="1">
        <v>3</v>
      </c>
    </row>
    <row r="2249" spans="1:18" x14ac:dyDescent="0.3">
      <c r="A2249" s="1">
        <v>2248</v>
      </c>
      <c r="B2249" s="1" t="s">
        <v>19</v>
      </c>
      <c r="C2249" s="1">
        <v>4</v>
      </c>
      <c r="D2249" s="1">
        <v>120</v>
      </c>
      <c r="E2249" s="1">
        <v>50</v>
      </c>
      <c r="F2249" s="1">
        <v>11</v>
      </c>
      <c r="G2249" s="1">
        <v>25</v>
      </c>
      <c r="H2249" s="1">
        <v>150</v>
      </c>
      <c r="I2249" s="1">
        <v>100</v>
      </c>
      <c r="J2249" s="1">
        <v>3.2240000000000002</v>
      </c>
      <c r="K2249" s="1">
        <v>37.106000000000002</v>
      </c>
      <c r="L2249" s="1">
        <v>25.79</v>
      </c>
      <c r="M2249" s="1">
        <v>50.9</v>
      </c>
      <c r="N2249" s="1">
        <v>6.3810000000000006E-2</v>
      </c>
      <c r="O2249" s="1">
        <v>3.812E-4</v>
      </c>
      <c r="P2249" s="1">
        <f>(Table1[[#This Row],[Rate_Constant_k2_g_mg_min]]*Table1[[#This Row],[Contact_Time_min]]*Table1[[#This Row],[qe_mg_g]]^2)/(1+Table1[[#This Row],[Contact_Time_min]]*Table1[[#This Row],[qe_mg_g]]*Table1[[#This Row],[Rate_Constant_k2_g_mg_min]])</f>
        <v>0.41436168285817776</v>
      </c>
      <c r="Q2249" s="1">
        <f>LN(Table1[[#This Row],[qe_mg_g]]-Table1[[#This Row],[qt]])</f>
        <v>1.033055762300539</v>
      </c>
      <c r="R2249" s="1">
        <v>1</v>
      </c>
    </row>
    <row r="2250" spans="1:18" x14ac:dyDescent="0.3">
      <c r="A2250" s="1">
        <v>2249</v>
      </c>
      <c r="B2250" s="1" t="s">
        <v>19</v>
      </c>
      <c r="C2250" s="1">
        <v>4</v>
      </c>
      <c r="D2250" s="1">
        <v>120</v>
      </c>
      <c r="E2250" s="1">
        <v>50</v>
      </c>
      <c r="F2250" s="1">
        <v>11</v>
      </c>
      <c r="G2250" s="1">
        <v>25</v>
      </c>
      <c r="H2250" s="1">
        <v>150</v>
      </c>
      <c r="I2250" s="1">
        <v>100</v>
      </c>
      <c r="J2250" s="1">
        <v>2.8809999999999998</v>
      </c>
      <c r="K2250" s="1">
        <v>38.475000000000001</v>
      </c>
      <c r="L2250" s="1">
        <v>23.05</v>
      </c>
      <c r="M2250" s="1">
        <v>39.700000000000003</v>
      </c>
      <c r="N2250" s="1">
        <v>5.4890000000000001E-2</v>
      </c>
      <c r="O2250" s="1">
        <v>3.5359999999999998E-4</v>
      </c>
      <c r="P2250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0.31382802501929985</v>
      </c>
      <c r="Q2250" s="1">
        <f>LN(Table1[[#This Row],[qe_mg_g]]-Table1[[#This Row],[qt]])</f>
        <v>0.9428048941836138</v>
      </c>
      <c r="R2250" s="1">
        <v>2</v>
      </c>
    </row>
    <row r="2251" spans="1:18" x14ac:dyDescent="0.3">
      <c r="A2251" s="1">
        <v>2250</v>
      </c>
      <c r="B2251" s="1" t="s">
        <v>19</v>
      </c>
      <c r="C2251" s="1">
        <v>4</v>
      </c>
      <c r="D2251" s="1">
        <v>120</v>
      </c>
      <c r="E2251" s="1">
        <v>50</v>
      </c>
      <c r="F2251" s="1">
        <v>11</v>
      </c>
      <c r="G2251" s="1">
        <v>25</v>
      </c>
      <c r="H2251" s="1">
        <v>150</v>
      </c>
      <c r="I2251" s="1">
        <v>100</v>
      </c>
      <c r="J2251" s="1">
        <v>3.1509999999999998</v>
      </c>
      <c r="K2251" s="1">
        <v>37.396999999999998</v>
      </c>
      <c r="L2251" s="1">
        <v>25.21</v>
      </c>
      <c r="M2251" s="1">
        <v>67.5</v>
      </c>
      <c r="N2251" s="1">
        <v>5.1229999999999998E-2</v>
      </c>
      <c r="O2251" s="1">
        <v>3.7800000000000003E-4</v>
      </c>
      <c r="P2251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0.39404921172031132</v>
      </c>
      <c r="Q2251" s="1">
        <f>LN(Table1[[#This Row],[qe_mg_g]]-Table1[[#This Row],[qt]])</f>
        <v>1.0141252821470188</v>
      </c>
      <c r="R2251" s="1">
        <v>3</v>
      </c>
    </row>
    <row r="2252" spans="1:18" x14ac:dyDescent="0.3">
      <c r="A2252" s="1">
        <v>2251</v>
      </c>
      <c r="B2252" s="1" t="s">
        <v>19</v>
      </c>
      <c r="C2252" s="1">
        <v>4</v>
      </c>
      <c r="D2252" s="1">
        <v>120</v>
      </c>
      <c r="E2252" s="1">
        <v>100</v>
      </c>
      <c r="F2252" s="1">
        <v>3</v>
      </c>
      <c r="G2252" s="1">
        <v>25</v>
      </c>
      <c r="H2252" s="1">
        <v>150</v>
      </c>
      <c r="I2252" s="1">
        <v>100</v>
      </c>
      <c r="J2252" s="1">
        <v>7.734</v>
      </c>
      <c r="K2252" s="1">
        <v>69.063000000000002</v>
      </c>
      <c r="L2252" s="1">
        <v>30.94</v>
      </c>
      <c r="M2252" s="1">
        <v>63.3</v>
      </c>
      <c r="N2252" s="1">
        <v>5.774E-2</v>
      </c>
      <c r="O2252" s="1">
        <v>2.8200000000000002E-4</v>
      </c>
      <c r="P225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1.6042653308040424</v>
      </c>
      <c r="Q2252" s="1">
        <f>LN(Table1[[#This Row],[qe_mg_g]]-Table1[[#This Row],[qt]])</f>
        <v>1.8131514650302578</v>
      </c>
      <c r="R2252" s="1">
        <v>1</v>
      </c>
    </row>
    <row r="2253" spans="1:18" x14ac:dyDescent="0.3">
      <c r="A2253" s="1">
        <v>2252</v>
      </c>
      <c r="B2253" s="1" t="s">
        <v>19</v>
      </c>
      <c r="C2253" s="1">
        <v>4</v>
      </c>
      <c r="D2253" s="1">
        <v>120</v>
      </c>
      <c r="E2253" s="1">
        <v>100</v>
      </c>
      <c r="F2253" s="1">
        <v>3</v>
      </c>
      <c r="G2253" s="1">
        <v>25</v>
      </c>
      <c r="H2253" s="1">
        <v>150</v>
      </c>
      <c r="I2253" s="1">
        <v>100</v>
      </c>
      <c r="J2253" s="1">
        <v>7.2610000000000001</v>
      </c>
      <c r="K2253" s="1">
        <v>70.954999999999998</v>
      </c>
      <c r="L2253" s="1">
        <v>29.04</v>
      </c>
      <c r="M2253" s="1">
        <v>45.1</v>
      </c>
      <c r="N2253" s="1">
        <v>5.389E-2</v>
      </c>
      <c r="O2253" s="1">
        <v>3.8430000000000002E-4</v>
      </c>
      <c r="P225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1.8214304769690548</v>
      </c>
      <c r="Q2253" s="1">
        <f>LN(Table1[[#This Row],[qe_mg_g]]-Table1[[#This Row],[qt]])</f>
        <v>1.6936999259409835</v>
      </c>
      <c r="R2253" s="1">
        <v>2</v>
      </c>
    </row>
    <row r="2254" spans="1:18" x14ac:dyDescent="0.3">
      <c r="A2254" s="1">
        <v>2253</v>
      </c>
      <c r="B2254" s="1" t="s">
        <v>19</v>
      </c>
      <c r="C2254" s="1">
        <v>4</v>
      </c>
      <c r="D2254" s="1">
        <v>120</v>
      </c>
      <c r="E2254" s="1">
        <v>100</v>
      </c>
      <c r="F2254" s="1">
        <v>3</v>
      </c>
      <c r="G2254" s="1">
        <v>25</v>
      </c>
      <c r="H2254" s="1">
        <v>150</v>
      </c>
      <c r="I2254" s="1">
        <v>100</v>
      </c>
      <c r="J2254" s="1">
        <v>7.4980000000000002</v>
      </c>
      <c r="K2254" s="1">
        <v>70.009</v>
      </c>
      <c r="L2254" s="1">
        <v>29.99</v>
      </c>
      <c r="M2254" s="1">
        <v>63.9</v>
      </c>
      <c r="N2254" s="1">
        <v>5.688E-2</v>
      </c>
      <c r="O2254" s="1">
        <v>3.0459999999999998E-4</v>
      </c>
      <c r="P2254" s="1">
        <f>(Table1[[#This Row],[Rate_Constant_k2_g_mg_min]]*Table1[[#This Row],[Contact_Time_min]]*Table1[[#This Row],[qe_mg_g]]^2)/(1+Table1[[#This Row],[Contact_Time_min]]*Table1[[#This Row],[qe_mg_g]]*Table1[[#This Row],[Rate_Constant_k2_g_mg_min]])</f>
        <v>1.6129087041344805</v>
      </c>
      <c r="Q2254" s="1">
        <f>LN(Table1[[#This Row],[qe_mg_g]]-Table1[[#This Row],[qt]])</f>
        <v>1.7724222539080559</v>
      </c>
      <c r="R2254" s="1">
        <v>3</v>
      </c>
    </row>
    <row r="2255" spans="1:18" x14ac:dyDescent="0.3">
      <c r="A2255" s="1">
        <v>2254</v>
      </c>
      <c r="B2255" s="1" t="s">
        <v>19</v>
      </c>
      <c r="C2255" s="1">
        <v>4</v>
      </c>
      <c r="D2255" s="1">
        <v>120</v>
      </c>
      <c r="E2255" s="1">
        <v>100</v>
      </c>
      <c r="F2255" s="1">
        <v>7</v>
      </c>
      <c r="G2255" s="1">
        <v>25</v>
      </c>
      <c r="H2255" s="1">
        <v>150</v>
      </c>
      <c r="I2255" s="1">
        <v>100</v>
      </c>
      <c r="J2255" s="1">
        <v>9.375</v>
      </c>
      <c r="K2255" s="1">
        <v>62.502000000000002</v>
      </c>
      <c r="L2255" s="1">
        <v>37.5</v>
      </c>
      <c r="M2255" s="1">
        <v>55.8</v>
      </c>
      <c r="N2255" s="1">
        <v>5.382E-2</v>
      </c>
      <c r="O2255" s="1">
        <v>3.1579999999999998E-4</v>
      </c>
      <c r="P2255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2.4575847152791868</v>
      </c>
      <c r="Q2255" s="1">
        <f>LN(Table1[[#This Row],[qe_mg_g]]-Table1[[#This Row],[qt]])</f>
        <v>1.9340421860872672</v>
      </c>
      <c r="R2255" s="1">
        <v>1</v>
      </c>
    </row>
    <row r="2256" spans="1:18" x14ac:dyDescent="0.3">
      <c r="A2256" s="1">
        <v>2255</v>
      </c>
      <c r="B2256" s="1" t="s">
        <v>19</v>
      </c>
      <c r="C2256" s="1">
        <v>4</v>
      </c>
      <c r="D2256" s="1">
        <v>120</v>
      </c>
      <c r="E2256" s="1">
        <v>100</v>
      </c>
      <c r="F2256" s="1">
        <v>7</v>
      </c>
      <c r="G2256" s="1">
        <v>25</v>
      </c>
      <c r="H2256" s="1">
        <v>150</v>
      </c>
      <c r="I2256" s="1">
        <v>100</v>
      </c>
      <c r="J2256" s="1">
        <v>10.028</v>
      </c>
      <c r="K2256" s="1">
        <v>59.887</v>
      </c>
      <c r="L2256" s="1">
        <v>40.11</v>
      </c>
      <c r="M2256" s="1">
        <v>48.5</v>
      </c>
      <c r="N2256" s="1">
        <v>5.3929999999999999E-2</v>
      </c>
      <c r="O2256" s="1">
        <v>3.7330000000000002E-4</v>
      </c>
      <c r="P2256" s="1">
        <f>(Table1[[#This Row],[Rate_Constant_k2_g_mg_min]]*Table1[[#This Row],[Contact_Time_min]]*Table1[[#This Row],[qe_mg_g]]^2)/(1+Table1[[#This Row],[Contact_Time_min]]*Table1[[#This Row],[qe_mg_g]]*Table1[[#This Row],[Rate_Constant_k2_g_mg_min]])</f>
        <v>3.1083883987100194</v>
      </c>
      <c r="Q2256" s="1">
        <f>LN(Table1[[#This Row],[qe_mg_g]]-Table1[[#This Row],[qt]])</f>
        <v>1.9343596410731836</v>
      </c>
      <c r="R2256" s="1">
        <v>2</v>
      </c>
    </row>
    <row r="2257" spans="1:18" x14ac:dyDescent="0.3">
      <c r="A2257" s="1">
        <v>2256</v>
      </c>
      <c r="B2257" s="1" t="s">
        <v>19</v>
      </c>
      <c r="C2257" s="1">
        <v>4</v>
      </c>
      <c r="D2257" s="1">
        <v>120</v>
      </c>
      <c r="E2257" s="1">
        <v>100</v>
      </c>
      <c r="F2257" s="1">
        <v>7</v>
      </c>
      <c r="G2257" s="1">
        <v>25</v>
      </c>
      <c r="H2257" s="1">
        <v>150</v>
      </c>
      <c r="I2257" s="1">
        <v>100</v>
      </c>
      <c r="J2257" s="1">
        <v>11.534000000000001</v>
      </c>
      <c r="K2257" s="1">
        <v>53.866</v>
      </c>
      <c r="L2257" s="1">
        <v>46.13</v>
      </c>
      <c r="M2257" s="1">
        <v>67.7</v>
      </c>
      <c r="N2257" s="1">
        <v>4.9299999999999997E-2</v>
      </c>
      <c r="O2257" s="1">
        <v>3.8079999999999999E-4</v>
      </c>
      <c r="P2257" s="1">
        <f>(Table1[[#This Row],[Rate_Constant_k2_g_mg_min]]*Table1[[#This Row],[Contact_Time_min]]*Table1[[#This Row],[qe_mg_g]]^2)/(1+Table1[[#This Row],[Contact_Time_min]]*Table1[[#This Row],[qe_mg_g]]*Table1[[#This Row],[Rate_Constant_k2_g_mg_min]])</f>
        <v>3.9809126006757012</v>
      </c>
      <c r="Q2257" s="1">
        <f>LN(Table1[[#This Row],[qe_mg_g]]-Table1[[#This Row],[qt]])</f>
        <v>2.0219564067358697</v>
      </c>
      <c r="R2257" s="1">
        <v>3</v>
      </c>
    </row>
    <row r="2258" spans="1:18" x14ac:dyDescent="0.3">
      <c r="A2258" s="1">
        <v>2257</v>
      </c>
      <c r="B2258" s="1" t="s">
        <v>19</v>
      </c>
      <c r="C2258" s="1">
        <v>4</v>
      </c>
      <c r="D2258" s="1">
        <v>120</v>
      </c>
      <c r="E2258" s="1">
        <v>100</v>
      </c>
      <c r="F2258" s="1">
        <v>11</v>
      </c>
      <c r="G2258" s="1">
        <v>25</v>
      </c>
      <c r="H2258" s="1">
        <v>150</v>
      </c>
      <c r="I2258" s="1">
        <v>100</v>
      </c>
      <c r="J2258" s="1">
        <v>8.9369999999999994</v>
      </c>
      <c r="K2258" s="1">
        <v>64.253</v>
      </c>
      <c r="L2258" s="1">
        <v>35.75</v>
      </c>
      <c r="M2258" s="1">
        <v>60.2</v>
      </c>
      <c r="N2258" s="1">
        <v>5.2600000000000001E-2</v>
      </c>
      <c r="O2258" s="1">
        <v>3.8749999999999999E-4</v>
      </c>
      <c r="P2258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2.6236443599947861</v>
      </c>
      <c r="Q2258" s="1">
        <f>LN(Table1[[#This Row],[qe_mg_g]]-Table1[[#This Row],[qt]])</f>
        <v>1.8426673323473417</v>
      </c>
      <c r="R2258" s="1">
        <v>1</v>
      </c>
    </row>
    <row r="2259" spans="1:18" x14ac:dyDescent="0.3">
      <c r="A2259" s="1">
        <v>2258</v>
      </c>
      <c r="B2259" s="1" t="s">
        <v>19</v>
      </c>
      <c r="C2259" s="1">
        <v>4</v>
      </c>
      <c r="D2259" s="1">
        <v>120</v>
      </c>
      <c r="E2259" s="1">
        <v>100</v>
      </c>
      <c r="F2259" s="1">
        <v>11</v>
      </c>
      <c r="G2259" s="1">
        <v>25</v>
      </c>
      <c r="H2259" s="1">
        <v>150</v>
      </c>
      <c r="I2259" s="1">
        <v>100</v>
      </c>
      <c r="J2259" s="1">
        <v>9.0909999999999993</v>
      </c>
      <c r="K2259" s="1">
        <v>63.634999999999998</v>
      </c>
      <c r="L2259" s="1">
        <v>36.369999999999997</v>
      </c>
      <c r="M2259" s="1">
        <v>49</v>
      </c>
      <c r="N2259" s="1">
        <v>5.493E-2</v>
      </c>
      <c r="O2259" s="1">
        <v>3.4160000000000001E-4</v>
      </c>
      <c r="P2259" s="1">
        <f>(Table1[[#This Row],[Rate_Constant_k2_g_mg_min]]*Table1[[#This Row],[Contact_Time_min]]*Table1[[#This Row],[qe_mg_g]]^2)/(1+Table1[[#This Row],[Contact_Time_min]]*Table1[[#This Row],[qe_mg_g]]*Table1[[#This Row],[Rate_Constant_k2_g_mg_min]])</f>
        <v>2.4680843148352074</v>
      </c>
      <c r="Q2259" s="1">
        <f>LN(Table1[[#This Row],[qe_mg_g]]-Table1[[#This Row],[qt]])</f>
        <v>1.8905357088110255</v>
      </c>
      <c r="R2259" s="1">
        <v>2</v>
      </c>
    </row>
    <row r="2260" spans="1:18" x14ac:dyDescent="0.3">
      <c r="A2260" s="1">
        <v>2259</v>
      </c>
      <c r="B2260" s="1" t="s">
        <v>19</v>
      </c>
      <c r="C2260" s="1">
        <v>4</v>
      </c>
      <c r="D2260" s="1">
        <v>120</v>
      </c>
      <c r="E2260" s="1">
        <v>100</v>
      </c>
      <c r="F2260" s="1">
        <v>11</v>
      </c>
      <c r="G2260" s="1">
        <v>25</v>
      </c>
      <c r="H2260" s="1">
        <v>150</v>
      </c>
      <c r="I2260" s="1">
        <v>100</v>
      </c>
      <c r="J2260" s="1">
        <v>9.2119999999999997</v>
      </c>
      <c r="K2260" s="1">
        <v>63.151000000000003</v>
      </c>
      <c r="L2260" s="1">
        <v>36.85</v>
      </c>
      <c r="M2260" s="1">
        <v>44.9</v>
      </c>
      <c r="N2260" s="1">
        <v>5.484E-2</v>
      </c>
      <c r="O2260" s="1">
        <v>3.6380000000000001E-4</v>
      </c>
      <c r="P2260" s="1">
        <f>(Table1[[#This Row],[Rate_Constant_k2_g_mg_min]]*Table1[[#This Row],[Contact_Time_min]]*Table1[[#This Row],[qe_mg_g]]^2)/(1+Table1[[#This Row],[Contact_Time_min]]*Table1[[#This Row],[qe_mg_g]]*Table1[[#This Row],[Rate_Constant_k2_g_mg_min]])</f>
        <v>2.6421320128676529</v>
      </c>
      <c r="Q2260" s="1">
        <f>LN(Table1[[#This Row],[qe_mg_g]]-Table1[[#This Row],[qt]])</f>
        <v>1.8824937390118985</v>
      </c>
      <c r="R2260" s="1">
        <v>3</v>
      </c>
    </row>
    <row r="2261" spans="1:18" x14ac:dyDescent="0.3">
      <c r="A2261" s="1">
        <v>2260</v>
      </c>
      <c r="B2261" s="1" t="s">
        <v>19</v>
      </c>
      <c r="C2261" s="1">
        <v>4</v>
      </c>
      <c r="D2261" s="1">
        <v>120</v>
      </c>
      <c r="E2261" s="1">
        <v>200</v>
      </c>
      <c r="F2261" s="1">
        <v>3</v>
      </c>
      <c r="G2261" s="1">
        <v>25</v>
      </c>
      <c r="H2261" s="1">
        <v>150</v>
      </c>
      <c r="I2261" s="1">
        <v>100</v>
      </c>
      <c r="J2261" s="1">
        <v>20.434000000000001</v>
      </c>
      <c r="K2261" s="1">
        <v>118.264</v>
      </c>
      <c r="L2261" s="1">
        <v>40.869999999999997</v>
      </c>
      <c r="M2261" s="1">
        <v>65.599999999999994</v>
      </c>
      <c r="N2261" s="1">
        <v>5.926E-2</v>
      </c>
      <c r="O2261" s="1">
        <v>3.4969999999999999E-4</v>
      </c>
      <c r="P2261" s="1">
        <f>(Table1[[#This Row],[Rate_Constant_k2_g_mg_min]]*Table1[[#This Row],[Contact_Time_min]]*Table1[[#This Row],[qe_mg_g]]^2)/(1+Table1[[#This Row],[Contact_Time_min]]*Table1[[#This Row],[qe_mg_g]]*Table1[[#This Row],[Rate_Constant_k2_g_mg_min]])</f>
        <v>9.4331473106320853</v>
      </c>
      <c r="Q2261" s="1">
        <f>LN(Table1[[#This Row],[qe_mg_g]]-Table1[[#This Row],[qt]])</f>
        <v>2.3979727870093317</v>
      </c>
      <c r="R2261" s="1">
        <v>1</v>
      </c>
    </row>
    <row r="2262" spans="1:18" x14ac:dyDescent="0.3">
      <c r="A2262" s="1">
        <v>2261</v>
      </c>
      <c r="B2262" s="1" t="s">
        <v>19</v>
      </c>
      <c r="C2262" s="1">
        <v>4</v>
      </c>
      <c r="D2262" s="1">
        <v>120</v>
      </c>
      <c r="E2262" s="1">
        <v>200</v>
      </c>
      <c r="F2262" s="1">
        <v>3</v>
      </c>
      <c r="G2262" s="1">
        <v>25</v>
      </c>
      <c r="H2262" s="1">
        <v>150</v>
      </c>
      <c r="I2262" s="1">
        <v>100</v>
      </c>
      <c r="J2262" s="1">
        <v>20.696000000000002</v>
      </c>
      <c r="K2262" s="1">
        <v>117.215</v>
      </c>
      <c r="L2262" s="1">
        <v>41.39</v>
      </c>
      <c r="M2262" s="1">
        <v>57</v>
      </c>
      <c r="N2262" s="1">
        <v>5.722E-2</v>
      </c>
      <c r="O2262" s="1">
        <v>2.8610000000000002E-4</v>
      </c>
      <c r="P2262" s="1">
        <f>(Table1[[#This Row],[Rate_Constant_k2_g_mg_min]]*Table1[[#This Row],[Contact_Time_min]]*Table1[[#This Row],[qe_mg_g]]^2)/(1+Table1[[#This Row],[Contact_Time_min]]*Table1[[#This Row],[qe_mg_g]]*Table1[[#This Row],[Rate_Constant_k2_g_mg_min]])</f>
        <v>8.5968619356738945</v>
      </c>
      <c r="Q2262" s="1">
        <f>LN(Table1[[#This Row],[qe_mg_g]]-Table1[[#This Row],[qt]])</f>
        <v>2.4931342157121943</v>
      </c>
      <c r="R2262" s="1">
        <v>2</v>
      </c>
    </row>
    <row r="2263" spans="1:18" x14ac:dyDescent="0.3">
      <c r="A2263" s="1">
        <v>2262</v>
      </c>
      <c r="B2263" s="1" t="s">
        <v>19</v>
      </c>
      <c r="C2263" s="1">
        <v>4</v>
      </c>
      <c r="D2263" s="1">
        <v>120</v>
      </c>
      <c r="E2263" s="1">
        <v>200</v>
      </c>
      <c r="F2263" s="1">
        <v>3</v>
      </c>
      <c r="G2263" s="1">
        <v>25</v>
      </c>
      <c r="H2263" s="1">
        <v>150</v>
      </c>
      <c r="I2263" s="1">
        <v>100</v>
      </c>
      <c r="J2263" s="1">
        <v>19.957000000000001</v>
      </c>
      <c r="K2263" s="1">
        <v>120.173</v>
      </c>
      <c r="L2263" s="1">
        <v>39.909999999999997</v>
      </c>
      <c r="M2263" s="1">
        <v>42.4</v>
      </c>
      <c r="N2263" s="1">
        <v>6.2030000000000002E-2</v>
      </c>
      <c r="O2263" s="1">
        <v>3.479E-4</v>
      </c>
      <c r="P2263" s="1">
        <f>(Table1[[#This Row],[Rate_Constant_k2_g_mg_min]]*Table1[[#This Row],[Contact_Time_min]]*Table1[[#This Row],[qe_mg_g]]^2)/(1+Table1[[#This Row],[Contact_Time_min]]*Table1[[#This Row],[qe_mg_g]]*Table1[[#This Row],[Rate_Constant_k2_g_mg_min]])</f>
        <v>9.0703630712955725</v>
      </c>
      <c r="Q2263" s="1">
        <f>LN(Table1[[#This Row],[qe_mg_g]]-Table1[[#This Row],[qt]])</f>
        <v>2.3875360672756618</v>
      </c>
      <c r="R2263" s="1">
        <v>3</v>
      </c>
    </row>
    <row r="2264" spans="1:18" x14ac:dyDescent="0.3">
      <c r="A2264" s="1">
        <v>2263</v>
      </c>
      <c r="B2264" s="1" t="s">
        <v>19</v>
      </c>
      <c r="C2264" s="1">
        <v>4</v>
      </c>
      <c r="D2264" s="1">
        <v>120</v>
      </c>
      <c r="E2264" s="1">
        <v>200</v>
      </c>
      <c r="F2264" s="1">
        <v>7</v>
      </c>
      <c r="G2264" s="1">
        <v>25</v>
      </c>
      <c r="H2264" s="1">
        <v>150</v>
      </c>
      <c r="I2264" s="1">
        <v>100</v>
      </c>
      <c r="J2264" s="1">
        <v>29.707999999999998</v>
      </c>
      <c r="K2264" s="1">
        <v>81.168999999999997</v>
      </c>
      <c r="L2264" s="1">
        <v>59.42</v>
      </c>
      <c r="M2264" s="1">
        <v>61.9</v>
      </c>
      <c r="N2264" s="1">
        <v>5.7320000000000003E-2</v>
      </c>
      <c r="O2264" s="1">
        <v>3.1050000000000001E-4</v>
      </c>
      <c r="P2264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15.607797395257631</v>
      </c>
      <c r="Q2264" s="1">
        <f>LN(Table1[[#This Row],[qe_mg_g]]-Table1[[#This Row],[qt]])</f>
        <v>2.6461891664115522</v>
      </c>
      <c r="R2264" s="1">
        <v>1</v>
      </c>
    </row>
    <row r="2265" spans="1:18" x14ac:dyDescent="0.3">
      <c r="A2265" s="1">
        <v>2264</v>
      </c>
      <c r="B2265" s="1" t="s">
        <v>19</v>
      </c>
      <c r="C2265" s="1">
        <v>4</v>
      </c>
      <c r="D2265" s="1">
        <v>120</v>
      </c>
      <c r="E2265" s="1">
        <v>200</v>
      </c>
      <c r="F2265" s="1">
        <v>7</v>
      </c>
      <c r="G2265" s="1">
        <v>25</v>
      </c>
      <c r="H2265" s="1">
        <v>150</v>
      </c>
      <c r="I2265" s="1">
        <v>100</v>
      </c>
      <c r="J2265" s="1">
        <v>29.966000000000001</v>
      </c>
      <c r="K2265" s="1">
        <v>80.137</v>
      </c>
      <c r="L2265" s="1">
        <v>59.93</v>
      </c>
      <c r="M2265" s="1">
        <v>51.8</v>
      </c>
      <c r="N2265" s="1">
        <v>4.5409999999999999E-2</v>
      </c>
      <c r="O2265" s="1">
        <v>3.258E-4</v>
      </c>
      <c r="P2265" s="1">
        <f>(Table1[[#This Row],[Rate_Constant_k2_g_mg_min]]*Table1[[#This Row],[Contact_Time_min]]*Table1[[#This Row],[qe_mg_g]]^2)/(1+Table1[[#This Row],[Contact_Time_min]]*Table1[[#This Row],[qe_mg_g]]*Table1[[#This Row],[Rate_Constant_k2_g_mg_min]])</f>
        <v>16.166644772777715</v>
      </c>
      <c r="Q2265" s="1">
        <f>LN(Table1[[#This Row],[qe_mg_g]]-Table1[[#This Row],[qt]])</f>
        <v>2.6246218684065696</v>
      </c>
      <c r="R2265" s="1">
        <v>2</v>
      </c>
    </row>
    <row r="2266" spans="1:18" x14ac:dyDescent="0.3">
      <c r="A2266" s="1">
        <v>2265</v>
      </c>
      <c r="B2266" s="1" t="s">
        <v>19</v>
      </c>
      <c r="C2266" s="1">
        <v>4</v>
      </c>
      <c r="D2266" s="1">
        <v>120</v>
      </c>
      <c r="E2266" s="1">
        <v>200</v>
      </c>
      <c r="F2266" s="1">
        <v>7</v>
      </c>
      <c r="G2266" s="1">
        <v>25</v>
      </c>
      <c r="H2266" s="1">
        <v>150</v>
      </c>
      <c r="I2266" s="1">
        <v>100</v>
      </c>
      <c r="J2266" s="1">
        <v>29.728000000000002</v>
      </c>
      <c r="K2266" s="1">
        <v>81.085999999999999</v>
      </c>
      <c r="L2266" s="1">
        <v>59.46</v>
      </c>
      <c r="M2266" s="1">
        <v>53.6</v>
      </c>
      <c r="N2266" s="1">
        <v>4.6850000000000003E-2</v>
      </c>
      <c r="O2266" s="1">
        <v>3.903E-4</v>
      </c>
      <c r="P2266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17.301675796586238</v>
      </c>
      <c r="Q2266" s="1">
        <f>LN(Table1[[#This Row],[qe_mg_g]]-Table1[[#This Row],[qt]])</f>
        <v>2.5198171420313691</v>
      </c>
      <c r="R2266" s="1">
        <v>3</v>
      </c>
    </row>
    <row r="2267" spans="1:18" x14ac:dyDescent="0.3">
      <c r="A2267" s="1">
        <v>2266</v>
      </c>
      <c r="B2267" s="1" t="s">
        <v>19</v>
      </c>
      <c r="C2267" s="1">
        <v>4</v>
      </c>
      <c r="D2267" s="1">
        <v>120</v>
      </c>
      <c r="E2267" s="1">
        <v>200</v>
      </c>
      <c r="F2267" s="1">
        <v>11</v>
      </c>
      <c r="G2267" s="1">
        <v>25</v>
      </c>
      <c r="H2267" s="1">
        <v>150</v>
      </c>
      <c r="I2267" s="1">
        <v>100</v>
      </c>
      <c r="J2267" s="1">
        <v>24.042000000000002</v>
      </c>
      <c r="K2267" s="1">
        <v>103.833</v>
      </c>
      <c r="L2267" s="1">
        <v>48.08</v>
      </c>
      <c r="M2267" s="1">
        <v>54.9</v>
      </c>
      <c r="N2267" s="1">
        <v>5.7200000000000001E-2</v>
      </c>
      <c r="O2267" s="1">
        <v>3.2239999999999998E-4</v>
      </c>
      <c r="P2267" s="1">
        <f>(Table1[[#This Row],[Rate_Constant_k2_g_mg_min]]*Table1[[#This Row],[Contact_Time_min]]*Table1[[#This Row],[qe_mg_g]]^2)/(1+Table1[[#This Row],[Contact_Time_min]]*Table1[[#This Row],[qe_mg_g]]*Table1[[#This Row],[Rate_Constant_k2_g_mg_min]])</f>
        <v>11.585888700420968</v>
      </c>
      <c r="Q2267" s="1">
        <f>LN(Table1[[#This Row],[qe_mg_g]]-Table1[[#This Row],[qt]])</f>
        <v>2.522211369910774</v>
      </c>
      <c r="R2267" s="1">
        <v>1</v>
      </c>
    </row>
    <row r="2268" spans="1:18" x14ac:dyDescent="0.3">
      <c r="A2268" s="1">
        <v>2267</v>
      </c>
      <c r="B2268" s="1" t="s">
        <v>19</v>
      </c>
      <c r="C2268" s="1">
        <v>4</v>
      </c>
      <c r="D2268" s="1">
        <v>120</v>
      </c>
      <c r="E2268" s="1">
        <v>200</v>
      </c>
      <c r="F2268" s="1">
        <v>11</v>
      </c>
      <c r="G2268" s="1">
        <v>25</v>
      </c>
      <c r="H2268" s="1">
        <v>150</v>
      </c>
      <c r="I2268" s="1">
        <v>100</v>
      </c>
      <c r="J2268" s="1">
        <v>24.988</v>
      </c>
      <c r="K2268" s="1">
        <v>100.04600000000001</v>
      </c>
      <c r="L2268" s="1">
        <v>49.98</v>
      </c>
      <c r="M2268" s="1">
        <v>51.5</v>
      </c>
      <c r="N2268" s="1">
        <v>5.0070000000000003E-2</v>
      </c>
      <c r="O2268" s="1">
        <v>3.701E-4</v>
      </c>
      <c r="P2268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13.144038398203142</v>
      </c>
      <c r="Q2268" s="1">
        <f>LN(Table1[[#This Row],[qe_mg_g]]-Table1[[#This Row],[qt]])</f>
        <v>2.4718181682378768</v>
      </c>
      <c r="R2268" s="1">
        <v>2</v>
      </c>
    </row>
    <row r="2269" spans="1:18" x14ac:dyDescent="0.3">
      <c r="A2269" s="1">
        <v>2268</v>
      </c>
      <c r="B2269" s="1" t="s">
        <v>19</v>
      </c>
      <c r="C2269" s="1">
        <v>4</v>
      </c>
      <c r="D2269" s="1">
        <v>120</v>
      </c>
      <c r="E2269" s="1">
        <v>200</v>
      </c>
      <c r="F2269" s="1">
        <v>11</v>
      </c>
      <c r="G2269" s="1">
        <v>25</v>
      </c>
      <c r="H2269" s="1">
        <v>150</v>
      </c>
      <c r="I2269" s="1">
        <v>100</v>
      </c>
      <c r="J2269" s="1">
        <v>26.742999999999999</v>
      </c>
      <c r="K2269" s="1">
        <v>93.027000000000001</v>
      </c>
      <c r="L2269" s="1">
        <v>53.49</v>
      </c>
      <c r="M2269" s="1">
        <v>60.5</v>
      </c>
      <c r="N2269" s="1">
        <v>6.0080000000000001E-2</v>
      </c>
      <c r="O2269" s="1">
        <v>3.3179999999999999E-4</v>
      </c>
      <c r="P2269" s="1">
        <f>(Table1[[#This Row],[Rate_Constant_k2_g_mg_min]]*Table1[[#This Row],[Contact_Time_min]]*Table1[[#This Row],[qe_mg_g]]^2)/(1+Table1[[#This Row],[Contact_Time_min]]*Table1[[#This Row],[qe_mg_g]]*Table1[[#This Row],[Rate_Constant_k2_g_mg_min]])</f>
        <v>13.791135789554769</v>
      </c>
      <c r="Q2269" s="1">
        <f>LN(Table1[[#This Row],[qe_mg_g]]-Table1[[#This Row],[qt]])</f>
        <v>2.5612397322596308</v>
      </c>
      <c r="R2269" s="1">
        <v>3</v>
      </c>
    </row>
    <row r="2270" spans="1:18" x14ac:dyDescent="0.3">
      <c r="A2270" s="1">
        <v>2269</v>
      </c>
      <c r="B2270" s="1" t="s">
        <v>19</v>
      </c>
      <c r="C2270" s="1">
        <v>4</v>
      </c>
      <c r="D2270" s="1">
        <v>240</v>
      </c>
      <c r="E2270" s="1">
        <v>25</v>
      </c>
      <c r="F2270" s="1">
        <v>3</v>
      </c>
      <c r="G2270" s="1">
        <v>25</v>
      </c>
      <c r="H2270" s="1">
        <v>150</v>
      </c>
      <c r="I2270" s="1">
        <v>100</v>
      </c>
      <c r="J2270" s="1">
        <v>1.0449999999999999</v>
      </c>
      <c r="K2270" s="1">
        <v>20.82</v>
      </c>
      <c r="L2270" s="1">
        <v>16.72</v>
      </c>
      <c r="M2270" s="1">
        <v>66.7</v>
      </c>
      <c r="N2270" s="1">
        <v>6.6299999999999998E-2</v>
      </c>
      <c r="O2270" s="1">
        <v>4.0400000000000001E-4</v>
      </c>
      <c r="P2270" s="1">
        <f>(Table1[[#This Row],[Rate_Constant_k2_g_mg_min]]*Table1[[#This Row],[Contact_Time_min]]*Table1[[#This Row],[qe_mg_g]]^2)/(1+Table1[[#This Row],[Contact_Time_min]]*Table1[[#This Row],[qe_mg_g]]*Table1[[#This Row],[Rate_Constant_k2_g_mg_min]])</f>
        <v>9.614139064717786E-2</v>
      </c>
      <c r="Q2270" s="1">
        <f>LN(Table1[[#This Row],[qe_mg_g]]-Table1[[#This Row],[qt]])</f>
        <v>-5.2495480562995508E-2</v>
      </c>
      <c r="R2270" s="1">
        <v>1</v>
      </c>
    </row>
    <row r="2271" spans="1:18" x14ac:dyDescent="0.3">
      <c r="A2271" s="1">
        <v>2270</v>
      </c>
      <c r="B2271" s="1" t="s">
        <v>19</v>
      </c>
      <c r="C2271" s="1">
        <v>4</v>
      </c>
      <c r="D2271" s="1">
        <v>240</v>
      </c>
      <c r="E2271" s="1">
        <v>25</v>
      </c>
      <c r="F2271" s="1">
        <v>3</v>
      </c>
      <c r="G2271" s="1">
        <v>25</v>
      </c>
      <c r="H2271" s="1">
        <v>150</v>
      </c>
      <c r="I2271" s="1">
        <v>100</v>
      </c>
      <c r="J2271" s="1">
        <v>1.149</v>
      </c>
      <c r="K2271" s="1">
        <v>20.404</v>
      </c>
      <c r="L2271" s="1">
        <v>18.38</v>
      </c>
      <c r="M2271" s="1">
        <v>45.1</v>
      </c>
      <c r="N2271" s="1">
        <v>4.9140000000000003E-2</v>
      </c>
      <c r="O2271" s="1">
        <v>2.9109999999999997E-4</v>
      </c>
      <c r="P2271" s="1">
        <f>(Table1[[#This Row],[Rate_Constant_k2_g_mg_min]]*Table1[[#This Row],[Contact_Time_min]]*Table1[[#This Row],[qe_mg_g]]^2)/(1+Table1[[#This Row],[Contact_Time_min]]*Table1[[#This Row],[qe_mg_g]]*Table1[[#This Row],[Rate_Constant_k2_g_mg_min]])</f>
        <v>8.5380695272221252E-2</v>
      </c>
      <c r="Q2271" s="1">
        <f>LN(Table1[[#This Row],[qe_mg_g]]-Table1[[#This Row],[qt]])</f>
        <v>6.1677530586602511E-2</v>
      </c>
      <c r="R2271" s="1">
        <v>2</v>
      </c>
    </row>
    <row r="2272" spans="1:18" x14ac:dyDescent="0.3">
      <c r="A2272" s="1">
        <v>2271</v>
      </c>
      <c r="B2272" s="1" t="s">
        <v>19</v>
      </c>
      <c r="C2272" s="1">
        <v>4</v>
      </c>
      <c r="D2272" s="1">
        <v>240</v>
      </c>
      <c r="E2272" s="1">
        <v>25</v>
      </c>
      <c r="F2272" s="1">
        <v>3</v>
      </c>
      <c r="G2272" s="1">
        <v>25</v>
      </c>
      <c r="H2272" s="1">
        <v>150</v>
      </c>
      <c r="I2272" s="1">
        <v>100</v>
      </c>
      <c r="J2272" s="1">
        <v>1.1679999999999999</v>
      </c>
      <c r="K2272" s="1">
        <v>20.329000000000001</v>
      </c>
      <c r="L2272" s="1">
        <v>18.68</v>
      </c>
      <c r="M2272" s="1">
        <v>67.7</v>
      </c>
      <c r="N2272" s="1">
        <v>5.4219999999999997E-2</v>
      </c>
      <c r="O2272" s="1">
        <v>3.6059999999999998E-4</v>
      </c>
      <c r="P2272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0.1072265758559366</v>
      </c>
      <c r="Q2272" s="1">
        <f>LN(Table1[[#This Row],[qe_mg_g]]-Table1[[#This Row],[qt]])</f>
        <v>5.8998287481097478E-2</v>
      </c>
      <c r="R2272" s="1">
        <v>3</v>
      </c>
    </row>
    <row r="2273" spans="1:18" x14ac:dyDescent="0.3">
      <c r="A2273" s="1">
        <v>2272</v>
      </c>
      <c r="B2273" s="1" t="s">
        <v>19</v>
      </c>
      <c r="C2273" s="1">
        <v>4</v>
      </c>
      <c r="D2273" s="1">
        <v>240</v>
      </c>
      <c r="E2273" s="1">
        <v>25</v>
      </c>
      <c r="F2273" s="1">
        <v>7</v>
      </c>
      <c r="G2273" s="1">
        <v>25</v>
      </c>
      <c r="H2273" s="1">
        <v>150</v>
      </c>
      <c r="I2273" s="1">
        <v>100</v>
      </c>
      <c r="J2273" s="1">
        <v>2.0960000000000001</v>
      </c>
      <c r="K2273" s="1">
        <v>16.614999999999998</v>
      </c>
      <c r="L2273" s="1">
        <v>33.54</v>
      </c>
      <c r="M2273" s="1">
        <v>51.2</v>
      </c>
      <c r="N2273" s="1">
        <v>6.6199999999999995E-2</v>
      </c>
      <c r="O2273" s="1">
        <v>4.1970000000000001E-4</v>
      </c>
      <c r="P2273" s="1">
        <f>(Table1[[#This Row],[Rate_Constant_k2_g_mg_min]]*Table1[[#This Row],[Contact_Time_min]]*Table1[[#This Row],[qe_mg_g]]^2)/(1+Table1[[#This Row],[Contact_Time_min]]*Table1[[#This Row],[qe_mg_g]]*Table1[[#This Row],[Rate_Constant_k2_g_mg_min]])</f>
        <v>0.36537891364766212</v>
      </c>
      <c r="Q2273" s="1">
        <f>LN(Table1[[#This Row],[qe_mg_g]]-Table1[[#This Row],[qt]])</f>
        <v>0.5484803535334325</v>
      </c>
      <c r="R2273" s="1">
        <v>1</v>
      </c>
    </row>
    <row r="2274" spans="1:18" x14ac:dyDescent="0.3">
      <c r="A2274" s="1">
        <v>2273</v>
      </c>
      <c r="B2274" s="1" t="s">
        <v>19</v>
      </c>
      <c r="C2274" s="1">
        <v>4</v>
      </c>
      <c r="D2274" s="1">
        <v>240</v>
      </c>
      <c r="E2274" s="1">
        <v>25</v>
      </c>
      <c r="F2274" s="1">
        <v>7</v>
      </c>
      <c r="G2274" s="1">
        <v>25</v>
      </c>
      <c r="H2274" s="1">
        <v>150</v>
      </c>
      <c r="I2274" s="1">
        <v>100</v>
      </c>
      <c r="J2274" s="1">
        <v>1.895</v>
      </c>
      <c r="K2274" s="1">
        <v>17.420999999999999</v>
      </c>
      <c r="L2274" s="1">
        <v>30.31</v>
      </c>
      <c r="M2274" s="1">
        <v>49.8</v>
      </c>
      <c r="N2274" s="1">
        <v>5.883E-2</v>
      </c>
      <c r="O2274" s="1">
        <v>3.3780000000000003E-4</v>
      </c>
      <c r="P2274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0.25236099563999398</v>
      </c>
      <c r="Q2274" s="1">
        <f>LN(Table1[[#This Row],[qe_mg_g]]-Table1[[#This Row],[qt]])</f>
        <v>0.49630409754307359</v>
      </c>
      <c r="R2274" s="1">
        <v>2</v>
      </c>
    </row>
    <row r="2275" spans="1:18" x14ac:dyDescent="0.3">
      <c r="A2275" s="1">
        <v>2274</v>
      </c>
      <c r="B2275" s="1" t="s">
        <v>19</v>
      </c>
      <c r="C2275" s="1">
        <v>4</v>
      </c>
      <c r="D2275" s="1">
        <v>240</v>
      </c>
      <c r="E2275" s="1">
        <v>25</v>
      </c>
      <c r="F2275" s="1">
        <v>7</v>
      </c>
      <c r="G2275" s="1">
        <v>25</v>
      </c>
      <c r="H2275" s="1">
        <v>150</v>
      </c>
      <c r="I2275" s="1">
        <v>100</v>
      </c>
      <c r="J2275" s="1">
        <v>1.7569999999999999</v>
      </c>
      <c r="K2275" s="1">
        <v>17.97</v>
      </c>
      <c r="L2275" s="1">
        <v>28.12</v>
      </c>
      <c r="M2275" s="1">
        <v>65</v>
      </c>
      <c r="N2275" s="1">
        <v>6.1690000000000002E-2</v>
      </c>
      <c r="O2275" s="1">
        <v>3.5540000000000002E-4</v>
      </c>
      <c r="P2275" s="1">
        <f>(Table1[[#This Row],[Rate_Constant_k2_g_mg_min]]*Table1[[#This Row],[Contact_Time_min]]*Table1[[#This Row],[qe_mg_g]]^2)/(1+Table1[[#This Row],[Contact_Time_min]]*Table1[[#This Row],[qe_mg_g]]*Table1[[#This Row],[Rate_Constant_k2_g_mg_min]])</f>
        <v>0.22899463416695556</v>
      </c>
      <c r="Q2275" s="1">
        <f>LN(Table1[[#This Row],[qe_mg_g]]-Table1[[#This Row],[qt]])</f>
        <v>0.42396320240900337</v>
      </c>
      <c r="R2275" s="1">
        <v>3</v>
      </c>
    </row>
    <row r="2276" spans="1:18" x14ac:dyDescent="0.3">
      <c r="A2276" s="1">
        <v>2275</v>
      </c>
      <c r="B2276" s="1" t="s">
        <v>19</v>
      </c>
      <c r="C2276" s="1">
        <v>4</v>
      </c>
      <c r="D2276" s="1">
        <v>240</v>
      </c>
      <c r="E2276" s="1">
        <v>25</v>
      </c>
      <c r="F2276" s="1">
        <v>11</v>
      </c>
      <c r="G2276" s="1">
        <v>25</v>
      </c>
      <c r="H2276" s="1">
        <v>150</v>
      </c>
      <c r="I2276" s="1">
        <v>100</v>
      </c>
      <c r="J2276" s="1">
        <v>1.3280000000000001</v>
      </c>
      <c r="K2276" s="1">
        <v>19.689</v>
      </c>
      <c r="L2276" s="1">
        <v>21.25</v>
      </c>
      <c r="M2276" s="1">
        <v>44.5</v>
      </c>
      <c r="N2276" s="1">
        <v>5.5590000000000001E-2</v>
      </c>
      <c r="O2276" s="1">
        <v>3.325E-4</v>
      </c>
      <c r="P2276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0.12724887954006892</v>
      </c>
      <c r="Q2276" s="1">
        <f>LN(Table1[[#This Row],[qe_mg_g]]-Table1[[#This Row],[qt]])</f>
        <v>0.18294729469576235</v>
      </c>
      <c r="R2276" s="1">
        <v>1</v>
      </c>
    </row>
    <row r="2277" spans="1:18" x14ac:dyDescent="0.3">
      <c r="A2277" s="1">
        <v>2276</v>
      </c>
      <c r="B2277" s="1" t="s">
        <v>19</v>
      </c>
      <c r="C2277" s="1">
        <v>4</v>
      </c>
      <c r="D2277" s="1">
        <v>240</v>
      </c>
      <c r="E2277" s="1">
        <v>25</v>
      </c>
      <c r="F2277" s="1">
        <v>11</v>
      </c>
      <c r="G2277" s="1">
        <v>25</v>
      </c>
      <c r="H2277" s="1">
        <v>150</v>
      </c>
      <c r="I2277" s="1">
        <v>100</v>
      </c>
      <c r="J2277" s="1">
        <v>1.4219999999999999</v>
      </c>
      <c r="K2277" s="1">
        <v>19.312999999999999</v>
      </c>
      <c r="L2277" s="1">
        <v>22.75</v>
      </c>
      <c r="M2277" s="1">
        <v>62.9</v>
      </c>
      <c r="N2277" s="1">
        <v>5.9029999999999999E-2</v>
      </c>
      <c r="O2277" s="1">
        <v>3.9819999999999998E-4</v>
      </c>
      <c r="P2277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0.17012669749441942</v>
      </c>
      <c r="Q2277" s="1">
        <f>LN(Table1[[#This Row],[qe_mg_g]]-Table1[[#This Row],[qt]])</f>
        <v>0.22464107147543319</v>
      </c>
      <c r="R2277" s="1">
        <v>2</v>
      </c>
    </row>
    <row r="2278" spans="1:18" x14ac:dyDescent="0.3">
      <c r="A2278" s="1">
        <v>2277</v>
      </c>
      <c r="B2278" s="1" t="s">
        <v>19</v>
      </c>
      <c r="C2278" s="1">
        <v>4</v>
      </c>
      <c r="D2278" s="1">
        <v>240</v>
      </c>
      <c r="E2278" s="1">
        <v>25</v>
      </c>
      <c r="F2278" s="1">
        <v>11</v>
      </c>
      <c r="G2278" s="1">
        <v>25</v>
      </c>
      <c r="H2278" s="1">
        <v>150</v>
      </c>
      <c r="I2278" s="1">
        <v>100</v>
      </c>
      <c r="J2278" s="1">
        <v>1.3560000000000001</v>
      </c>
      <c r="K2278" s="1">
        <v>19.577999999999999</v>
      </c>
      <c r="L2278" s="1">
        <v>21.69</v>
      </c>
      <c r="M2278" s="1">
        <v>51.7</v>
      </c>
      <c r="N2278" s="1">
        <v>5.917E-2</v>
      </c>
      <c r="O2278" s="1">
        <v>3.657E-4</v>
      </c>
      <c r="P2278" s="1">
        <f>(Table1[[#This Row],[Rate_Constant_k2_g_mg_min]]*Table1[[#This Row],[Contact_Time_min]]*Table1[[#This Row],[qe_mg_g]]^2)/(1+Table1[[#This Row],[Contact_Time_min]]*Table1[[#This Row],[qe_mg_g]]*Table1[[#This Row],[Rate_Constant_k2_g_mg_min]])</f>
        <v>0.14421827307363239</v>
      </c>
      <c r="Q2278" s="1">
        <f>LN(Table1[[#This Row],[qe_mg_g]]-Table1[[#This Row],[qt]])</f>
        <v>0.19209177813330186</v>
      </c>
      <c r="R2278" s="1">
        <v>3</v>
      </c>
    </row>
    <row r="2279" spans="1:18" x14ac:dyDescent="0.3">
      <c r="A2279" s="1">
        <v>2278</v>
      </c>
      <c r="B2279" s="1" t="s">
        <v>19</v>
      </c>
      <c r="C2279" s="1">
        <v>4</v>
      </c>
      <c r="D2279" s="1">
        <v>240</v>
      </c>
      <c r="E2279" s="1">
        <v>50</v>
      </c>
      <c r="F2279" s="1">
        <v>3</v>
      </c>
      <c r="G2279" s="1">
        <v>25</v>
      </c>
      <c r="H2279" s="1">
        <v>150</v>
      </c>
      <c r="I2279" s="1">
        <v>100</v>
      </c>
      <c r="J2279" s="1">
        <v>4.0650000000000004</v>
      </c>
      <c r="K2279" s="1">
        <v>33.738</v>
      </c>
      <c r="L2279" s="1">
        <v>32.520000000000003</v>
      </c>
      <c r="M2279" s="1">
        <v>58</v>
      </c>
      <c r="N2279" s="1">
        <v>6.5159999999999996E-2</v>
      </c>
      <c r="O2279" s="1">
        <v>3.6890000000000002E-4</v>
      </c>
      <c r="P2279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1.0758070685610706</v>
      </c>
      <c r="Q2279" s="1">
        <f>LN(Table1[[#This Row],[qe_mg_g]]-Table1[[#This Row],[qt]])</f>
        <v>1.0950034283712589</v>
      </c>
      <c r="R2279" s="1">
        <v>1</v>
      </c>
    </row>
    <row r="2280" spans="1:18" x14ac:dyDescent="0.3">
      <c r="A2280" s="1">
        <v>2279</v>
      </c>
      <c r="B2280" s="1" t="s">
        <v>19</v>
      </c>
      <c r="C2280" s="1">
        <v>4</v>
      </c>
      <c r="D2280" s="1">
        <v>240</v>
      </c>
      <c r="E2280" s="1">
        <v>50</v>
      </c>
      <c r="F2280" s="1">
        <v>3</v>
      </c>
      <c r="G2280" s="1">
        <v>25</v>
      </c>
      <c r="H2280" s="1">
        <v>150</v>
      </c>
      <c r="I2280" s="1">
        <v>100</v>
      </c>
      <c r="J2280" s="1">
        <v>3.9449999999999998</v>
      </c>
      <c r="K2280" s="1">
        <v>34.220999999999997</v>
      </c>
      <c r="L2280" s="1">
        <v>31.56</v>
      </c>
      <c r="M2280" s="1">
        <v>51.9</v>
      </c>
      <c r="N2280" s="1">
        <v>5.5079999999999997E-2</v>
      </c>
      <c r="O2280" s="1">
        <v>3.8190000000000001E-4</v>
      </c>
      <c r="P2280" s="1">
        <f>(Table1[[#This Row],[Rate_Constant_k2_g_mg_min]]*Table1[[#This Row],[Contact_Time_min]]*Table1[[#This Row],[qe_mg_g]]^2)/(1+Table1[[#This Row],[Contact_Time_min]]*Table1[[#This Row],[qe_mg_g]]*Table1[[#This Row],[Rate_Constant_k2_g_mg_min]])</f>
        <v>1.0476369807870385</v>
      </c>
      <c r="Q2280" s="1">
        <f>LN(Table1[[#This Row],[qe_mg_g]]-Table1[[#This Row],[qt]])</f>
        <v>1.0638010196053473</v>
      </c>
      <c r="R2280" s="1">
        <v>2</v>
      </c>
    </row>
    <row r="2281" spans="1:18" x14ac:dyDescent="0.3">
      <c r="A2281" s="1">
        <v>2280</v>
      </c>
      <c r="B2281" s="1" t="s">
        <v>19</v>
      </c>
      <c r="C2281" s="1">
        <v>4</v>
      </c>
      <c r="D2281" s="1">
        <v>240</v>
      </c>
      <c r="E2281" s="1">
        <v>50</v>
      </c>
      <c r="F2281" s="1">
        <v>3</v>
      </c>
      <c r="G2281" s="1">
        <v>25</v>
      </c>
      <c r="H2281" s="1">
        <v>150</v>
      </c>
      <c r="I2281" s="1">
        <v>100</v>
      </c>
      <c r="J2281" s="1">
        <v>4.0860000000000003</v>
      </c>
      <c r="K2281" s="1">
        <v>33.655000000000001</v>
      </c>
      <c r="L2281" s="1">
        <v>32.69</v>
      </c>
      <c r="M2281" s="1">
        <v>60.5</v>
      </c>
      <c r="N2281" s="1">
        <v>5.4539999999999998E-2</v>
      </c>
      <c r="O2281" s="1">
        <v>3.9819999999999998E-4</v>
      </c>
      <c r="P2281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1.1474693323030056</v>
      </c>
      <c r="Q2281" s="1">
        <f>LN(Table1[[#This Row],[qe_mg_g]]-Table1[[#This Row],[qt]])</f>
        <v>1.0779096835303141</v>
      </c>
      <c r="R2281" s="1">
        <v>3</v>
      </c>
    </row>
    <row r="2282" spans="1:18" x14ac:dyDescent="0.3">
      <c r="A2282" s="1">
        <v>2281</v>
      </c>
      <c r="B2282" s="1" t="s">
        <v>19</v>
      </c>
      <c r="C2282" s="1">
        <v>4</v>
      </c>
      <c r="D2282" s="1">
        <v>240</v>
      </c>
      <c r="E2282" s="1">
        <v>50</v>
      </c>
      <c r="F2282" s="1">
        <v>7</v>
      </c>
      <c r="G2282" s="1">
        <v>25</v>
      </c>
      <c r="H2282" s="1">
        <v>150</v>
      </c>
      <c r="I2282" s="1">
        <v>100</v>
      </c>
      <c r="J2282" s="1">
        <v>4.82</v>
      </c>
      <c r="K2282" s="1">
        <v>30.721</v>
      </c>
      <c r="L2282" s="1">
        <v>38.56</v>
      </c>
      <c r="M2282" s="1">
        <v>42.9</v>
      </c>
      <c r="N2282" s="1">
        <v>5.8749999999999997E-2</v>
      </c>
      <c r="O2282" s="1">
        <v>3.5050000000000001E-4</v>
      </c>
      <c r="P2282" s="1">
        <f>(Table1[[#This Row],[Rate_Constant_k2_g_mg_min]]*Table1[[#This Row],[Contact_Time_min]]*Table1[[#This Row],[qe_mg_g]]^2)/(1+Table1[[#This Row],[Contact_Time_min]]*Table1[[#This Row],[qe_mg_g]]*Table1[[#This Row],[Rate_Constant_k2_g_mg_min]])</f>
        <v>1.3905139333899887</v>
      </c>
      <c r="Q2282" s="1">
        <f>LN(Table1[[#This Row],[qe_mg_g]]-Table1[[#This Row],[qt]])</f>
        <v>1.2324104151439155</v>
      </c>
      <c r="R2282" s="1">
        <v>1</v>
      </c>
    </row>
    <row r="2283" spans="1:18" x14ac:dyDescent="0.3">
      <c r="A2283" s="1">
        <v>2282</v>
      </c>
      <c r="B2283" s="1" t="s">
        <v>19</v>
      </c>
      <c r="C2283" s="1">
        <v>4</v>
      </c>
      <c r="D2283" s="1">
        <v>240</v>
      </c>
      <c r="E2283" s="1">
        <v>50</v>
      </c>
      <c r="F2283" s="1">
        <v>7</v>
      </c>
      <c r="G2283" s="1">
        <v>25</v>
      </c>
      <c r="H2283" s="1">
        <v>150</v>
      </c>
      <c r="I2283" s="1">
        <v>100</v>
      </c>
      <c r="J2283" s="1">
        <v>5.9349999999999996</v>
      </c>
      <c r="K2283" s="1">
        <v>26.260999999999999</v>
      </c>
      <c r="L2283" s="1">
        <v>47.48</v>
      </c>
      <c r="M2283" s="1">
        <v>55.1</v>
      </c>
      <c r="N2283" s="1">
        <v>5.8139999999999997E-2</v>
      </c>
      <c r="O2283" s="1">
        <v>3.2150000000000001E-4</v>
      </c>
      <c r="P2283" s="1">
        <f>(Table1[[#This Row],[Rate_Constant_k2_g_mg_min]]*Table1[[#This Row],[Contact_Time_min]]*Table1[[#This Row],[qe_mg_g]]^2)/(1+Table1[[#This Row],[Contact_Time_min]]*Table1[[#This Row],[qe_mg_g]]*Table1[[#This Row],[Rate_Constant_k2_g_mg_min]])</f>
        <v>1.8642006019981829</v>
      </c>
      <c r="Q2283" s="1">
        <f>LN(Table1[[#This Row],[qe_mg_g]]-Table1[[#This Row],[qt]])</f>
        <v>1.4038393924535946</v>
      </c>
      <c r="R2283" s="1">
        <v>2</v>
      </c>
    </row>
    <row r="2284" spans="1:18" x14ac:dyDescent="0.3">
      <c r="A2284" s="1">
        <v>2283</v>
      </c>
      <c r="B2284" s="1" t="s">
        <v>19</v>
      </c>
      <c r="C2284" s="1">
        <v>4</v>
      </c>
      <c r="D2284" s="1">
        <v>240</v>
      </c>
      <c r="E2284" s="1">
        <v>50</v>
      </c>
      <c r="F2284" s="1">
        <v>7</v>
      </c>
      <c r="G2284" s="1">
        <v>25</v>
      </c>
      <c r="H2284" s="1">
        <v>150</v>
      </c>
      <c r="I2284" s="1">
        <v>100</v>
      </c>
      <c r="J2284" s="1">
        <v>5.9210000000000003</v>
      </c>
      <c r="K2284" s="1">
        <v>26.317</v>
      </c>
      <c r="L2284" s="1">
        <v>47.37</v>
      </c>
      <c r="M2284" s="1">
        <v>62.7</v>
      </c>
      <c r="N2284" s="1">
        <v>6.1710000000000001E-2</v>
      </c>
      <c r="O2284" s="1">
        <v>4.2049999999999998E-4</v>
      </c>
      <c r="P2284" s="1">
        <f>(Table1[[#This Row],[Rate_Constant_k2_g_mg_min]]*Table1[[#This Row],[Contact_Time_min]]*Table1[[#This Row],[qe_mg_g]]^2)/(1+Table1[[#This Row],[Contact_Time_min]]*Table1[[#This Row],[qe_mg_g]]*Table1[[#This Row],[Rate_Constant_k2_g_mg_min]])</f>
        <v>2.2146935101240071</v>
      </c>
      <c r="Q2284" s="1">
        <f>LN(Table1[[#This Row],[qe_mg_g]]-Table1[[#This Row],[qt]])</f>
        <v>1.3100358254355327</v>
      </c>
      <c r="R2284" s="1">
        <v>3</v>
      </c>
    </row>
    <row r="2285" spans="1:18" x14ac:dyDescent="0.3">
      <c r="A2285" s="1">
        <v>2284</v>
      </c>
      <c r="B2285" s="1" t="s">
        <v>19</v>
      </c>
      <c r="C2285" s="1">
        <v>4</v>
      </c>
      <c r="D2285" s="1">
        <v>240</v>
      </c>
      <c r="E2285" s="1">
        <v>50</v>
      </c>
      <c r="F2285" s="1">
        <v>11</v>
      </c>
      <c r="G2285" s="1">
        <v>25</v>
      </c>
      <c r="H2285" s="1">
        <v>150</v>
      </c>
      <c r="I2285" s="1">
        <v>100</v>
      </c>
      <c r="J2285" s="1">
        <v>4.5309999999999997</v>
      </c>
      <c r="K2285" s="1">
        <v>31.876000000000001</v>
      </c>
      <c r="L2285" s="1">
        <v>36.25</v>
      </c>
      <c r="M2285" s="1">
        <v>56.8</v>
      </c>
      <c r="N2285" s="1">
        <v>4.6620000000000002E-2</v>
      </c>
      <c r="O2285" s="1">
        <v>3.3139999999999998E-4</v>
      </c>
      <c r="P2285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1.2003071491996673</v>
      </c>
      <c r="Q2285" s="1">
        <f>LN(Table1[[#This Row],[qe_mg_g]]-Table1[[#This Row],[qt]])</f>
        <v>1.2031803456535883</v>
      </c>
      <c r="R2285" s="1">
        <v>1</v>
      </c>
    </row>
    <row r="2286" spans="1:18" x14ac:dyDescent="0.3">
      <c r="A2286" s="1">
        <v>2285</v>
      </c>
      <c r="B2286" s="1" t="s">
        <v>19</v>
      </c>
      <c r="C2286" s="1">
        <v>4</v>
      </c>
      <c r="D2286" s="1">
        <v>240</v>
      </c>
      <c r="E2286" s="1">
        <v>50</v>
      </c>
      <c r="F2286" s="1">
        <v>11</v>
      </c>
      <c r="G2286" s="1">
        <v>25</v>
      </c>
      <c r="H2286" s="1">
        <v>150</v>
      </c>
      <c r="I2286" s="1">
        <v>100</v>
      </c>
      <c r="J2286" s="1">
        <v>4.3949999999999996</v>
      </c>
      <c r="K2286" s="1">
        <v>32.420999999999999</v>
      </c>
      <c r="L2286" s="1">
        <v>35.159999999999997</v>
      </c>
      <c r="M2286" s="1">
        <v>63.1</v>
      </c>
      <c r="N2286" s="1">
        <v>5.1639999999999998E-2</v>
      </c>
      <c r="O2286" s="1">
        <v>3.7790000000000002E-4</v>
      </c>
      <c r="P2286" s="1">
        <f>(Table1[[#This Row],[Rate_Constant_k2_g_mg_min]]*Table1[[#This Row],[Contact_Time_min]]*Table1[[#This Row],[qe_mg_g]]^2)/(1+Table1[[#This Row],[Contact_Time_min]]*Table1[[#This Row],[qe_mg_g]]*Table1[[#This Row],[Rate_Constant_k2_g_mg_min]])</f>
        <v>1.252591899242284</v>
      </c>
      <c r="Q2286" s="1">
        <f>LN(Table1[[#This Row],[qe_mg_g]]-Table1[[#This Row],[qt]])</f>
        <v>1.1449894170634711</v>
      </c>
      <c r="R2286" s="1">
        <v>2</v>
      </c>
    </row>
    <row r="2287" spans="1:18" x14ac:dyDescent="0.3">
      <c r="A2287" s="1">
        <v>2286</v>
      </c>
      <c r="B2287" s="1" t="s">
        <v>19</v>
      </c>
      <c r="C2287" s="1">
        <v>4</v>
      </c>
      <c r="D2287" s="1">
        <v>240</v>
      </c>
      <c r="E2287" s="1">
        <v>50</v>
      </c>
      <c r="F2287" s="1">
        <v>11</v>
      </c>
      <c r="G2287" s="1">
        <v>25</v>
      </c>
      <c r="H2287" s="1">
        <v>150</v>
      </c>
      <c r="I2287" s="1">
        <v>100</v>
      </c>
      <c r="J2287" s="1">
        <v>4.4539999999999997</v>
      </c>
      <c r="K2287" s="1">
        <v>32.182000000000002</v>
      </c>
      <c r="L2287" s="1">
        <v>35.64</v>
      </c>
      <c r="M2287" s="1">
        <v>53.1</v>
      </c>
      <c r="N2287" s="1">
        <v>5.6370000000000003E-2</v>
      </c>
      <c r="O2287" s="1">
        <v>3.3629999999999999E-4</v>
      </c>
      <c r="P2287" s="1">
        <f>(Table1[[#This Row],[Rate_Constant_k2_g_mg_min]]*Table1[[#This Row],[Contact_Time_min]]*Table1[[#This Row],[qe_mg_g]]^2)/(1+Table1[[#This Row],[Contact_Time_min]]*Table1[[#This Row],[qe_mg_g]]*Table1[[#This Row],[Rate_Constant_k2_g_mg_min]])</f>
        <v>1.177774421826951</v>
      </c>
      <c r="Q2287" s="1">
        <f>LN(Table1[[#This Row],[qe_mg_g]]-Table1[[#This Row],[qt]])</f>
        <v>1.1866920214264141</v>
      </c>
      <c r="R2287" s="1">
        <v>3</v>
      </c>
    </row>
    <row r="2288" spans="1:18" x14ac:dyDescent="0.3">
      <c r="A2288" s="1">
        <v>2287</v>
      </c>
      <c r="B2288" s="1" t="s">
        <v>19</v>
      </c>
      <c r="C2288" s="1">
        <v>4</v>
      </c>
      <c r="D2288" s="1">
        <v>240</v>
      </c>
      <c r="E2288" s="1">
        <v>100</v>
      </c>
      <c r="F2288" s="1">
        <v>3</v>
      </c>
      <c r="G2288" s="1">
        <v>25</v>
      </c>
      <c r="H2288" s="1">
        <v>150</v>
      </c>
      <c r="I2288" s="1">
        <v>100</v>
      </c>
      <c r="J2288" s="1">
        <v>9.8940000000000001</v>
      </c>
      <c r="K2288" s="1">
        <v>60.426000000000002</v>
      </c>
      <c r="L2288" s="1">
        <v>39.57</v>
      </c>
      <c r="M2288" s="1">
        <v>40.6</v>
      </c>
      <c r="N2288" s="1">
        <v>5.364E-2</v>
      </c>
      <c r="O2288" s="1">
        <v>3.3320000000000002E-4</v>
      </c>
      <c r="P2288" s="1">
        <f>(Table1[[#This Row],[Rate_Constant_k2_g_mg_min]]*Table1[[#This Row],[Contact_Time_min]]*Table1[[#This Row],[qe_mg_g]]^2)/(1+Table1[[#This Row],[Contact_Time_min]]*Table1[[#This Row],[qe_mg_g]]*Table1[[#This Row],[Rate_Constant_k2_g_mg_min]])</f>
        <v>4.3703391783483188</v>
      </c>
      <c r="Q2288" s="1">
        <f>LN(Table1[[#This Row],[qe_mg_g]]-Table1[[#This Row],[qt]])</f>
        <v>1.7090408328023561</v>
      </c>
      <c r="R2288" s="1">
        <v>1</v>
      </c>
    </row>
    <row r="2289" spans="1:18" x14ac:dyDescent="0.3">
      <c r="A2289" s="1">
        <v>2288</v>
      </c>
      <c r="B2289" s="1" t="s">
        <v>19</v>
      </c>
      <c r="C2289" s="1">
        <v>4</v>
      </c>
      <c r="D2289" s="1">
        <v>240</v>
      </c>
      <c r="E2289" s="1">
        <v>100</v>
      </c>
      <c r="F2289" s="1">
        <v>3</v>
      </c>
      <c r="G2289" s="1">
        <v>25</v>
      </c>
      <c r="H2289" s="1">
        <v>150</v>
      </c>
      <c r="I2289" s="1">
        <v>100</v>
      </c>
      <c r="J2289" s="1">
        <v>9.8309999999999995</v>
      </c>
      <c r="K2289" s="1">
        <v>60.673999999999999</v>
      </c>
      <c r="L2289" s="1">
        <v>39.33</v>
      </c>
      <c r="M2289" s="1">
        <v>58</v>
      </c>
      <c r="N2289" s="1">
        <v>5.8619999999999998E-2</v>
      </c>
      <c r="O2289" s="1">
        <v>3.5809999999999998E-4</v>
      </c>
      <c r="P2289" s="1">
        <f>(Table1[[#This Row],[Rate_Constant_k2_g_mg_min]]*Table1[[#This Row],[Contact_Time_min]]*Table1[[#This Row],[qe_mg_g]]^2)/(1+Table1[[#This Row],[Contact_Time_min]]*Table1[[#This Row],[qe_mg_g]]*Table1[[#This Row],[Rate_Constant_k2_g_mg_min]])</f>
        <v>4.5023005599263586</v>
      </c>
      <c r="Q2289" s="1">
        <f>LN(Table1[[#This Row],[qe_mg_g]]-Table1[[#This Row],[qt]])</f>
        <v>1.6731072009122077</v>
      </c>
      <c r="R2289" s="1">
        <v>2</v>
      </c>
    </row>
    <row r="2290" spans="1:18" x14ac:dyDescent="0.3">
      <c r="A2290" s="1">
        <v>2289</v>
      </c>
      <c r="B2290" s="1" t="s">
        <v>19</v>
      </c>
      <c r="C2290" s="1">
        <v>4</v>
      </c>
      <c r="D2290" s="1">
        <v>240</v>
      </c>
      <c r="E2290" s="1">
        <v>100</v>
      </c>
      <c r="F2290" s="1">
        <v>3</v>
      </c>
      <c r="G2290" s="1">
        <v>25</v>
      </c>
      <c r="H2290" s="1">
        <v>150</v>
      </c>
      <c r="I2290" s="1">
        <v>100</v>
      </c>
      <c r="J2290" s="1">
        <v>10.911</v>
      </c>
      <c r="K2290" s="1">
        <v>56.357999999999997</v>
      </c>
      <c r="L2290" s="1">
        <v>43.64</v>
      </c>
      <c r="M2290" s="1">
        <v>59.3</v>
      </c>
      <c r="N2290" s="1">
        <v>5.3379999999999997E-2</v>
      </c>
      <c r="O2290" s="1">
        <v>3.3379999999999998E-4</v>
      </c>
      <c r="P2290" s="1">
        <f>(Table1[[#This Row],[Rate_Constant_k2_g_mg_min]]*Table1[[#This Row],[Contact_Time_min]]*Table1[[#This Row],[qe_mg_g]]^2)/(1+Table1[[#This Row],[Contact_Time_min]]*Table1[[#This Row],[qe_mg_g]]*Table1[[#This Row],[Rate_Constant_k2_g_mg_min]])</f>
        <v>5.0890117551251866</v>
      </c>
      <c r="Q2290" s="1">
        <f>LN(Table1[[#This Row],[qe_mg_g]]-Table1[[#This Row],[qt]])</f>
        <v>1.7616418262342775</v>
      </c>
      <c r="R2290" s="1">
        <v>3</v>
      </c>
    </row>
    <row r="2291" spans="1:18" x14ac:dyDescent="0.3">
      <c r="A2291" s="1">
        <v>2290</v>
      </c>
      <c r="B2291" s="1" t="s">
        <v>19</v>
      </c>
      <c r="C2291" s="1">
        <v>4</v>
      </c>
      <c r="D2291" s="1">
        <v>240</v>
      </c>
      <c r="E2291" s="1">
        <v>100</v>
      </c>
      <c r="F2291" s="1">
        <v>7</v>
      </c>
      <c r="G2291" s="1">
        <v>25</v>
      </c>
      <c r="H2291" s="1">
        <v>150</v>
      </c>
      <c r="I2291" s="1">
        <v>100</v>
      </c>
      <c r="J2291" s="1">
        <v>15.397</v>
      </c>
      <c r="K2291" s="1">
        <v>38.414000000000001</v>
      </c>
      <c r="L2291" s="1">
        <v>61.59</v>
      </c>
      <c r="M2291" s="1">
        <v>59.2</v>
      </c>
      <c r="N2291" s="1">
        <v>6.2689999999999996E-2</v>
      </c>
      <c r="O2291" s="1">
        <v>3.9169999999999998E-4</v>
      </c>
      <c r="P2291" s="1">
        <f>(Table1[[#This Row],[Rate_Constant_k2_g_mg_min]]*Table1[[#This Row],[Contact_Time_min]]*Table1[[#This Row],[qe_mg_g]]^2)/(1+Table1[[#This Row],[Contact_Time_min]]*Table1[[#This Row],[qe_mg_g]]*Table1[[#This Row],[Rate_Constant_k2_g_mg_min]])</f>
        <v>9.1059397077300801</v>
      </c>
      <c r="Q2291" s="1">
        <f>LN(Table1[[#This Row],[qe_mg_g]]-Table1[[#This Row],[qt]])</f>
        <v>1.8391296244348174</v>
      </c>
      <c r="R2291" s="1">
        <v>1</v>
      </c>
    </row>
    <row r="2292" spans="1:18" x14ac:dyDescent="0.3">
      <c r="A2292" s="1">
        <v>2291</v>
      </c>
      <c r="B2292" s="1" t="s">
        <v>19</v>
      </c>
      <c r="C2292" s="1">
        <v>4</v>
      </c>
      <c r="D2292" s="1">
        <v>240</v>
      </c>
      <c r="E2292" s="1">
        <v>100</v>
      </c>
      <c r="F2292" s="1">
        <v>7</v>
      </c>
      <c r="G2292" s="1">
        <v>25</v>
      </c>
      <c r="H2292" s="1">
        <v>150</v>
      </c>
      <c r="I2292" s="1">
        <v>100</v>
      </c>
      <c r="J2292" s="1">
        <v>14.496</v>
      </c>
      <c r="K2292" s="1">
        <v>42.018000000000001</v>
      </c>
      <c r="L2292" s="1">
        <v>57.98</v>
      </c>
      <c r="M2292" s="1">
        <v>53.7</v>
      </c>
      <c r="N2292" s="1">
        <v>5.8689999999999999E-2</v>
      </c>
      <c r="O2292" s="1">
        <v>3.8739999999999998E-4</v>
      </c>
      <c r="P2292" s="1">
        <f>(Table1[[#This Row],[Rate_Constant_k2_g_mg_min]]*Table1[[#This Row],[Contact_Time_min]]*Table1[[#This Row],[qe_mg_g]]^2)/(1+Table1[[#This Row],[Contact_Time_min]]*Table1[[#This Row],[qe_mg_g]]*Table1[[#This Row],[Rate_Constant_k2_g_mg_min]])</f>
        <v>8.3216568301701788</v>
      </c>
      <c r="Q2292" s="1">
        <f>LN(Table1[[#This Row],[qe_mg_g]]-Table1[[#This Row],[qt]])</f>
        <v>1.8204025075981016</v>
      </c>
      <c r="R2292" s="1">
        <v>2</v>
      </c>
    </row>
    <row r="2293" spans="1:18" x14ac:dyDescent="0.3">
      <c r="A2293" s="1">
        <v>2292</v>
      </c>
      <c r="B2293" s="1" t="s">
        <v>19</v>
      </c>
      <c r="C2293" s="1">
        <v>4</v>
      </c>
      <c r="D2293" s="1">
        <v>240</v>
      </c>
      <c r="E2293" s="1">
        <v>100</v>
      </c>
      <c r="F2293" s="1">
        <v>7</v>
      </c>
      <c r="G2293" s="1">
        <v>25</v>
      </c>
      <c r="H2293" s="1">
        <v>150</v>
      </c>
      <c r="I2293" s="1">
        <v>100</v>
      </c>
      <c r="J2293" s="1">
        <v>16.056999999999999</v>
      </c>
      <c r="K2293" s="1">
        <v>35.771999999999998</v>
      </c>
      <c r="L2293" s="1">
        <v>64.23</v>
      </c>
      <c r="M2293" s="1">
        <v>54</v>
      </c>
      <c r="N2293" s="1">
        <v>4.8099999999999997E-2</v>
      </c>
      <c r="O2293" s="1">
        <v>3.1500000000000001E-4</v>
      </c>
      <c r="P2293" s="1">
        <f>(Table1[[#This Row],[Rate_Constant_k2_g_mg_min]]*Table1[[#This Row],[Contact_Time_min]]*Table1[[#This Row],[qe_mg_g]]^2)/(1+Table1[[#This Row],[Contact_Time_min]]*Table1[[#This Row],[qe_mg_g]]*Table1[[#This Row],[Rate_Constant_k2_g_mg_min]])</f>
        <v>8.8042183592714629</v>
      </c>
      <c r="Q2293" s="1">
        <f>LN(Table1[[#This Row],[qe_mg_g]]-Table1[[#This Row],[qt]])</f>
        <v>1.9813850698655577</v>
      </c>
      <c r="R2293" s="1">
        <v>3</v>
      </c>
    </row>
    <row r="2294" spans="1:18" x14ac:dyDescent="0.3">
      <c r="A2294" s="1">
        <v>2293</v>
      </c>
      <c r="B2294" s="1" t="s">
        <v>19</v>
      </c>
      <c r="C2294" s="1">
        <v>4</v>
      </c>
      <c r="D2294" s="1">
        <v>240</v>
      </c>
      <c r="E2294" s="1">
        <v>100</v>
      </c>
      <c r="F2294" s="1">
        <v>11</v>
      </c>
      <c r="G2294" s="1">
        <v>25</v>
      </c>
      <c r="H2294" s="1">
        <v>150</v>
      </c>
      <c r="I2294" s="1">
        <v>100</v>
      </c>
      <c r="J2294" s="1">
        <v>12.346</v>
      </c>
      <c r="K2294" s="1">
        <v>50.616</v>
      </c>
      <c r="L2294" s="1">
        <v>49.38</v>
      </c>
      <c r="M2294" s="1">
        <v>57.3</v>
      </c>
      <c r="N2294" s="1">
        <v>4.8959999999999997E-2</v>
      </c>
      <c r="O2294" s="1">
        <v>3.5159999999999998E-4</v>
      </c>
      <c r="P2294" s="1">
        <f>(Table1[[#This Row],[Rate_Constant_k2_g_mg_min]]*Table1[[#This Row],[Contact_Time_min]]*Table1[[#This Row],[qe_mg_g]]^2)/(1+Table1[[#This Row],[Contact_Time_min]]*Table1[[#This Row],[qe_mg_g]]*Table1[[#This Row],[Rate_Constant_k2_g_mg_min]])</f>
        <v>6.2993888778119791</v>
      </c>
      <c r="Q2294" s="1">
        <f>LN(Table1[[#This Row],[qe_mg_g]]-Table1[[#This Row],[qt]])</f>
        <v>1.7994979700099896</v>
      </c>
      <c r="R2294" s="1">
        <v>1</v>
      </c>
    </row>
    <row r="2295" spans="1:18" x14ac:dyDescent="0.3">
      <c r="A2295" s="1">
        <v>2294</v>
      </c>
      <c r="B2295" s="1" t="s">
        <v>19</v>
      </c>
      <c r="C2295" s="1">
        <v>4</v>
      </c>
      <c r="D2295" s="1">
        <v>240</v>
      </c>
      <c r="E2295" s="1">
        <v>100</v>
      </c>
      <c r="F2295" s="1">
        <v>11</v>
      </c>
      <c r="G2295" s="1">
        <v>25</v>
      </c>
      <c r="H2295" s="1">
        <v>150</v>
      </c>
      <c r="I2295" s="1">
        <v>100</v>
      </c>
      <c r="J2295" s="1">
        <v>12.65</v>
      </c>
      <c r="K2295" s="1">
        <v>49.399000000000001</v>
      </c>
      <c r="L2295" s="1">
        <v>50.6</v>
      </c>
      <c r="M2295" s="1">
        <v>45.1</v>
      </c>
      <c r="N2295" s="1">
        <v>6.1080000000000002E-2</v>
      </c>
      <c r="O2295" s="1">
        <v>3.368E-4</v>
      </c>
      <c r="P2295" s="1">
        <f>(Table1[[#This Row],[Rate_Constant_k2_g_mg_min]]*Table1[[#This Row],[Contact_Time_min]]*Table1[[#This Row],[qe_mg_g]]^2)/(1+Table1[[#This Row],[Contact_Time_min]]*Table1[[#This Row],[qe_mg_g]]*Table1[[#This Row],[Rate_Constant_k2_g_mg_min]])</f>
        <v>6.395441341436209</v>
      </c>
      <c r="Q2295" s="1">
        <f>LN(Table1[[#This Row],[qe_mg_g]]-Table1[[#This Row],[qt]])</f>
        <v>1.8333105832462819</v>
      </c>
      <c r="R2295" s="1">
        <v>2</v>
      </c>
    </row>
    <row r="2296" spans="1:18" x14ac:dyDescent="0.3">
      <c r="A2296" s="1">
        <v>2295</v>
      </c>
      <c r="B2296" s="1" t="s">
        <v>19</v>
      </c>
      <c r="C2296" s="1">
        <v>4</v>
      </c>
      <c r="D2296" s="1">
        <v>240</v>
      </c>
      <c r="E2296" s="1">
        <v>100</v>
      </c>
      <c r="F2296" s="1">
        <v>11</v>
      </c>
      <c r="G2296" s="1">
        <v>25</v>
      </c>
      <c r="H2296" s="1">
        <v>150</v>
      </c>
      <c r="I2296" s="1">
        <v>100</v>
      </c>
      <c r="J2296" s="1">
        <v>13.180999999999999</v>
      </c>
      <c r="K2296" s="1">
        <v>47.274999999999999</v>
      </c>
      <c r="L2296" s="1">
        <v>52.73</v>
      </c>
      <c r="M2296" s="1">
        <v>50.2</v>
      </c>
      <c r="N2296" s="1">
        <v>4.9349999999999998E-2</v>
      </c>
      <c r="O2296" s="1">
        <v>3.3399999999999999E-4</v>
      </c>
      <c r="P2296" s="1">
        <f>(Table1[[#This Row],[Rate_Constant_k2_g_mg_min]]*Table1[[#This Row],[Contact_Time_min]]*Table1[[#This Row],[qe_mg_g]]^2)/(1+Table1[[#This Row],[Contact_Time_min]]*Table1[[#This Row],[qe_mg_g]]*Table1[[#This Row],[Rate_Constant_k2_g_mg_min]])</f>
        <v>6.7718437435159613</v>
      </c>
      <c r="Q2296" s="1">
        <f>LN(Table1[[#This Row],[qe_mg_g]]-Table1[[#This Row],[qt]])</f>
        <v>1.8577276330150279</v>
      </c>
      <c r="R2296" s="1">
        <v>3</v>
      </c>
    </row>
    <row r="2297" spans="1:18" x14ac:dyDescent="0.3">
      <c r="A2297" s="1">
        <v>2296</v>
      </c>
      <c r="B2297" s="1" t="s">
        <v>19</v>
      </c>
      <c r="C2297" s="1">
        <v>4</v>
      </c>
      <c r="D2297" s="1">
        <v>240</v>
      </c>
      <c r="E2297" s="1">
        <v>200</v>
      </c>
      <c r="F2297" s="1">
        <v>3</v>
      </c>
      <c r="G2297" s="1">
        <v>25</v>
      </c>
      <c r="H2297" s="1">
        <v>150</v>
      </c>
      <c r="I2297" s="1">
        <v>100</v>
      </c>
      <c r="J2297" s="1">
        <v>25.149000000000001</v>
      </c>
      <c r="K2297" s="1">
        <v>99.402000000000001</v>
      </c>
      <c r="L2297" s="1">
        <v>50.3</v>
      </c>
      <c r="M2297" s="1">
        <v>51.4</v>
      </c>
      <c r="N2297" s="1">
        <v>5.3809999999999997E-2</v>
      </c>
      <c r="O2297" s="1">
        <v>3.6170000000000001E-4</v>
      </c>
      <c r="P2297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17.248296824159979</v>
      </c>
      <c r="Q2297" s="1">
        <f>LN(Table1[[#This Row],[qe_mg_g]]-Table1[[#This Row],[qt]])</f>
        <v>2.0669517651118592</v>
      </c>
      <c r="R2297" s="1">
        <v>1</v>
      </c>
    </row>
    <row r="2298" spans="1:18" x14ac:dyDescent="0.3">
      <c r="A2298" s="1">
        <v>2297</v>
      </c>
      <c r="B2298" s="1" t="s">
        <v>19</v>
      </c>
      <c r="C2298" s="1">
        <v>4</v>
      </c>
      <c r="D2298" s="1">
        <v>240</v>
      </c>
      <c r="E2298" s="1">
        <v>200</v>
      </c>
      <c r="F2298" s="1">
        <v>3</v>
      </c>
      <c r="G2298" s="1">
        <v>25</v>
      </c>
      <c r="H2298" s="1">
        <v>150</v>
      </c>
      <c r="I2298" s="1">
        <v>100</v>
      </c>
      <c r="J2298" s="1">
        <v>25.015000000000001</v>
      </c>
      <c r="K2298" s="1">
        <v>99.941000000000003</v>
      </c>
      <c r="L2298" s="1">
        <v>50.03</v>
      </c>
      <c r="M2298" s="1">
        <v>54</v>
      </c>
      <c r="N2298" s="1">
        <v>4.5600000000000002E-2</v>
      </c>
      <c r="O2298" s="1">
        <v>3.637E-4</v>
      </c>
      <c r="P2298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17.157319218968077</v>
      </c>
      <c r="Q2298" s="1">
        <f>LN(Table1[[#This Row],[qe_mg_g]]-Table1[[#This Row],[qt]])</f>
        <v>2.0614914968740972</v>
      </c>
      <c r="R2298" s="1">
        <v>2</v>
      </c>
    </row>
    <row r="2299" spans="1:18" x14ac:dyDescent="0.3">
      <c r="A2299" s="1">
        <v>2298</v>
      </c>
      <c r="B2299" s="1" t="s">
        <v>19</v>
      </c>
      <c r="C2299" s="1">
        <v>4</v>
      </c>
      <c r="D2299" s="1">
        <v>240</v>
      </c>
      <c r="E2299" s="1">
        <v>200</v>
      </c>
      <c r="F2299" s="1">
        <v>3</v>
      </c>
      <c r="G2299" s="1">
        <v>25</v>
      </c>
      <c r="H2299" s="1">
        <v>150</v>
      </c>
      <c r="I2299" s="1">
        <v>100</v>
      </c>
      <c r="J2299" s="1">
        <v>25.16</v>
      </c>
      <c r="K2299" s="1">
        <v>99.36</v>
      </c>
      <c r="L2299" s="1">
        <v>50.32</v>
      </c>
      <c r="M2299" s="1">
        <v>67.7</v>
      </c>
      <c r="N2299" s="1">
        <v>4.9829999999999999E-2</v>
      </c>
      <c r="O2299" s="1">
        <v>2.8669999999999998E-4</v>
      </c>
      <c r="P2299" s="1">
        <f>(Table1[[#This Row],[Rate_Constant_k2_g_mg_min]]*Table1[[#This Row],[Contact_Time_min]]*Table1[[#This Row],[qe_mg_g]]^2)/(1+Table1[[#This Row],[Contact_Time_min]]*Table1[[#This Row],[qe_mg_g]]*Table1[[#This Row],[Rate_Constant_k2_g_mg_min]])</f>
        <v>15.947963344940012</v>
      </c>
      <c r="Q2299" s="1">
        <f>LN(Table1[[#This Row],[qe_mg_g]]-Table1[[#This Row],[qt]])</f>
        <v>2.2205109610061009</v>
      </c>
      <c r="R2299" s="1">
        <v>3</v>
      </c>
    </row>
    <row r="2300" spans="1:18" x14ac:dyDescent="0.3">
      <c r="A2300" s="1">
        <v>2299</v>
      </c>
      <c r="B2300" s="1" t="s">
        <v>19</v>
      </c>
      <c r="C2300" s="1">
        <v>4</v>
      </c>
      <c r="D2300" s="1">
        <v>240</v>
      </c>
      <c r="E2300" s="1">
        <v>200</v>
      </c>
      <c r="F2300" s="1">
        <v>7</v>
      </c>
      <c r="G2300" s="1">
        <v>25</v>
      </c>
      <c r="H2300" s="1">
        <v>150</v>
      </c>
      <c r="I2300" s="1">
        <v>100</v>
      </c>
      <c r="J2300" s="1">
        <v>37.484999999999999</v>
      </c>
      <c r="K2300" s="1">
        <v>50.061999999999998</v>
      </c>
      <c r="L2300" s="1">
        <v>74.97</v>
      </c>
      <c r="M2300" s="1">
        <v>57.4</v>
      </c>
      <c r="N2300" s="1">
        <v>4.9450000000000001E-2</v>
      </c>
      <c r="O2300" s="1">
        <v>2.965E-4</v>
      </c>
      <c r="P2300" s="1">
        <f>(Table1[[#This Row],[Rate_Constant_k2_g_mg_min]]*Table1[[#This Row],[Contact_Time_min]]*Table1[[#This Row],[qe_mg_g]]^2)/(1+Table1[[#This Row],[Contact_Time_min]]*Table1[[#This Row],[qe_mg_g]]*Table1[[#This Row],[Rate_Constant_k2_g_mg_min]])</f>
        <v>27.263953265562403</v>
      </c>
      <c r="Q2300" s="1">
        <f>LN(Table1[[#This Row],[qe_mg_g]]-Table1[[#This Row],[qt]])</f>
        <v>2.3244489997303415</v>
      </c>
      <c r="R2300" s="1">
        <v>1</v>
      </c>
    </row>
    <row r="2301" spans="1:18" x14ac:dyDescent="0.3">
      <c r="A2301" s="1">
        <v>2300</v>
      </c>
      <c r="B2301" s="1" t="s">
        <v>19</v>
      </c>
      <c r="C2301" s="1">
        <v>4</v>
      </c>
      <c r="D2301" s="1">
        <v>240</v>
      </c>
      <c r="E2301" s="1">
        <v>200</v>
      </c>
      <c r="F2301" s="1">
        <v>7</v>
      </c>
      <c r="G2301" s="1">
        <v>25</v>
      </c>
      <c r="H2301" s="1">
        <v>150</v>
      </c>
      <c r="I2301" s="1">
        <v>100</v>
      </c>
      <c r="J2301" s="1">
        <v>39.796999999999997</v>
      </c>
      <c r="K2301" s="1">
        <v>40.813000000000002</v>
      </c>
      <c r="L2301" s="1">
        <v>79.59</v>
      </c>
      <c r="M2301" s="1">
        <v>66.099999999999994</v>
      </c>
      <c r="N2301" s="1">
        <v>4.1320000000000003E-2</v>
      </c>
      <c r="O2301" s="1">
        <v>3.3399999999999999E-4</v>
      </c>
      <c r="P2301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30.299198367461621</v>
      </c>
      <c r="Q2301" s="1">
        <f>LN(Table1[[#This Row],[qe_mg_g]]-Table1[[#This Row],[qt]])</f>
        <v>2.2510603647265173</v>
      </c>
      <c r="R2301" s="1">
        <v>2</v>
      </c>
    </row>
    <row r="2302" spans="1:18" x14ac:dyDescent="0.3">
      <c r="A2302" s="1">
        <v>2301</v>
      </c>
      <c r="B2302" s="1" t="s">
        <v>19</v>
      </c>
      <c r="C2302" s="1">
        <v>4</v>
      </c>
      <c r="D2302" s="1">
        <v>240</v>
      </c>
      <c r="E2302" s="1">
        <v>200</v>
      </c>
      <c r="F2302" s="1">
        <v>7</v>
      </c>
      <c r="G2302" s="1">
        <v>25</v>
      </c>
      <c r="H2302" s="1">
        <v>150</v>
      </c>
      <c r="I2302" s="1">
        <v>100</v>
      </c>
      <c r="J2302" s="1">
        <v>40.116</v>
      </c>
      <c r="K2302" s="1">
        <v>39.536999999999999</v>
      </c>
      <c r="L2302" s="1">
        <v>80.23</v>
      </c>
      <c r="M2302" s="1">
        <v>50.7</v>
      </c>
      <c r="N2302" s="1">
        <v>5.2299999999999999E-2</v>
      </c>
      <c r="O2302" s="1">
        <v>3.4010000000000003E-4</v>
      </c>
      <c r="P2302" s="1">
        <f>(Table1[[#This Row],[Rate_Constant_k2_g_mg_min]]*Table1[[#This Row],[Contact_Time_min]]*Table1[[#This Row],[qe_mg_g]]^2)/(1+Table1[[#This Row],[Contact_Time_min]]*Table1[[#This Row],[qe_mg_g]]*Table1[[#This Row],[Rate_Constant_k2_g_mg_min]])</f>
        <v>30.730885454588073</v>
      </c>
      <c r="Q2302" s="1">
        <f>LN(Table1[[#This Row],[qe_mg_g]]-Table1[[#This Row],[qt]])</f>
        <v>2.2391248751224264</v>
      </c>
      <c r="R2302" s="1">
        <v>3</v>
      </c>
    </row>
    <row r="2303" spans="1:18" x14ac:dyDescent="0.3">
      <c r="A2303" s="1">
        <v>2302</v>
      </c>
      <c r="B2303" s="1" t="s">
        <v>19</v>
      </c>
      <c r="C2303" s="1">
        <v>4</v>
      </c>
      <c r="D2303" s="1">
        <v>240</v>
      </c>
      <c r="E2303" s="1">
        <v>200</v>
      </c>
      <c r="F2303" s="1">
        <v>11</v>
      </c>
      <c r="G2303" s="1">
        <v>25</v>
      </c>
      <c r="H2303" s="1">
        <v>150</v>
      </c>
      <c r="I2303" s="1">
        <v>100</v>
      </c>
      <c r="J2303" s="1">
        <v>27.216999999999999</v>
      </c>
      <c r="K2303" s="1">
        <v>91.132000000000005</v>
      </c>
      <c r="L2303" s="1">
        <v>54.43</v>
      </c>
      <c r="M2303" s="1">
        <v>40.6</v>
      </c>
      <c r="N2303" s="1">
        <v>6.0789999999999997E-2</v>
      </c>
      <c r="O2303" s="1">
        <v>2.855E-4</v>
      </c>
      <c r="P2303" s="1">
        <f>(Table1[[#This Row],[Rate_Constant_k2_g_mg_min]]*Table1[[#This Row],[Contact_Time_min]]*Table1[[#This Row],[qe_mg_g]]^2)/(1+Table1[[#This Row],[Contact_Time_min]]*Table1[[#This Row],[qe_mg_g]]*Table1[[#This Row],[Rate_Constant_k2_g_mg_min]])</f>
        <v>17.716872240262969</v>
      </c>
      <c r="Q2303" s="1">
        <f>LN(Table1[[#This Row],[qe_mg_g]]-Table1[[#This Row],[qt]])</f>
        <v>2.2513052469094377</v>
      </c>
      <c r="R2303" s="1">
        <v>1</v>
      </c>
    </row>
    <row r="2304" spans="1:18" x14ac:dyDescent="0.3">
      <c r="A2304" s="1">
        <v>2303</v>
      </c>
      <c r="B2304" s="1" t="s">
        <v>19</v>
      </c>
      <c r="C2304" s="1">
        <v>4</v>
      </c>
      <c r="D2304" s="1">
        <v>240</v>
      </c>
      <c r="E2304" s="1">
        <v>200</v>
      </c>
      <c r="F2304" s="1">
        <v>11</v>
      </c>
      <c r="G2304" s="1">
        <v>25</v>
      </c>
      <c r="H2304" s="1">
        <v>150</v>
      </c>
      <c r="I2304" s="1">
        <v>100</v>
      </c>
      <c r="J2304" s="1">
        <v>30.045000000000002</v>
      </c>
      <c r="K2304" s="1">
        <v>79.817999999999998</v>
      </c>
      <c r="L2304" s="1">
        <v>60.09</v>
      </c>
      <c r="M2304" s="1">
        <v>61.8</v>
      </c>
      <c r="N2304" s="1">
        <v>4.7019999999999999E-2</v>
      </c>
      <c r="O2304" s="1">
        <v>3.1770000000000002E-4</v>
      </c>
      <c r="P2304" s="1">
        <f>(Table1[[#This Row],[Rate_Constant_k2_g_mg_min]]*Table1[[#This Row],[Contact_Time_min]]*Table1[[#This Row],[qe_mg_g]]^2)/(1+Table1[[#This Row],[Contact_Time_min]]*Table1[[#This Row],[qe_mg_g]]*Table1[[#This Row],[Rate_Constant_k2_g_mg_min]])</f>
        <v>20.915198637615461</v>
      </c>
      <c r="Q2304" s="1">
        <f>LN(Table1[[#This Row],[qe_mg_g]]-Table1[[#This Row],[qt]])</f>
        <v>2.2115439377858115</v>
      </c>
      <c r="R2304" s="1">
        <v>2</v>
      </c>
    </row>
    <row r="2305" spans="1:18" x14ac:dyDescent="0.3">
      <c r="A2305" s="1">
        <v>2304</v>
      </c>
      <c r="B2305" s="1" t="s">
        <v>19</v>
      </c>
      <c r="C2305" s="1">
        <v>4</v>
      </c>
      <c r="D2305" s="1">
        <v>240</v>
      </c>
      <c r="E2305" s="1">
        <v>200</v>
      </c>
      <c r="F2305" s="1">
        <v>11</v>
      </c>
      <c r="G2305" s="1">
        <v>25</v>
      </c>
      <c r="H2305" s="1">
        <v>150</v>
      </c>
      <c r="I2305" s="1">
        <v>100</v>
      </c>
      <c r="J2305" s="1">
        <v>32.042000000000002</v>
      </c>
      <c r="K2305" s="1">
        <v>71.831000000000003</v>
      </c>
      <c r="L2305" s="1">
        <v>64.08</v>
      </c>
      <c r="M2305" s="1">
        <v>58.9</v>
      </c>
      <c r="N2305" s="1">
        <v>5.16E-2</v>
      </c>
      <c r="O2305" s="1">
        <v>3.9209999999999999E-4</v>
      </c>
      <c r="P2305" s="1">
        <f>(Table1[[#This Row],[Rate_Constant_k2_g_mg_min]]*Table1[[#This Row],[Contact_Time_min]]*Table1[[#This Row],[qe_mg_g]]^2)/(1+Table1[[#This Row],[Contact_Time_min]]*Table1[[#This Row],[qe_mg_g]]*Table1[[#This Row],[Rate_Constant_k2_g_mg_min]])</f>
        <v>24.061984393777209</v>
      </c>
      <c r="Q2305" s="1">
        <f>LN(Table1[[#This Row],[qe_mg_g]]-Table1[[#This Row],[qt]])</f>
        <v>2.0769403671268218</v>
      </c>
      <c r="R2305" s="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4E1F-2283-4D42-A7E5-88E7D8A014CD}">
  <dimension ref="A1:R2305"/>
  <sheetViews>
    <sheetView workbookViewId="0">
      <selection activeCell="D9" sqref="D9"/>
    </sheetView>
  </sheetViews>
  <sheetFormatPr defaultRowHeight="14.4" x14ac:dyDescent="0.3"/>
  <cols>
    <col min="1" max="1" width="15.21875" style="1" customWidth="1"/>
    <col min="2" max="2" width="18" customWidth="1"/>
    <col min="3" max="3" width="13.88671875" style="1" customWidth="1"/>
    <col min="4" max="4" width="20.6640625" style="1" customWidth="1"/>
    <col min="5" max="5" width="26.109375" style="1" customWidth="1"/>
    <col min="6" max="6" width="8.88671875" style="1"/>
    <col min="7" max="7" width="15.88671875" style="1" customWidth="1"/>
    <col min="8" max="8" width="22.33203125" style="1" customWidth="1"/>
    <col min="9" max="9" width="21" style="1" customWidth="1"/>
    <col min="10" max="10" width="12.21875" style="1" customWidth="1"/>
    <col min="11" max="11" width="13.33203125" style="1" customWidth="1"/>
    <col min="12" max="12" width="22.109375" style="1" customWidth="1"/>
    <col min="13" max="13" width="22.88671875" style="1" customWidth="1"/>
    <col min="14" max="14" width="25.5546875" style="1" customWidth="1"/>
    <col min="15" max="15" width="28.77734375" style="1" customWidth="1"/>
    <col min="16" max="16" width="16.33203125" style="1" customWidth="1"/>
    <col min="17" max="17" width="17.33203125" style="1" customWidth="1"/>
    <col min="18" max="18" width="11.109375" style="1" customWidth="1"/>
  </cols>
  <sheetData>
    <row r="1" spans="1:18" s="2" customFormat="1" ht="24" customHeigh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21</v>
      </c>
      <c r="Q1" s="3" t="s">
        <v>20</v>
      </c>
      <c r="R1" s="2" t="s">
        <v>15</v>
      </c>
    </row>
    <row r="2" spans="1:18" x14ac:dyDescent="0.3">
      <c r="A2" s="1">
        <v>1</v>
      </c>
      <c r="B2" s="1" t="s">
        <v>16</v>
      </c>
      <c r="C2" s="1">
        <v>0.5</v>
      </c>
      <c r="D2" s="1">
        <v>30</v>
      </c>
      <c r="E2" s="1">
        <v>25</v>
      </c>
      <c r="F2" s="1">
        <v>3</v>
      </c>
      <c r="G2" s="1">
        <v>25</v>
      </c>
      <c r="H2" s="1">
        <v>150</v>
      </c>
      <c r="I2" s="1">
        <v>100</v>
      </c>
      <c r="J2" s="1">
        <v>8.8000000000000007</v>
      </c>
      <c r="K2" s="1">
        <v>20.6</v>
      </c>
      <c r="L2" s="1">
        <v>17.600000000000001</v>
      </c>
      <c r="M2" s="1">
        <v>65.3</v>
      </c>
      <c r="N2" s="1">
        <v>4.7910000000000001E-2</v>
      </c>
      <c r="O2" s="1">
        <v>3.457E-4</v>
      </c>
      <c r="P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0.73596274708026876</v>
      </c>
      <c r="Q2" s="1">
        <f>LN(Table13[[#This Row],[qe_mg_g]]-Table13[[#This Row],[qt]])</f>
        <v>2.0874143309760469</v>
      </c>
      <c r="R2" s="1">
        <v>1</v>
      </c>
    </row>
    <row r="3" spans="1:18" x14ac:dyDescent="0.3">
      <c r="A3" s="1">
        <v>2</v>
      </c>
      <c r="B3" s="1" t="s">
        <v>16</v>
      </c>
      <c r="C3" s="1">
        <v>0.5</v>
      </c>
      <c r="D3" s="1">
        <v>30</v>
      </c>
      <c r="E3" s="1">
        <v>25</v>
      </c>
      <c r="F3" s="1">
        <v>3</v>
      </c>
      <c r="G3" s="1">
        <v>25</v>
      </c>
      <c r="H3" s="1">
        <v>150</v>
      </c>
      <c r="I3" s="1">
        <v>100</v>
      </c>
      <c r="J3" s="1">
        <v>8.3059999999999992</v>
      </c>
      <c r="K3" s="1">
        <v>20.847000000000001</v>
      </c>
      <c r="L3" s="1">
        <v>16.61</v>
      </c>
      <c r="M3" s="1">
        <v>64.3</v>
      </c>
      <c r="N3" s="1">
        <v>5.2109999999999997E-2</v>
      </c>
      <c r="O3" s="1">
        <v>3.2299999999999999E-4</v>
      </c>
      <c r="P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0.61871241731283766</v>
      </c>
      <c r="Q3" s="1">
        <f>LN(Table13[[#This Row],[qe_mg_g]]-Table13[[#This Row],[qt]])</f>
        <v>2.0395680012305095</v>
      </c>
      <c r="R3" s="1">
        <v>2</v>
      </c>
    </row>
    <row r="4" spans="1:18" x14ac:dyDescent="0.3">
      <c r="A4" s="1">
        <v>3</v>
      </c>
      <c r="B4" s="1" t="s">
        <v>16</v>
      </c>
      <c r="C4" s="1">
        <v>0.5</v>
      </c>
      <c r="D4" s="1">
        <v>30</v>
      </c>
      <c r="E4" s="1">
        <v>25</v>
      </c>
      <c r="F4" s="1">
        <v>3</v>
      </c>
      <c r="G4" s="1">
        <v>25</v>
      </c>
      <c r="H4" s="1">
        <v>150</v>
      </c>
      <c r="I4" s="1">
        <v>100</v>
      </c>
      <c r="J4" s="1">
        <v>8.1460000000000008</v>
      </c>
      <c r="K4" s="1">
        <v>20.927</v>
      </c>
      <c r="L4" s="1">
        <v>16.29</v>
      </c>
      <c r="M4" s="1">
        <v>72.099999999999994</v>
      </c>
      <c r="N4" s="1">
        <v>4.2909999999999997E-2</v>
      </c>
      <c r="O4" s="1">
        <v>2.8600000000000001E-4</v>
      </c>
      <c r="P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0.53215222603448431</v>
      </c>
      <c r="Q4" s="1">
        <f>LN(Table13[[#This Row],[qe_mg_g]]-Table13[[#This Row],[qt]])</f>
        <v>2.0299686648481141</v>
      </c>
      <c r="R4" s="1">
        <v>3</v>
      </c>
    </row>
    <row r="5" spans="1:18" x14ac:dyDescent="0.3">
      <c r="A5" s="1">
        <v>4</v>
      </c>
      <c r="B5" s="1" t="s">
        <v>16</v>
      </c>
      <c r="C5" s="1">
        <v>0.5</v>
      </c>
      <c r="D5" s="1">
        <v>30</v>
      </c>
      <c r="E5" s="1">
        <v>25</v>
      </c>
      <c r="F5" s="1">
        <v>7</v>
      </c>
      <c r="G5" s="1">
        <v>25</v>
      </c>
      <c r="H5" s="1">
        <v>150</v>
      </c>
      <c r="I5" s="1">
        <v>100</v>
      </c>
      <c r="J5" s="1">
        <v>14.2</v>
      </c>
      <c r="K5" s="1">
        <v>17.899999999999999</v>
      </c>
      <c r="L5" s="1">
        <v>28.4</v>
      </c>
      <c r="M5" s="1">
        <v>47.5</v>
      </c>
      <c r="N5" s="1">
        <v>3.7240000000000002E-2</v>
      </c>
      <c r="O5" s="1">
        <v>2.831E-4</v>
      </c>
      <c r="P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1.5282238114097031</v>
      </c>
      <c r="Q5" s="1">
        <f>LN(Table13[[#This Row],[qe_mg_g]]-Table13[[#This Row],[qt]])</f>
        <v>2.5393771730308616</v>
      </c>
      <c r="R5" s="1">
        <v>1</v>
      </c>
    </row>
    <row r="6" spans="1:18" x14ac:dyDescent="0.3">
      <c r="A6" s="1">
        <v>5</v>
      </c>
      <c r="B6" s="1" t="s">
        <v>16</v>
      </c>
      <c r="C6" s="1">
        <v>0.5</v>
      </c>
      <c r="D6" s="1">
        <v>30</v>
      </c>
      <c r="E6" s="1">
        <v>25</v>
      </c>
      <c r="F6" s="1">
        <v>7</v>
      </c>
      <c r="G6" s="1">
        <v>25</v>
      </c>
      <c r="H6" s="1">
        <v>150</v>
      </c>
      <c r="I6" s="1">
        <v>100</v>
      </c>
      <c r="J6" s="1">
        <v>12.802</v>
      </c>
      <c r="K6" s="1">
        <v>18.599</v>
      </c>
      <c r="L6" s="1">
        <v>25.6</v>
      </c>
      <c r="M6" s="1">
        <v>69.8</v>
      </c>
      <c r="N6" s="1">
        <v>4.0910000000000002E-2</v>
      </c>
      <c r="O6" s="1">
        <v>2.5759999999999997E-4</v>
      </c>
      <c r="P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1.1525272586669673</v>
      </c>
      <c r="Q6" s="1">
        <f>LN(Table13[[#This Row],[qe_mg_g]]-Table13[[#This Row],[qt]])</f>
        <v>2.4552609207328486</v>
      </c>
      <c r="R6" s="1">
        <v>2</v>
      </c>
    </row>
    <row r="7" spans="1:18" x14ac:dyDescent="0.3">
      <c r="A7" s="1">
        <v>6</v>
      </c>
      <c r="B7" s="1" t="s">
        <v>16</v>
      </c>
      <c r="C7" s="1">
        <v>0.5</v>
      </c>
      <c r="D7" s="1">
        <v>30</v>
      </c>
      <c r="E7" s="1">
        <v>25</v>
      </c>
      <c r="F7" s="1">
        <v>7</v>
      </c>
      <c r="G7" s="1">
        <v>25</v>
      </c>
      <c r="H7" s="1">
        <v>150</v>
      </c>
      <c r="I7" s="1">
        <v>100</v>
      </c>
      <c r="J7" s="1">
        <v>15.564</v>
      </c>
      <c r="K7" s="1">
        <v>17.218</v>
      </c>
      <c r="L7" s="1">
        <v>31.13</v>
      </c>
      <c r="M7" s="1">
        <v>64.400000000000006</v>
      </c>
      <c r="N7" s="1">
        <v>4.53E-2</v>
      </c>
      <c r="O7" s="1">
        <v>2.5730000000000002E-4</v>
      </c>
      <c r="P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1.6692898568483832</v>
      </c>
      <c r="Q7" s="1">
        <f>LN(Table13[[#This Row],[qe_mg_g]]-Table13[[#This Row],[qt]])</f>
        <v>2.6315082024624261</v>
      </c>
      <c r="R7" s="1">
        <v>3</v>
      </c>
    </row>
    <row r="8" spans="1:18" x14ac:dyDescent="0.3">
      <c r="A8" s="1">
        <v>7</v>
      </c>
      <c r="B8" s="1" t="s">
        <v>16</v>
      </c>
      <c r="C8" s="1">
        <v>0.5</v>
      </c>
      <c r="D8" s="1">
        <v>30</v>
      </c>
      <c r="E8" s="1">
        <v>25</v>
      </c>
      <c r="F8" s="1">
        <v>11</v>
      </c>
      <c r="G8" s="1">
        <v>25</v>
      </c>
      <c r="H8" s="1">
        <v>150</v>
      </c>
      <c r="I8" s="1">
        <v>100</v>
      </c>
      <c r="J8" s="1">
        <v>10.074999999999999</v>
      </c>
      <c r="K8" s="1">
        <v>19.962</v>
      </c>
      <c r="L8" s="1">
        <v>20.149999999999999</v>
      </c>
      <c r="M8" s="1">
        <v>67.8</v>
      </c>
      <c r="N8" s="1">
        <v>3.9820000000000001E-2</v>
      </c>
      <c r="O8" s="1">
        <v>3.1129999999999998E-4</v>
      </c>
      <c r="P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0.86643755416742607</v>
      </c>
      <c r="Q8" s="1">
        <f>LN(Table13[[#This Row],[qe_mg_g]]-Table13[[#This Row],[qt]])</f>
        <v>2.220133751855673</v>
      </c>
      <c r="R8" s="1">
        <v>1</v>
      </c>
    </row>
    <row r="9" spans="1:18" x14ac:dyDescent="0.3">
      <c r="A9" s="1">
        <v>8</v>
      </c>
      <c r="B9" s="1" t="s">
        <v>16</v>
      </c>
      <c r="C9" s="1">
        <v>0.5</v>
      </c>
      <c r="D9" s="1">
        <v>30</v>
      </c>
      <c r="E9" s="1">
        <v>25</v>
      </c>
      <c r="F9" s="1">
        <v>11</v>
      </c>
      <c r="G9" s="1">
        <v>25</v>
      </c>
      <c r="H9" s="1">
        <v>150</v>
      </c>
      <c r="I9" s="1">
        <v>100</v>
      </c>
      <c r="J9" s="1">
        <v>10.028</v>
      </c>
      <c r="K9" s="1">
        <v>19.986000000000001</v>
      </c>
      <c r="L9" s="1">
        <v>20.059999999999999</v>
      </c>
      <c r="M9" s="1">
        <v>63.7</v>
      </c>
      <c r="N9" s="1">
        <v>4.2290000000000001E-2</v>
      </c>
      <c r="O9" s="1">
        <v>3.5560000000000002E-4</v>
      </c>
      <c r="P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0.96910847501904618</v>
      </c>
      <c r="Q9" s="1">
        <f>LN(Table13[[#This Row],[qe_mg_g]]-Table13[[#This Row],[qt]])</f>
        <v>2.2037467643336344</v>
      </c>
      <c r="R9" s="1">
        <v>2</v>
      </c>
    </row>
    <row r="10" spans="1:18" x14ac:dyDescent="0.3">
      <c r="A10" s="1">
        <v>9</v>
      </c>
      <c r="B10" s="1" t="s">
        <v>16</v>
      </c>
      <c r="C10" s="1">
        <v>0.5</v>
      </c>
      <c r="D10" s="1">
        <v>30</v>
      </c>
      <c r="E10" s="1">
        <v>25</v>
      </c>
      <c r="F10" s="1">
        <v>11</v>
      </c>
      <c r="G10" s="1">
        <v>25</v>
      </c>
      <c r="H10" s="1">
        <v>150</v>
      </c>
      <c r="I10" s="1">
        <v>100</v>
      </c>
      <c r="J10" s="1">
        <v>10.523</v>
      </c>
      <c r="K10" s="1">
        <v>19.739000000000001</v>
      </c>
      <c r="L10" s="1">
        <v>21.05</v>
      </c>
      <c r="M10" s="1">
        <v>56.1</v>
      </c>
      <c r="N10" s="1">
        <v>4.87E-2</v>
      </c>
      <c r="O10" s="1">
        <v>2.6340000000000001E-4</v>
      </c>
      <c r="P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0.80784206049365426</v>
      </c>
      <c r="Q10" s="1">
        <f>LN(Table13[[#This Row],[qe_mg_g]]-Table13[[#This Row],[qt]])</f>
        <v>2.2736873399804614</v>
      </c>
      <c r="R10" s="1">
        <v>3</v>
      </c>
    </row>
    <row r="11" spans="1:18" x14ac:dyDescent="0.3">
      <c r="A11" s="1">
        <v>10</v>
      </c>
      <c r="B11" s="1" t="s">
        <v>16</v>
      </c>
      <c r="C11" s="1">
        <v>0.5</v>
      </c>
      <c r="D11" s="1">
        <v>30</v>
      </c>
      <c r="E11" s="1">
        <v>50</v>
      </c>
      <c r="F11" s="1">
        <v>3</v>
      </c>
      <c r="G11" s="1">
        <v>25</v>
      </c>
      <c r="H11" s="1">
        <v>150</v>
      </c>
      <c r="I11" s="1">
        <v>100</v>
      </c>
      <c r="J11" s="1">
        <v>26.974</v>
      </c>
      <c r="K11" s="1">
        <v>36.512999999999998</v>
      </c>
      <c r="L11" s="1">
        <v>26.97</v>
      </c>
      <c r="M11" s="1">
        <v>47.1</v>
      </c>
      <c r="N11" s="1">
        <v>3.9019999999999999E-2</v>
      </c>
      <c r="O11" s="1">
        <v>3.0590000000000001E-4</v>
      </c>
      <c r="P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5.352255290775763</v>
      </c>
      <c r="Q11" s="1">
        <f>LN(Table13[[#This Row],[qe_mg_g]]-Table13[[#This Row],[qt]])</f>
        <v>3.07369950780912</v>
      </c>
      <c r="R11" s="1">
        <v>1</v>
      </c>
    </row>
    <row r="12" spans="1:18" x14ac:dyDescent="0.3">
      <c r="A12" s="1">
        <v>11</v>
      </c>
      <c r="B12" s="1" t="s">
        <v>16</v>
      </c>
      <c r="C12" s="1">
        <v>0.5</v>
      </c>
      <c r="D12" s="1">
        <v>30</v>
      </c>
      <c r="E12" s="1">
        <v>50</v>
      </c>
      <c r="F12" s="1">
        <v>3</v>
      </c>
      <c r="G12" s="1">
        <v>25</v>
      </c>
      <c r="H12" s="1">
        <v>150</v>
      </c>
      <c r="I12" s="1">
        <v>100</v>
      </c>
      <c r="J12" s="1">
        <v>28.097999999999999</v>
      </c>
      <c r="K12" s="1">
        <v>35.951000000000001</v>
      </c>
      <c r="L12" s="1">
        <v>28.1</v>
      </c>
      <c r="M12" s="1">
        <v>68.400000000000006</v>
      </c>
      <c r="N12" s="1">
        <v>4.4479999999999999E-2</v>
      </c>
      <c r="O12" s="1">
        <v>2.9100000000000003E-4</v>
      </c>
      <c r="P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5.5346814162042213</v>
      </c>
      <c r="Q12" s="1">
        <f>LN(Table13[[#This Row],[qe_mg_g]]-Table13[[#This Row],[qt]])</f>
        <v>3.1163255161572208</v>
      </c>
      <c r="R12" s="1">
        <v>2</v>
      </c>
    </row>
    <row r="13" spans="1:18" x14ac:dyDescent="0.3">
      <c r="A13" s="1">
        <v>12</v>
      </c>
      <c r="B13" s="1" t="s">
        <v>16</v>
      </c>
      <c r="C13" s="1">
        <v>0.5</v>
      </c>
      <c r="D13" s="1">
        <v>30</v>
      </c>
      <c r="E13" s="1">
        <v>50</v>
      </c>
      <c r="F13" s="1">
        <v>3</v>
      </c>
      <c r="G13" s="1">
        <v>25</v>
      </c>
      <c r="H13" s="1">
        <v>150</v>
      </c>
      <c r="I13" s="1">
        <v>100</v>
      </c>
      <c r="J13" s="1">
        <v>23.391999999999999</v>
      </c>
      <c r="K13" s="1">
        <v>38.304000000000002</v>
      </c>
      <c r="L13" s="1">
        <v>23.39</v>
      </c>
      <c r="M13" s="1">
        <v>59.5</v>
      </c>
      <c r="N13" s="1">
        <v>4.2930000000000003E-2</v>
      </c>
      <c r="O13" s="1">
        <v>3.3169999999999999E-4</v>
      </c>
      <c r="P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4.4169048513192273</v>
      </c>
      <c r="Q13" s="1">
        <f>LN(Table13[[#This Row],[qe_mg_g]]-Table13[[#This Row],[qt]])</f>
        <v>2.9431273376923506</v>
      </c>
      <c r="R13" s="1">
        <v>3</v>
      </c>
    </row>
    <row r="14" spans="1:18" x14ac:dyDescent="0.3">
      <c r="A14" s="1">
        <v>13</v>
      </c>
      <c r="B14" s="1" t="s">
        <v>16</v>
      </c>
      <c r="C14" s="1">
        <v>0.5</v>
      </c>
      <c r="D14" s="1">
        <v>30</v>
      </c>
      <c r="E14" s="1">
        <v>50</v>
      </c>
      <c r="F14" s="1">
        <v>7</v>
      </c>
      <c r="G14" s="1">
        <v>25</v>
      </c>
      <c r="H14" s="1">
        <v>150</v>
      </c>
      <c r="I14" s="1">
        <v>100</v>
      </c>
      <c r="J14" s="1">
        <v>42.966999999999999</v>
      </c>
      <c r="K14" s="1">
        <v>28.515999999999998</v>
      </c>
      <c r="L14" s="1">
        <v>42.97</v>
      </c>
      <c r="M14" s="1">
        <v>49</v>
      </c>
      <c r="N14" s="1">
        <v>4.6460000000000001E-2</v>
      </c>
      <c r="O14" s="1">
        <v>2.8840000000000002E-4</v>
      </c>
      <c r="P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11.644248157617561</v>
      </c>
      <c r="Q14" s="1">
        <f>LN(Table13[[#This Row],[qe_mg_g]]-Table13[[#This Row],[qt]])</f>
        <v>3.4443447294079834</v>
      </c>
      <c r="R14" s="1">
        <v>1</v>
      </c>
    </row>
    <row r="15" spans="1:18" x14ac:dyDescent="0.3">
      <c r="A15" s="1">
        <v>14</v>
      </c>
      <c r="B15" s="1" t="s">
        <v>16</v>
      </c>
      <c r="C15" s="1">
        <v>0.5</v>
      </c>
      <c r="D15" s="1">
        <v>30</v>
      </c>
      <c r="E15" s="1">
        <v>50</v>
      </c>
      <c r="F15" s="1">
        <v>7</v>
      </c>
      <c r="G15" s="1">
        <v>25</v>
      </c>
      <c r="H15" s="1">
        <v>150</v>
      </c>
      <c r="I15" s="1">
        <v>100</v>
      </c>
      <c r="J15" s="1">
        <v>39.552999999999997</v>
      </c>
      <c r="K15" s="1">
        <v>30.222999999999999</v>
      </c>
      <c r="L15" s="1">
        <v>39.549999999999997</v>
      </c>
      <c r="M15" s="1">
        <v>72.8</v>
      </c>
      <c r="N15" s="1">
        <v>4.9639999999999997E-2</v>
      </c>
      <c r="O15" s="1">
        <v>3.279E-4</v>
      </c>
      <c r="P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11.078816702161442</v>
      </c>
      <c r="Q15" s="1">
        <f>LN(Table13[[#This Row],[qe_mg_g]]-Table13[[#This Row],[qt]])</f>
        <v>3.3489978275466354</v>
      </c>
      <c r="R15" s="1">
        <v>2</v>
      </c>
    </row>
    <row r="16" spans="1:18" x14ac:dyDescent="0.3">
      <c r="A16" s="1">
        <v>15</v>
      </c>
      <c r="B16" s="1" t="s">
        <v>16</v>
      </c>
      <c r="C16" s="1">
        <v>0.5</v>
      </c>
      <c r="D16" s="1">
        <v>30</v>
      </c>
      <c r="E16" s="1">
        <v>50</v>
      </c>
      <c r="F16" s="1">
        <v>7</v>
      </c>
      <c r="G16" s="1">
        <v>25</v>
      </c>
      <c r="H16" s="1">
        <v>150</v>
      </c>
      <c r="I16" s="1">
        <v>100</v>
      </c>
      <c r="J16" s="1">
        <v>39.01</v>
      </c>
      <c r="K16" s="1">
        <v>30.495000000000001</v>
      </c>
      <c r="L16" s="1">
        <v>39.01</v>
      </c>
      <c r="M16" s="1">
        <v>63.6</v>
      </c>
      <c r="N16" s="1">
        <v>4.6489999999999997E-2</v>
      </c>
      <c r="O16" s="1">
        <v>3.2929999999999998E-4</v>
      </c>
      <c r="P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10.851656503448774</v>
      </c>
      <c r="Q16" s="1">
        <f>LN(Table13[[#This Row],[qe_mg_g]]-Table13[[#This Row],[qt]])</f>
        <v>3.3378437048632672</v>
      </c>
      <c r="R16" s="1">
        <v>3</v>
      </c>
    </row>
    <row r="17" spans="1:18" x14ac:dyDescent="0.3">
      <c r="A17" s="1">
        <v>16</v>
      </c>
      <c r="B17" s="1" t="s">
        <v>16</v>
      </c>
      <c r="C17" s="1">
        <v>0.5</v>
      </c>
      <c r="D17" s="1">
        <v>30</v>
      </c>
      <c r="E17" s="1">
        <v>50</v>
      </c>
      <c r="F17" s="1">
        <v>11</v>
      </c>
      <c r="G17" s="1">
        <v>25</v>
      </c>
      <c r="H17" s="1">
        <v>150</v>
      </c>
      <c r="I17" s="1">
        <v>100</v>
      </c>
      <c r="J17" s="1">
        <v>31.175999999999998</v>
      </c>
      <c r="K17" s="1">
        <v>34.411999999999999</v>
      </c>
      <c r="L17" s="1">
        <v>31.18</v>
      </c>
      <c r="M17" s="1">
        <v>64.8</v>
      </c>
      <c r="N17" s="1">
        <v>4.002E-2</v>
      </c>
      <c r="O17" s="1">
        <v>2.6410000000000002E-4</v>
      </c>
      <c r="P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6.1753473976428088</v>
      </c>
      <c r="Q17" s="1">
        <f>LN(Table13[[#This Row],[qe_mg_g]]-Table13[[#This Row],[qt]])</f>
        <v>3.2189019286217824</v>
      </c>
      <c r="R17" s="1">
        <v>1</v>
      </c>
    </row>
    <row r="18" spans="1:18" x14ac:dyDescent="0.3">
      <c r="A18" s="1">
        <v>17</v>
      </c>
      <c r="B18" s="1" t="s">
        <v>16</v>
      </c>
      <c r="C18" s="1">
        <v>0.5</v>
      </c>
      <c r="D18" s="1">
        <v>30</v>
      </c>
      <c r="E18" s="1">
        <v>50</v>
      </c>
      <c r="F18" s="1">
        <v>11</v>
      </c>
      <c r="G18" s="1">
        <v>25</v>
      </c>
      <c r="H18" s="1">
        <v>150</v>
      </c>
      <c r="I18" s="1">
        <v>100</v>
      </c>
      <c r="J18" s="1">
        <v>34.526000000000003</v>
      </c>
      <c r="K18" s="1">
        <v>32.737000000000002</v>
      </c>
      <c r="L18" s="1">
        <v>34.53</v>
      </c>
      <c r="M18" s="1">
        <v>80.2</v>
      </c>
      <c r="N18" s="1">
        <v>4.4679999999999997E-2</v>
      </c>
      <c r="O18" s="1">
        <v>3.301E-4</v>
      </c>
      <c r="P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8.797020532630297</v>
      </c>
      <c r="Q18" s="1">
        <f>LN(Table13[[#This Row],[qe_mg_g]]-Table13[[#This Row],[qt]])</f>
        <v>3.247617962365569</v>
      </c>
      <c r="R18" s="1">
        <v>2</v>
      </c>
    </row>
    <row r="19" spans="1:18" x14ac:dyDescent="0.3">
      <c r="A19" s="1">
        <v>18</v>
      </c>
      <c r="B19" s="1" t="s">
        <v>16</v>
      </c>
      <c r="C19" s="1">
        <v>0.5</v>
      </c>
      <c r="D19" s="1">
        <v>30</v>
      </c>
      <c r="E19" s="1">
        <v>50</v>
      </c>
      <c r="F19" s="1">
        <v>11</v>
      </c>
      <c r="G19" s="1">
        <v>25</v>
      </c>
      <c r="H19" s="1">
        <v>150</v>
      </c>
      <c r="I19" s="1">
        <v>100</v>
      </c>
      <c r="J19" s="1">
        <v>33.356999999999999</v>
      </c>
      <c r="K19" s="1">
        <v>33.322000000000003</v>
      </c>
      <c r="L19" s="1">
        <v>33.36</v>
      </c>
      <c r="M19" s="1">
        <v>60.2</v>
      </c>
      <c r="N19" s="1">
        <v>4.6629999999999998E-2</v>
      </c>
      <c r="O19" s="1">
        <v>3.4610000000000001E-4</v>
      </c>
      <c r="P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8.5810459252438473</v>
      </c>
      <c r="Q19" s="1">
        <f>LN(Table13[[#This Row],[qe_mg_g]]-Table13[[#This Row],[qt]])</f>
        <v>3.2098735890510111</v>
      </c>
      <c r="R19" s="1">
        <v>3</v>
      </c>
    </row>
    <row r="20" spans="1:18" x14ac:dyDescent="0.3">
      <c r="A20" s="1">
        <v>19</v>
      </c>
      <c r="B20" s="1" t="s">
        <v>16</v>
      </c>
      <c r="C20" s="1">
        <v>0.5</v>
      </c>
      <c r="D20" s="1">
        <v>30</v>
      </c>
      <c r="E20" s="1">
        <v>100</v>
      </c>
      <c r="F20" s="1">
        <v>3</v>
      </c>
      <c r="G20" s="1">
        <v>25</v>
      </c>
      <c r="H20" s="1">
        <v>150</v>
      </c>
      <c r="I20" s="1">
        <v>100</v>
      </c>
      <c r="J20" s="1">
        <v>68.572999999999993</v>
      </c>
      <c r="K20" s="1">
        <v>65.713999999999999</v>
      </c>
      <c r="L20" s="1">
        <v>34.29</v>
      </c>
      <c r="M20" s="1">
        <v>82.3</v>
      </c>
      <c r="N20" s="1">
        <v>3.3210000000000003E-2</v>
      </c>
      <c r="O20" s="1">
        <v>3.2469999999999998E-4</v>
      </c>
      <c r="P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27.461339279216098</v>
      </c>
      <c r="Q20" s="1">
        <f>LN(Table13[[#This Row],[qe_mg_g]]-Table13[[#This Row],[qt]])</f>
        <v>3.7162917970966207</v>
      </c>
      <c r="R20" s="1">
        <v>1</v>
      </c>
    </row>
    <row r="21" spans="1:18" x14ac:dyDescent="0.3">
      <c r="A21" s="1">
        <v>20</v>
      </c>
      <c r="B21" s="1" t="s">
        <v>16</v>
      </c>
      <c r="C21" s="1">
        <v>0.5</v>
      </c>
      <c r="D21" s="1">
        <v>30</v>
      </c>
      <c r="E21" s="1">
        <v>100</v>
      </c>
      <c r="F21" s="1">
        <v>3</v>
      </c>
      <c r="G21" s="1">
        <v>25</v>
      </c>
      <c r="H21" s="1">
        <v>150</v>
      </c>
      <c r="I21" s="1">
        <v>100</v>
      </c>
      <c r="J21" s="1">
        <v>69.248999999999995</v>
      </c>
      <c r="K21" s="1">
        <v>65.376000000000005</v>
      </c>
      <c r="L21" s="1">
        <v>34.619999999999997</v>
      </c>
      <c r="M21" s="1">
        <v>63.7</v>
      </c>
      <c r="N21" s="1">
        <v>4.5409999999999999E-2</v>
      </c>
      <c r="O21" s="1">
        <v>2.4039999999999999E-4</v>
      </c>
      <c r="P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23.065258916121714</v>
      </c>
      <c r="Q21" s="1">
        <f>LN(Table13[[#This Row],[qe_mg_g]]-Table13[[#This Row],[qt]])</f>
        <v>3.8326278115563226</v>
      </c>
      <c r="R21" s="1">
        <v>2</v>
      </c>
    </row>
    <row r="22" spans="1:18" x14ac:dyDescent="0.3">
      <c r="A22" s="1">
        <v>21</v>
      </c>
      <c r="B22" s="1" t="s">
        <v>16</v>
      </c>
      <c r="C22" s="1">
        <v>0.5</v>
      </c>
      <c r="D22" s="1">
        <v>30</v>
      </c>
      <c r="E22" s="1">
        <v>100</v>
      </c>
      <c r="F22" s="1">
        <v>3</v>
      </c>
      <c r="G22" s="1">
        <v>25</v>
      </c>
      <c r="H22" s="1">
        <v>150</v>
      </c>
      <c r="I22" s="1">
        <v>100</v>
      </c>
      <c r="J22" s="1">
        <v>67.561000000000007</v>
      </c>
      <c r="K22" s="1">
        <v>66.218999999999994</v>
      </c>
      <c r="L22" s="1">
        <v>33.78</v>
      </c>
      <c r="M22" s="1">
        <v>70.2</v>
      </c>
      <c r="N22" s="1">
        <v>5.1650000000000001E-2</v>
      </c>
      <c r="O22" s="1">
        <v>2.8449999999999998E-4</v>
      </c>
      <c r="P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24.709560118267465</v>
      </c>
      <c r="Q22" s="1">
        <f>LN(Table13[[#This Row],[qe_mg_g]]-Table13[[#This Row],[qt]])</f>
        <v>3.7577392473201257</v>
      </c>
      <c r="R22" s="1">
        <v>3</v>
      </c>
    </row>
    <row r="23" spans="1:18" x14ac:dyDescent="0.3">
      <c r="A23" s="1">
        <v>22</v>
      </c>
      <c r="B23" s="1" t="s">
        <v>16</v>
      </c>
      <c r="C23" s="1">
        <v>0.5</v>
      </c>
      <c r="D23" s="1">
        <v>30</v>
      </c>
      <c r="E23" s="1">
        <v>100</v>
      </c>
      <c r="F23" s="1">
        <v>7</v>
      </c>
      <c r="G23" s="1">
        <v>25</v>
      </c>
      <c r="H23" s="1">
        <v>150</v>
      </c>
      <c r="I23" s="1">
        <v>100</v>
      </c>
      <c r="J23" s="1">
        <v>97.018000000000001</v>
      </c>
      <c r="K23" s="1">
        <v>51.491</v>
      </c>
      <c r="L23" s="1">
        <v>48.51</v>
      </c>
      <c r="M23" s="1">
        <v>61.6</v>
      </c>
      <c r="N23" s="1">
        <v>4.9119999999999997E-2</v>
      </c>
      <c r="O23" s="1">
        <v>3.099E-4</v>
      </c>
      <c r="P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46.00895343428629</v>
      </c>
      <c r="Q23" s="1">
        <f>LN(Table13[[#This Row],[qe_mg_g]]-Table13[[#This Row],[qt]])</f>
        <v>3.9320030006351532</v>
      </c>
      <c r="R23" s="1">
        <v>1</v>
      </c>
    </row>
    <row r="24" spans="1:18" x14ac:dyDescent="0.3">
      <c r="A24" s="1">
        <v>23</v>
      </c>
      <c r="B24" s="1" t="s">
        <v>16</v>
      </c>
      <c r="C24" s="1">
        <v>0.5</v>
      </c>
      <c r="D24" s="1">
        <v>30</v>
      </c>
      <c r="E24" s="1">
        <v>100</v>
      </c>
      <c r="F24" s="1">
        <v>7</v>
      </c>
      <c r="G24" s="1">
        <v>25</v>
      </c>
      <c r="H24" s="1">
        <v>150</v>
      </c>
      <c r="I24" s="1">
        <v>100</v>
      </c>
      <c r="J24" s="1">
        <v>99.331000000000003</v>
      </c>
      <c r="K24" s="1">
        <v>50.334000000000003</v>
      </c>
      <c r="L24" s="1">
        <v>49.67</v>
      </c>
      <c r="M24" s="1">
        <v>71.8</v>
      </c>
      <c r="N24" s="1">
        <v>4.5440000000000001E-2</v>
      </c>
      <c r="O24" s="1">
        <v>3.2909999999999998E-4</v>
      </c>
      <c r="P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49.181430351197896</v>
      </c>
      <c r="Q24" s="1">
        <f>LN(Table13[[#This Row],[qe_mg_g]]-Table13[[#This Row],[qt]])</f>
        <v>3.9150099330910075</v>
      </c>
      <c r="R24" s="1">
        <v>2</v>
      </c>
    </row>
    <row r="25" spans="1:18" x14ac:dyDescent="0.3">
      <c r="A25" s="1">
        <v>24</v>
      </c>
      <c r="B25" s="1" t="s">
        <v>16</v>
      </c>
      <c r="C25" s="1">
        <v>0.5</v>
      </c>
      <c r="D25" s="1">
        <v>30</v>
      </c>
      <c r="E25" s="1">
        <v>100</v>
      </c>
      <c r="F25" s="1">
        <v>7</v>
      </c>
      <c r="G25" s="1">
        <v>25</v>
      </c>
      <c r="H25" s="1">
        <v>150</v>
      </c>
      <c r="I25" s="1">
        <v>100</v>
      </c>
      <c r="J25" s="1">
        <v>97.902000000000001</v>
      </c>
      <c r="K25" s="1">
        <v>51.048999999999999</v>
      </c>
      <c r="L25" s="1">
        <v>48.95</v>
      </c>
      <c r="M25" s="1">
        <v>63.4</v>
      </c>
      <c r="N25" s="1">
        <v>4.3240000000000001E-2</v>
      </c>
      <c r="O25" s="1">
        <v>2.5609999999999999E-4</v>
      </c>
      <c r="P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42.027637527006583</v>
      </c>
      <c r="Q25" s="1">
        <f>LN(Table13[[#This Row],[qe_mg_g]]-Table13[[#This Row],[qt]])</f>
        <v>4.0231056429893277</v>
      </c>
      <c r="R25" s="1">
        <v>3</v>
      </c>
    </row>
    <row r="26" spans="1:18" x14ac:dyDescent="0.3">
      <c r="A26" s="1">
        <v>25</v>
      </c>
      <c r="B26" s="1" t="s">
        <v>16</v>
      </c>
      <c r="C26" s="1">
        <v>0.5</v>
      </c>
      <c r="D26" s="1">
        <v>30</v>
      </c>
      <c r="E26" s="1">
        <v>100</v>
      </c>
      <c r="F26" s="1">
        <v>11</v>
      </c>
      <c r="G26" s="1">
        <v>25</v>
      </c>
      <c r="H26" s="1">
        <v>150</v>
      </c>
      <c r="I26" s="1">
        <v>100</v>
      </c>
      <c r="J26" s="1">
        <v>84.393000000000001</v>
      </c>
      <c r="K26" s="1">
        <v>57.802999999999997</v>
      </c>
      <c r="L26" s="1">
        <v>42.2</v>
      </c>
      <c r="M26" s="1">
        <v>69.3</v>
      </c>
      <c r="N26" s="1">
        <v>4.5019999999999998E-2</v>
      </c>
      <c r="O26" s="1">
        <v>2.9300000000000002E-4</v>
      </c>
      <c r="P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35.941800716990258</v>
      </c>
      <c r="Q26" s="1">
        <f>LN(Table13[[#This Row],[qe_mg_g]]-Table13[[#This Row],[qt]])</f>
        <v>3.8805570910337219</v>
      </c>
      <c r="R26" s="1">
        <v>1</v>
      </c>
    </row>
    <row r="27" spans="1:18" x14ac:dyDescent="0.3">
      <c r="A27" s="1">
        <v>26</v>
      </c>
      <c r="B27" s="1" t="s">
        <v>16</v>
      </c>
      <c r="C27" s="1">
        <v>0.5</v>
      </c>
      <c r="D27" s="1">
        <v>30</v>
      </c>
      <c r="E27" s="1">
        <v>100</v>
      </c>
      <c r="F27" s="1">
        <v>11</v>
      </c>
      <c r="G27" s="1">
        <v>25</v>
      </c>
      <c r="H27" s="1">
        <v>150</v>
      </c>
      <c r="I27" s="1">
        <v>100</v>
      </c>
      <c r="J27" s="1">
        <v>73.105000000000004</v>
      </c>
      <c r="K27" s="1">
        <v>63.447000000000003</v>
      </c>
      <c r="L27" s="1">
        <v>36.549999999999997</v>
      </c>
      <c r="M27" s="1">
        <v>62.5</v>
      </c>
      <c r="N27" s="1">
        <v>4.3459999999999999E-2</v>
      </c>
      <c r="O27" s="1">
        <v>2.7589999999999998E-4</v>
      </c>
      <c r="P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27.559269773898706</v>
      </c>
      <c r="Q27" s="1">
        <f>LN(Table13[[#This Row],[qe_mg_g]]-Table13[[#This Row],[qt]])</f>
        <v>3.8187168811366674</v>
      </c>
      <c r="R27" s="1">
        <v>2</v>
      </c>
    </row>
    <row r="28" spans="1:18" x14ac:dyDescent="0.3">
      <c r="A28" s="1">
        <v>27</v>
      </c>
      <c r="B28" s="1" t="s">
        <v>16</v>
      </c>
      <c r="C28" s="1">
        <v>0.5</v>
      </c>
      <c r="D28" s="1">
        <v>30</v>
      </c>
      <c r="E28" s="1">
        <v>100</v>
      </c>
      <c r="F28" s="1">
        <v>11</v>
      </c>
      <c r="G28" s="1">
        <v>25</v>
      </c>
      <c r="H28" s="1">
        <v>150</v>
      </c>
      <c r="I28" s="1">
        <v>100</v>
      </c>
      <c r="J28" s="1">
        <v>81.376000000000005</v>
      </c>
      <c r="K28" s="1">
        <v>59.311999999999998</v>
      </c>
      <c r="L28" s="1">
        <v>40.69</v>
      </c>
      <c r="M28" s="1">
        <v>70.7</v>
      </c>
      <c r="N28" s="1">
        <v>5.3490000000000003E-2</v>
      </c>
      <c r="O28" s="1">
        <v>3.0519999999999999E-4</v>
      </c>
      <c r="P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34.744291039369628</v>
      </c>
      <c r="Q28" s="1">
        <f>LN(Table13[[#This Row],[qe_mg_g]]-Table13[[#This Row],[qt]])</f>
        <v>3.8422807595295363</v>
      </c>
      <c r="R28" s="1">
        <v>3</v>
      </c>
    </row>
    <row r="29" spans="1:18" x14ac:dyDescent="0.3">
      <c r="A29" s="1">
        <v>28</v>
      </c>
      <c r="B29" s="1" t="s">
        <v>16</v>
      </c>
      <c r="C29" s="1">
        <v>0.5</v>
      </c>
      <c r="D29" s="1">
        <v>30</v>
      </c>
      <c r="E29" s="1">
        <v>200</v>
      </c>
      <c r="F29" s="1">
        <v>3</v>
      </c>
      <c r="G29" s="1">
        <v>25</v>
      </c>
      <c r="H29" s="1">
        <v>150</v>
      </c>
      <c r="I29" s="1">
        <v>100</v>
      </c>
      <c r="J29" s="1">
        <v>108.15300000000001</v>
      </c>
      <c r="K29" s="1">
        <v>145.92400000000001</v>
      </c>
      <c r="L29" s="1">
        <v>27.04</v>
      </c>
      <c r="M29" s="1">
        <v>65.900000000000006</v>
      </c>
      <c r="N29" s="1">
        <v>3.637E-2</v>
      </c>
      <c r="O29" s="1">
        <v>2.9920000000000001E-4</v>
      </c>
      <c r="P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53.274765432110897</v>
      </c>
      <c r="Q29" s="1">
        <f>LN(Table13[[#This Row],[qe_mg_g]]-Table13[[#This Row],[qt]])</f>
        <v>4.0051168139477404</v>
      </c>
      <c r="R29" s="1">
        <v>1</v>
      </c>
    </row>
    <row r="30" spans="1:18" x14ac:dyDescent="0.3">
      <c r="A30" s="1">
        <v>29</v>
      </c>
      <c r="B30" s="1" t="s">
        <v>16</v>
      </c>
      <c r="C30" s="1">
        <v>0.5</v>
      </c>
      <c r="D30" s="1">
        <v>30</v>
      </c>
      <c r="E30" s="1">
        <v>200</v>
      </c>
      <c r="F30" s="1">
        <v>3</v>
      </c>
      <c r="G30" s="1">
        <v>25</v>
      </c>
      <c r="H30" s="1">
        <v>150</v>
      </c>
      <c r="I30" s="1">
        <v>100</v>
      </c>
      <c r="J30" s="1">
        <v>106.48</v>
      </c>
      <c r="K30" s="1">
        <v>146.76</v>
      </c>
      <c r="L30" s="1">
        <v>26.62</v>
      </c>
      <c r="M30" s="1">
        <v>91.3</v>
      </c>
      <c r="N30" s="1">
        <v>4.4130000000000003E-2</v>
      </c>
      <c r="O30" s="1">
        <v>3.0899999999999998E-4</v>
      </c>
      <c r="P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52.893552902223455</v>
      </c>
      <c r="Q30" s="1">
        <f>LN(Table13[[#This Row],[qe_mg_g]]-Table13[[#This Row],[qt]])</f>
        <v>3.9812961834507119</v>
      </c>
      <c r="R30" s="1">
        <v>2</v>
      </c>
    </row>
    <row r="31" spans="1:18" x14ac:dyDescent="0.3">
      <c r="A31" s="1">
        <v>30</v>
      </c>
      <c r="B31" s="1" t="s">
        <v>16</v>
      </c>
      <c r="C31" s="1">
        <v>0.5</v>
      </c>
      <c r="D31" s="1">
        <v>30</v>
      </c>
      <c r="E31" s="1">
        <v>200</v>
      </c>
      <c r="F31" s="1">
        <v>3</v>
      </c>
      <c r="G31" s="1">
        <v>25</v>
      </c>
      <c r="H31" s="1">
        <v>150</v>
      </c>
      <c r="I31" s="1">
        <v>100</v>
      </c>
      <c r="J31" s="1">
        <v>105.675</v>
      </c>
      <c r="K31" s="1">
        <v>147.16200000000001</v>
      </c>
      <c r="L31" s="1">
        <v>26.42</v>
      </c>
      <c r="M31" s="1">
        <v>55</v>
      </c>
      <c r="N31" s="1">
        <v>5.0139999999999997E-2</v>
      </c>
      <c r="O31" s="1">
        <v>3.2259999999999998E-4</v>
      </c>
      <c r="P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53.43106037733348</v>
      </c>
      <c r="Q31" s="1">
        <f>LN(Table13[[#This Row],[qe_mg_g]]-Table13[[#This Row],[qt]])</f>
        <v>3.9559238960348448</v>
      </c>
      <c r="R31" s="1">
        <v>3</v>
      </c>
    </row>
    <row r="32" spans="1:18" x14ac:dyDescent="0.3">
      <c r="A32" s="1">
        <v>31</v>
      </c>
      <c r="B32" s="1" t="s">
        <v>16</v>
      </c>
      <c r="C32" s="1">
        <v>0.5</v>
      </c>
      <c r="D32" s="1">
        <v>30</v>
      </c>
      <c r="E32" s="1">
        <v>200</v>
      </c>
      <c r="F32" s="1">
        <v>7</v>
      </c>
      <c r="G32" s="1">
        <v>25</v>
      </c>
      <c r="H32" s="1">
        <v>150</v>
      </c>
      <c r="I32" s="1">
        <v>100</v>
      </c>
      <c r="J32" s="1">
        <v>166.46700000000001</v>
      </c>
      <c r="K32" s="1">
        <v>116.76600000000001</v>
      </c>
      <c r="L32" s="1">
        <v>41.62</v>
      </c>
      <c r="M32" s="1">
        <v>57.6</v>
      </c>
      <c r="N32" s="1">
        <v>5.1310000000000001E-2</v>
      </c>
      <c r="O32" s="1">
        <v>2.5789999999999998E-4</v>
      </c>
      <c r="P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93.709018756347334</v>
      </c>
      <c r="Q32" s="1">
        <f>LN(Table13[[#This Row],[qe_mg_g]]-Table13[[#This Row],[qt]])</f>
        <v>4.2871386078506708</v>
      </c>
      <c r="R32" s="1">
        <v>1</v>
      </c>
    </row>
    <row r="33" spans="1:18" x14ac:dyDescent="0.3">
      <c r="A33" s="1">
        <v>32</v>
      </c>
      <c r="B33" s="1" t="s">
        <v>16</v>
      </c>
      <c r="C33" s="1">
        <v>0.5</v>
      </c>
      <c r="D33" s="1">
        <v>30</v>
      </c>
      <c r="E33" s="1">
        <v>200</v>
      </c>
      <c r="F33" s="1">
        <v>7</v>
      </c>
      <c r="G33" s="1">
        <v>25</v>
      </c>
      <c r="H33" s="1">
        <v>150</v>
      </c>
      <c r="I33" s="1">
        <v>100</v>
      </c>
      <c r="J33" s="1">
        <v>163.91</v>
      </c>
      <c r="K33" s="1">
        <v>118.045</v>
      </c>
      <c r="L33" s="1">
        <v>40.98</v>
      </c>
      <c r="M33" s="1">
        <v>88.6</v>
      </c>
      <c r="N33" s="1">
        <v>4.054E-2</v>
      </c>
      <c r="O33" s="1">
        <v>2.8299999999999999E-4</v>
      </c>
      <c r="P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95.374174194310982</v>
      </c>
      <c r="Q33" s="1">
        <f>LN(Table13[[#This Row],[qe_mg_g]]-Table13[[#This Row],[qt]])</f>
        <v>4.2273566130116267</v>
      </c>
      <c r="R33" s="1">
        <v>2</v>
      </c>
    </row>
    <row r="34" spans="1:18" x14ac:dyDescent="0.3">
      <c r="A34" s="1">
        <v>33</v>
      </c>
      <c r="B34" s="1" t="s">
        <v>16</v>
      </c>
      <c r="C34" s="1">
        <v>0.5</v>
      </c>
      <c r="D34" s="1">
        <v>30</v>
      </c>
      <c r="E34" s="1">
        <v>200</v>
      </c>
      <c r="F34" s="1">
        <v>7</v>
      </c>
      <c r="G34" s="1">
        <v>25</v>
      </c>
      <c r="H34" s="1">
        <v>150</v>
      </c>
      <c r="I34" s="1">
        <v>100</v>
      </c>
      <c r="J34" s="1">
        <v>157.80799999999999</v>
      </c>
      <c r="K34" s="1">
        <v>121.096</v>
      </c>
      <c r="L34" s="1">
        <v>39.450000000000003</v>
      </c>
      <c r="M34" s="1">
        <v>61.6</v>
      </c>
      <c r="N34" s="1">
        <v>3.8019999999999998E-2</v>
      </c>
      <c r="O34" s="1">
        <v>3.0210000000000002E-4</v>
      </c>
      <c r="P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92.872152278835785</v>
      </c>
      <c r="Q34" s="1">
        <f>LN(Table13[[#This Row],[qe_mg_g]]-Table13[[#This Row],[qt]])</f>
        <v>4.1733998243958226</v>
      </c>
      <c r="R34" s="1">
        <v>3</v>
      </c>
    </row>
    <row r="35" spans="1:18" x14ac:dyDescent="0.3">
      <c r="A35" s="1">
        <v>34</v>
      </c>
      <c r="B35" s="1" t="s">
        <v>16</v>
      </c>
      <c r="C35" s="1">
        <v>0.5</v>
      </c>
      <c r="D35" s="1">
        <v>30</v>
      </c>
      <c r="E35" s="1">
        <v>200</v>
      </c>
      <c r="F35" s="1">
        <v>11</v>
      </c>
      <c r="G35" s="1">
        <v>25</v>
      </c>
      <c r="H35" s="1">
        <v>150</v>
      </c>
      <c r="I35" s="1">
        <v>100</v>
      </c>
      <c r="J35" s="1">
        <v>115.178</v>
      </c>
      <c r="K35" s="1">
        <v>142.411</v>
      </c>
      <c r="L35" s="1">
        <v>28.79</v>
      </c>
      <c r="M35" s="1">
        <v>71.400000000000006</v>
      </c>
      <c r="N35" s="1">
        <v>4.086E-2</v>
      </c>
      <c r="O35" s="1">
        <v>3.4650000000000002E-4</v>
      </c>
      <c r="P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62.759443492395128</v>
      </c>
      <c r="Q35" s="1">
        <f>LN(Table13[[#This Row],[qe_mg_g]]-Table13[[#This Row],[qt]])</f>
        <v>3.9592606604616423</v>
      </c>
      <c r="R35" s="1">
        <v>1</v>
      </c>
    </row>
    <row r="36" spans="1:18" x14ac:dyDescent="0.3">
      <c r="A36" s="1">
        <v>35</v>
      </c>
      <c r="B36" s="1" t="s">
        <v>16</v>
      </c>
      <c r="C36" s="1">
        <v>0.5</v>
      </c>
      <c r="D36" s="1">
        <v>30</v>
      </c>
      <c r="E36" s="1">
        <v>200</v>
      </c>
      <c r="F36" s="1">
        <v>11</v>
      </c>
      <c r="G36" s="1">
        <v>25</v>
      </c>
      <c r="H36" s="1">
        <v>150</v>
      </c>
      <c r="I36" s="1">
        <v>100</v>
      </c>
      <c r="J36" s="1">
        <v>117.988</v>
      </c>
      <c r="K36" s="1">
        <v>141.006</v>
      </c>
      <c r="L36" s="1">
        <v>29.5</v>
      </c>
      <c r="M36" s="1">
        <v>63.4</v>
      </c>
      <c r="N36" s="1">
        <v>4.8660000000000002E-2</v>
      </c>
      <c r="O36" s="1">
        <v>2.631E-4</v>
      </c>
      <c r="P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56.894816338014429</v>
      </c>
      <c r="Q36" s="1">
        <f>LN(Table13[[#This Row],[qe_mg_g]]-Table13[[#This Row],[qt]])</f>
        <v>4.1124002995939284</v>
      </c>
      <c r="R36" s="1">
        <v>2</v>
      </c>
    </row>
    <row r="37" spans="1:18" x14ac:dyDescent="0.3">
      <c r="A37" s="1">
        <v>36</v>
      </c>
      <c r="B37" s="1" t="s">
        <v>16</v>
      </c>
      <c r="C37" s="1">
        <v>0.5</v>
      </c>
      <c r="D37" s="1">
        <v>30</v>
      </c>
      <c r="E37" s="1">
        <v>200</v>
      </c>
      <c r="F37" s="1">
        <v>11</v>
      </c>
      <c r="G37" s="1">
        <v>25</v>
      </c>
      <c r="H37" s="1">
        <v>150</v>
      </c>
      <c r="I37" s="1">
        <v>100</v>
      </c>
      <c r="J37" s="1">
        <v>128.166</v>
      </c>
      <c r="K37" s="1">
        <v>135.917</v>
      </c>
      <c r="L37" s="1">
        <v>32.04</v>
      </c>
      <c r="M37" s="1">
        <v>79.7</v>
      </c>
      <c r="N37" s="1">
        <v>3.7769999999999998E-2</v>
      </c>
      <c r="O37" s="1">
        <v>3.055E-4</v>
      </c>
      <c r="P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69.229386087763203</v>
      </c>
      <c r="Q37" s="1">
        <f>LN(Table13[[#This Row],[qe_mg_g]]-Table13[[#This Row],[qt]])</f>
        <v>4.0764625259177629</v>
      </c>
      <c r="R37" s="1">
        <v>3</v>
      </c>
    </row>
    <row r="38" spans="1:18" x14ac:dyDescent="0.3">
      <c r="A38" s="1">
        <v>37</v>
      </c>
      <c r="B38" s="1" t="s">
        <v>16</v>
      </c>
      <c r="C38" s="1">
        <v>0.5</v>
      </c>
      <c r="D38" s="1">
        <v>60</v>
      </c>
      <c r="E38" s="1">
        <v>25</v>
      </c>
      <c r="F38" s="1">
        <v>3</v>
      </c>
      <c r="G38" s="1">
        <v>25</v>
      </c>
      <c r="H38" s="1">
        <v>150</v>
      </c>
      <c r="I38" s="1">
        <v>100</v>
      </c>
      <c r="J38" s="1">
        <v>13.93</v>
      </c>
      <c r="K38" s="1">
        <v>18.035</v>
      </c>
      <c r="L38" s="1">
        <v>27.86</v>
      </c>
      <c r="M38" s="1">
        <v>74.5</v>
      </c>
      <c r="N38" s="1">
        <v>3.943E-2</v>
      </c>
      <c r="O38" s="1">
        <v>2.6039999999999999E-4</v>
      </c>
      <c r="P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2.489858859044912</v>
      </c>
      <c r="Q38" s="1">
        <f>LN(Table13[[#This Row],[qe_mg_g]]-Table13[[#This Row],[qt]])</f>
        <v>2.4371283233716197</v>
      </c>
      <c r="R38" s="1">
        <v>1</v>
      </c>
    </row>
    <row r="39" spans="1:18" x14ac:dyDescent="0.3">
      <c r="A39" s="1">
        <v>38</v>
      </c>
      <c r="B39" s="1" t="s">
        <v>16</v>
      </c>
      <c r="C39" s="1">
        <v>0.5</v>
      </c>
      <c r="D39" s="1">
        <v>60</v>
      </c>
      <c r="E39" s="1">
        <v>25</v>
      </c>
      <c r="F39" s="1">
        <v>3</v>
      </c>
      <c r="G39" s="1">
        <v>25</v>
      </c>
      <c r="H39" s="1">
        <v>150</v>
      </c>
      <c r="I39" s="1">
        <v>100</v>
      </c>
      <c r="J39" s="1">
        <v>14.215999999999999</v>
      </c>
      <c r="K39" s="1">
        <v>17.891999999999999</v>
      </c>
      <c r="L39" s="1">
        <v>28.43</v>
      </c>
      <c r="M39" s="1">
        <v>69.599999999999994</v>
      </c>
      <c r="N39" s="1">
        <v>4.6129999999999997E-2</v>
      </c>
      <c r="O39" s="1">
        <v>3.1040000000000001E-4</v>
      </c>
      <c r="P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2.9759120244576218</v>
      </c>
      <c r="Q39" s="1">
        <f>LN(Table13[[#This Row],[qe_mg_g]]-Table13[[#This Row],[qt]])</f>
        <v>2.4194866714404637</v>
      </c>
      <c r="R39" s="1">
        <v>2</v>
      </c>
    </row>
    <row r="40" spans="1:18" x14ac:dyDescent="0.3">
      <c r="A40" s="1">
        <v>39</v>
      </c>
      <c r="B40" s="1" t="s">
        <v>16</v>
      </c>
      <c r="C40" s="1">
        <v>0.5</v>
      </c>
      <c r="D40" s="1">
        <v>60</v>
      </c>
      <c r="E40" s="1">
        <v>25</v>
      </c>
      <c r="F40" s="1">
        <v>3</v>
      </c>
      <c r="G40" s="1">
        <v>25</v>
      </c>
      <c r="H40" s="1">
        <v>150</v>
      </c>
      <c r="I40" s="1">
        <v>100</v>
      </c>
      <c r="J40" s="1">
        <v>12.904</v>
      </c>
      <c r="K40" s="1">
        <v>18.547999999999998</v>
      </c>
      <c r="L40" s="1">
        <v>25.81</v>
      </c>
      <c r="M40" s="1">
        <v>69</v>
      </c>
      <c r="N40" s="1">
        <v>4.632E-2</v>
      </c>
      <c r="O40" s="1">
        <v>2.786E-4</v>
      </c>
      <c r="P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2.289567693926994</v>
      </c>
      <c r="Q40" s="1">
        <f>LN(Table13[[#This Row],[qe_mg_g]]-Table13[[#This Row],[qt]])</f>
        <v>2.3622146133739883</v>
      </c>
      <c r="R40" s="1">
        <v>3</v>
      </c>
    </row>
    <row r="41" spans="1:18" x14ac:dyDescent="0.3">
      <c r="A41" s="1">
        <v>40</v>
      </c>
      <c r="B41" s="1" t="s">
        <v>16</v>
      </c>
      <c r="C41" s="1">
        <v>0.5</v>
      </c>
      <c r="D41" s="1">
        <v>60</v>
      </c>
      <c r="E41" s="1">
        <v>25</v>
      </c>
      <c r="F41" s="1">
        <v>7</v>
      </c>
      <c r="G41" s="1">
        <v>25</v>
      </c>
      <c r="H41" s="1">
        <v>150</v>
      </c>
      <c r="I41" s="1">
        <v>100</v>
      </c>
      <c r="J41" s="1">
        <v>24.689</v>
      </c>
      <c r="K41" s="1">
        <v>12.654999999999999</v>
      </c>
      <c r="L41" s="1">
        <v>49.38</v>
      </c>
      <c r="M41" s="1">
        <v>71.400000000000006</v>
      </c>
      <c r="N41" s="1">
        <v>3.9640000000000002E-2</v>
      </c>
      <c r="O41" s="1">
        <v>3.1970000000000002E-4</v>
      </c>
      <c r="P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7.9346152267160477</v>
      </c>
      <c r="Q41" s="1">
        <f>LN(Table13[[#This Row],[qe_mg_g]]-Table13[[#This Row],[qt]])</f>
        <v>2.8186600015228112</v>
      </c>
      <c r="R41" s="1">
        <v>1</v>
      </c>
    </row>
    <row r="42" spans="1:18" x14ac:dyDescent="0.3">
      <c r="A42" s="1">
        <v>41</v>
      </c>
      <c r="B42" s="1" t="s">
        <v>16</v>
      </c>
      <c r="C42" s="1">
        <v>0.5</v>
      </c>
      <c r="D42" s="1">
        <v>60</v>
      </c>
      <c r="E42" s="1">
        <v>25</v>
      </c>
      <c r="F42" s="1">
        <v>7</v>
      </c>
      <c r="G42" s="1">
        <v>25</v>
      </c>
      <c r="H42" s="1">
        <v>150</v>
      </c>
      <c r="I42" s="1">
        <v>100</v>
      </c>
      <c r="J42" s="1">
        <v>19.808</v>
      </c>
      <c r="K42" s="1">
        <v>15.096</v>
      </c>
      <c r="L42" s="1">
        <v>39.619999999999997</v>
      </c>
      <c r="M42" s="1">
        <v>74.5</v>
      </c>
      <c r="N42" s="1">
        <v>5.0209999999999998E-2</v>
      </c>
      <c r="O42" s="1">
        <v>2.7540000000000003E-4</v>
      </c>
      <c r="P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4.8845541430812727</v>
      </c>
      <c r="Q42" s="1">
        <f>LN(Table13[[#This Row],[qe_mg_g]]-Table13[[#This Row],[qt]])</f>
        <v>2.7029335236670411</v>
      </c>
      <c r="R42" s="1">
        <v>2</v>
      </c>
    </row>
    <row r="43" spans="1:18" x14ac:dyDescent="0.3">
      <c r="A43" s="1">
        <v>42</v>
      </c>
      <c r="B43" s="1" t="s">
        <v>16</v>
      </c>
      <c r="C43" s="1">
        <v>0.5</v>
      </c>
      <c r="D43" s="1">
        <v>60</v>
      </c>
      <c r="E43" s="1">
        <v>25</v>
      </c>
      <c r="F43" s="1">
        <v>7</v>
      </c>
      <c r="G43" s="1">
        <v>25</v>
      </c>
      <c r="H43" s="1">
        <v>150</v>
      </c>
      <c r="I43" s="1">
        <v>100</v>
      </c>
      <c r="J43" s="1">
        <v>23.138000000000002</v>
      </c>
      <c r="K43" s="1">
        <v>13.430999999999999</v>
      </c>
      <c r="L43" s="1">
        <v>46.28</v>
      </c>
      <c r="M43" s="1">
        <v>70.8</v>
      </c>
      <c r="N43" s="1">
        <v>4.87E-2</v>
      </c>
      <c r="O43" s="1">
        <v>3.569E-4</v>
      </c>
      <c r="P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7.666014835602315</v>
      </c>
      <c r="Q43" s="1">
        <f>LN(Table13[[#This Row],[qe_mg_g]]-Table13[[#This Row],[qt]])</f>
        <v>2.7390309798426973</v>
      </c>
      <c r="R43" s="1">
        <v>3</v>
      </c>
    </row>
    <row r="44" spans="1:18" x14ac:dyDescent="0.3">
      <c r="A44" s="1">
        <v>43</v>
      </c>
      <c r="B44" s="1" t="s">
        <v>16</v>
      </c>
      <c r="C44" s="1">
        <v>0.5</v>
      </c>
      <c r="D44" s="1">
        <v>60</v>
      </c>
      <c r="E44" s="1">
        <v>25</v>
      </c>
      <c r="F44" s="1">
        <v>11</v>
      </c>
      <c r="G44" s="1">
        <v>25</v>
      </c>
      <c r="H44" s="1">
        <v>150</v>
      </c>
      <c r="I44" s="1">
        <v>100</v>
      </c>
      <c r="J44" s="1">
        <v>16.338999999999999</v>
      </c>
      <c r="K44" s="1">
        <v>16.831</v>
      </c>
      <c r="L44" s="1">
        <v>32.68</v>
      </c>
      <c r="M44" s="1">
        <v>59.1</v>
      </c>
      <c r="N44" s="1">
        <v>4.1000000000000002E-2</v>
      </c>
      <c r="O44" s="1">
        <v>2.7549999999999997E-4</v>
      </c>
      <c r="P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3.4744932073097194</v>
      </c>
      <c r="Q44" s="1">
        <f>LN(Table13[[#This Row],[qe_mg_g]]-Table13[[#This Row],[qt]])</f>
        <v>2.5544721078585391</v>
      </c>
      <c r="R44" s="1">
        <v>1</v>
      </c>
    </row>
    <row r="45" spans="1:18" x14ac:dyDescent="0.3">
      <c r="A45" s="1">
        <v>44</v>
      </c>
      <c r="B45" s="1" t="s">
        <v>16</v>
      </c>
      <c r="C45" s="1">
        <v>0.5</v>
      </c>
      <c r="D45" s="1">
        <v>60</v>
      </c>
      <c r="E45" s="1">
        <v>25</v>
      </c>
      <c r="F45" s="1">
        <v>11</v>
      </c>
      <c r="G45" s="1">
        <v>25</v>
      </c>
      <c r="H45" s="1">
        <v>150</v>
      </c>
      <c r="I45" s="1">
        <v>100</v>
      </c>
      <c r="J45" s="1">
        <v>16.562999999999999</v>
      </c>
      <c r="K45" s="1">
        <v>16.718</v>
      </c>
      <c r="L45" s="1">
        <v>33.130000000000003</v>
      </c>
      <c r="M45" s="1">
        <v>70.099999999999994</v>
      </c>
      <c r="N45" s="1">
        <v>4.6249999999999999E-2</v>
      </c>
      <c r="O45" s="1">
        <v>3.2479999999999998E-4</v>
      </c>
      <c r="P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4.0416410397285292</v>
      </c>
      <c r="Q45" s="1">
        <f>LN(Table13[[#This Row],[qe_mg_g]]-Table13[[#This Row],[qt]])</f>
        <v>2.5274359029342439</v>
      </c>
      <c r="R45" s="1">
        <v>2</v>
      </c>
    </row>
    <row r="46" spans="1:18" x14ac:dyDescent="0.3">
      <c r="A46" s="1">
        <v>45</v>
      </c>
      <c r="B46" s="1" t="s">
        <v>16</v>
      </c>
      <c r="C46" s="1">
        <v>0.5</v>
      </c>
      <c r="D46" s="1">
        <v>60</v>
      </c>
      <c r="E46" s="1">
        <v>25</v>
      </c>
      <c r="F46" s="1">
        <v>11</v>
      </c>
      <c r="G46" s="1">
        <v>25</v>
      </c>
      <c r="H46" s="1">
        <v>150</v>
      </c>
      <c r="I46" s="1">
        <v>100</v>
      </c>
      <c r="J46" s="1">
        <v>16.683</v>
      </c>
      <c r="K46" s="1">
        <v>16.658000000000001</v>
      </c>
      <c r="L46" s="1">
        <v>33.369999999999997</v>
      </c>
      <c r="M46" s="1">
        <v>81.2</v>
      </c>
      <c r="N46" s="1">
        <v>4.3810000000000002E-2</v>
      </c>
      <c r="O46" s="1">
        <v>3.8160000000000001E-4</v>
      </c>
      <c r="P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4.6111372975905436</v>
      </c>
      <c r="Q46" s="1">
        <f>LN(Table13[[#This Row],[qe_mg_g]]-Table13[[#This Row],[qt]])</f>
        <v>2.4908773481743527</v>
      </c>
      <c r="R46" s="1">
        <v>3</v>
      </c>
    </row>
    <row r="47" spans="1:18" x14ac:dyDescent="0.3">
      <c r="A47" s="1">
        <v>46</v>
      </c>
      <c r="B47" s="1" t="s">
        <v>16</v>
      </c>
      <c r="C47" s="1">
        <v>0.5</v>
      </c>
      <c r="D47" s="1">
        <v>60</v>
      </c>
      <c r="E47" s="1">
        <v>50</v>
      </c>
      <c r="F47" s="1">
        <v>3</v>
      </c>
      <c r="G47" s="1">
        <v>25</v>
      </c>
      <c r="H47" s="1">
        <v>150</v>
      </c>
      <c r="I47" s="1">
        <v>100</v>
      </c>
      <c r="J47" s="1">
        <v>40.268999999999998</v>
      </c>
      <c r="K47" s="1">
        <v>29.866</v>
      </c>
      <c r="L47" s="1">
        <v>40.270000000000003</v>
      </c>
      <c r="M47" s="1">
        <v>58.1</v>
      </c>
      <c r="N47" s="1">
        <v>4.018E-2</v>
      </c>
      <c r="O47" s="1">
        <v>3.145E-4</v>
      </c>
      <c r="P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17.387274632105761</v>
      </c>
      <c r="Q47" s="1">
        <f>LN(Table13[[#This Row],[qe_mg_g]]-Table13[[#This Row],[qt]])</f>
        <v>3.1303385731043853</v>
      </c>
      <c r="R47" s="1">
        <v>1</v>
      </c>
    </row>
    <row r="48" spans="1:18" x14ac:dyDescent="0.3">
      <c r="A48" s="1">
        <v>47</v>
      </c>
      <c r="B48" s="1" t="s">
        <v>16</v>
      </c>
      <c r="C48" s="1">
        <v>0.5</v>
      </c>
      <c r="D48" s="1">
        <v>60</v>
      </c>
      <c r="E48" s="1">
        <v>50</v>
      </c>
      <c r="F48" s="1">
        <v>3</v>
      </c>
      <c r="G48" s="1">
        <v>25</v>
      </c>
      <c r="H48" s="1">
        <v>150</v>
      </c>
      <c r="I48" s="1">
        <v>100</v>
      </c>
      <c r="J48" s="1">
        <v>37.664000000000001</v>
      </c>
      <c r="K48" s="1">
        <v>31.167999999999999</v>
      </c>
      <c r="L48" s="1">
        <v>37.659999999999997</v>
      </c>
      <c r="M48" s="1">
        <v>73.8</v>
      </c>
      <c r="N48" s="1">
        <v>4.7129999999999998E-2</v>
      </c>
      <c r="O48" s="1">
        <v>2.9779999999999997E-4</v>
      </c>
      <c r="P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15.150884436524452</v>
      </c>
      <c r="Q48" s="1">
        <f>LN(Table13[[#This Row],[qe_mg_g]]-Table13[[#This Row],[qt]])</f>
        <v>3.1140980533142888</v>
      </c>
      <c r="R48" s="1">
        <v>2</v>
      </c>
    </row>
    <row r="49" spans="1:18" x14ac:dyDescent="0.3">
      <c r="A49" s="1">
        <v>48</v>
      </c>
      <c r="B49" s="1" t="s">
        <v>16</v>
      </c>
      <c r="C49" s="1">
        <v>0.5</v>
      </c>
      <c r="D49" s="1">
        <v>60</v>
      </c>
      <c r="E49" s="1">
        <v>50</v>
      </c>
      <c r="F49" s="1">
        <v>3</v>
      </c>
      <c r="G49" s="1">
        <v>25</v>
      </c>
      <c r="H49" s="1">
        <v>150</v>
      </c>
      <c r="I49" s="1">
        <v>100</v>
      </c>
      <c r="J49" s="1">
        <v>35.750999999999998</v>
      </c>
      <c r="K49" s="1">
        <v>32.124000000000002</v>
      </c>
      <c r="L49" s="1">
        <v>35.75</v>
      </c>
      <c r="M49" s="1">
        <v>51.5</v>
      </c>
      <c r="N49" s="1">
        <v>4.299E-2</v>
      </c>
      <c r="O49" s="1">
        <v>3.257E-4</v>
      </c>
      <c r="P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14.704237392584464</v>
      </c>
      <c r="Q49" s="1">
        <f>LN(Table13[[#This Row],[qe_mg_g]]-Table13[[#This Row],[qt]])</f>
        <v>3.046746752928486</v>
      </c>
      <c r="R49" s="1">
        <v>3</v>
      </c>
    </row>
    <row r="50" spans="1:18" x14ac:dyDescent="0.3">
      <c r="A50" s="1">
        <v>49</v>
      </c>
      <c r="B50" s="1" t="s">
        <v>16</v>
      </c>
      <c r="C50" s="1">
        <v>0.5</v>
      </c>
      <c r="D50" s="1">
        <v>60</v>
      </c>
      <c r="E50" s="1">
        <v>50</v>
      </c>
      <c r="F50" s="1">
        <v>7</v>
      </c>
      <c r="G50" s="1">
        <v>25</v>
      </c>
      <c r="H50" s="1">
        <v>150</v>
      </c>
      <c r="I50" s="1">
        <v>100</v>
      </c>
      <c r="J50" s="1">
        <v>58.526000000000003</v>
      </c>
      <c r="K50" s="1">
        <v>20.736999999999998</v>
      </c>
      <c r="L50" s="1">
        <v>58.53</v>
      </c>
      <c r="M50" s="1">
        <v>54.2</v>
      </c>
      <c r="N50" s="1">
        <v>4.5780000000000001E-2</v>
      </c>
      <c r="O50" s="1">
        <v>3.1159999999999998E-4</v>
      </c>
      <c r="P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30.57931800985839</v>
      </c>
      <c r="Q50" s="1">
        <f>LN(Table13[[#This Row],[qe_mg_g]]-Table13[[#This Row],[qt]])</f>
        <v>3.3302984802158369</v>
      </c>
      <c r="R50" s="1">
        <v>1</v>
      </c>
    </row>
    <row r="51" spans="1:18" x14ac:dyDescent="0.3">
      <c r="A51" s="1">
        <v>50</v>
      </c>
      <c r="B51" s="1" t="s">
        <v>16</v>
      </c>
      <c r="C51" s="1">
        <v>0.5</v>
      </c>
      <c r="D51" s="1">
        <v>60</v>
      </c>
      <c r="E51" s="1">
        <v>50</v>
      </c>
      <c r="F51" s="1">
        <v>7</v>
      </c>
      <c r="G51" s="1">
        <v>25</v>
      </c>
      <c r="H51" s="1">
        <v>150</v>
      </c>
      <c r="I51" s="1">
        <v>100</v>
      </c>
      <c r="J51" s="1">
        <v>53.472000000000001</v>
      </c>
      <c r="K51" s="1">
        <v>23.263999999999999</v>
      </c>
      <c r="L51" s="1">
        <v>53.47</v>
      </c>
      <c r="M51" s="1">
        <v>68.2</v>
      </c>
      <c r="N51" s="1">
        <v>4.5260000000000002E-2</v>
      </c>
      <c r="O51" s="1">
        <v>2.6570000000000001E-4</v>
      </c>
      <c r="P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24.606453298119327</v>
      </c>
      <c r="Q51" s="1">
        <f>LN(Table13[[#This Row],[qe_mg_g]]-Table13[[#This Row],[qt]])</f>
        <v>3.3626487282912958</v>
      </c>
      <c r="R51" s="1">
        <v>2</v>
      </c>
    </row>
    <row r="52" spans="1:18" x14ac:dyDescent="0.3">
      <c r="A52" s="1">
        <v>51</v>
      </c>
      <c r="B52" s="1" t="s">
        <v>16</v>
      </c>
      <c r="C52" s="1">
        <v>0.5</v>
      </c>
      <c r="D52" s="1">
        <v>60</v>
      </c>
      <c r="E52" s="1">
        <v>50</v>
      </c>
      <c r="F52" s="1">
        <v>7</v>
      </c>
      <c r="G52" s="1">
        <v>25</v>
      </c>
      <c r="H52" s="1">
        <v>150</v>
      </c>
      <c r="I52" s="1">
        <v>100</v>
      </c>
      <c r="J52" s="1">
        <v>59.186999999999998</v>
      </c>
      <c r="K52" s="1">
        <v>20.405999999999999</v>
      </c>
      <c r="L52" s="1">
        <v>59.19</v>
      </c>
      <c r="M52" s="1">
        <v>72.3</v>
      </c>
      <c r="N52" s="1">
        <v>4.9869999999999998E-2</v>
      </c>
      <c r="O52" s="1">
        <v>3.3159999999999998E-4</v>
      </c>
      <c r="P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32.006884332096419</v>
      </c>
      <c r="Q52" s="1">
        <f>LN(Table13[[#This Row],[qe_mg_g]]-Table13[[#This Row],[qt]])</f>
        <v>3.3024856643395339</v>
      </c>
      <c r="R52" s="1">
        <v>3</v>
      </c>
    </row>
    <row r="53" spans="1:18" x14ac:dyDescent="0.3">
      <c r="A53" s="1">
        <v>52</v>
      </c>
      <c r="B53" s="1" t="s">
        <v>16</v>
      </c>
      <c r="C53" s="1">
        <v>0.5</v>
      </c>
      <c r="D53" s="1">
        <v>60</v>
      </c>
      <c r="E53" s="1">
        <v>50</v>
      </c>
      <c r="F53" s="1">
        <v>11</v>
      </c>
      <c r="G53" s="1">
        <v>25</v>
      </c>
      <c r="H53" s="1">
        <v>150</v>
      </c>
      <c r="I53" s="1">
        <v>100</v>
      </c>
      <c r="J53" s="1">
        <v>40.811</v>
      </c>
      <c r="K53" s="1">
        <v>29.594000000000001</v>
      </c>
      <c r="L53" s="1">
        <v>40.81</v>
      </c>
      <c r="M53" s="1">
        <v>57.3</v>
      </c>
      <c r="N53" s="1">
        <v>4.7320000000000001E-2</v>
      </c>
      <c r="O53" s="1">
        <v>3.1540000000000002E-4</v>
      </c>
      <c r="P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17.783955803844417</v>
      </c>
      <c r="Q53" s="1">
        <f>LN(Table13[[#This Row],[qe_mg_g]]-Table13[[#This Row],[qt]])</f>
        <v>3.1366693597925086</v>
      </c>
      <c r="R53" s="1">
        <v>1</v>
      </c>
    </row>
    <row r="54" spans="1:18" x14ac:dyDescent="0.3">
      <c r="A54" s="1">
        <v>53</v>
      </c>
      <c r="B54" s="1" t="s">
        <v>16</v>
      </c>
      <c r="C54" s="1">
        <v>0.5</v>
      </c>
      <c r="D54" s="1">
        <v>60</v>
      </c>
      <c r="E54" s="1">
        <v>50</v>
      </c>
      <c r="F54" s="1">
        <v>11</v>
      </c>
      <c r="G54" s="1">
        <v>25</v>
      </c>
      <c r="H54" s="1">
        <v>150</v>
      </c>
      <c r="I54" s="1">
        <v>100</v>
      </c>
      <c r="J54" s="1">
        <v>47.756</v>
      </c>
      <c r="K54" s="1">
        <v>26.122</v>
      </c>
      <c r="L54" s="1">
        <v>47.76</v>
      </c>
      <c r="M54" s="1">
        <v>105.2</v>
      </c>
      <c r="N54" s="1">
        <v>4.7570000000000001E-2</v>
      </c>
      <c r="O54" s="1">
        <v>3.3409999999999999E-4</v>
      </c>
      <c r="P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23.357292245808658</v>
      </c>
      <c r="Q54" s="1">
        <f>LN(Table13[[#This Row],[qe_mg_g]]-Table13[[#This Row],[qt]])</f>
        <v>3.194530170002881</v>
      </c>
      <c r="R54" s="1">
        <v>2</v>
      </c>
    </row>
    <row r="55" spans="1:18" x14ac:dyDescent="0.3">
      <c r="A55" s="1">
        <v>54</v>
      </c>
      <c r="B55" s="1" t="s">
        <v>16</v>
      </c>
      <c r="C55" s="1">
        <v>0.5</v>
      </c>
      <c r="D55" s="1">
        <v>60</v>
      </c>
      <c r="E55" s="1">
        <v>50</v>
      </c>
      <c r="F55" s="1">
        <v>11</v>
      </c>
      <c r="G55" s="1">
        <v>25</v>
      </c>
      <c r="H55" s="1">
        <v>150</v>
      </c>
      <c r="I55" s="1">
        <v>100</v>
      </c>
      <c r="J55" s="1">
        <v>49.366999999999997</v>
      </c>
      <c r="K55" s="1">
        <v>25.317</v>
      </c>
      <c r="L55" s="1">
        <v>49.37</v>
      </c>
      <c r="M55" s="1">
        <v>73.2</v>
      </c>
      <c r="N55" s="1">
        <v>4.3580000000000001E-2</v>
      </c>
      <c r="O55" s="1">
        <v>3.2279999999999999E-4</v>
      </c>
      <c r="P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24.130054491636052</v>
      </c>
      <c r="Q55" s="1">
        <f>LN(Table13[[#This Row],[qe_mg_g]]-Table13[[#This Row],[qt]])</f>
        <v>3.2283090124560934</v>
      </c>
      <c r="R55" s="1">
        <v>3</v>
      </c>
    </row>
    <row r="56" spans="1:18" x14ac:dyDescent="0.3">
      <c r="A56" s="1">
        <v>55</v>
      </c>
      <c r="B56" s="1" t="s">
        <v>16</v>
      </c>
      <c r="C56" s="1">
        <v>0.5</v>
      </c>
      <c r="D56" s="1">
        <v>60</v>
      </c>
      <c r="E56" s="1">
        <v>100</v>
      </c>
      <c r="F56" s="1">
        <v>3</v>
      </c>
      <c r="G56" s="1">
        <v>25</v>
      </c>
      <c r="H56" s="1">
        <v>150</v>
      </c>
      <c r="I56" s="1">
        <v>100</v>
      </c>
      <c r="J56" s="1">
        <v>84.012</v>
      </c>
      <c r="K56" s="1">
        <v>57.994</v>
      </c>
      <c r="L56" s="1">
        <v>42.01</v>
      </c>
      <c r="M56" s="1">
        <v>64.3</v>
      </c>
      <c r="N56" s="1">
        <v>4.2819999999999997E-2</v>
      </c>
      <c r="O56" s="1">
        <v>3.0249999999999998E-4</v>
      </c>
      <c r="P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50.737519758297019</v>
      </c>
      <c r="Q56" s="1">
        <f>LN(Table13[[#This Row],[qe_mg_g]]-Table13[[#This Row],[qt]])</f>
        <v>3.5047907440751227</v>
      </c>
      <c r="R56" s="1">
        <v>1</v>
      </c>
    </row>
    <row r="57" spans="1:18" x14ac:dyDescent="0.3">
      <c r="A57" s="1">
        <v>56</v>
      </c>
      <c r="B57" s="1" t="s">
        <v>16</v>
      </c>
      <c r="C57" s="1">
        <v>0.5</v>
      </c>
      <c r="D57" s="1">
        <v>60</v>
      </c>
      <c r="E57" s="1">
        <v>100</v>
      </c>
      <c r="F57" s="1">
        <v>3</v>
      </c>
      <c r="G57" s="1">
        <v>25</v>
      </c>
      <c r="H57" s="1">
        <v>150</v>
      </c>
      <c r="I57" s="1">
        <v>100</v>
      </c>
      <c r="J57" s="1">
        <v>106.13</v>
      </c>
      <c r="K57" s="1">
        <v>46.935000000000002</v>
      </c>
      <c r="L57" s="1">
        <v>53.06</v>
      </c>
      <c r="M57" s="1">
        <v>48</v>
      </c>
      <c r="N57" s="1">
        <v>4.8090000000000001E-2</v>
      </c>
      <c r="O57" s="1">
        <v>2.5159999999999999E-4</v>
      </c>
      <c r="P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65.344315142828208</v>
      </c>
      <c r="Q57" s="1">
        <f>LN(Table13[[#This Row],[qe_mg_g]]-Table13[[#This Row],[qt]])</f>
        <v>3.7083311585000449</v>
      </c>
      <c r="R57" s="1">
        <v>2</v>
      </c>
    </row>
    <row r="58" spans="1:18" x14ac:dyDescent="0.3">
      <c r="A58" s="1">
        <v>57</v>
      </c>
      <c r="B58" s="1" t="s">
        <v>16</v>
      </c>
      <c r="C58" s="1">
        <v>0.5</v>
      </c>
      <c r="D58" s="1">
        <v>60</v>
      </c>
      <c r="E58" s="1">
        <v>100</v>
      </c>
      <c r="F58" s="1">
        <v>3</v>
      </c>
      <c r="G58" s="1">
        <v>25</v>
      </c>
      <c r="H58" s="1">
        <v>150</v>
      </c>
      <c r="I58" s="1">
        <v>100</v>
      </c>
      <c r="J58" s="1">
        <v>86.167000000000002</v>
      </c>
      <c r="K58" s="1">
        <v>56.915999999999997</v>
      </c>
      <c r="L58" s="1">
        <v>43.08</v>
      </c>
      <c r="M58" s="1">
        <v>77.599999999999994</v>
      </c>
      <c r="N58" s="1">
        <v>4.5289999999999997E-2</v>
      </c>
      <c r="O58" s="1">
        <v>2.677E-4</v>
      </c>
      <c r="P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50.023341781069661</v>
      </c>
      <c r="Q58" s="1">
        <f>LN(Table13[[#This Row],[qe_mg_g]]-Table13[[#This Row],[qt]])</f>
        <v>3.5875015035867137</v>
      </c>
      <c r="R58" s="1">
        <v>3</v>
      </c>
    </row>
    <row r="59" spans="1:18" x14ac:dyDescent="0.3">
      <c r="A59" s="1">
        <v>58</v>
      </c>
      <c r="B59" s="1" t="s">
        <v>16</v>
      </c>
      <c r="C59" s="1">
        <v>0.5</v>
      </c>
      <c r="D59" s="1">
        <v>60</v>
      </c>
      <c r="E59" s="1">
        <v>100</v>
      </c>
      <c r="F59" s="1">
        <v>7</v>
      </c>
      <c r="G59" s="1">
        <v>25</v>
      </c>
      <c r="H59" s="1">
        <v>150</v>
      </c>
      <c r="I59" s="1">
        <v>100</v>
      </c>
      <c r="J59" s="1">
        <v>121.762</v>
      </c>
      <c r="K59" s="1">
        <v>39.119</v>
      </c>
      <c r="L59" s="1">
        <v>60.88</v>
      </c>
      <c r="M59" s="1">
        <v>73.5</v>
      </c>
      <c r="N59" s="1">
        <v>4.1709999999999997E-2</v>
      </c>
      <c r="O59" s="1">
        <v>3.0650000000000002E-4</v>
      </c>
      <c r="P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84.171891188116206</v>
      </c>
      <c r="Q59" s="1">
        <f>LN(Table13[[#This Row],[qe_mg_g]]-Table13[[#This Row],[qt]])</f>
        <v>3.6267409522748446</v>
      </c>
      <c r="R59" s="1">
        <v>1</v>
      </c>
    </row>
    <row r="60" spans="1:18" x14ac:dyDescent="0.3">
      <c r="A60" s="1">
        <v>59</v>
      </c>
      <c r="B60" s="1" t="s">
        <v>16</v>
      </c>
      <c r="C60" s="1">
        <v>0.5</v>
      </c>
      <c r="D60" s="1">
        <v>60</v>
      </c>
      <c r="E60" s="1">
        <v>100</v>
      </c>
      <c r="F60" s="1">
        <v>7</v>
      </c>
      <c r="G60" s="1">
        <v>25</v>
      </c>
      <c r="H60" s="1">
        <v>150</v>
      </c>
      <c r="I60" s="1">
        <v>100</v>
      </c>
      <c r="J60" s="1">
        <v>129.624</v>
      </c>
      <c r="K60" s="1">
        <v>35.188000000000002</v>
      </c>
      <c r="L60" s="1">
        <v>64.81</v>
      </c>
      <c r="M60" s="1">
        <v>60.2</v>
      </c>
      <c r="N60" s="1">
        <v>5.4649999999999997E-2</v>
      </c>
      <c r="O60" s="1">
        <v>3.19E-4</v>
      </c>
      <c r="P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92.386460533792757</v>
      </c>
      <c r="Q60" s="1">
        <f>LN(Table13[[#This Row],[qe_mg_g]]-Table13[[#This Row],[qt]])</f>
        <v>3.6173173778899903</v>
      </c>
      <c r="R60" s="1">
        <v>2</v>
      </c>
    </row>
    <row r="61" spans="1:18" x14ac:dyDescent="0.3">
      <c r="A61" s="1">
        <v>60</v>
      </c>
      <c r="B61" s="1" t="s">
        <v>16</v>
      </c>
      <c r="C61" s="1">
        <v>0.5</v>
      </c>
      <c r="D61" s="1">
        <v>60</v>
      </c>
      <c r="E61" s="1">
        <v>100</v>
      </c>
      <c r="F61" s="1">
        <v>7</v>
      </c>
      <c r="G61" s="1">
        <v>25</v>
      </c>
      <c r="H61" s="1">
        <v>150</v>
      </c>
      <c r="I61" s="1">
        <v>100</v>
      </c>
      <c r="J61" s="1">
        <v>108.229</v>
      </c>
      <c r="K61" s="1">
        <v>45.886000000000003</v>
      </c>
      <c r="L61" s="1">
        <v>54.11</v>
      </c>
      <c r="M61" s="1">
        <v>68.5</v>
      </c>
      <c r="N61" s="1">
        <v>4.2020000000000002E-2</v>
      </c>
      <c r="O61" s="1">
        <v>3.256E-4</v>
      </c>
      <c r="P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73.477417205063119</v>
      </c>
      <c r="Q61" s="1">
        <f>LN(Table13[[#This Row],[qe_mg_g]]-Table13[[#This Row],[qt]])</f>
        <v>3.5482251190292575</v>
      </c>
      <c r="R61" s="1">
        <v>3</v>
      </c>
    </row>
    <row r="62" spans="1:18" x14ac:dyDescent="0.3">
      <c r="A62" s="1">
        <v>61</v>
      </c>
      <c r="B62" s="1" t="s">
        <v>16</v>
      </c>
      <c r="C62" s="1">
        <v>0.5</v>
      </c>
      <c r="D62" s="1">
        <v>60</v>
      </c>
      <c r="E62" s="1">
        <v>100</v>
      </c>
      <c r="F62" s="1">
        <v>11</v>
      </c>
      <c r="G62" s="1">
        <v>25</v>
      </c>
      <c r="H62" s="1">
        <v>150</v>
      </c>
      <c r="I62" s="1">
        <v>100</v>
      </c>
      <c r="J62" s="1">
        <v>98.557000000000002</v>
      </c>
      <c r="K62" s="1">
        <v>50.722000000000001</v>
      </c>
      <c r="L62" s="1">
        <v>49.28</v>
      </c>
      <c r="M62" s="1">
        <v>65.5</v>
      </c>
      <c r="N62" s="1">
        <v>4.727E-2</v>
      </c>
      <c r="O62" s="1">
        <v>3.2600000000000001E-4</v>
      </c>
      <c r="P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64.894234694257179</v>
      </c>
      <c r="Q62" s="1">
        <f>LN(Table13[[#This Row],[qe_mg_g]]-Table13[[#This Row],[qt]])</f>
        <v>3.5163923394506722</v>
      </c>
      <c r="R62" s="1">
        <v>1</v>
      </c>
    </row>
    <row r="63" spans="1:18" x14ac:dyDescent="0.3">
      <c r="A63" s="1">
        <v>62</v>
      </c>
      <c r="B63" s="1" t="s">
        <v>16</v>
      </c>
      <c r="C63" s="1">
        <v>0.5</v>
      </c>
      <c r="D63" s="1">
        <v>60</v>
      </c>
      <c r="E63" s="1">
        <v>100</v>
      </c>
      <c r="F63" s="1">
        <v>11</v>
      </c>
      <c r="G63" s="1">
        <v>25</v>
      </c>
      <c r="H63" s="1">
        <v>150</v>
      </c>
      <c r="I63" s="1">
        <v>100</v>
      </c>
      <c r="J63" s="1">
        <v>95.123999999999995</v>
      </c>
      <c r="K63" s="1">
        <v>52.438000000000002</v>
      </c>
      <c r="L63" s="1">
        <v>47.56</v>
      </c>
      <c r="M63" s="1">
        <v>63.3</v>
      </c>
      <c r="N63" s="1">
        <v>4.2860000000000002E-2</v>
      </c>
      <c r="O63" s="1">
        <v>2.8039999999999999E-4</v>
      </c>
      <c r="P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58.542998109595466</v>
      </c>
      <c r="Q63" s="1">
        <f>LN(Table13[[#This Row],[qe_mg_g]]-Table13[[#This Row],[qt]])</f>
        <v>3.599529031609094</v>
      </c>
      <c r="R63" s="1">
        <v>2</v>
      </c>
    </row>
    <row r="64" spans="1:18" x14ac:dyDescent="0.3">
      <c r="A64" s="1">
        <v>63</v>
      </c>
      <c r="B64" s="1" t="s">
        <v>16</v>
      </c>
      <c r="C64" s="1">
        <v>0.5</v>
      </c>
      <c r="D64" s="1">
        <v>60</v>
      </c>
      <c r="E64" s="1">
        <v>100</v>
      </c>
      <c r="F64" s="1">
        <v>11</v>
      </c>
      <c r="G64" s="1">
        <v>25</v>
      </c>
      <c r="H64" s="1">
        <v>150</v>
      </c>
      <c r="I64" s="1">
        <v>100</v>
      </c>
      <c r="J64" s="1">
        <v>120.09</v>
      </c>
      <c r="K64" s="1">
        <v>39.954999999999998</v>
      </c>
      <c r="L64" s="1">
        <v>60.05</v>
      </c>
      <c r="M64" s="1">
        <v>70.7</v>
      </c>
      <c r="N64" s="1">
        <v>3.9329999999999997E-2</v>
      </c>
      <c r="O64" s="1">
        <v>3.2749999999999999E-4</v>
      </c>
      <c r="P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84.346465884479855</v>
      </c>
      <c r="Q64" s="1">
        <f>LN(Table13[[#This Row],[qe_mg_g]]-Table13[[#This Row],[qt]])</f>
        <v>3.5763693888806345</v>
      </c>
      <c r="R64" s="1">
        <v>3</v>
      </c>
    </row>
    <row r="65" spans="1:18" x14ac:dyDescent="0.3">
      <c r="A65" s="1">
        <v>64</v>
      </c>
      <c r="B65" s="1" t="s">
        <v>16</v>
      </c>
      <c r="C65" s="1">
        <v>0.5</v>
      </c>
      <c r="D65" s="1">
        <v>60</v>
      </c>
      <c r="E65" s="1">
        <v>200</v>
      </c>
      <c r="F65" s="1">
        <v>3</v>
      </c>
      <c r="G65" s="1">
        <v>25</v>
      </c>
      <c r="H65" s="1">
        <v>150</v>
      </c>
      <c r="I65" s="1">
        <v>100</v>
      </c>
      <c r="J65" s="1">
        <v>153.994</v>
      </c>
      <c r="K65" s="1">
        <v>123.003</v>
      </c>
      <c r="L65" s="1">
        <v>38.5</v>
      </c>
      <c r="M65" s="1">
        <v>77</v>
      </c>
      <c r="N65" s="1">
        <v>3.8159999999999999E-2</v>
      </c>
      <c r="O65" s="1">
        <v>2.855E-4</v>
      </c>
      <c r="P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111.66373499193585</v>
      </c>
      <c r="Q65" s="1">
        <f>LN(Table13[[#This Row],[qe_mg_g]]-Table13[[#This Row],[qt]])</f>
        <v>3.7455023150392015</v>
      </c>
      <c r="R65" s="1">
        <v>1</v>
      </c>
    </row>
    <row r="66" spans="1:18" x14ac:dyDescent="0.3">
      <c r="A66" s="1">
        <v>65</v>
      </c>
      <c r="B66" s="1" t="s">
        <v>16</v>
      </c>
      <c r="C66" s="1">
        <v>0.5</v>
      </c>
      <c r="D66" s="1">
        <v>60</v>
      </c>
      <c r="E66" s="1">
        <v>200</v>
      </c>
      <c r="F66" s="1">
        <v>3</v>
      </c>
      <c r="G66" s="1">
        <v>25</v>
      </c>
      <c r="H66" s="1">
        <v>150</v>
      </c>
      <c r="I66" s="1">
        <v>100</v>
      </c>
      <c r="J66" s="1">
        <v>144.98699999999999</v>
      </c>
      <c r="K66" s="1">
        <v>127.506</v>
      </c>
      <c r="L66" s="1">
        <v>36.25</v>
      </c>
      <c r="M66" s="1">
        <v>59.6</v>
      </c>
      <c r="N66" s="1">
        <v>4.7E-2</v>
      </c>
      <c r="O66" s="1">
        <v>3.232E-4</v>
      </c>
      <c r="P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106.9485226903606</v>
      </c>
      <c r="Q66" s="1">
        <f>LN(Table13[[#This Row],[qe_mg_g]]-Table13[[#This Row],[qt]])</f>
        <v>3.638598208212493</v>
      </c>
      <c r="R66" s="1">
        <v>2</v>
      </c>
    </row>
    <row r="67" spans="1:18" x14ac:dyDescent="0.3">
      <c r="A67" s="1">
        <v>66</v>
      </c>
      <c r="B67" s="1" t="s">
        <v>16</v>
      </c>
      <c r="C67" s="1">
        <v>0.5</v>
      </c>
      <c r="D67" s="1">
        <v>60</v>
      </c>
      <c r="E67" s="1">
        <v>200</v>
      </c>
      <c r="F67" s="1">
        <v>3</v>
      </c>
      <c r="G67" s="1">
        <v>25</v>
      </c>
      <c r="H67" s="1">
        <v>150</v>
      </c>
      <c r="I67" s="1">
        <v>100</v>
      </c>
      <c r="J67" s="1">
        <v>121.88200000000001</v>
      </c>
      <c r="K67" s="1">
        <v>139.059</v>
      </c>
      <c r="L67" s="1">
        <v>30.47</v>
      </c>
      <c r="M67" s="1">
        <v>66.099999999999994</v>
      </c>
      <c r="N67" s="1">
        <v>3.041E-2</v>
      </c>
      <c r="O67" s="1">
        <v>2.6929999999999999E-4</v>
      </c>
      <c r="P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80.835573844317679</v>
      </c>
      <c r="Q67" s="1">
        <f>LN(Table13[[#This Row],[qe_mg_g]]-Table13[[#This Row],[qt]])</f>
        <v>3.7147037713455138</v>
      </c>
      <c r="R67" s="1">
        <v>3</v>
      </c>
    </row>
    <row r="68" spans="1:18" x14ac:dyDescent="0.3">
      <c r="A68" s="1">
        <v>67</v>
      </c>
      <c r="B68" s="1" t="s">
        <v>16</v>
      </c>
      <c r="C68" s="1">
        <v>0.5</v>
      </c>
      <c r="D68" s="1">
        <v>60</v>
      </c>
      <c r="E68" s="1">
        <v>200</v>
      </c>
      <c r="F68" s="1">
        <v>7</v>
      </c>
      <c r="G68" s="1">
        <v>25</v>
      </c>
      <c r="H68" s="1">
        <v>150</v>
      </c>
      <c r="I68" s="1">
        <v>100</v>
      </c>
      <c r="J68" s="1">
        <v>183.06800000000001</v>
      </c>
      <c r="K68" s="1">
        <v>108.46599999999999</v>
      </c>
      <c r="L68" s="1">
        <v>45.77</v>
      </c>
      <c r="M68" s="1">
        <v>54.2</v>
      </c>
      <c r="N68" s="1">
        <v>5.2350000000000001E-2</v>
      </c>
      <c r="O68" s="1">
        <v>2.5710000000000002E-4</v>
      </c>
      <c r="P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135.19465627130211</v>
      </c>
      <c r="Q68" s="1">
        <f>LN(Table13[[#This Row],[qe_mg_g]]-Table13[[#This Row],[qt]])</f>
        <v>3.8685588511571498</v>
      </c>
      <c r="R68" s="1">
        <v>1</v>
      </c>
    </row>
    <row r="69" spans="1:18" x14ac:dyDescent="0.3">
      <c r="A69" s="1">
        <v>68</v>
      </c>
      <c r="B69" s="1" t="s">
        <v>16</v>
      </c>
      <c r="C69" s="1">
        <v>0.5</v>
      </c>
      <c r="D69" s="1">
        <v>60</v>
      </c>
      <c r="E69" s="1">
        <v>200</v>
      </c>
      <c r="F69" s="1">
        <v>7</v>
      </c>
      <c r="G69" s="1">
        <v>25</v>
      </c>
      <c r="H69" s="1">
        <v>150</v>
      </c>
      <c r="I69" s="1">
        <v>100</v>
      </c>
      <c r="J69" s="1">
        <v>180.26599999999999</v>
      </c>
      <c r="K69" s="1">
        <v>109.867</v>
      </c>
      <c r="L69" s="1">
        <v>45.07</v>
      </c>
      <c r="M69" s="1">
        <v>68</v>
      </c>
      <c r="N69" s="1">
        <v>5.1490000000000001E-2</v>
      </c>
      <c r="O69" s="1">
        <v>2.5690000000000001E-4</v>
      </c>
      <c r="P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132.55916679519171</v>
      </c>
      <c r="Q69" s="1">
        <f>LN(Table13[[#This Row],[qe_mg_g]]-Table13[[#This Row],[qt]])</f>
        <v>3.8650746414040196</v>
      </c>
      <c r="R69" s="1">
        <v>2</v>
      </c>
    </row>
    <row r="70" spans="1:18" x14ac:dyDescent="0.3">
      <c r="A70" s="1">
        <v>69</v>
      </c>
      <c r="B70" s="1" t="s">
        <v>16</v>
      </c>
      <c r="C70" s="1">
        <v>0.5</v>
      </c>
      <c r="D70" s="1">
        <v>60</v>
      </c>
      <c r="E70" s="1">
        <v>200</v>
      </c>
      <c r="F70" s="1">
        <v>7</v>
      </c>
      <c r="G70" s="1">
        <v>25</v>
      </c>
      <c r="H70" s="1">
        <v>150</v>
      </c>
      <c r="I70" s="1">
        <v>100</v>
      </c>
      <c r="J70" s="1">
        <v>204.23</v>
      </c>
      <c r="K70" s="1">
        <v>97.885000000000005</v>
      </c>
      <c r="L70" s="1">
        <v>51.06</v>
      </c>
      <c r="M70" s="1">
        <v>66.8</v>
      </c>
      <c r="N70" s="1">
        <v>4.0579999999999998E-2</v>
      </c>
      <c r="O70" s="1">
        <v>3.1389999999999999E-4</v>
      </c>
      <c r="P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162.09003176226602</v>
      </c>
      <c r="Q70" s="1">
        <f>LN(Table13[[#This Row],[qe_mg_g]]-Table13[[#This Row],[qt]])</f>
        <v>3.7409966546437694</v>
      </c>
      <c r="R70" s="1">
        <v>3</v>
      </c>
    </row>
    <row r="71" spans="1:18" x14ac:dyDescent="0.3">
      <c r="A71" s="1">
        <v>70</v>
      </c>
      <c r="B71" s="1" t="s">
        <v>16</v>
      </c>
      <c r="C71" s="1">
        <v>0.5</v>
      </c>
      <c r="D71" s="1">
        <v>60</v>
      </c>
      <c r="E71" s="1">
        <v>200</v>
      </c>
      <c r="F71" s="1">
        <v>11</v>
      </c>
      <c r="G71" s="1">
        <v>25</v>
      </c>
      <c r="H71" s="1">
        <v>150</v>
      </c>
      <c r="I71" s="1">
        <v>100</v>
      </c>
      <c r="J71" s="1">
        <v>156.02000000000001</v>
      </c>
      <c r="K71" s="1">
        <v>121.99</v>
      </c>
      <c r="L71" s="1">
        <v>39.01</v>
      </c>
      <c r="M71" s="1">
        <v>60.7</v>
      </c>
      <c r="N71" s="1">
        <v>4.5310000000000003E-2</v>
      </c>
      <c r="O71" s="1">
        <v>2.8840000000000002E-4</v>
      </c>
      <c r="P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113.84981195415256</v>
      </c>
      <c r="Q71" s="1">
        <f>LN(Table13[[#This Row],[qe_mg_g]]-Table13[[#This Row],[qt]])</f>
        <v>3.7417135269813326</v>
      </c>
      <c r="R71" s="1">
        <v>1</v>
      </c>
    </row>
    <row r="72" spans="1:18" x14ac:dyDescent="0.3">
      <c r="A72" s="1">
        <v>71</v>
      </c>
      <c r="B72" s="1" t="s">
        <v>16</v>
      </c>
      <c r="C72" s="1">
        <v>0.5</v>
      </c>
      <c r="D72" s="1">
        <v>60</v>
      </c>
      <c r="E72" s="1">
        <v>200</v>
      </c>
      <c r="F72" s="1">
        <v>11</v>
      </c>
      <c r="G72" s="1">
        <v>25</v>
      </c>
      <c r="H72" s="1">
        <v>150</v>
      </c>
      <c r="I72" s="1">
        <v>100</v>
      </c>
      <c r="J72" s="1">
        <v>154.96899999999999</v>
      </c>
      <c r="K72" s="1">
        <v>122.515</v>
      </c>
      <c r="L72" s="1">
        <v>38.74</v>
      </c>
      <c r="M72" s="1">
        <v>73.3</v>
      </c>
      <c r="N72" s="1">
        <v>5.2139999999999999E-2</v>
      </c>
      <c r="O72" s="1">
        <v>2.6289999999999999E-4</v>
      </c>
      <c r="P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109.97847755843132</v>
      </c>
      <c r="Q72" s="1">
        <f>LN(Table13[[#This Row],[qe_mg_g]]-Table13[[#This Row],[qt]])</f>
        <v>3.8064518551788264</v>
      </c>
      <c r="R72" s="1">
        <v>2</v>
      </c>
    </row>
    <row r="73" spans="1:18" x14ac:dyDescent="0.3">
      <c r="A73" s="1">
        <v>72</v>
      </c>
      <c r="B73" s="1" t="s">
        <v>16</v>
      </c>
      <c r="C73" s="1">
        <v>0.5</v>
      </c>
      <c r="D73" s="1">
        <v>60</v>
      </c>
      <c r="E73" s="1">
        <v>200</v>
      </c>
      <c r="F73" s="1">
        <v>11</v>
      </c>
      <c r="G73" s="1">
        <v>25</v>
      </c>
      <c r="H73" s="1">
        <v>150</v>
      </c>
      <c r="I73" s="1">
        <v>100</v>
      </c>
      <c r="J73" s="1">
        <v>179.78100000000001</v>
      </c>
      <c r="K73" s="1">
        <v>110.10899999999999</v>
      </c>
      <c r="L73" s="1">
        <v>44.95</v>
      </c>
      <c r="M73" s="1">
        <v>47.1</v>
      </c>
      <c r="N73" s="1">
        <v>4.4319999999999998E-2</v>
      </c>
      <c r="O73" s="1">
        <v>3.1760000000000002E-4</v>
      </c>
      <c r="P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139.16084898378574</v>
      </c>
      <c r="Q73" s="1">
        <f>LN(Table13[[#This Row],[qe_mg_g]]-Table13[[#This Row],[qt]])</f>
        <v>3.7042642739250979</v>
      </c>
      <c r="R73" s="1">
        <v>3</v>
      </c>
    </row>
    <row r="74" spans="1:18" x14ac:dyDescent="0.3">
      <c r="A74" s="1">
        <v>73</v>
      </c>
      <c r="B74" s="1" t="s">
        <v>16</v>
      </c>
      <c r="C74" s="1">
        <v>0.5</v>
      </c>
      <c r="D74" s="1">
        <v>120</v>
      </c>
      <c r="E74" s="1">
        <v>25</v>
      </c>
      <c r="F74" s="1">
        <v>3</v>
      </c>
      <c r="G74" s="1">
        <v>25</v>
      </c>
      <c r="H74" s="1">
        <v>150</v>
      </c>
      <c r="I74" s="1">
        <v>100</v>
      </c>
      <c r="J74" s="1">
        <v>20.108000000000001</v>
      </c>
      <c r="K74" s="1">
        <v>14.946</v>
      </c>
      <c r="L74" s="1">
        <v>40.22</v>
      </c>
      <c r="M74" s="1">
        <v>60.4</v>
      </c>
      <c r="N74" s="1">
        <v>4.4060000000000002E-2</v>
      </c>
      <c r="O74" s="1">
        <v>2.8519999999999999E-4</v>
      </c>
      <c r="P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8.1969209933840848</v>
      </c>
      <c r="Q74" s="1">
        <f>LN(Table13[[#This Row],[qe_mg_g]]-Table13[[#This Row],[qt]])</f>
        <v>2.4774689759567683</v>
      </c>
      <c r="R74" s="1">
        <v>1</v>
      </c>
    </row>
    <row r="75" spans="1:18" x14ac:dyDescent="0.3">
      <c r="A75" s="1">
        <v>74</v>
      </c>
      <c r="B75" s="1" t="s">
        <v>16</v>
      </c>
      <c r="C75" s="1">
        <v>0.5</v>
      </c>
      <c r="D75" s="1">
        <v>120</v>
      </c>
      <c r="E75" s="1">
        <v>25</v>
      </c>
      <c r="F75" s="1">
        <v>3</v>
      </c>
      <c r="G75" s="1">
        <v>25</v>
      </c>
      <c r="H75" s="1">
        <v>150</v>
      </c>
      <c r="I75" s="1">
        <v>100</v>
      </c>
      <c r="J75" s="1">
        <v>18.739000000000001</v>
      </c>
      <c r="K75" s="1">
        <v>15.631</v>
      </c>
      <c r="L75" s="1">
        <v>37.479999999999997</v>
      </c>
      <c r="M75" s="1">
        <v>75.2</v>
      </c>
      <c r="N75" s="1">
        <v>4.6609999999999999E-2</v>
      </c>
      <c r="O75" s="1">
        <v>2.7920000000000001E-4</v>
      </c>
      <c r="P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7.2273659601673161</v>
      </c>
      <c r="Q75" s="1">
        <f>LN(Table13[[#This Row],[qe_mg_g]]-Table13[[#This Row],[qt]])</f>
        <v>2.4433581796281283</v>
      </c>
      <c r="R75" s="1">
        <v>2</v>
      </c>
    </row>
    <row r="76" spans="1:18" x14ac:dyDescent="0.3">
      <c r="A76" s="1">
        <v>75</v>
      </c>
      <c r="B76" s="1" t="s">
        <v>16</v>
      </c>
      <c r="C76" s="1">
        <v>0.5</v>
      </c>
      <c r="D76" s="1">
        <v>120</v>
      </c>
      <c r="E76" s="1">
        <v>25</v>
      </c>
      <c r="F76" s="1">
        <v>3</v>
      </c>
      <c r="G76" s="1">
        <v>25</v>
      </c>
      <c r="H76" s="1">
        <v>150</v>
      </c>
      <c r="I76" s="1">
        <v>100</v>
      </c>
      <c r="J76" s="1">
        <v>21.081</v>
      </c>
      <c r="K76" s="1">
        <v>14.459</v>
      </c>
      <c r="L76" s="1">
        <v>42.16</v>
      </c>
      <c r="M76" s="1">
        <v>69.7</v>
      </c>
      <c r="N76" s="1">
        <v>4.8660000000000002E-2</v>
      </c>
      <c r="O76" s="1">
        <v>3.189E-4</v>
      </c>
      <c r="P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9.4129440407895686</v>
      </c>
      <c r="Q76" s="1">
        <f>LN(Table13[[#This Row],[qe_mg_g]]-Table13[[#This Row],[qt]])</f>
        <v>2.4568548479496166</v>
      </c>
      <c r="R76" s="1">
        <v>3</v>
      </c>
    </row>
    <row r="77" spans="1:18" x14ac:dyDescent="0.3">
      <c r="A77" s="1">
        <v>76</v>
      </c>
      <c r="B77" s="1" t="s">
        <v>16</v>
      </c>
      <c r="C77" s="1">
        <v>0.5</v>
      </c>
      <c r="D77" s="1">
        <v>120</v>
      </c>
      <c r="E77" s="1">
        <v>25</v>
      </c>
      <c r="F77" s="1">
        <v>7</v>
      </c>
      <c r="G77" s="1">
        <v>25</v>
      </c>
      <c r="H77" s="1">
        <v>150</v>
      </c>
      <c r="I77" s="1">
        <v>100</v>
      </c>
      <c r="J77" s="1">
        <v>27.516999999999999</v>
      </c>
      <c r="K77" s="1">
        <v>11.242000000000001</v>
      </c>
      <c r="L77" s="1">
        <v>55.03</v>
      </c>
      <c r="M77" s="1">
        <v>61.1</v>
      </c>
      <c r="N77" s="1">
        <v>4.836E-2</v>
      </c>
      <c r="O77" s="1">
        <v>3.1829999999999998E-4</v>
      </c>
      <c r="P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14.10087502829224</v>
      </c>
      <c r="Q77" s="1">
        <f>LN(Table13[[#This Row],[qe_mg_g]]-Table13[[#This Row],[qt]])</f>
        <v>2.5964573396018333</v>
      </c>
      <c r="R77" s="1">
        <v>1</v>
      </c>
    </row>
    <row r="78" spans="1:18" x14ac:dyDescent="0.3">
      <c r="A78" s="1">
        <v>77</v>
      </c>
      <c r="B78" s="1" t="s">
        <v>16</v>
      </c>
      <c r="C78" s="1">
        <v>0.5</v>
      </c>
      <c r="D78" s="1">
        <v>120</v>
      </c>
      <c r="E78" s="1">
        <v>25</v>
      </c>
      <c r="F78" s="1">
        <v>7</v>
      </c>
      <c r="G78" s="1">
        <v>25</v>
      </c>
      <c r="H78" s="1">
        <v>150</v>
      </c>
      <c r="I78" s="1">
        <v>100</v>
      </c>
      <c r="J78" s="1">
        <v>29.422000000000001</v>
      </c>
      <c r="K78" s="1">
        <v>10.289</v>
      </c>
      <c r="L78" s="1">
        <v>58.84</v>
      </c>
      <c r="M78" s="1">
        <v>67.8</v>
      </c>
      <c r="N78" s="1">
        <v>5.0750000000000003E-2</v>
      </c>
      <c r="O78" s="1">
        <v>2.8229999999999998E-4</v>
      </c>
      <c r="P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14.686684312523891</v>
      </c>
      <c r="Q78" s="1">
        <f>LN(Table13[[#This Row],[qe_mg_g]]-Table13[[#This Row],[qt]])</f>
        <v>2.6902470402883658</v>
      </c>
      <c r="R78" s="1">
        <v>2</v>
      </c>
    </row>
    <row r="79" spans="1:18" x14ac:dyDescent="0.3">
      <c r="A79" s="1">
        <v>78</v>
      </c>
      <c r="B79" s="1" t="s">
        <v>16</v>
      </c>
      <c r="C79" s="1">
        <v>0.5</v>
      </c>
      <c r="D79" s="1">
        <v>120</v>
      </c>
      <c r="E79" s="1">
        <v>25</v>
      </c>
      <c r="F79" s="1">
        <v>7</v>
      </c>
      <c r="G79" s="1">
        <v>25</v>
      </c>
      <c r="H79" s="1">
        <v>150</v>
      </c>
      <c r="I79" s="1">
        <v>100</v>
      </c>
      <c r="J79" s="1">
        <v>30.760999999999999</v>
      </c>
      <c r="K79" s="1">
        <v>9.6189999999999998</v>
      </c>
      <c r="L79" s="1">
        <v>61.52</v>
      </c>
      <c r="M79" s="1">
        <v>64.599999999999994</v>
      </c>
      <c r="N79" s="1">
        <v>4.4019999999999997E-2</v>
      </c>
      <c r="O79" s="1">
        <v>3.3300000000000002E-4</v>
      </c>
      <c r="P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16.961938416933755</v>
      </c>
      <c r="Q79" s="1">
        <f>LN(Table13[[#This Row],[qe_mg_g]]-Table13[[#This Row],[qt]])</f>
        <v>2.624600588623887</v>
      </c>
      <c r="R79" s="1">
        <v>3</v>
      </c>
    </row>
    <row r="80" spans="1:18" x14ac:dyDescent="0.3">
      <c r="A80" s="1">
        <v>79</v>
      </c>
      <c r="B80" s="1" t="s">
        <v>16</v>
      </c>
      <c r="C80" s="1">
        <v>0.5</v>
      </c>
      <c r="D80" s="1">
        <v>120</v>
      </c>
      <c r="E80" s="1">
        <v>25</v>
      </c>
      <c r="F80" s="1">
        <v>11</v>
      </c>
      <c r="G80" s="1">
        <v>25</v>
      </c>
      <c r="H80" s="1">
        <v>150</v>
      </c>
      <c r="I80" s="1">
        <v>100</v>
      </c>
      <c r="J80" s="1">
        <v>25.06</v>
      </c>
      <c r="K80" s="1">
        <v>12.47</v>
      </c>
      <c r="L80" s="1">
        <v>50.12</v>
      </c>
      <c r="M80" s="1">
        <v>74.8</v>
      </c>
      <c r="N80" s="1">
        <v>5.0869999999999999E-2</v>
      </c>
      <c r="O80" s="1">
        <v>3.0059999999999999E-4</v>
      </c>
      <c r="P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11.897988644661153</v>
      </c>
      <c r="Q80" s="1">
        <f>LN(Table13[[#This Row],[qe_mg_g]]-Table13[[#This Row],[qt]])</f>
        <v>2.5773347527701338</v>
      </c>
      <c r="R80" s="1">
        <v>1</v>
      </c>
    </row>
    <row r="81" spans="1:18" x14ac:dyDescent="0.3">
      <c r="A81" s="1">
        <v>80</v>
      </c>
      <c r="B81" s="1" t="s">
        <v>16</v>
      </c>
      <c r="C81" s="1">
        <v>0.5</v>
      </c>
      <c r="D81" s="1">
        <v>120</v>
      </c>
      <c r="E81" s="1">
        <v>25</v>
      </c>
      <c r="F81" s="1">
        <v>11</v>
      </c>
      <c r="G81" s="1">
        <v>25</v>
      </c>
      <c r="H81" s="1">
        <v>150</v>
      </c>
      <c r="I81" s="1">
        <v>100</v>
      </c>
      <c r="J81" s="1">
        <v>24.791</v>
      </c>
      <c r="K81" s="1">
        <v>12.605</v>
      </c>
      <c r="L81" s="1">
        <v>49.58</v>
      </c>
      <c r="M81" s="1">
        <v>63.6</v>
      </c>
      <c r="N81" s="1">
        <v>4.6460000000000001E-2</v>
      </c>
      <c r="O81" s="1">
        <v>2.9609999999999999E-4</v>
      </c>
      <c r="P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11.610424119878173</v>
      </c>
      <c r="Q81" s="1">
        <f>LN(Table13[[#This Row],[qe_mg_g]]-Table13[[#This Row],[qt]])</f>
        <v>2.5787442216040342</v>
      </c>
      <c r="R81" s="1">
        <v>2</v>
      </c>
    </row>
    <row r="82" spans="1:18" x14ac:dyDescent="0.3">
      <c r="A82" s="1">
        <v>81</v>
      </c>
      <c r="B82" s="1" t="s">
        <v>16</v>
      </c>
      <c r="C82" s="1">
        <v>0.5</v>
      </c>
      <c r="D82" s="1">
        <v>120</v>
      </c>
      <c r="E82" s="1">
        <v>25</v>
      </c>
      <c r="F82" s="1">
        <v>11</v>
      </c>
      <c r="G82" s="1">
        <v>25</v>
      </c>
      <c r="H82" s="1">
        <v>150</v>
      </c>
      <c r="I82" s="1">
        <v>100</v>
      </c>
      <c r="J82" s="1">
        <v>23.69</v>
      </c>
      <c r="K82" s="1">
        <v>13.154999999999999</v>
      </c>
      <c r="L82" s="1">
        <v>47.38</v>
      </c>
      <c r="M82" s="1">
        <v>72.599999999999994</v>
      </c>
      <c r="N82" s="1">
        <v>4.1320000000000003E-2</v>
      </c>
      <c r="O82" s="1">
        <v>3.6279999999999998E-4</v>
      </c>
      <c r="P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12.027907328492514</v>
      </c>
      <c r="Q82" s="1">
        <f>LN(Table13[[#This Row],[qe_mg_g]]-Table13[[#This Row],[qt]])</f>
        <v>2.4563436392190421</v>
      </c>
      <c r="R82" s="1">
        <v>3</v>
      </c>
    </row>
    <row r="83" spans="1:18" x14ac:dyDescent="0.3">
      <c r="A83" s="1">
        <v>82</v>
      </c>
      <c r="B83" s="1" t="s">
        <v>16</v>
      </c>
      <c r="C83" s="1">
        <v>0.5</v>
      </c>
      <c r="D83" s="1">
        <v>120</v>
      </c>
      <c r="E83" s="1">
        <v>50</v>
      </c>
      <c r="F83" s="1">
        <v>3</v>
      </c>
      <c r="G83" s="1">
        <v>25</v>
      </c>
      <c r="H83" s="1">
        <v>150</v>
      </c>
      <c r="I83" s="1">
        <v>100</v>
      </c>
      <c r="J83" s="1">
        <v>45.368000000000002</v>
      </c>
      <c r="K83" s="1">
        <v>27.315999999999999</v>
      </c>
      <c r="L83" s="1">
        <v>45.37</v>
      </c>
      <c r="M83" s="1">
        <v>54.5</v>
      </c>
      <c r="N83" s="1">
        <v>5.0209999999999998E-2</v>
      </c>
      <c r="O83" s="1">
        <v>3.2370000000000001E-4</v>
      </c>
      <c r="P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28.943854431202048</v>
      </c>
      <c r="Q83" s="1">
        <f>LN(Table13[[#This Row],[qe_mg_g]]-Table13[[#This Row],[qt]])</f>
        <v>2.7987525428530704</v>
      </c>
      <c r="R83" s="1">
        <v>1</v>
      </c>
    </row>
    <row r="84" spans="1:18" x14ac:dyDescent="0.3">
      <c r="A84" s="1">
        <v>83</v>
      </c>
      <c r="B84" s="1" t="s">
        <v>16</v>
      </c>
      <c r="C84" s="1">
        <v>0.5</v>
      </c>
      <c r="D84" s="1">
        <v>120</v>
      </c>
      <c r="E84" s="1">
        <v>50</v>
      </c>
      <c r="F84" s="1">
        <v>3</v>
      </c>
      <c r="G84" s="1">
        <v>25</v>
      </c>
      <c r="H84" s="1">
        <v>150</v>
      </c>
      <c r="I84" s="1">
        <v>100</v>
      </c>
      <c r="J84" s="1">
        <v>51.802</v>
      </c>
      <c r="K84" s="1">
        <v>24.099</v>
      </c>
      <c r="L84" s="1">
        <v>51.8</v>
      </c>
      <c r="M84" s="1">
        <v>73</v>
      </c>
      <c r="N84" s="1">
        <v>4.4940000000000001E-2</v>
      </c>
      <c r="O84" s="1">
        <v>2.7310000000000002E-4</v>
      </c>
      <c r="P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32.599397282148679</v>
      </c>
      <c r="Q84" s="1">
        <f>LN(Table13[[#This Row],[qe_mg_g]]-Table13[[#This Row],[qt]])</f>
        <v>2.9550458280679734</v>
      </c>
      <c r="R84" s="1">
        <v>2</v>
      </c>
    </row>
    <row r="85" spans="1:18" x14ac:dyDescent="0.3">
      <c r="A85" s="1">
        <v>84</v>
      </c>
      <c r="B85" s="1" t="s">
        <v>16</v>
      </c>
      <c r="C85" s="1">
        <v>0.5</v>
      </c>
      <c r="D85" s="1">
        <v>120</v>
      </c>
      <c r="E85" s="1">
        <v>50</v>
      </c>
      <c r="F85" s="1">
        <v>3</v>
      </c>
      <c r="G85" s="1">
        <v>25</v>
      </c>
      <c r="H85" s="1">
        <v>150</v>
      </c>
      <c r="I85" s="1">
        <v>100</v>
      </c>
      <c r="J85" s="1">
        <v>49.637999999999998</v>
      </c>
      <c r="K85" s="1">
        <v>25.181000000000001</v>
      </c>
      <c r="L85" s="1">
        <v>49.64</v>
      </c>
      <c r="M85" s="1">
        <v>59.9</v>
      </c>
      <c r="N85" s="1">
        <v>4.9390000000000003E-2</v>
      </c>
      <c r="O85" s="1">
        <v>2.9559999999999998E-4</v>
      </c>
      <c r="P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31.658162732515901</v>
      </c>
      <c r="Q85" s="1">
        <f>LN(Table13[[#This Row],[qe_mg_g]]-Table13[[#This Row],[qt]])</f>
        <v>2.8892509782507974</v>
      </c>
      <c r="R85" s="1">
        <v>3</v>
      </c>
    </row>
    <row r="86" spans="1:18" x14ac:dyDescent="0.3">
      <c r="A86" s="1">
        <v>85</v>
      </c>
      <c r="B86" s="1" t="s">
        <v>16</v>
      </c>
      <c r="C86" s="1">
        <v>0.5</v>
      </c>
      <c r="D86" s="1">
        <v>120</v>
      </c>
      <c r="E86" s="1">
        <v>50</v>
      </c>
      <c r="F86" s="1">
        <v>7</v>
      </c>
      <c r="G86" s="1">
        <v>25</v>
      </c>
      <c r="H86" s="1">
        <v>150</v>
      </c>
      <c r="I86" s="1">
        <v>100</v>
      </c>
      <c r="J86" s="1">
        <v>66.182000000000002</v>
      </c>
      <c r="K86" s="1">
        <v>16.908999999999999</v>
      </c>
      <c r="L86" s="1">
        <v>66.180000000000007</v>
      </c>
      <c r="M86" s="1">
        <v>63.5</v>
      </c>
      <c r="N86" s="1">
        <v>4.6859999999999999E-2</v>
      </c>
      <c r="O86" s="1">
        <v>2.831E-4</v>
      </c>
      <c r="P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45.807869266588405</v>
      </c>
      <c r="Q86" s="1">
        <f>LN(Table13[[#This Row],[qe_mg_g]]-Table13[[#This Row],[qt]])</f>
        <v>3.0142659948259762</v>
      </c>
      <c r="R86" s="1">
        <v>1</v>
      </c>
    </row>
    <row r="87" spans="1:18" x14ac:dyDescent="0.3">
      <c r="A87" s="1">
        <v>86</v>
      </c>
      <c r="B87" s="1" t="s">
        <v>16</v>
      </c>
      <c r="C87" s="1">
        <v>0.5</v>
      </c>
      <c r="D87" s="1">
        <v>120</v>
      </c>
      <c r="E87" s="1">
        <v>50</v>
      </c>
      <c r="F87" s="1">
        <v>7</v>
      </c>
      <c r="G87" s="1">
        <v>25</v>
      </c>
      <c r="H87" s="1">
        <v>150</v>
      </c>
      <c r="I87" s="1">
        <v>100</v>
      </c>
      <c r="J87" s="1">
        <v>66.2</v>
      </c>
      <c r="K87" s="1">
        <v>16.899999999999999</v>
      </c>
      <c r="L87" s="1">
        <v>66.2</v>
      </c>
      <c r="M87" s="1">
        <v>69.099999999999994</v>
      </c>
      <c r="N87" s="1">
        <v>4.6100000000000002E-2</v>
      </c>
      <c r="O87" s="1">
        <v>2.8479999999999998E-4</v>
      </c>
      <c r="P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45.908508743364507</v>
      </c>
      <c r="Q87" s="1">
        <f>LN(Table13[[#This Row],[qe_mg_g]]-Table13[[#This Row],[qt]])</f>
        <v>3.0102016482604266</v>
      </c>
      <c r="R87" s="1">
        <v>2</v>
      </c>
    </row>
    <row r="88" spans="1:18" x14ac:dyDescent="0.3">
      <c r="A88" s="1">
        <v>87</v>
      </c>
      <c r="B88" s="1" t="s">
        <v>16</v>
      </c>
      <c r="C88" s="1">
        <v>0.5</v>
      </c>
      <c r="D88" s="1">
        <v>120</v>
      </c>
      <c r="E88" s="1">
        <v>50</v>
      </c>
      <c r="F88" s="1">
        <v>7</v>
      </c>
      <c r="G88" s="1">
        <v>25</v>
      </c>
      <c r="H88" s="1">
        <v>150</v>
      </c>
      <c r="I88" s="1">
        <v>100</v>
      </c>
      <c r="J88" s="1">
        <v>68.191000000000003</v>
      </c>
      <c r="K88" s="1">
        <v>15.904</v>
      </c>
      <c r="L88" s="1">
        <v>68.19</v>
      </c>
      <c r="M88" s="1">
        <v>69</v>
      </c>
      <c r="N88" s="1">
        <v>3.848E-2</v>
      </c>
      <c r="O88" s="1">
        <v>2.5779999999999998E-4</v>
      </c>
      <c r="P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46.261508142411877</v>
      </c>
      <c r="Q88" s="1">
        <f>LN(Table13[[#This Row],[qe_mg_g]]-Table13[[#This Row],[qt]])</f>
        <v>3.0878323910527299</v>
      </c>
      <c r="R88" s="1">
        <v>3</v>
      </c>
    </row>
    <row r="89" spans="1:18" x14ac:dyDescent="0.3">
      <c r="A89" s="1">
        <v>88</v>
      </c>
      <c r="B89" s="1" t="s">
        <v>16</v>
      </c>
      <c r="C89" s="1">
        <v>0.5</v>
      </c>
      <c r="D89" s="1">
        <v>120</v>
      </c>
      <c r="E89" s="1">
        <v>50</v>
      </c>
      <c r="F89" s="1">
        <v>11</v>
      </c>
      <c r="G89" s="1">
        <v>25</v>
      </c>
      <c r="H89" s="1">
        <v>150</v>
      </c>
      <c r="I89" s="1">
        <v>100</v>
      </c>
      <c r="J89" s="1">
        <v>54.542000000000002</v>
      </c>
      <c r="K89" s="1">
        <v>22.728999999999999</v>
      </c>
      <c r="L89" s="1">
        <v>54.54</v>
      </c>
      <c r="M89" s="1">
        <v>64.5</v>
      </c>
      <c r="N89" s="1">
        <v>4.6399999999999997E-2</v>
      </c>
      <c r="O89" s="1">
        <v>3.4430000000000002E-4</v>
      </c>
      <c r="P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37.777679635506217</v>
      </c>
      <c r="Q89" s="1">
        <f>LN(Table13[[#This Row],[qe_mg_g]]-Table13[[#This Row],[qt]])</f>
        <v>2.8192528401459018</v>
      </c>
      <c r="R89" s="1">
        <v>1</v>
      </c>
    </row>
    <row r="90" spans="1:18" x14ac:dyDescent="0.3">
      <c r="A90" s="1">
        <v>89</v>
      </c>
      <c r="B90" s="1" t="s">
        <v>16</v>
      </c>
      <c r="C90" s="1">
        <v>0.5</v>
      </c>
      <c r="D90" s="1">
        <v>120</v>
      </c>
      <c r="E90" s="1">
        <v>50</v>
      </c>
      <c r="F90" s="1">
        <v>11</v>
      </c>
      <c r="G90" s="1">
        <v>25</v>
      </c>
      <c r="H90" s="1">
        <v>150</v>
      </c>
      <c r="I90" s="1">
        <v>100</v>
      </c>
      <c r="J90" s="1">
        <v>61.838999999999999</v>
      </c>
      <c r="K90" s="1">
        <v>19.081</v>
      </c>
      <c r="L90" s="1">
        <v>61.84</v>
      </c>
      <c r="M90" s="1">
        <v>65.099999999999994</v>
      </c>
      <c r="N90" s="1">
        <v>4.4909999999999999E-2</v>
      </c>
      <c r="O90" s="1">
        <v>2.699E-4</v>
      </c>
      <c r="P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41.245505691023588</v>
      </c>
      <c r="Q90" s="1">
        <f>LN(Table13[[#This Row],[qe_mg_g]]-Table13[[#This Row],[qt]])</f>
        <v>3.0249752156731149</v>
      </c>
      <c r="R90" s="1">
        <v>2</v>
      </c>
    </row>
    <row r="91" spans="1:18" x14ac:dyDescent="0.3">
      <c r="A91" s="1">
        <v>90</v>
      </c>
      <c r="B91" s="1" t="s">
        <v>16</v>
      </c>
      <c r="C91" s="1">
        <v>0.5</v>
      </c>
      <c r="D91" s="1">
        <v>120</v>
      </c>
      <c r="E91" s="1">
        <v>50</v>
      </c>
      <c r="F91" s="1">
        <v>11</v>
      </c>
      <c r="G91" s="1">
        <v>25</v>
      </c>
      <c r="H91" s="1">
        <v>150</v>
      </c>
      <c r="I91" s="1">
        <v>100</v>
      </c>
      <c r="J91" s="1">
        <v>57.781999999999996</v>
      </c>
      <c r="K91" s="1">
        <v>21.109000000000002</v>
      </c>
      <c r="L91" s="1">
        <v>57.78</v>
      </c>
      <c r="M91" s="1">
        <v>63.8</v>
      </c>
      <c r="N91" s="1">
        <v>4.6449999999999998E-2</v>
      </c>
      <c r="O91" s="1">
        <v>2.7520000000000002E-4</v>
      </c>
      <c r="P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37.913303318061203</v>
      </c>
      <c r="Q91" s="1">
        <f>LN(Table13[[#This Row],[qe_mg_g]]-Table13[[#This Row],[qt]])</f>
        <v>2.9891454621597568</v>
      </c>
      <c r="R91" s="1">
        <v>3</v>
      </c>
    </row>
    <row r="92" spans="1:18" x14ac:dyDescent="0.3">
      <c r="A92" s="1">
        <v>91</v>
      </c>
      <c r="B92" s="1" t="s">
        <v>16</v>
      </c>
      <c r="C92" s="1">
        <v>0.5</v>
      </c>
      <c r="D92" s="1">
        <v>120</v>
      </c>
      <c r="E92" s="1">
        <v>100</v>
      </c>
      <c r="F92" s="1">
        <v>3</v>
      </c>
      <c r="G92" s="1">
        <v>25</v>
      </c>
      <c r="H92" s="1">
        <v>150</v>
      </c>
      <c r="I92" s="1">
        <v>100</v>
      </c>
      <c r="J92" s="1">
        <v>109.866</v>
      </c>
      <c r="K92" s="1">
        <v>45.067</v>
      </c>
      <c r="L92" s="1">
        <v>54.93</v>
      </c>
      <c r="M92" s="1">
        <v>82</v>
      </c>
      <c r="N92" s="1">
        <v>4.4510000000000001E-2</v>
      </c>
      <c r="O92" s="1">
        <v>3.121E-4</v>
      </c>
      <c r="P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88.385567278624279</v>
      </c>
      <c r="Q92" s="1">
        <f>LN(Table13[[#This Row],[qe_mg_g]]-Table13[[#This Row],[qt]])</f>
        <v>3.0671424147531932</v>
      </c>
      <c r="R92" s="1">
        <v>1</v>
      </c>
    </row>
    <row r="93" spans="1:18" x14ac:dyDescent="0.3">
      <c r="A93" s="1">
        <v>92</v>
      </c>
      <c r="B93" s="1" t="s">
        <v>16</v>
      </c>
      <c r="C93" s="1">
        <v>0.5</v>
      </c>
      <c r="D93" s="1">
        <v>120</v>
      </c>
      <c r="E93" s="1">
        <v>100</v>
      </c>
      <c r="F93" s="1">
        <v>3</v>
      </c>
      <c r="G93" s="1">
        <v>25</v>
      </c>
      <c r="H93" s="1">
        <v>150</v>
      </c>
      <c r="I93" s="1">
        <v>100</v>
      </c>
      <c r="J93" s="1">
        <v>111.307</v>
      </c>
      <c r="K93" s="1">
        <v>44.345999999999997</v>
      </c>
      <c r="L93" s="1">
        <v>55.65</v>
      </c>
      <c r="M93" s="1">
        <v>62.7</v>
      </c>
      <c r="N93" s="1">
        <v>4.6010000000000002E-2</v>
      </c>
      <c r="O93" s="1">
        <v>3.0039999999999998E-4</v>
      </c>
      <c r="P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89.100648373187497</v>
      </c>
      <c r="Q93" s="1">
        <f>LN(Table13[[#This Row],[qe_mg_g]]-Table13[[#This Row],[qt]])</f>
        <v>3.1003783572726471</v>
      </c>
      <c r="R93" s="1">
        <v>2</v>
      </c>
    </row>
    <row r="94" spans="1:18" x14ac:dyDescent="0.3">
      <c r="A94" s="1">
        <v>93</v>
      </c>
      <c r="B94" s="1" t="s">
        <v>16</v>
      </c>
      <c r="C94" s="1">
        <v>0.5</v>
      </c>
      <c r="D94" s="1">
        <v>120</v>
      </c>
      <c r="E94" s="1">
        <v>100</v>
      </c>
      <c r="F94" s="1">
        <v>3</v>
      </c>
      <c r="G94" s="1">
        <v>25</v>
      </c>
      <c r="H94" s="1">
        <v>150</v>
      </c>
      <c r="I94" s="1">
        <v>100</v>
      </c>
      <c r="J94" s="1">
        <v>106.30800000000001</v>
      </c>
      <c r="K94" s="1">
        <v>46.845999999999997</v>
      </c>
      <c r="L94" s="1">
        <v>53.15</v>
      </c>
      <c r="M94" s="1">
        <v>58.9</v>
      </c>
      <c r="N94" s="1">
        <v>4.5109999999999997E-2</v>
      </c>
      <c r="O94" s="1">
        <v>3.1490000000000001E-4</v>
      </c>
      <c r="P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85.11914854819463</v>
      </c>
      <c r="Q94" s="1">
        <f>LN(Table13[[#This Row],[qe_mg_g]]-Table13[[#This Row],[qt]])</f>
        <v>3.053475168442418</v>
      </c>
      <c r="R94" s="1">
        <v>3</v>
      </c>
    </row>
    <row r="95" spans="1:18" x14ac:dyDescent="0.3">
      <c r="A95" s="1">
        <v>94</v>
      </c>
      <c r="B95" s="1" t="s">
        <v>16</v>
      </c>
      <c r="C95" s="1">
        <v>0.5</v>
      </c>
      <c r="D95" s="1">
        <v>120</v>
      </c>
      <c r="E95" s="1">
        <v>100</v>
      </c>
      <c r="F95" s="1">
        <v>7</v>
      </c>
      <c r="G95" s="1">
        <v>25</v>
      </c>
      <c r="H95" s="1">
        <v>150</v>
      </c>
      <c r="I95" s="1">
        <v>100</v>
      </c>
      <c r="J95" s="1">
        <v>164.28100000000001</v>
      </c>
      <c r="K95" s="1">
        <v>17.86</v>
      </c>
      <c r="L95" s="1">
        <v>82.14</v>
      </c>
      <c r="M95" s="1">
        <v>76.3</v>
      </c>
      <c r="N95" s="1">
        <v>5.4690000000000003E-2</v>
      </c>
      <c r="O95" s="1">
        <v>2.7700000000000001E-4</v>
      </c>
      <c r="P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138.85326170356228</v>
      </c>
      <c r="Q95" s="1">
        <f>LN(Table13[[#This Row],[qe_mg_g]]-Table13[[#This Row],[qt]])</f>
        <v>3.2358406370767971</v>
      </c>
      <c r="R95" s="1">
        <v>1</v>
      </c>
    </row>
    <row r="96" spans="1:18" x14ac:dyDescent="0.3">
      <c r="A96" s="1">
        <v>95</v>
      </c>
      <c r="B96" s="1" t="s">
        <v>16</v>
      </c>
      <c r="C96" s="1">
        <v>0.5</v>
      </c>
      <c r="D96" s="1">
        <v>120</v>
      </c>
      <c r="E96" s="1">
        <v>100</v>
      </c>
      <c r="F96" s="1">
        <v>7</v>
      </c>
      <c r="G96" s="1">
        <v>25</v>
      </c>
      <c r="H96" s="1">
        <v>150</v>
      </c>
      <c r="I96" s="1">
        <v>100</v>
      </c>
      <c r="J96" s="1">
        <v>157.465</v>
      </c>
      <c r="K96" s="1">
        <v>21.268000000000001</v>
      </c>
      <c r="L96" s="1">
        <v>78.73</v>
      </c>
      <c r="M96" s="1">
        <v>68.5</v>
      </c>
      <c r="N96" s="1">
        <v>5.4850000000000003E-2</v>
      </c>
      <c r="O96" s="1">
        <v>2.7579999999999998E-4</v>
      </c>
      <c r="P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132.11428399686619</v>
      </c>
      <c r="Q96" s="1">
        <f>LN(Table13[[#This Row],[qe_mg_g]]-Table13[[#This Row],[qt]])</f>
        <v>3.2328069743378767</v>
      </c>
      <c r="R96" s="1">
        <v>2</v>
      </c>
    </row>
    <row r="97" spans="1:18" x14ac:dyDescent="0.3">
      <c r="A97" s="1">
        <v>96</v>
      </c>
      <c r="B97" s="1" t="s">
        <v>16</v>
      </c>
      <c r="C97" s="1">
        <v>0.5</v>
      </c>
      <c r="D97" s="1">
        <v>120</v>
      </c>
      <c r="E97" s="1">
        <v>100</v>
      </c>
      <c r="F97" s="1">
        <v>7</v>
      </c>
      <c r="G97" s="1">
        <v>25</v>
      </c>
      <c r="H97" s="1">
        <v>150</v>
      </c>
      <c r="I97" s="1">
        <v>100</v>
      </c>
      <c r="J97" s="1">
        <v>137.30500000000001</v>
      </c>
      <c r="K97" s="1">
        <v>31.347999999999999</v>
      </c>
      <c r="L97" s="1">
        <v>68.650000000000006</v>
      </c>
      <c r="M97" s="1">
        <v>60.7</v>
      </c>
      <c r="N97" s="1">
        <v>3.5439999999999999E-2</v>
      </c>
      <c r="O97" s="1">
        <v>2.8420000000000002E-4</v>
      </c>
      <c r="P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113.14285614714962</v>
      </c>
      <c r="Q97" s="1">
        <f>LN(Table13[[#This Row],[qe_mg_g]]-Table13[[#This Row],[qt]])</f>
        <v>3.1847871047610656</v>
      </c>
      <c r="R97" s="1">
        <v>3</v>
      </c>
    </row>
    <row r="98" spans="1:18" x14ac:dyDescent="0.3">
      <c r="A98" s="1">
        <v>97</v>
      </c>
      <c r="B98" s="1" t="s">
        <v>16</v>
      </c>
      <c r="C98" s="1">
        <v>0.5</v>
      </c>
      <c r="D98" s="1">
        <v>120</v>
      </c>
      <c r="E98" s="1">
        <v>100</v>
      </c>
      <c r="F98" s="1">
        <v>11</v>
      </c>
      <c r="G98" s="1">
        <v>25</v>
      </c>
      <c r="H98" s="1">
        <v>150</v>
      </c>
      <c r="I98" s="1">
        <v>100</v>
      </c>
      <c r="J98" s="1">
        <v>114.68899999999999</v>
      </c>
      <c r="K98" s="1">
        <v>42.655999999999999</v>
      </c>
      <c r="L98" s="1">
        <v>57.34</v>
      </c>
      <c r="M98" s="1">
        <v>68.2</v>
      </c>
      <c r="N98" s="1">
        <v>4.6539999999999998E-2</v>
      </c>
      <c r="O98" s="1">
        <v>3.5629999999999999E-4</v>
      </c>
      <c r="P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95.262181296106334</v>
      </c>
      <c r="Q98" s="1">
        <f>LN(Table13[[#This Row],[qe_mg_g]]-Table13[[#This Row],[qt]])</f>
        <v>2.9666545188410525</v>
      </c>
      <c r="R98" s="1">
        <v>1</v>
      </c>
    </row>
    <row r="99" spans="1:18" x14ac:dyDescent="0.3">
      <c r="A99" s="1">
        <v>98</v>
      </c>
      <c r="B99" s="1" t="s">
        <v>16</v>
      </c>
      <c r="C99" s="1">
        <v>0.5</v>
      </c>
      <c r="D99" s="1">
        <v>120</v>
      </c>
      <c r="E99" s="1">
        <v>100</v>
      </c>
      <c r="F99" s="1">
        <v>11</v>
      </c>
      <c r="G99" s="1">
        <v>25</v>
      </c>
      <c r="H99" s="1">
        <v>150</v>
      </c>
      <c r="I99" s="1">
        <v>100</v>
      </c>
      <c r="J99" s="1">
        <v>131.38800000000001</v>
      </c>
      <c r="K99" s="1">
        <v>34.305999999999997</v>
      </c>
      <c r="L99" s="1">
        <v>65.69</v>
      </c>
      <c r="M99" s="1">
        <v>60.9</v>
      </c>
      <c r="N99" s="1">
        <v>4.0960000000000003E-2</v>
      </c>
      <c r="O99" s="1">
        <v>3.1480000000000001E-4</v>
      </c>
      <c r="P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109.35528126443798</v>
      </c>
      <c r="Q99" s="1">
        <f>LN(Table13[[#This Row],[qe_mg_g]]-Table13[[#This Row],[qt]])</f>
        <v>3.0925285638017885</v>
      </c>
      <c r="R99" s="1">
        <v>2</v>
      </c>
    </row>
    <row r="100" spans="1:18" x14ac:dyDescent="0.3">
      <c r="A100" s="1">
        <v>99</v>
      </c>
      <c r="B100" s="1" t="s">
        <v>16</v>
      </c>
      <c r="C100" s="1">
        <v>0.5</v>
      </c>
      <c r="D100" s="1">
        <v>120</v>
      </c>
      <c r="E100" s="1">
        <v>100</v>
      </c>
      <c r="F100" s="1">
        <v>11</v>
      </c>
      <c r="G100" s="1">
        <v>25</v>
      </c>
      <c r="H100" s="1">
        <v>150</v>
      </c>
      <c r="I100" s="1">
        <v>100</v>
      </c>
      <c r="J100" s="1">
        <v>109.208</v>
      </c>
      <c r="K100" s="1">
        <v>45.396000000000001</v>
      </c>
      <c r="L100" s="1">
        <v>54.6</v>
      </c>
      <c r="M100" s="1">
        <v>85</v>
      </c>
      <c r="N100" s="1">
        <v>5.0310000000000001E-2</v>
      </c>
      <c r="O100" s="1">
        <v>2.8590000000000001E-4</v>
      </c>
      <c r="P1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86.20089728216999</v>
      </c>
      <c r="Q100" s="1">
        <f>LN(Table13[[#This Row],[qe_mg_g]]-Table13[[#This Row],[qt]])</f>
        <v>3.1358029820746731</v>
      </c>
      <c r="R100" s="1">
        <v>3</v>
      </c>
    </row>
    <row r="101" spans="1:18" x14ac:dyDescent="0.3">
      <c r="A101" s="1">
        <v>100</v>
      </c>
      <c r="B101" s="1" t="s">
        <v>16</v>
      </c>
      <c r="C101" s="1">
        <v>0.5</v>
      </c>
      <c r="D101" s="1">
        <v>120</v>
      </c>
      <c r="E101" s="1">
        <v>200</v>
      </c>
      <c r="F101" s="1">
        <v>3</v>
      </c>
      <c r="G101" s="1">
        <v>25</v>
      </c>
      <c r="H101" s="1">
        <v>150</v>
      </c>
      <c r="I101" s="1">
        <v>100</v>
      </c>
      <c r="J101" s="1">
        <v>129.262</v>
      </c>
      <c r="K101" s="1">
        <v>135.369</v>
      </c>
      <c r="L101" s="1">
        <v>32.32</v>
      </c>
      <c r="M101" s="1">
        <v>80.2</v>
      </c>
      <c r="N101" s="1">
        <v>4.4479999999999999E-2</v>
      </c>
      <c r="O101" s="1">
        <v>3.3710000000000001E-4</v>
      </c>
      <c r="P1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108.51004272192097</v>
      </c>
      <c r="Q101" s="1">
        <f>LN(Table13[[#This Row],[qe_mg_g]]-Table13[[#This Row],[qt]])</f>
        <v>3.0326405688826394</v>
      </c>
      <c r="R101" s="1">
        <v>1</v>
      </c>
    </row>
    <row r="102" spans="1:18" x14ac:dyDescent="0.3">
      <c r="A102" s="1">
        <v>101</v>
      </c>
      <c r="B102" s="1" t="s">
        <v>16</v>
      </c>
      <c r="C102" s="1">
        <v>0.5</v>
      </c>
      <c r="D102" s="1">
        <v>120</v>
      </c>
      <c r="E102" s="1">
        <v>200</v>
      </c>
      <c r="F102" s="1">
        <v>3</v>
      </c>
      <c r="G102" s="1">
        <v>25</v>
      </c>
      <c r="H102" s="1">
        <v>150</v>
      </c>
      <c r="I102" s="1">
        <v>100</v>
      </c>
      <c r="J102" s="1">
        <v>130.684</v>
      </c>
      <c r="K102" s="1">
        <v>134.65799999999999</v>
      </c>
      <c r="L102" s="1">
        <v>32.67</v>
      </c>
      <c r="M102" s="1">
        <v>60.7</v>
      </c>
      <c r="N102" s="1">
        <v>4.5019999999999998E-2</v>
      </c>
      <c r="O102" s="1">
        <v>3.0140000000000001E-4</v>
      </c>
      <c r="P1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107.86339418836039</v>
      </c>
      <c r="Q102" s="1">
        <f>LN(Table13[[#This Row],[qe_mg_g]]-Table13[[#This Row],[qt]])</f>
        <v>3.1276638914803097</v>
      </c>
      <c r="R102" s="1">
        <v>2</v>
      </c>
    </row>
    <row r="103" spans="1:18" x14ac:dyDescent="0.3">
      <c r="A103" s="1">
        <v>102</v>
      </c>
      <c r="B103" s="1" t="s">
        <v>16</v>
      </c>
      <c r="C103" s="1">
        <v>0.5</v>
      </c>
      <c r="D103" s="1">
        <v>120</v>
      </c>
      <c r="E103" s="1">
        <v>200</v>
      </c>
      <c r="F103" s="1">
        <v>3</v>
      </c>
      <c r="G103" s="1">
        <v>25</v>
      </c>
      <c r="H103" s="1">
        <v>150</v>
      </c>
      <c r="I103" s="1">
        <v>100</v>
      </c>
      <c r="J103" s="1">
        <v>144.398</v>
      </c>
      <c r="K103" s="1">
        <v>127.801</v>
      </c>
      <c r="L103" s="1">
        <v>36.1</v>
      </c>
      <c r="M103" s="1">
        <v>72.900000000000006</v>
      </c>
      <c r="N103" s="1">
        <v>4.02E-2</v>
      </c>
      <c r="O103" s="1">
        <v>2.9569999999999998E-4</v>
      </c>
      <c r="P1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120.81826835258499</v>
      </c>
      <c r="Q103" s="1">
        <f>LN(Table13[[#This Row],[qe_mg_g]]-Table13[[#This Row],[qt]])</f>
        <v>3.1603875145277147</v>
      </c>
      <c r="R103" s="1">
        <v>3</v>
      </c>
    </row>
    <row r="104" spans="1:18" x14ac:dyDescent="0.3">
      <c r="A104" s="1">
        <v>103</v>
      </c>
      <c r="B104" s="1" t="s">
        <v>16</v>
      </c>
      <c r="C104" s="1">
        <v>0.5</v>
      </c>
      <c r="D104" s="1">
        <v>120</v>
      </c>
      <c r="E104" s="1">
        <v>200</v>
      </c>
      <c r="F104" s="1">
        <v>7</v>
      </c>
      <c r="G104" s="1">
        <v>25</v>
      </c>
      <c r="H104" s="1">
        <v>150</v>
      </c>
      <c r="I104" s="1">
        <v>100</v>
      </c>
      <c r="J104" s="1">
        <v>208.84</v>
      </c>
      <c r="K104" s="1">
        <v>95.58</v>
      </c>
      <c r="L104" s="1">
        <v>52.21</v>
      </c>
      <c r="M104" s="1">
        <v>71.8</v>
      </c>
      <c r="N104" s="1">
        <v>4.82E-2</v>
      </c>
      <c r="O104" s="1">
        <v>2.6630000000000002E-4</v>
      </c>
      <c r="P1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181.62493505779719</v>
      </c>
      <c r="Q104" s="1">
        <f>LN(Table13[[#This Row],[qe_mg_g]]-Table13[[#This Row],[qt]])</f>
        <v>3.3037706781483469</v>
      </c>
      <c r="R104" s="1">
        <v>1</v>
      </c>
    </row>
    <row r="105" spans="1:18" x14ac:dyDescent="0.3">
      <c r="A105" s="1">
        <v>104</v>
      </c>
      <c r="B105" s="1" t="s">
        <v>16</v>
      </c>
      <c r="C105" s="1">
        <v>0.5</v>
      </c>
      <c r="D105" s="1">
        <v>120</v>
      </c>
      <c r="E105" s="1">
        <v>200</v>
      </c>
      <c r="F105" s="1">
        <v>7</v>
      </c>
      <c r="G105" s="1">
        <v>25</v>
      </c>
      <c r="H105" s="1">
        <v>150</v>
      </c>
      <c r="I105" s="1">
        <v>100</v>
      </c>
      <c r="J105" s="1">
        <v>181.46299999999999</v>
      </c>
      <c r="K105" s="1">
        <v>109.26900000000001</v>
      </c>
      <c r="L105" s="1">
        <v>45.37</v>
      </c>
      <c r="M105" s="1">
        <v>79.400000000000006</v>
      </c>
      <c r="N105" s="1">
        <v>4.65E-2</v>
      </c>
      <c r="O105" s="1">
        <v>2.7750000000000002E-4</v>
      </c>
      <c r="P1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155.69695305951419</v>
      </c>
      <c r="Q105" s="1">
        <f>LN(Table13[[#This Row],[qe_mg_g]]-Table13[[#This Row],[qt]])</f>
        <v>3.2490576151671693</v>
      </c>
      <c r="R105" s="1">
        <v>2</v>
      </c>
    </row>
    <row r="106" spans="1:18" x14ac:dyDescent="0.3">
      <c r="A106" s="1">
        <v>105</v>
      </c>
      <c r="B106" s="1" t="s">
        <v>16</v>
      </c>
      <c r="C106" s="1">
        <v>0.5</v>
      </c>
      <c r="D106" s="1">
        <v>120</v>
      </c>
      <c r="E106" s="1">
        <v>200</v>
      </c>
      <c r="F106" s="1">
        <v>7</v>
      </c>
      <c r="G106" s="1">
        <v>25</v>
      </c>
      <c r="H106" s="1">
        <v>150</v>
      </c>
      <c r="I106" s="1">
        <v>100</v>
      </c>
      <c r="J106" s="1">
        <v>232.518</v>
      </c>
      <c r="K106" s="1">
        <v>83.741</v>
      </c>
      <c r="L106" s="1">
        <v>58.13</v>
      </c>
      <c r="M106" s="1">
        <v>67.8</v>
      </c>
      <c r="N106" s="1">
        <v>5.0310000000000001E-2</v>
      </c>
      <c r="O106" s="1">
        <v>3.0200000000000002E-4</v>
      </c>
      <c r="P1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207.85145609708658</v>
      </c>
      <c r="Q106" s="1">
        <f>LN(Table13[[#This Row],[qe_mg_g]]-Table13[[#This Row],[qt]])</f>
        <v>3.2054478276147598</v>
      </c>
      <c r="R106" s="1">
        <v>3</v>
      </c>
    </row>
    <row r="107" spans="1:18" x14ac:dyDescent="0.3">
      <c r="A107" s="1">
        <v>106</v>
      </c>
      <c r="B107" s="1" t="s">
        <v>16</v>
      </c>
      <c r="C107" s="1">
        <v>0.5</v>
      </c>
      <c r="D107" s="1">
        <v>120</v>
      </c>
      <c r="E107" s="1">
        <v>200</v>
      </c>
      <c r="F107" s="1">
        <v>11</v>
      </c>
      <c r="G107" s="1">
        <v>25</v>
      </c>
      <c r="H107" s="1">
        <v>150</v>
      </c>
      <c r="I107" s="1">
        <v>100</v>
      </c>
      <c r="J107" s="1">
        <v>201.01</v>
      </c>
      <c r="K107" s="1">
        <v>99.495000000000005</v>
      </c>
      <c r="L107" s="1">
        <v>50.25</v>
      </c>
      <c r="M107" s="1">
        <v>84.2</v>
      </c>
      <c r="N107" s="1">
        <v>4.3880000000000002E-2</v>
      </c>
      <c r="O107" s="1">
        <v>3.2909999999999998E-4</v>
      </c>
      <c r="P1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178.52135068731937</v>
      </c>
      <c r="Q107" s="1">
        <f>LN(Table13[[#This Row],[qe_mg_g]]-Table13[[#This Row],[qt]])</f>
        <v>3.1130107069280815</v>
      </c>
      <c r="R107" s="1">
        <v>1</v>
      </c>
    </row>
    <row r="108" spans="1:18" x14ac:dyDescent="0.3">
      <c r="A108" s="1">
        <v>107</v>
      </c>
      <c r="B108" s="1" t="s">
        <v>16</v>
      </c>
      <c r="C108" s="1">
        <v>0.5</v>
      </c>
      <c r="D108" s="1">
        <v>120</v>
      </c>
      <c r="E108" s="1">
        <v>200</v>
      </c>
      <c r="F108" s="1">
        <v>11</v>
      </c>
      <c r="G108" s="1">
        <v>25</v>
      </c>
      <c r="H108" s="1">
        <v>150</v>
      </c>
      <c r="I108" s="1">
        <v>100</v>
      </c>
      <c r="J108" s="1">
        <v>181.471</v>
      </c>
      <c r="K108" s="1">
        <v>109.265</v>
      </c>
      <c r="L108" s="1">
        <v>45.37</v>
      </c>
      <c r="M108" s="1">
        <v>80.400000000000006</v>
      </c>
      <c r="N108" s="1">
        <v>4.0660000000000002E-2</v>
      </c>
      <c r="O108" s="1">
        <v>3.2059999999999999E-4</v>
      </c>
      <c r="P1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158.73469596962178</v>
      </c>
      <c r="Q108" s="1">
        <f>LN(Table13[[#This Row],[qe_mg_g]]-Table13[[#This Row],[qt]])</f>
        <v>3.1239629434670539</v>
      </c>
      <c r="R108" s="1">
        <v>2</v>
      </c>
    </row>
    <row r="109" spans="1:18" x14ac:dyDescent="0.3">
      <c r="A109" s="1">
        <v>108</v>
      </c>
      <c r="B109" s="1" t="s">
        <v>16</v>
      </c>
      <c r="C109" s="1">
        <v>0.5</v>
      </c>
      <c r="D109" s="1">
        <v>120</v>
      </c>
      <c r="E109" s="1">
        <v>200</v>
      </c>
      <c r="F109" s="1">
        <v>11</v>
      </c>
      <c r="G109" s="1">
        <v>25</v>
      </c>
      <c r="H109" s="1">
        <v>150</v>
      </c>
      <c r="I109" s="1">
        <v>100</v>
      </c>
      <c r="J109" s="1">
        <v>187.173</v>
      </c>
      <c r="K109" s="1">
        <v>106.414</v>
      </c>
      <c r="L109" s="1">
        <v>46.79</v>
      </c>
      <c r="M109" s="1">
        <v>49.1</v>
      </c>
      <c r="N109" s="1">
        <v>3.968E-2</v>
      </c>
      <c r="O109" s="1">
        <v>2.388E-4</v>
      </c>
      <c r="P1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157.76006822058775</v>
      </c>
      <c r="Q109" s="1">
        <f>LN(Table13[[#This Row],[qe_mg_g]]-Table13[[#This Row],[qt]])</f>
        <v>3.3814344340787419</v>
      </c>
      <c r="R109" s="1">
        <v>3</v>
      </c>
    </row>
    <row r="110" spans="1:18" x14ac:dyDescent="0.3">
      <c r="A110" s="1">
        <v>109</v>
      </c>
      <c r="B110" s="1" t="s">
        <v>16</v>
      </c>
      <c r="C110" s="1">
        <v>0.5</v>
      </c>
      <c r="D110" s="1">
        <v>240</v>
      </c>
      <c r="E110" s="1">
        <v>25</v>
      </c>
      <c r="F110" s="1">
        <v>3</v>
      </c>
      <c r="G110" s="1">
        <v>25</v>
      </c>
      <c r="H110" s="1">
        <v>150</v>
      </c>
      <c r="I110" s="1">
        <v>100</v>
      </c>
      <c r="J110" s="1">
        <v>24.687000000000001</v>
      </c>
      <c r="K110" s="1">
        <v>12.656000000000001</v>
      </c>
      <c r="L110" s="1">
        <v>49.37</v>
      </c>
      <c r="M110" s="1">
        <v>73.8</v>
      </c>
      <c r="N110" s="1">
        <v>5.176E-2</v>
      </c>
      <c r="O110" s="1">
        <v>3.0219999999999997E-4</v>
      </c>
      <c r="P1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15.840194344252877</v>
      </c>
      <c r="Q110" s="1">
        <f>LN(Table13[[#This Row],[qe_mg_g]]-Table13[[#This Row],[qt]])</f>
        <v>2.1800564510108553</v>
      </c>
      <c r="R110" s="1">
        <v>1</v>
      </c>
    </row>
    <row r="111" spans="1:18" x14ac:dyDescent="0.3">
      <c r="A111" s="1">
        <v>110</v>
      </c>
      <c r="B111" s="1" t="s">
        <v>16</v>
      </c>
      <c r="C111" s="1">
        <v>0.5</v>
      </c>
      <c r="D111" s="1">
        <v>240</v>
      </c>
      <c r="E111" s="1">
        <v>25</v>
      </c>
      <c r="F111" s="1">
        <v>3</v>
      </c>
      <c r="G111" s="1">
        <v>25</v>
      </c>
      <c r="H111" s="1">
        <v>150</v>
      </c>
      <c r="I111" s="1">
        <v>100</v>
      </c>
      <c r="J111" s="1">
        <v>28.518999999999998</v>
      </c>
      <c r="K111" s="1">
        <v>10.741</v>
      </c>
      <c r="L111" s="1">
        <v>57.04</v>
      </c>
      <c r="M111" s="1">
        <v>52.9</v>
      </c>
      <c r="N111" s="1">
        <v>3.7330000000000002E-2</v>
      </c>
      <c r="O111" s="1">
        <v>2.9829999999999999E-4</v>
      </c>
      <c r="P1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19.143092564770679</v>
      </c>
      <c r="Q111" s="1">
        <f>LN(Table13[[#This Row],[qe_mg_g]]-Table13[[#This Row],[qt]])</f>
        <v>2.2381433602634528</v>
      </c>
      <c r="R111" s="1">
        <v>2</v>
      </c>
    </row>
    <row r="112" spans="1:18" x14ac:dyDescent="0.3">
      <c r="A112" s="1">
        <v>111</v>
      </c>
      <c r="B112" s="1" t="s">
        <v>16</v>
      </c>
      <c r="C112" s="1">
        <v>0.5</v>
      </c>
      <c r="D112" s="1">
        <v>240</v>
      </c>
      <c r="E112" s="1">
        <v>25</v>
      </c>
      <c r="F112" s="1">
        <v>3</v>
      </c>
      <c r="G112" s="1">
        <v>25</v>
      </c>
      <c r="H112" s="1">
        <v>150</v>
      </c>
      <c r="I112" s="1">
        <v>100</v>
      </c>
      <c r="J112" s="1">
        <v>26.006</v>
      </c>
      <c r="K112" s="1">
        <v>11.997</v>
      </c>
      <c r="L112" s="1">
        <v>52.01</v>
      </c>
      <c r="M112" s="1">
        <v>66.3</v>
      </c>
      <c r="N112" s="1">
        <v>3.5700000000000003E-2</v>
      </c>
      <c r="O112" s="1">
        <v>2.9730000000000002E-4</v>
      </c>
      <c r="P1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16.898918783572196</v>
      </c>
      <c r="Q112" s="1">
        <f>LN(Table13[[#This Row],[qe_mg_g]]-Table13[[#This Row],[qt]])</f>
        <v>2.2090522665680754</v>
      </c>
      <c r="R112" s="1">
        <v>3</v>
      </c>
    </row>
    <row r="113" spans="1:18" x14ac:dyDescent="0.3">
      <c r="A113" s="1">
        <v>112</v>
      </c>
      <c r="B113" s="1" t="s">
        <v>16</v>
      </c>
      <c r="C113" s="1">
        <v>0.5</v>
      </c>
      <c r="D113" s="1">
        <v>240</v>
      </c>
      <c r="E113" s="1">
        <v>25</v>
      </c>
      <c r="F113" s="1">
        <v>7</v>
      </c>
      <c r="G113" s="1">
        <v>25</v>
      </c>
      <c r="H113" s="1">
        <v>150</v>
      </c>
      <c r="I113" s="1">
        <v>100</v>
      </c>
      <c r="J113" s="1">
        <v>32.424999999999997</v>
      </c>
      <c r="K113" s="1">
        <v>8.7880000000000003</v>
      </c>
      <c r="L113" s="1">
        <v>64.849999999999994</v>
      </c>
      <c r="M113" s="1">
        <v>73.400000000000006</v>
      </c>
      <c r="N113" s="1">
        <v>4.6649999999999997E-2</v>
      </c>
      <c r="O113" s="1">
        <v>2.7179999999999999E-4</v>
      </c>
      <c r="P1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22.016183416156583</v>
      </c>
      <c r="Q113" s="1">
        <f>LN(Table13[[#This Row],[qe_mg_g]]-Table13[[#This Row],[qt]])</f>
        <v>2.3426531954580518</v>
      </c>
      <c r="R113" s="1">
        <v>1</v>
      </c>
    </row>
    <row r="114" spans="1:18" x14ac:dyDescent="0.3">
      <c r="A114" s="1">
        <v>113</v>
      </c>
      <c r="B114" s="1" t="s">
        <v>16</v>
      </c>
      <c r="C114" s="1">
        <v>0.5</v>
      </c>
      <c r="D114" s="1">
        <v>240</v>
      </c>
      <c r="E114" s="1">
        <v>25</v>
      </c>
      <c r="F114" s="1">
        <v>7</v>
      </c>
      <c r="G114" s="1">
        <v>25</v>
      </c>
      <c r="H114" s="1">
        <v>150</v>
      </c>
      <c r="I114" s="1">
        <v>100</v>
      </c>
      <c r="J114" s="1">
        <v>34.715000000000003</v>
      </c>
      <c r="K114" s="1">
        <v>7.6429999999999998</v>
      </c>
      <c r="L114" s="1">
        <v>69.430000000000007</v>
      </c>
      <c r="M114" s="1">
        <v>56.1</v>
      </c>
      <c r="N114" s="1">
        <v>4.4720000000000003E-2</v>
      </c>
      <c r="O114" s="1">
        <v>3.2870000000000002E-4</v>
      </c>
      <c r="P1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25.429430910085919</v>
      </c>
      <c r="Q114" s="1">
        <f>LN(Table13[[#This Row],[qe_mg_g]]-Table13[[#This Row],[qt]])</f>
        <v>2.2284614842472821</v>
      </c>
      <c r="R114" s="1">
        <v>2</v>
      </c>
    </row>
    <row r="115" spans="1:18" x14ac:dyDescent="0.3">
      <c r="A115" s="1">
        <v>114</v>
      </c>
      <c r="B115" s="1" t="s">
        <v>16</v>
      </c>
      <c r="C115" s="1">
        <v>0.5</v>
      </c>
      <c r="D115" s="1">
        <v>240</v>
      </c>
      <c r="E115" s="1">
        <v>25</v>
      </c>
      <c r="F115" s="1">
        <v>7</v>
      </c>
      <c r="G115" s="1">
        <v>25</v>
      </c>
      <c r="H115" s="1">
        <v>150</v>
      </c>
      <c r="I115" s="1">
        <v>100</v>
      </c>
      <c r="J115" s="1">
        <v>33.347999999999999</v>
      </c>
      <c r="K115" s="1">
        <v>8.3260000000000005</v>
      </c>
      <c r="L115" s="1">
        <v>66.7</v>
      </c>
      <c r="M115" s="1">
        <v>71.7</v>
      </c>
      <c r="N115" s="1">
        <v>4.2610000000000002E-2</v>
      </c>
      <c r="O115" s="1">
        <v>2.7619999999999999E-4</v>
      </c>
      <c r="P1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22.961066558442884</v>
      </c>
      <c r="Q115" s="1">
        <f>LN(Table13[[#This Row],[qe_mg_g]]-Table13[[#This Row],[qt]])</f>
        <v>2.3405486163650413</v>
      </c>
      <c r="R115" s="1">
        <v>3</v>
      </c>
    </row>
    <row r="116" spans="1:18" x14ac:dyDescent="0.3">
      <c r="A116" s="1">
        <v>115</v>
      </c>
      <c r="B116" s="1" t="s">
        <v>16</v>
      </c>
      <c r="C116" s="1">
        <v>0.5</v>
      </c>
      <c r="D116" s="1">
        <v>240</v>
      </c>
      <c r="E116" s="1">
        <v>25</v>
      </c>
      <c r="F116" s="1">
        <v>11</v>
      </c>
      <c r="G116" s="1">
        <v>25</v>
      </c>
      <c r="H116" s="1">
        <v>150</v>
      </c>
      <c r="I116" s="1">
        <v>100</v>
      </c>
      <c r="J116" s="1">
        <v>29.327000000000002</v>
      </c>
      <c r="K116" s="1">
        <v>10.337</v>
      </c>
      <c r="L116" s="1">
        <v>58.65</v>
      </c>
      <c r="M116" s="1">
        <v>56.3</v>
      </c>
      <c r="N116" s="1">
        <v>4.2509999999999999E-2</v>
      </c>
      <c r="O116" s="1">
        <v>2.6410000000000002E-4</v>
      </c>
      <c r="P1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19.068724443747385</v>
      </c>
      <c r="Q116" s="1">
        <f>LN(Table13[[#This Row],[qe_mg_g]]-Table13[[#This Row],[qt]])</f>
        <v>2.328084751177216</v>
      </c>
      <c r="R116" s="1">
        <v>1</v>
      </c>
    </row>
    <row r="117" spans="1:18" x14ac:dyDescent="0.3">
      <c r="A117" s="1">
        <v>116</v>
      </c>
      <c r="B117" s="1" t="s">
        <v>16</v>
      </c>
      <c r="C117" s="1">
        <v>0.5</v>
      </c>
      <c r="D117" s="1">
        <v>240</v>
      </c>
      <c r="E117" s="1">
        <v>25</v>
      </c>
      <c r="F117" s="1">
        <v>11</v>
      </c>
      <c r="G117" s="1">
        <v>25</v>
      </c>
      <c r="H117" s="1">
        <v>150</v>
      </c>
      <c r="I117" s="1">
        <v>100</v>
      </c>
      <c r="J117" s="1">
        <v>34.229999999999997</v>
      </c>
      <c r="K117" s="1">
        <v>7.8849999999999998</v>
      </c>
      <c r="L117" s="1">
        <v>68.459999999999994</v>
      </c>
      <c r="M117" s="1">
        <v>67</v>
      </c>
      <c r="N117" s="1">
        <v>4.1849999999999998E-2</v>
      </c>
      <c r="O117" s="1">
        <v>3.0640000000000002E-4</v>
      </c>
      <c r="P1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24.497653129536072</v>
      </c>
      <c r="Q117" s="1">
        <f>LN(Table13[[#This Row],[qe_mg_g]]-Table13[[#This Row],[qt]])</f>
        <v>2.2754550665450379</v>
      </c>
      <c r="R117" s="1">
        <v>2</v>
      </c>
    </row>
    <row r="118" spans="1:18" x14ac:dyDescent="0.3">
      <c r="A118" s="1">
        <v>117</v>
      </c>
      <c r="B118" s="1" t="s">
        <v>16</v>
      </c>
      <c r="C118" s="1">
        <v>0.5</v>
      </c>
      <c r="D118" s="1">
        <v>240</v>
      </c>
      <c r="E118" s="1">
        <v>25</v>
      </c>
      <c r="F118" s="1">
        <v>11</v>
      </c>
      <c r="G118" s="1">
        <v>25</v>
      </c>
      <c r="H118" s="1">
        <v>150</v>
      </c>
      <c r="I118" s="1">
        <v>100</v>
      </c>
      <c r="J118" s="1">
        <v>29.314</v>
      </c>
      <c r="K118" s="1">
        <v>10.343</v>
      </c>
      <c r="L118" s="1">
        <v>58.63</v>
      </c>
      <c r="M118" s="1">
        <v>64.5</v>
      </c>
      <c r="N118" s="1">
        <v>4.7759999999999997E-2</v>
      </c>
      <c r="O118" s="1">
        <v>3.2269999999999998E-4</v>
      </c>
      <c r="P1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20.350325615488803</v>
      </c>
      <c r="Q118" s="1">
        <f>LN(Table13[[#This Row],[qe_mg_g]]-Table13[[#This Row],[qt]])</f>
        <v>2.1931802304809715</v>
      </c>
      <c r="R118" s="1">
        <v>3</v>
      </c>
    </row>
    <row r="119" spans="1:18" x14ac:dyDescent="0.3">
      <c r="A119" s="1">
        <v>118</v>
      </c>
      <c r="B119" s="1" t="s">
        <v>16</v>
      </c>
      <c r="C119" s="1">
        <v>0.5</v>
      </c>
      <c r="D119" s="1">
        <v>240</v>
      </c>
      <c r="E119" s="1">
        <v>50</v>
      </c>
      <c r="F119" s="1">
        <v>3</v>
      </c>
      <c r="G119" s="1">
        <v>25</v>
      </c>
      <c r="H119" s="1">
        <v>150</v>
      </c>
      <c r="I119" s="1">
        <v>100</v>
      </c>
      <c r="J119" s="1">
        <v>55.146000000000001</v>
      </c>
      <c r="K119" s="1">
        <v>22.427</v>
      </c>
      <c r="L119" s="1">
        <v>55.15</v>
      </c>
      <c r="M119" s="1">
        <v>60.9</v>
      </c>
      <c r="N119" s="1">
        <v>4.376E-2</v>
      </c>
      <c r="O119" s="1">
        <v>2.309E-4</v>
      </c>
      <c r="P1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41.549748057022462</v>
      </c>
      <c r="Q119" s="1">
        <f>LN(Table13[[#This Row],[qe_mg_g]]-Table13[[#This Row],[qt]])</f>
        <v>2.6097941623313123</v>
      </c>
      <c r="R119" s="1">
        <v>1</v>
      </c>
    </row>
    <row r="120" spans="1:18" x14ac:dyDescent="0.3">
      <c r="A120" s="1">
        <v>119</v>
      </c>
      <c r="B120" s="1" t="s">
        <v>16</v>
      </c>
      <c r="C120" s="1">
        <v>0.5</v>
      </c>
      <c r="D120" s="1">
        <v>240</v>
      </c>
      <c r="E120" s="1">
        <v>50</v>
      </c>
      <c r="F120" s="1">
        <v>3</v>
      </c>
      <c r="G120" s="1">
        <v>25</v>
      </c>
      <c r="H120" s="1">
        <v>150</v>
      </c>
      <c r="I120" s="1">
        <v>100</v>
      </c>
      <c r="J120" s="1">
        <v>50.609000000000002</v>
      </c>
      <c r="K120" s="1">
        <v>24.695</v>
      </c>
      <c r="L120" s="1">
        <v>50.61</v>
      </c>
      <c r="M120" s="1">
        <v>80.3</v>
      </c>
      <c r="N120" s="1">
        <v>5.2400000000000002E-2</v>
      </c>
      <c r="O120" s="1">
        <v>2.9250000000000001E-4</v>
      </c>
      <c r="P1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39.492865797384347</v>
      </c>
      <c r="Q120" s="1">
        <f>LN(Table13[[#This Row],[qe_mg_g]]-Table13[[#This Row],[qt]])</f>
        <v>2.4083975847307029</v>
      </c>
      <c r="R120" s="1">
        <v>2</v>
      </c>
    </row>
    <row r="121" spans="1:18" x14ac:dyDescent="0.3">
      <c r="A121" s="1">
        <v>120</v>
      </c>
      <c r="B121" s="1" t="s">
        <v>16</v>
      </c>
      <c r="C121" s="1">
        <v>0.5</v>
      </c>
      <c r="D121" s="1">
        <v>240</v>
      </c>
      <c r="E121" s="1">
        <v>50</v>
      </c>
      <c r="F121" s="1">
        <v>3</v>
      </c>
      <c r="G121" s="1">
        <v>25</v>
      </c>
      <c r="H121" s="1">
        <v>150</v>
      </c>
      <c r="I121" s="1">
        <v>100</v>
      </c>
      <c r="J121" s="1">
        <v>60.247</v>
      </c>
      <c r="K121" s="1">
        <v>19.876999999999999</v>
      </c>
      <c r="L121" s="1">
        <v>60.25</v>
      </c>
      <c r="M121" s="1">
        <v>69.8</v>
      </c>
      <c r="N121" s="1">
        <v>5.885E-2</v>
      </c>
      <c r="O121" s="1">
        <v>3.3359999999999998E-4</v>
      </c>
      <c r="P1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49.901709035366366</v>
      </c>
      <c r="Q121" s="1">
        <f>LN(Table13[[#This Row],[qe_mg_g]]-Table13[[#This Row],[qt]])</f>
        <v>2.3365314369144574</v>
      </c>
      <c r="R121" s="1">
        <v>3</v>
      </c>
    </row>
    <row r="122" spans="1:18" x14ac:dyDescent="0.3">
      <c r="A122" s="1">
        <v>121</v>
      </c>
      <c r="B122" s="1" t="s">
        <v>16</v>
      </c>
      <c r="C122" s="1">
        <v>0.5</v>
      </c>
      <c r="D122" s="1">
        <v>240</v>
      </c>
      <c r="E122" s="1">
        <v>50</v>
      </c>
      <c r="F122" s="1">
        <v>7</v>
      </c>
      <c r="G122" s="1">
        <v>25</v>
      </c>
      <c r="H122" s="1">
        <v>150</v>
      </c>
      <c r="I122" s="1">
        <v>100</v>
      </c>
      <c r="J122" s="1">
        <v>79.317999999999998</v>
      </c>
      <c r="K122" s="1">
        <v>10.340999999999999</v>
      </c>
      <c r="L122" s="1">
        <v>79.319999999999993</v>
      </c>
      <c r="M122" s="1">
        <v>57.1</v>
      </c>
      <c r="N122" s="1">
        <v>3.7769999999999998E-2</v>
      </c>
      <c r="O122" s="1">
        <v>3.0610000000000001E-4</v>
      </c>
      <c r="P1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67.699749512748284</v>
      </c>
      <c r="Q122" s="1">
        <f>LN(Table13[[#This Row],[qe_mg_g]]-Table13[[#This Row],[qt]])</f>
        <v>2.4525771796109215</v>
      </c>
      <c r="R122" s="1">
        <v>1</v>
      </c>
    </row>
    <row r="123" spans="1:18" x14ac:dyDescent="0.3">
      <c r="A123" s="1">
        <v>122</v>
      </c>
      <c r="B123" s="1" t="s">
        <v>16</v>
      </c>
      <c r="C123" s="1">
        <v>0.5</v>
      </c>
      <c r="D123" s="1">
        <v>240</v>
      </c>
      <c r="E123" s="1">
        <v>50</v>
      </c>
      <c r="F123" s="1">
        <v>7</v>
      </c>
      <c r="G123" s="1">
        <v>25</v>
      </c>
      <c r="H123" s="1">
        <v>150</v>
      </c>
      <c r="I123" s="1">
        <v>100</v>
      </c>
      <c r="J123" s="1">
        <v>75.289000000000001</v>
      </c>
      <c r="K123" s="1">
        <v>12.356</v>
      </c>
      <c r="L123" s="1">
        <v>75.290000000000006</v>
      </c>
      <c r="M123" s="1">
        <v>52.4</v>
      </c>
      <c r="N123" s="1">
        <v>4.2090000000000002E-2</v>
      </c>
      <c r="O123" s="1">
        <v>2.676E-4</v>
      </c>
      <c r="P1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62.386798507036467</v>
      </c>
      <c r="Q123" s="1">
        <f>LN(Table13[[#This Row],[qe_mg_g]]-Table13[[#This Row],[qt]])</f>
        <v>2.5573979551764099</v>
      </c>
      <c r="R123" s="1">
        <v>2</v>
      </c>
    </row>
    <row r="124" spans="1:18" x14ac:dyDescent="0.3">
      <c r="A124" s="1">
        <v>123</v>
      </c>
      <c r="B124" s="1" t="s">
        <v>16</v>
      </c>
      <c r="C124" s="1">
        <v>0.5</v>
      </c>
      <c r="D124" s="1">
        <v>240</v>
      </c>
      <c r="E124" s="1">
        <v>50</v>
      </c>
      <c r="F124" s="1">
        <v>7</v>
      </c>
      <c r="G124" s="1">
        <v>25</v>
      </c>
      <c r="H124" s="1">
        <v>150</v>
      </c>
      <c r="I124" s="1">
        <v>100</v>
      </c>
      <c r="J124" s="1">
        <v>90.953999999999994</v>
      </c>
      <c r="K124" s="1">
        <v>4.5229999999999997</v>
      </c>
      <c r="L124" s="1">
        <v>90.95</v>
      </c>
      <c r="M124" s="1">
        <v>75.5</v>
      </c>
      <c r="N124" s="1">
        <v>4.496E-2</v>
      </c>
      <c r="O124" s="1">
        <v>3.4440000000000002E-4</v>
      </c>
      <c r="P1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80.276008247657614</v>
      </c>
      <c r="Q124" s="1">
        <f>LN(Table13[[#This Row],[qe_mg_g]]-Table13[[#This Row],[qt]])</f>
        <v>2.3681847776804661</v>
      </c>
      <c r="R124" s="1">
        <v>3</v>
      </c>
    </row>
    <row r="125" spans="1:18" x14ac:dyDescent="0.3">
      <c r="A125" s="1">
        <v>124</v>
      </c>
      <c r="B125" s="1" t="s">
        <v>16</v>
      </c>
      <c r="C125" s="1">
        <v>0.5</v>
      </c>
      <c r="D125" s="1">
        <v>240</v>
      </c>
      <c r="E125" s="1">
        <v>50</v>
      </c>
      <c r="F125" s="1">
        <v>11</v>
      </c>
      <c r="G125" s="1">
        <v>25</v>
      </c>
      <c r="H125" s="1">
        <v>150</v>
      </c>
      <c r="I125" s="1">
        <v>100</v>
      </c>
      <c r="J125" s="1">
        <v>66.991</v>
      </c>
      <c r="K125" s="1">
        <v>16.504000000000001</v>
      </c>
      <c r="L125" s="1">
        <v>66.989999999999995</v>
      </c>
      <c r="M125" s="1">
        <v>58.1</v>
      </c>
      <c r="N125" s="1">
        <v>5.185E-2</v>
      </c>
      <c r="O125" s="1">
        <v>3.1619999999999999E-4</v>
      </c>
      <c r="P1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55.979649073876985</v>
      </c>
      <c r="Q125" s="1">
        <f>LN(Table13[[#This Row],[qe_mg_g]]-Table13[[#This Row],[qt]])</f>
        <v>2.3989266431279157</v>
      </c>
      <c r="R125" s="1">
        <v>1</v>
      </c>
    </row>
    <row r="126" spans="1:18" x14ac:dyDescent="0.3">
      <c r="A126" s="1">
        <v>125</v>
      </c>
      <c r="B126" s="1" t="s">
        <v>16</v>
      </c>
      <c r="C126" s="1">
        <v>0.5</v>
      </c>
      <c r="D126" s="1">
        <v>240</v>
      </c>
      <c r="E126" s="1">
        <v>50</v>
      </c>
      <c r="F126" s="1">
        <v>11</v>
      </c>
      <c r="G126" s="1">
        <v>25</v>
      </c>
      <c r="H126" s="1">
        <v>150</v>
      </c>
      <c r="I126" s="1">
        <v>100</v>
      </c>
      <c r="J126" s="1">
        <v>61.054000000000002</v>
      </c>
      <c r="K126" s="1">
        <v>19.472999999999999</v>
      </c>
      <c r="L126" s="1">
        <v>61.05</v>
      </c>
      <c r="M126" s="1">
        <v>64.8</v>
      </c>
      <c r="N126" s="1">
        <v>4.1059999999999999E-2</v>
      </c>
      <c r="O126" s="1">
        <v>2.5849999999999999E-4</v>
      </c>
      <c r="P1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48.30197913866801</v>
      </c>
      <c r="Q126" s="1">
        <f>LN(Table13[[#This Row],[qe_mg_g]]-Table13[[#This Row],[qt]])</f>
        <v>2.5456897579728066</v>
      </c>
      <c r="R126" s="1">
        <v>2</v>
      </c>
    </row>
    <row r="127" spans="1:18" x14ac:dyDescent="0.3">
      <c r="A127" s="1">
        <v>126</v>
      </c>
      <c r="B127" s="1" t="s">
        <v>16</v>
      </c>
      <c r="C127" s="1">
        <v>0.5</v>
      </c>
      <c r="D127" s="1">
        <v>240</v>
      </c>
      <c r="E127" s="1">
        <v>50</v>
      </c>
      <c r="F127" s="1">
        <v>11</v>
      </c>
      <c r="G127" s="1">
        <v>25</v>
      </c>
      <c r="H127" s="1">
        <v>150</v>
      </c>
      <c r="I127" s="1">
        <v>100</v>
      </c>
      <c r="J127" s="1">
        <v>71.512</v>
      </c>
      <c r="K127" s="1">
        <v>14.244</v>
      </c>
      <c r="L127" s="1">
        <v>71.510000000000005</v>
      </c>
      <c r="M127" s="1">
        <v>85.8</v>
      </c>
      <c r="N127" s="1">
        <v>3.8710000000000001E-2</v>
      </c>
      <c r="O127" s="1">
        <v>3.1690000000000001E-4</v>
      </c>
      <c r="P1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60.405783901417138</v>
      </c>
      <c r="Q127" s="1">
        <f>LN(Table13[[#This Row],[qe_mg_g]]-Table13[[#This Row],[qt]])</f>
        <v>2.4075049604531706</v>
      </c>
      <c r="R127" s="1">
        <v>3</v>
      </c>
    </row>
    <row r="128" spans="1:18" x14ac:dyDescent="0.3">
      <c r="A128" s="1">
        <v>127</v>
      </c>
      <c r="B128" s="1" t="s">
        <v>16</v>
      </c>
      <c r="C128" s="1">
        <v>0.5</v>
      </c>
      <c r="D128" s="1">
        <v>240</v>
      </c>
      <c r="E128" s="1">
        <v>100</v>
      </c>
      <c r="F128" s="1">
        <v>3</v>
      </c>
      <c r="G128" s="1">
        <v>25</v>
      </c>
      <c r="H128" s="1">
        <v>150</v>
      </c>
      <c r="I128" s="1">
        <v>100</v>
      </c>
      <c r="J128" s="1">
        <v>109.759</v>
      </c>
      <c r="K128" s="1">
        <v>45.121000000000002</v>
      </c>
      <c r="L128" s="1">
        <v>54.88</v>
      </c>
      <c r="M128" s="1">
        <v>61.8</v>
      </c>
      <c r="N128" s="1">
        <v>4.233E-2</v>
      </c>
      <c r="O128" s="1">
        <v>2.7409999999999999E-4</v>
      </c>
      <c r="P1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96.406950685979325</v>
      </c>
      <c r="Q128" s="1">
        <f>LN(Table13[[#This Row],[qe_mg_g]]-Table13[[#This Row],[qt]])</f>
        <v>2.5916698797335309</v>
      </c>
      <c r="R128" s="1">
        <v>1</v>
      </c>
    </row>
    <row r="129" spans="1:18" x14ac:dyDescent="0.3">
      <c r="A129" s="1">
        <v>128</v>
      </c>
      <c r="B129" s="1" t="s">
        <v>16</v>
      </c>
      <c r="C129" s="1">
        <v>0.5</v>
      </c>
      <c r="D129" s="1">
        <v>240</v>
      </c>
      <c r="E129" s="1">
        <v>100</v>
      </c>
      <c r="F129" s="1">
        <v>3</v>
      </c>
      <c r="G129" s="1">
        <v>25</v>
      </c>
      <c r="H129" s="1">
        <v>150</v>
      </c>
      <c r="I129" s="1">
        <v>100</v>
      </c>
      <c r="J129" s="1">
        <v>116.235</v>
      </c>
      <c r="K129" s="1">
        <v>41.881999999999998</v>
      </c>
      <c r="L129" s="1">
        <v>58.12</v>
      </c>
      <c r="M129" s="1">
        <v>58.4</v>
      </c>
      <c r="N129" s="1">
        <v>4.6219999999999997E-2</v>
      </c>
      <c r="O129" s="1">
        <v>2.9849999999999999E-4</v>
      </c>
      <c r="P1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103.77289424710773</v>
      </c>
      <c r="Q129" s="1">
        <f>LN(Table13[[#This Row],[qe_mg_g]]-Table13[[#This Row],[qt]])</f>
        <v>2.5226925001149336</v>
      </c>
      <c r="R129" s="1">
        <v>2</v>
      </c>
    </row>
    <row r="130" spans="1:18" x14ac:dyDescent="0.3">
      <c r="A130" s="1">
        <v>129</v>
      </c>
      <c r="B130" s="1" t="s">
        <v>16</v>
      </c>
      <c r="C130" s="1">
        <v>0.5</v>
      </c>
      <c r="D130" s="1">
        <v>240</v>
      </c>
      <c r="E130" s="1">
        <v>100</v>
      </c>
      <c r="F130" s="1">
        <v>3</v>
      </c>
      <c r="G130" s="1">
        <v>25</v>
      </c>
      <c r="H130" s="1">
        <v>150</v>
      </c>
      <c r="I130" s="1">
        <v>100</v>
      </c>
      <c r="J130" s="1">
        <v>113.572</v>
      </c>
      <c r="K130" s="1">
        <v>43.213999999999999</v>
      </c>
      <c r="L130" s="1">
        <v>56.79</v>
      </c>
      <c r="M130" s="1">
        <v>57.6</v>
      </c>
      <c r="N130" s="1">
        <v>4.24E-2</v>
      </c>
      <c r="O130" s="1">
        <v>3.2269999999999998E-4</v>
      </c>
      <c r="P1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101.97819863608713</v>
      </c>
      <c r="Q130" s="1">
        <f>LN(Table13[[#This Row],[qe_mg_g]]-Table13[[#This Row],[qt]])</f>
        <v>2.4504705901084392</v>
      </c>
      <c r="R130" s="1">
        <v>3</v>
      </c>
    </row>
    <row r="131" spans="1:18" x14ac:dyDescent="0.3">
      <c r="A131" s="1">
        <v>130</v>
      </c>
      <c r="B131" s="1" t="s">
        <v>16</v>
      </c>
      <c r="C131" s="1">
        <v>0.5</v>
      </c>
      <c r="D131" s="1">
        <v>240</v>
      </c>
      <c r="E131" s="1">
        <v>100</v>
      </c>
      <c r="F131" s="1">
        <v>7</v>
      </c>
      <c r="G131" s="1">
        <v>25</v>
      </c>
      <c r="H131" s="1">
        <v>150</v>
      </c>
      <c r="I131" s="1">
        <v>100</v>
      </c>
      <c r="J131" s="1">
        <v>164.58600000000001</v>
      </c>
      <c r="K131" s="1">
        <v>17.707000000000001</v>
      </c>
      <c r="L131" s="1">
        <v>82.29</v>
      </c>
      <c r="M131" s="1">
        <v>56.9</v>
      </c>
      <c r="N131" s="1">
        <v>4.5449999999999997E-2</v>
      </c>
      <c r="O131" s="1">
        <v>3.2249999999999998E-4</v>
      </c>
      <c r="P1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152.60648749495996</v>
      </c>
      <c r="Q131" s="1">
        <f>LN(Table13[[#This Row],[qe_mg_g]]-Table13[[#This Row],[qt]])</f>
        <v>2.4831978994586814</v>
      </c>
      <c r="R131" s="1">
        <v>1</v>
      </c>
    </row>
    <row r="132" spans="1:18" x14ac:dyDescent="0.3">
      <c r="A132" s="1">
        <v>131</v>
      </c>
      <c r="B132" s="1" t="s">
        <v>16</v>
      </c>
      <c r="C132" s="1">
        <v>0.5</v>
      </c>
      <c r="D132" s="1">
        <v>240</v>
      </c>
      <c r="E132" s="1">
        <v>100</v>
      </c>
      <c r="F132" s="1">
        <v>7</v>
      </c>
      <c r="G132" s="1">
        <v>25</v>
      </c>
      <c r="H132" s="1">
        <v>150</v>
      </c>
      <c r="I132" s="1">
        <v>100</v>
      </c>
      <c r="J132" s="1">
        <v>137.11099999999999</v>
      </c>
      <c r="K132" s="1">
        <v>31.445</v>
      </c>
      <c r="L132" s="1">
        <v>68.56</v>
      </c>
      <c r="M132" s="1">
        <v>72.099999999999994</v>
      </c>
      <c r="N132" s="1">
        <v>4.2020000000000002E-2</v>
      </c>
      <c r="O132" s="1">
        <v>3.1710000000000001E-4</v>
      </c>
      <c r="P1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125.12021288438285</v>
      </c>
      <c r="Q132" s="1">
        <f>LN(Table13[[#This Row],[qe_mg_g]]-Table13[[#This Row],[qt]])</f>
        <v>2.4841386145591988</v>
      </c>
      <c r="R132" s="1">
        <v>2</v>
      </c>
    </row>
    <row r="133" spans="1:18" x14ac:dyDescent="0.3">
      <c r="A133" s="1">
        <v>132</v>
      </c>
      <c r="B133" s="1" t="s">
        <v>16</v>
      </c>
      <c r="C133" s="1">
        <v>0.5</v>
      </c>
      <c r="D133" s="1">
        <v>240</v>
      </c>
      <c r="E133" s="1">
        <v>100</v>
      </c>
      <c r="F133" s="1">
        <v>7</v>
      </c>
      <c r="G133" s="1">
        <v>25</v>
      </c>
      <c r="H133" s="1">
        <v>150</v>
      </c>
      <c r="I133" s="1">
        <v>100</v>
      </c>
      <c r="J133" s="1">
        <v>148.58199999999999</v>
      </c>
      <c r="K133" s="1">
        <v>25.709</v>
      </c>
      <c r="L133" s="1">
        <v>74.290000000000006</v>
      </c>
      <c r="M133" s="1">
        <v>48.6</v>
      </c>
      <c r="N133" s="1">
        <v>3.7679999999999998E-2</v>
      </c>
      <c r="O133" s="1">
        <v>3.0140000000000001E-4</v>
      </c>
      <c r="P1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135.93438499694312</v>
      </c>
      <c r="Q133" s="1">
        <f>LN(Table13[[#This Row],[qe_mg_g]]-Table13[[#This Row],[qt]])</f>
        <v>2.5374686600903793</v>
      </c>
      <c r="R133" s="1">
        <v>3</v>
      </c>
    </row>
    <row r="134" spans="1:18" x14ac:dyDescent="0.3">
      <c r="A134" s="1">
        <v>133</v>
      </c>
      <c r="B134" s="1" t="s">
        <v>16</v>
      </c>
      <c r="C134" s="1">
        <v>0.5</v>
      </c>
      <c r="D134" s="1">
        <v>240</v>
      </c>
      <c r="E134" s="1">
        <v>100</v>
      </c>
      <c r="F134" s="1">
        <v>11</v>
      </c>
      <c r="G134" s="1">
        <v>25</v>
      </c>
      <c r="H134" s="1">
        <v>150</v>
      </c>
      <c r="I134" s="1">
        <v>100</v>
      </c>
      <c r="J134" s="1">
        <v>135.50700000000001</v>
      </c>
      <c r="K134" s="1">
        <v>32.246000000000002</v>
      </c>
      <c r="L134" s="1">
        <v>67.75</v>
      </c>
      <c r="M134" s="1">
        <v>57.6</v>
      </c>
      <c r="N134" s="1">
        <v>4.7870000000000003E-2</v>
      </c>
      <c r="O134" s="1">
        <v>2.5020000000000001E-4</v>
      </c>
      <c r="P1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120.67629822149293</v>
      </c>
      <c r="Q134" s="1">
        <f>LN(Table13[[#This Row],[qe_mg_g]]-Table13[[#This Row],[qt]])</f>
        <v>2.6966994765748562</v>
      </c>
      <c r="R134" s="1">
        <v>1</v>
      </c>
    </row>
    <row r="135" spans="1:18" x14ac:dyDescent="0.3">
      <c r="A135" s="1">
        <v>134</v>
      </c>
      <c r="B135" s="1" t="s">
        <v>16</v>
      </c>
      <c r="C135" s="1">
        <v>0.5</v>
      </c>
      <c r="D135" s="1">
        <v>240</v>
      </c>
      <c r="E135" s="1">
        <v>100</v>
      </c>
      <c r="F135" s="1">
        <v>11</v>
      </c>
      <c r="G135" s="1">
        <v>25</v>
      </c>
      <c r="H135" s="1">
        <v>150</v>
      </c>
      <c r="I135" s="1">
        <v>100</v>
      </c>
      <c r="J135" s="1">
        <v>132.047</v>
      </c>
      <c r="K135" s="1">
        <v>33.975999999999999</v>
      </c>
      <c r="L135" s="1">
        <v>66.02</v>
      </c>
      <c r="M135" s="1">
        <v>54.6</v>
      </c>
      <c r="N135" s="1">
        <v>4.2070000000000003E-2</v>
      </c>
      <c r="O135" s="1">
        <v>3.0140000000000001E-4</v>
      </c>
      <c r="P1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119.53277462747808</v>
      </c>
      <c r="Q135" s="1">
        <f>LN(Table13[[#This Row],[qe_mg_g]]-Table13[[#This Row],[qt]])</f>
        <v>2.5268660270449672</v>
      </c>
      <c r="R135" s="1">
        <v>2</v>
      </c>
    </row>
    <row r="136" spans="1:18" x14ac:dyDescent="0.3">
      <c r="A136" s="1">
        <v>135</v>
      </c>
      <c r="B136" s="1" t="s">
        <v>16</v>
      </c>
      <c r="C136" s="1">
        <v>0.5</v>
      </c>
      <c r="D136" s="1">
        <v>240</v>
      </c>
      <c r="E136" s="1">
        <v>100</v>
      </c>
      <c r="F136" s="1">
        <v>11</v>
      </c>
      <c r="G136" s="1">
        <v>25</v>
      </c>
      <c r="H136" s="1">
        <v>150</v>
      </c>
      <c r="I136" s="1">
        <v>100</v>
      </c>
      <c r="J136" s="1">
        <v>123.61199999999999</v>
      </c>
      <c r="K136" s="1">
        <v>38.194000000000003</v>
      </c>
      <c r="L136" s="1">
        <v>61.81</v>
      </c>
      <c r="M136" s="1">
        <v>62.8</v>
      </c>
      <c r="N136" s="1">
        <v>4.9529999999999998E-2</v>
      </c>
      <c r="O136" s="1">
        <v>2.8269999999999999E-4</v>
      </c>
      <c r="P1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110.44333285443012</v>
      </c>
      <c r="Q136" s="1">
        <f>LN(Table13[[#This Row],[qe_mg_g]]-Table13[[#This Row],[qt]])</f>
        <v>2.5778403068045694</v>
      </c>
      <c r="R136" s="1">
        <v>3</v>
      </c>
    </row>
    <row r="137" spans="1:18" x14ac:dyDescent="0.3">
      <c r="A137" s="1">
        <v>136</v>
      </c>
      <c r="B137" s="1" t="s">
        <v>16</v>
      </c>
      <c r="C137" s="1">
        <v>0.5</v>
      </c>
      <c r="D137" s="1">
        <v>240</v>
      </c>
      <c r="E137" s="1">
        <v>200</v>
      </c>
      <c r="F137" s="1">
        <v>3</v>
      </c>
      <c r="G137" s="1">
        <v>25</v>
      </c>
      <c r="H137" s="1">
        <v>150</v>
      </c>
      <c r="I137" s="1">
        <v>100</v>
      </c>
      <c r="J137" s="1">
        <v>171.63399999999999</v>
      </c>
      <c r="K137" s="1">
        <v>114.18300000000001</v>
      </c>
      <c r="L137" s="1">
        <v>42.91</v>
      </c>
      <c r="M137" s="1">
        <v>55.4</v>
      </c>
      <c r="N137" s="1">
        <v>4.7379999999999999E-2</v>
      </c>
      <c r="O137" s="1">
        <v>3.4319999999999999E-4</v>
      </c>
      <c r="P1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160.29540536356228</v>
      </c>
      <c r="Q137" s="1">
        <f>LN(Table13[[#This Row],[qe_mg_g]]-Table13[[#This Row],[qt]])</f>
        <v>2.4282123608522799</v>
      </c>
      <c r="R137" s="1">
        <v>1</v>
      </c>
    </row>
    <row r="138" spans="1:18" x14ac:dyDescent="0.3">
      <c r="A138" s="1">
        <v>137</v>
      </c>
      <c r="B138" s="1" t="s">
        <v>16</v>
      </c>
      <c r="C138" s="1">
        <v>0.5</v>
      </c>
      <c r="D138" s="1">
        <v>240</v>
      </c>
      <c r="E138" s="1">
        <v>200</v>
      </c>
      <c r="F138" s="1">
        <v>3</v>
      </c>
      <c r="G138" s="1">
        <v>25</v>
      </c>
      <c r="H138" s="1">
        <v>150</v>
      </c>
      <c r="I138" s="1">
        <v>100</v>
      </c>
      <c r="J138" s="1">
        <v>129.06800000000001</v>
      </c>
      <c r="K138" s="1">
        <v>135.46600000000001</v>
      </c>
      <c r="L138" s="1">
        <v>32.270000000000003</v>
      </c>
      <c r="M138" s="1">
        <v>58.7</v>
      </c>
      <c r="N138" s="1">
        <v>4.7600000000000003E-2</v>
      </c>
      <c r="O138" s="1">
        <v>2.9389999999999999E-4</v>
      </c>
      <c r="P1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116.29397380059302</v>
      </c>
      <c r="Q138" s="1">
        <f>LN(Table13[[#This Row],[qe_mg_g]]-Table13[[#This Row],[qt]])</f>
        <v>2.5474139061320482</v>
      </c>
      <c r="R138" s="1">
        <v>2</v>
      </c>
    </row>
    <row r="139" spans="1:18" x14ac:dyDescent="0.3">
      <c r="A139" s="1">
        <v>138</v>
      </c>
      <c r="B139" s="1" t="s">
        <v>16</v>
      </c>
      <c r="C139" s="1">
        <v>0.5</v>
      </c>
      <c r="D139" s="1">
        <v>240</v>
      </c>
      <c r="E139" s="1">
        <v>200</v>
      </c>
      <c r="F139" s="1">
        <v>3</v>
      </c>
      <c r="G139" s="1">
        <v>25</v>
      </c>
      <c r="H139" s="1">
        <v>150</v>
      </c>
      <c r="I139" s="1">
        <v>100</v>
      </c>
      <c r="J139" s="1">
        <v>165.65600000000001</v>
      </c>
      <c r="K139" s="1">
        <v>117.172</v>
      </c>
      <c r="L139" s="1">
        <v>41.41</v>
      </c>
      <c r="M139" s="1">
        <v>60.6</v>
      </c>
      <c r="N139" s="1">
        <v>4.539E-2</v>
      </c>
      <c r="O139" s="1">
        <v>2.9530000000000002E-4</v>
      </c>
      <c r="P1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152.65355395023616</v>
      </c>
      <c r="Q139" s="1">
        <f>LN(Table13[[#This Row],[qe_mg_g]]-Table13[[#This Row],[qt]])</f>
        <v>2.5651374974362438</v>
      </c>
      <c r="R139" s="1">
        <v>3</v>
      </c>
    </row>
    <row r="140" spans="1:18" x14ac:dyDescent="0.3">
      <c r="A140" s="1">
        <v>139</v>
      </c>
      <c r="B140" s="1" t="s">
        <v>16</v>
      </c>
      <c r="C140" s="1">
        <v>0.5</v>
      </c>
      <c r="D140" s="1">
        <v>240</v>
      </c>
      <c r="E140" s="1">
        <v>200</v>
      </c>
      <c r="F140" s="1">
        <v>7</v>
      </c>
      <c r="G140" s="1">
        <v>25</v>
      </c>
      <c r="H140" s="1">
        <v>150</v>
      </c>
      <c r="I140" s="1">
        <v>100</v>
      </c>
      <c r="J140" s="1">
        <v>238.96700000000001</v>
      </c>
      <c r="K140" s="1">
        <v>80.516999999999996</v>
      </c>
      <c r="L140" s="1">
        <v>59.74</v>
      </c>
      <c r="M140" s="1">
        <v>69.2</v>
      </c>
      <c r="N140" s="1">
        <v>4.6519999999999999E-2</v>
      </c>
      <c r="O140" s="1">
        <v>2.876E-4</v>
      </c>
      <c r="P1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225.30741722476876</v>
      </c>
      <c r="Q140" s="1">
        <f>LN(Table13[[#This Row],[qe_mg_g]]-Table13[[#This Row],[qt]])</f>
        <v>2.6144413101352768</v>
      </c>
      <c r="R140" s="1">
        <v>1</v>
      </c>
    </row>
    <row r="141" spans="1:18" x14ac:dyDescent="0.3">
      <c r="A141" s="1">
        <v>140</v>
      </c>
      <c r="B141" s="1" t="s">
        <v>16</v>
      </c>
      <c r="C141" s="1">
        <v>0.5</v>
      </c>
      <c r="D141" s="1">
        <v>240</v>
      </c>
      <c r="E141" s="1">
        <v>200</v>
      </c>
      <c r="F141" s="1">
        <v>7</v>
      </c>
      <c r="G141" s="1">
        <v>25</v>
      </c>
      <c r="H141" s="1">
        <v>150</v>
      </c>
      <c r="I141" s="1">
        <v>100</v>
      </c>
      <c r="J141" s="1">
        <v>210.024</v>
      </c>
      <c r="K141" s="1">
        <v>94.988</v>
      </c>
      <c r="L141" s="1">
        <v>52.51</v>
      </c>
      <c r="M141" s="1">
        <v>62.3</v>
      </c>
      <c r="N141" s="1">
        <v>4.6780000000000002E-2</v>
      </c>
      <c r="O141" s="1">
        <v>2.8739999999999999E-4</v>
      </c>
      <c r="P1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196.46235374935955</v>
      </c>
      <c r="Q141" s="1">
        <f>LN(Table13[[#This Row],[qe_mg_g]]-Table13[[#This Row],[qt]])</f>
        <v>2.6072456800577566</v>
      </c>
      <c r="R141" s="1">
        <v>2</v>
      </c>
    </row>
    <row r="142" spans="1:18" x14ac:dyDescent="0.3">
      <c r="A142" s="1">
        <v>141</v>
      </c>
      <c r="B142" s="1" t="s">
        <v>16</v>
      </c>
      <c r="C142" s="1">
        <v>0.5</v>
      </c>
      <c r="D142" s="1">
        <v>240</v>
      </c>
      <c r="E142" s="1">
        <v>200</v>
      </c>
      <c r="F142" s="1">
        <v>7</v>
      </c>
      <c r="G142" s="1">
        <v>25</v>
      </c>
      <c r="H142" s="1">
        <v>150</v>
      </c>
      <c r="I142" s="1">
        <v>100</v>
      </c>
      <c r="J142" s="1">
        <v>223.61600000000001</v>
      </c>
      <c r="K142" s="1">
        <v>88.191999999999993</v>
      </c>
      <c r="L142" s="1">
        <v>55.9</v>
      </c>
      <c r="M142" s="1">
        <v>87.4</v>
      </c>
      <c r="N142" s="1">
        <v>4.8919999999999998E-2</v>
      </c>
      <c r="O142" s="1">
        <v>2.9020000000000001E-4</v>
      </c>
      <c r="P1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210.12435606164351</v>
      </c>
      <c r="Q142" s="1">
        <f>LN(Table13[[#This Row],[qe_mg_g]]-Table13[[#This Row],[qt]])</f>
        <v>2.6020705262757517</v>
      </c>
      <c r="R142" s="1">
        <v>3</v>
      </c>
    </row>
    <row r="143" spans="1:18" x14ac:dyDescent="0.3">
      <c r="A143" s="1">
        <v>142</v>
      </c>
      <c r="B143" s="1" t="s">
        <v>16</v>
      </c>
      <c r="C143" s="1">
        <v>0.5</v>
      </c>
      <c r="D143" s="1">
        <v>240</v>
      </c>
      <c r="E143" s="1">
        <v>200</v>
      </c>
      <c r="F143" s="1">
        <v>11</v>
      </c>
      <c r="G143" s="1">
        <v>25</v>
      </c>
      <c r="H143" s="1">
        <v>150</v>
      </c>
      <c r="I143" s="1">
        <v>100</v>
      </c>
      <c r="J143" s="1">
        <v>201.60599999999999</v>
      </c>
      <c r="K143" s="1">
        <v>99.197000000000003</v>
      </c>
      <c r="L143" s="1">
        <v>50.4</v>
      </c>
      <c r="M143" s="1">
        <v>62.6</v>
      </c>
      <c r="N143" s="1">
        <v>3.5830000000000001E-2</v>
      </c>
      <c r="O143" s="1">
        <v>2.698E-4</v>
      </c>
      <c r="P1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187.26130233315871</v>
      </c>
      <c r="Q143" s="1">
        <f>LN(Table13[[#This Row],[qe_mg_g]]-Table13[[#This Row],[qt]])</f>
        <v>2.6633803733549226</v>
      </c>
      <c r="R143" s="1">
        <v>1</v>
      </c>
    </row>
    <row r="144" spans="1:18" x14ac:dyDescent="0.3">
      <c r="A144" s="1">
        <v>143</v>
      </c>
      <c r="B144" s="1" t="s">
        <v>16</v>
      </c>
      <c r="C144" s="1">
        <v>0.5</v>
      </c>
      <c r="D144" s="1">
        <v>240</v>
      </c>
      <c r="E144" s="1">
        <v>200</v>
      </c>
      <c r="F144" s="1">
        <v>11</v>
      </c>
      <c r="G144" s="1">
        <v>25</v>
      </c>
      <c r="H144" s="1">
        <v>150</v>
      </c>
      <c r="I144" s="1">
        <v>100</v>
      </c>
      <c r="J144" s="1">
        <v>156.40299999999999</v>
      </c>
      <c r="K144" s="1">
        <v>121.798</v>
      </c>
      <c r="L144" s="1">
        <v>39.1</v>
      </c>
      <c r="M144" s="1">
        <v>63.2</v>
      </c>
      <c r="N144" s="1">
        <v>4.5080000000000002E-2</v>
      </c>
      <c r="O144" s="1">
        <v>3.503E-4</v>
      </c>
      <c r="P1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145.34909154488076</v>
      </c>
      <c r="Q144" s="1">
        <f>LN(Table13[[#This Row],[qe_mg_g]]-Table13[[#This Row],[qt]])</f>
        <v>2.4027840717700504</v>
      </c>
      <c r="R144" s="1">
        <v>2</v>
      </c>
    </row>
    <row r="145" spans="1:18" x14ac:dyDescent="0.3">
      <c r="A145" s="1">
        <v>144</v>
      </c>
      <c r="B145" s="1" t="s">
        <v>16</v>
      </c>
      <c r="C145" s="1">
        <v>0.5</v>
      </c>
      <c r="D145" s="1">
        <v>240</v>
      </c>
      <c r="E145" s="1">
        <v>200</v>
      </c>
      <c r="F145" s="1">
        <v>11</v>
      </c>
      <c r="G145" s="1">
        <v>25</v>
      </c>
      <c r="H145" s="1">
        <v>150</v>
      </c>
      <c r="I145" s="1">
        <v>100</v>
      </c>
      <c r="J145" s="1">
        <v>188.74199999999999</v>
      </c>
      <c r="K145" s="1">
        <v>105.629</v>
      </c>
      <c r="L145" s="1">
        <v>47.19</v>
      </c>
      <c r="M145" s="1">
        <v>64.5</v>
      </c>
      <c r="N145" s="1">
        <v>4.8730000000000002E-2</v>
      </c>
      <c r="O145" s="1">
        <v>2.3369999999999999E-4</v>
      </c>
      <c r="P1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172.45170374241545</v>
      </c>
      <c r="Q145" s="1">
        <f>LN(Table13[[#This Row],[qe_mg_g]]-Table13[[#This Row],[qt]])</f>
        <v>2.7905696089178602</v>
      </c>
      <c r="R145" s="1">
        <v>3</v>
      </c>
    </row>
    <row r="146" spans="1:18" x14ac:dyDescent="0.3">
      <c r="A146" s="1">
        <v>145</v>
      </c>
      <c r="B146" s="1" t="s">
        <v>16</v>
      </c>
      <c r="C146" s="1">
        <v>1</v>
      </c>
      <c r="D146" s="1">
        <v>30</v>
      </c>
      <c r="E146" s="1">
        <v>25</v>
      </c>
      <c r="F146" s="1">
        <v>3</v>
      </c>
      <c r="G146" s="1">
        <v>25</v>
      </c>
      <c r="H146" s="1">
        <v>150</v>
      </c>
      <c r="I146" s="1">
        <v>100</v>
      </c>
      <c r="J146" s="1">
        <v>2.5739999999999998</v>
      </c>
      <c r="K146" s="1">
        <v>22.425999999999998</v>
      </c>
      <c r="L146" s="1">
        <v>10.3</v>
      </c>
      <c r="M146" s="1">
        <v>74.400000000000006</v>
      </c>
      <c r="N146" s="1">
        <v>3.8350000000000002E-2</v>
      </c>
      <c r="O146" s="1">
        <v>3.3429999999999999E-4</v>
      </c>
      <c r="P1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6.4774761272028067E-2</v>
      </c>
      <c r="Q146" s="1">
        <f>LN(Table13[[#This Row],[qe_mg_g]]-Table13[[#This Row],[qt]])</f>
        <v>0.91997403566586211</v>
      </c>
      <c r="R146" s="1">
        <v>1</v>
      </c>
    </row>
    <row r="147" spans="1:18" x14ac:dyDescent="0.3">
      <c r="A147" s="1">
        <v>146</v>
      </c>
      <c r="B147" s="1" t="s">
        <v>16</v>
      </c>
      <c r="C147" s="1">
        <v>1</v>
      </c>
      <c r="D147" s="1">
        <v>30</v>
      </c>
      <c r="E147" s="1">
        <v>25</v>
      </c>
      <c r="F147" s="1">
        <v>3</v>
      </c>
      <c r="G147" s="1">
        <v>25</v>
      </c>
      <c r="H147" s="1">
        <v>150</v>
      </c>
      <c r="I147" s="1">
        <v>100</v>
      </c>
      <c r="J147" s="1">
        <v>2.5950000000000002</v>
      </c>
      <c r="K147" s="1">
        <v>22.405000000000001</v>
      </c>
      <c r="L147" s="1">
        <v>10.38</v>
      </c>
      <c r="M147" s="1">
        <v>62.5</v>
      </c>
      <c r="N147" s="1">
        <v>4.7849999999999997E-2</v>
      </c>
      <c r="O147" s="1">
        <v>3.681E-4</v>
      </c>
      <c r="P1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7.2292190765492453E-2</v>
      </c>
      <c r="Q147" s="1">
        <f>LN(Table13[[#This Row],[qe_mg_g]]-Table13[[#This Row],[qt]])</f>
        <v>0.92533285210591698</v>
      </c>
      <c r="R147" s="1">
        <v>2</v>
      </c>
    </row>
    <row r="148" spans="1:18" x14ac:dyDescent="0.3">
      <c r="A148" s="1">
        <v>147</v>
      </c>
      <c r="B148" s="1" t="s">
        <v>16</v>
      </c>
      <c r="C148" s="1">
        <v>1</v>
      </c>
      <c r="D148" s="1">
        <v>30</v>
      </c>
      <c r="E148" s="1">
        <v>25</v>
      </c>
      <c r="F148" s="1">
        <v>3</v>
      </c>
      <c r="G148" s="1">
        <v>25</v>
      </c>
      <c r="H148" s="1">
        <v>150</v>
      </c>
      <c r="I148" s="1">
        <v>100</v>
      </c>
      <c r="J148" s="1">
        <v>2.5630000000000002</v>
      </c>
      <c r="K148" s="1">
        <v>22.437000000000001</v>
      </c>
      <c r="L148" s="1">
        <v>10.25</v>
      </c>
      <c r="M148" s="1">
        <v>69.099999999999994</v>
      </c>
      <c r="N148" s="1">
        <v>4.2930000000000003E-2</v>
      </c>
      <c r="O148" s="1">
        <v>2.745E-4</v>
      </c>
      <c r="P1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5.297730456673657E-2</v>
      </c>
      <c r="Q148" s="1">
        <f>LN(Table13[[#This Row],[qe_mg_g]]-Table13[[#This Row],[qt]])</f>
        <v>0.92029179510809811</v>
      </c>
      <c r="R148" s="1">
        <v>3</v>
      </c>
    </row>
    <row r="149" spans="1:18" x14ac:dyDescent="0.3">
      <c r="A149" s="1">
        <v>148</v>
      </c>
      <c r="B149" s="1" t="s">
        <v>16</v>
      </c>
      <c r="C149" s="1">
        <v>1</v>
      </c>
      <c r="D149" s="1">
        <v>30</v>
      </c>
      <c r="E149" s="1">
        <v>25</v>
      </c>
      <c r="F149" s="1">
        <v>7</v>
      </c>
      <c r="G149" s="1">
        <v>25</v>
      </c>
      <c r="H149" s="1">
        <v>150</v>
      </c>
      <c r="I149" s="1">
        <v>100</v>
      </c>
      <c r="J149" s="1">
        <v>4.5750000000000002</v>
      </c>
      <c r="K149" s="1">
        <v>20.425000000000001</v>
      </c>
      <c r="L149" s="1">
        <v>18.3</v>
      </c>
      <c r="M149" s="1">
        <v>58.1</v>
      </c>
      <c r="N149" s="1">
        <v>4.5319999999999999E-2</v>
      </c>
      <c r="O149" s="1">
        <v>2.8570000000000001E-4</v>
      </c>
      <c r="P1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0.17262727025009064</v>
      </c>
      <c r="Q149" s="1">
        <f>LN(Table13[[#This Row],[qe_mg_g]]-Table13[[#This Row],[qt]])</f>
        <v>1.4821436523388816</v>
      </c>
      <c r="R149" s="1">
        <v>1</v>
      </c>
    </row>
    <row r="150" spans="1:18" x14ac:dyDescent="0.3">
      <c r="A150" s="1">
        <v>149</v>
      </c>
      <c r="B150" s="1" t="s">
        <v>16</v>
      </c>
      <c r="C150" s="1">
        <v>1</v>
      </c>
      <c r="D150" s="1">
        <v>30</v>
      </c>
      <c r="E150" s="1">
        <v>25</v>
      </c>
      <c r="F150" s="1">
        <v>7</v>
      </c>
      <c r="G150" s="1">
        <v>25</v>
      </c>
      <c r="H150" s="1">
        <v>150</v>
      </c>
      <c r="I150" s="1">
        <v>100</v>
      </c>
      <c r="J150" s="1">
        <v>4.4539999999999997</v>
      </c>
      <c r="K150" s="1">
        <v>20.545999999999999</v>
      </c>
      <c r="L150" s="1">
        <v>17.82</v>
      </c>
      <c r="M150" s="1">
        <v>70</v>
      </c>
      <c r="N150" s="1">
        <v>4.9669999999999999E-2</v>
      </c>
      <c r="O150" s="1">
        <v>2.8469999999999998E-4</v>
      </c>
      <c r="P1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0.1632278961371196</v>
      </c>
      <c r="Q150" s="1">
        <f>LN(Table13[[#This Row],[qe_mg_g]]-Table13[[#This Row],[qt]])</f>
        <v>1.4564666943363171</v>
      </c>
      <c r="R150" s="1">
        <v>2</v>
      </c>
    </row>
    <row r="151" spans="1:18" x14ac:dyDescent="0.3">
      <c r="A151" s="1">
        <v>150</v>
      </c>
      <c r="B151" s="1" t="s">
        <v>16</v>
      </c>
      <c r="C151" s="1">
        <v>1</v>
      </c>
      <c r="D151" s="1">
        <v>30</v>
      </c>
      <c r="E151" s="1">
        <v>25</v>
      </c>
      <c r="F151" s="1">
        <v>7</v>
      </c>
      <c r="G151" s="1">
        <v>25</v>
      </c>
      <c r="H151" s="1">
        <v>150</v>
      </c>
      <c r="I151" s="1">
        <v>100</v>
      </c>
      <c r="J151" s="1">
        <v>4.1970000000000001</v>
      </c>
      <c r="K151" s="1">
        <v>20.803000000000001</v>
      </c>
      <c r="L151" s="1">
        <v>16.79</v>
      </c>
      <c r="M151" s="1">
        <v>56.9</v>
      </c>
      <c r="N151" s="1">
        <v>4.2999999999999997E-2</v>
      </c>
      <c r="O151" s="1">
        <v>3.1129999999999998E-4</v>
      </c>
      <c r="P1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0.1583000084701075</v>
      </c>
      <c r="Q151" s="1">
        <f>LN(Table13[[#This Row],[qe_mg_g]]-Table13[[#This Row],[qt]])</f>
        <v>1.3959228559146106</v>
      </c>
      <c r="R151" s="1">
        <v>3</v>
      </c>
    </row>
    <row r="152" spans="1:18" x14ac:dyDescent="0.3">
      <c r="A152" s="1">
        <v>151</v>
      </c>
      <c r="B152" s="1" t="s">
        <v>16</v>
      </c>
      <c r="C152" s="1">
        <v>1</v>
      </c>
      <c r="D152" s="1">
        <v>30</v>
      </c>
      <c r="E152" s="1">
        <v>25</v>
      </c>
      <c r="F152" s="1">
        <v>11</v>
      </c>
      <c r="G152" s="1">
        <v>25</v>
      </c>
      <c r="H152" s="1">
        <v>150</v>
      </c>
      <c r="I152" s="1">
        <v>100</v>
      </c>
      <c r="J152" s="1">
        <v>3.3780000000000001</v>
      </c>
      <c r="K152" s="1">
        <v>21.622</v>
      </c>
      <c r="L152" s="1">
        <v>13.51</v>
      </c>
      <c r="M152" s="1">
        <v>57.4</v>
      </c>
      <c r="N152" s="1">
        <v>4.8910000000000002E-2</v>
      </c>
      <c r="O152" s="1">
        <v>3.4069999999999999E-4</v>
      </c>
      <c r="P1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0.11273818609764848</v>
      </c>
      <c r="Q152" s="1">
        <f>LN(Table13[[#This Row],[qe_mg_g]]-Table13[[#This Row],[qt]])</f>
        <v>1.183339947538729</v>
      </c>
      <c r="R152" s="1">
        <v>1</v>
      </c>
    </row>
    <row r="153" spans="1:18" x14ac:dyDescent="0.3">
      <c r="A153" s="1">
        <v>152</v>
      </c>
      <c r="B153" s="1" t="s">
        <v>16</v>
      </c>
      <c r="C153" s="1">
        <v>1</v>
      </c>
      <c r="D153" s="1">
        <v>30</v>
      </c>
      <c r="E153" s="1">
        <v>25</v>
      </c>
      <c r="F153" s="1">
        <v>11</v>
      </c>
      <c r="G153" s="1">
        <v>25</v>
      </c>
      <c r="H153" s="1">
        <v>150</v>
      </c>
      <c r="I153" s="1">
        <v>100</v>
      </c>
      <c r="J153" s="1">
        <v>3.29</v>
      </c>
      <c r="K153" s="1">
        <v>21.71</v>
      </c>
      <c r="L153" s="1">
        <v>13.16</v>
      </c>
      <c r="M153" s="1">
        <v>85.4</v>
      </c>
      <c r="N153" s="1">
        <v>4.1520000000000001E-2</v>
      </c>
      <c r="O153" s="1">
        <v>2.6269999999999999E-4</v>
      </c>
      <c r="P1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8.3148809036388077E-2</v>
      </c>
      <c r="Q153" s="1">
        <f>LN(Table13[[#This Row],[qe_mg_g]]-Table13[[#This Row],[qt]])</f>
        <v>1.1652895183134617</v>
      </c>
      <c r="R153" s="1">
        <v>2</v>
      </c>
    </row>
    <row r="154" spans="1:18" x14ac:dyDescent="0.3">
      <c r="A154" s="1">
        <v>153</v>
      </c>
      <c r="B154" s="1" t="s">
        <v>16</v>
      </c>
      <c r="C154" s="1">
        <v>1</v>
      </c>
      <c r="D154" s="1">
        <v>30</v>
      </c>
      <c r="E154" s="1">
        <v>25</v>
      </c>
      <c r="F154" s="1">
        <v>11</v>
      </c>
      <c r="G154" s="1">
        <v>25</v>
      </c>
      <c r="H154" s="1">
        <v>150</v>
      </c>
      <c r="I154" s="1">
        <v>100</v>
      </c>
      <c r="J154" s="1">
        <v>2.7320000000000002</v>
      </c>
      <c r="K154" s="1">
        <v>22.268000000000001</v>
      </c>
      <c r="L154" s="1">
        <v>10.93</v>
      </c>
      <c r="M154" s="1">
        <v>81.599999999999994</v>
      </c>
      <c r="N154" s="1">
        <v>4.7940000000000003E-2</v>
      </c>
      <c r="O154" s="1">
        <v>2.9829999999999999E-4</v>
      </c>
      <c r="P1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6.5199714795275629E-2</v>
      </c>
      <c r="Q154" s="1">
        <f>LN(Table13[[#This Row],[qe_mg_g]]-Table13[[#This Row],[qt]])</f>
        <v>0.98087935870818654</v>
      </c>
      <c r="R154" s="1">
        <v>3</v>
      </c>
    </row>
    <row r="155" spans="1:18" x14ac:dyDescent="0.3">
      <c r="A155" s="1">
        <v>154</v>
      </c>
      <c r="B155" s="1" t="s">
        <v>16</v>
      </c>
      <c r="C155" s="1">
        <v>1</v>
      </c>
      <c r="D155" s="1">
        <v>30</v>
      </c>
      <c r="E155" s="1">
        <v>50</v>
      </c>
      <c r="F155" s="1">
        <v>3</v>
      </c>
      <c r="G155" s="1">
        <v>25</v>
      </c>
      <c r="H155" s="1">
        <v>150</v>
      </c>
      <c r="I155" s="1">
        <v>100</v>
      </c>
      <c r="J155" s="1">
        <v>9.0020000000000007</v>
      </c>
      <c r="K155" s="1">
        <v>40.997999999999998</v>
      </c>
      <c r="L155" s="1">
        <v>18</v>
      </c>
      <c r="M155" s="1">
        <v>55.4</v>
      </c>
      <c r="N155" s="1">
        <v>5.6009999999999997E-2</v>
      </c>
      <c r="O155" s="1">
        <v>3.0390000000000001E-4</v>
      </c>
      <c r="P1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0.68276951207447034</v>
      </c>
      <c r="Q155" s="1">
        <f>LN(Table13[[#This Row],[qe_mg_g]]-Table13[[#This Row],[qt]])</f>
        <v>2.1185697611236782</v>
      </c>
      <c r="R155" s="1">
        <v>1</v>
      </c>
    </row>
    <row r="156" spans="1:18" x14ac:dyDescent="0.3">
      <c r="A156" s="1">
        <v>155</v>
      </c>
      <c r="B156" s="1" t="s">
        <v>16</v>
      </c>
      <c r="C156" s="1">
        <v>1</v>
      </c>
      <c r="D156" s="1">
        <v>30</v>
      </c>
      <c r="E156" s="1">
        <v>50</v>
      </c>
      <c r="F156" s="1">
        <v>3</v>
      </c>
      <c r="G156" s="1">
        <v>25</v>
      </c>
      <c r="H156" s="1">
        <v>150</v>
      </c>
      <c r="I156" s="1">
        <v>100</v>
      </c>
      <c r="J156" s="1">
        <v>8.8819999999999997</v>
      </c>
      <c r="K156" s="1">
        <v>41.118000000000002</v>
      </c>
      <c r="L156" s="1">
        <v>17.760000000000002</v>
      </c>
      <c r="M156" s="1">
        <v>73.900000000000006</v>
      </c>
      <c r="N156" s="1">
        <v>4.7160000000000001E-2</v>
      </c>
      <c r="O156" s="1">
        <v>3.0669999999999997E-4</v>
      </c>
      <c r="P1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0.67102761196185456</v>
      </c>
      <c r="Q156" s="1">
        <f>LN(Table13[[#This Row],[qe_mg_g]]-Table13[[#This Row],[qt]])</f>
        <v>2.1054713559196512</v>
      </c>
      <c r="R156" s="1">
        <v>2</v>
      </c>
    </row>
    <row r="157" spans="1:18" x14ac:dyDescent="0.3">
      <c r="A157" s="1">
        <v>156</v>
      </c>
      <c r="B157" s="1" t="s">
        <v>16</v>
      </c>
      <c r="C157" s="1">
        <v>1</v>
      </c>
      <c r="D157" s="1">
        <v>30</v>
      </c>
      <c r="E157" s="1">
        <v>50</v>
      </c>
      <c r="F157" s="1">
        <v>3</v>
      </c>
      <c r="G157" s="1">
        <v>25</v>
      </c>
      <c r="H157" s="1">
        <v>150</v>
      </c>
      <c r="I157" s="1">
        <v>100</v>
      </c>
      <c r="J157" s="1">
        <v>8.2479999999999993</v>
      </c>
      <c r="K157" s="1">
        <v>41.752000000000002</v>
      </c>
      <c r="L157" s="1">
        <v>16.5</v>
      </c>
      <c r="M157" s="1">
        <v>71.400000000000006</v>
      </c>
      <c r="N157" s="1">
        <v>5.3469999999999997E-2</v>
      </c>
      <c r="O157" s="1">
        <v>3.4039999999999998E-4</v>
      </c>
      <c r="P1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0.64074800298198364</v>
      </c>
      <c r="Q157" s="1">
        <f>LN(Table13[[#This Row],[qe_mg_g]]-Table13[[#This Row],[qt]])</f>
        <v>2.029102002457146</v>
      </c>
      <c r="R157" s="1">
        <v>3</v>
      </c>
    </row>
    <row r="158" spans="1:18" x14ac:dyDescent="0.3">
      <c r="A158" s="1">
        <v>157</v>
      </c>
      <c r="B158" s="1" t="s">
        <v>16</v>
      </c>
      <c r="C158" s="1">
        <v>1</v>
      </c>
      <c r="D158" s="1">
        <v>30</v>
      </c>
      <c r="E158" s="1">
        <v>50</v>
      </c>
      <c r="F158" s="1">
        <v>7</v>
      </c>
      <c r="G158" s="1">
        <v>25</v>
      </c>
      <c r="H158" s="1">
        <v>150</v>
      </c>
      <c r="I158" s="1">
        <v>100</v>
      </c>
      <c r="J158" s="1">
        <v>16.309000000000001</v>
      </c>
      <c r="K158" s="1">
        <v>33.691000000000003</v>
      </c>
      <c r="L158" s="1">
        <v>32.619999999999997</v>
      </c>
      <c r="M158" s="1">
        <v>61.6</v>
      </c>
      <c r="N158" s="1">
        <v>4.0550000000000003E-2</v>
      </c>
      <c r="O158" s="1">
        <v>2.9619999999999999E-4</v>
      </c>
      <c r="P1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2.0643586888111711</v>
      </c>
      <c r="Q158" s="1">
        <f>LN(Table13[[#This Row],[qe_mg_g]]-Table13[[#This Row],[qt]])</f>
        <v>2.6563807876531262</v>
      </c>
      <c r="R158" s="1">
        <v>1</v>
      </c>
    </row>
    <row r="159" spans="1:18" x14ac:dyDescent="0.3">
      <c r="A159" s="1">
        <v>158</v>
      </c>
      <c r="B159" s="1" t="s">
        <v>16</v>
      </c>
      <c r="C159" s="1">
        <v>1</v>
      </c>
      <c r="D159" s="1">
        <v>30</v>
      </c>
      <c r="E159" s="1">
        <v>50</v>
      </c>
      <c r="F159" s="1">
        <v>7</v>
      </c>
      <c r="G159" s="1">
        <v>25</v>
      </c>
      <c r="H159" s="1">
        <v>150</v>
      </c>
      <c r="I159" s="1">
        <v>100</v>
      </c>
      <c r="J159" s="1">
        <v>14.53</v>
      </c>
      <c r="K159" s="1">
        <v>35.47</v>
      </c>
      <c r="L159" s="1">
        <v>29.06</v>
      </c>
      <c r="M159" s="1">
        <v>77.599999999999994</v>
      </c>
      <c r="N159" s="1">
        <v>3.7379999999999997E-2</v>
      </c>
      <c r="O159" s="1">
        <v>3.4590000000000001E-4</v>
      </c>
      <c r="P1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1.9037572329449073</v>
      </c>
      <c r="Q159" s="1">
        <f>LN(Table13[[#This Row],[qe_mg_g]]-Table13[[#This Row],[qt]])</f>
        <v>2.5357774073112833</v>
      </c>
      <c r="R159" s="1">
        <v>2</v>
      </c>
    </row>
    <row r="160" spans="1:18" x14ac:dyDescent="0.3">
      <c r="A160" s="1">
        <v>159</v>
      </c>
      <c r="B160" s="1" t="s">
        <v>16</v>
      </c>
      <c r="C160" s="1">
        <v>1</v>
      </c>
      <c r="D160" s="1">
        <v>30</v>
      </c>
      <c r="E160" s="1">
        <v>50</v>
      </c>
      <c r="F160" s="1">
        <v>7</v>
      </c>
      <c r="G160" s="1">
        <v>25</v>
      </c>
      <c r="H160" s="1">
        <v>150</v>
      </c>
      <c r="I160" s="1">
        <v>100</v>
      </c>
      <c r="J160" s="1">
        <v>14.282</v>
      </c>
      <c r="K160" s="1">
        <v>35.718000000000004</v>
      </c>
      <c r="L160" s="1">
        <v>28.56</v>
      </c>
      <c r="M160" s="1">
        <v>62.4</v>
      </c>
      <c r="N160" s="1">
        <v>4.045E-2</v>
      </c>
      <c r="O160" s="1">
        <v>2.5040000000000001E-4</v>
      </c>
      <c r="P1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1.3838011181468659</v>
      </c>
      <c r="Q160" s="1">
        <f>LN(Table13[[#This Row],[qe_mg_g]]-Table13[[#This Row],[qt]])</f>
        <v>2.5570876800578564</v>
      </c>
      <c r="R160" s="1">
        <v>3</v>
      </c>
    </row>
    <row r="161" spans="1:18" x14ac:dyDescent="0.3">
      <c r="A161" s="1">
        <v>160</v>
      </c>
      <c r="B161" s="1" t="s">
        <v>16</v>
      </c>
      <c r="C161" s="1">
        <v>1</v>
      </c>
      <c r="D161" s="1">
        <v>30</v>
      </c>
      <c r="E161" s="1">
        <v>50</v>
      </c>
      <c r="F161" s="1">
        <v>11</v>
      </c>
      <c r="G161" s="1">
        <v>25</v>
      </c>
      <c r="H161" s="1">
        <v>150</v>
      </c>
      <c r="I161" s="1">
        <v>100</v>
      </c>
      <c r="J161" s="1">
        <v>11.670999999999999</v>
      </c>
      <c r="K161" s="1">
        <v>38.329000000000001</v>
      </c>
      <c r="L161" s="1">
        <v>23.34</v>
      </c>
      <c r="M161" s="1">
        <v>67.400000000000006</v>
      </c>
      <c r="N161" s="1">
        <v>3.9199999999999999E-2</v>
      </c>
      <c r="O161" s="1">
        <v>2.611E-4</v>
      </c>
      <c r="P1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0.97758105683987528</v>
      </c>
      <c r="Q161" s="1">
        <f>LN(Table13[[#This Row],[qe_mg_g]]-Table13[[#This Row],[qt]])</f>
        <v>2.3696285002046524</v>
      </c>
      <c r="R161" s="1">
        <v>1</v>
      </c>
    </row>
    <row r="162" spans="1:18" x14ac:dyDescent="0.3">
      <c r="A162" s="1">
        <v>161</v>
      </c>
      <c r="B162" s="1" t="s">
        <v>16</v>
      </c>
      <c r="C162" s="1">
        <v>1</v>
      </c>
      <c r="D162" s="1">
        <v>30</v>
      </c>
      <c r="E162" s="1">
        <v>50</v>
      </c>
      <c r="F162" s="1">
        <v>11</v>
      </c>
      <c r="G162" s="1">
        <v>25</v>
      </c>
      <c r="H162" s="1">
        <v>150</v>
      </c>
      <c r="I162" s="1">
        <v>100</v>
      </c>
      <c r="J162" s="1">
        <v>10.654999999999999</v>
      </c>
      <c r="K162" s="1">
        <v>39.344999999999999</v>
      </c>
      <c r="L162" s="1">
        <v>21.31</v>
      </c>
      <c r="M162" s="1">
        <v>83.4</v>
      </c>
      <c r="N162" s="1">
        <v>4.3830000000000001E-2</v>
      </c>
      <c r="O162" s="1">
        <v>2.5490000000000002E-4</v>
      </c>
      <c r="P1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0.80274940777039827</v>
      </c>
      <c r="Q162" s="1">
        <f>LN(Table13[[#This Row],[qe_mg_g]]-Table13[[#This Row],[qt]])</f>
        <v>2.2876999156056996</v>
      </c>
      <c r="R162" s="1">
        <v>2</v>
      </c>
    </row>
    <row r="163" spans="1:18" x14ac:dyDescent="0.3">
      <c r="A163" s="1">
        <v>162</v>
      </c>
      <c r="B163" s="1" t="s">
        <v>16</v>
      </c>
      <c r="C163" s="1">
        <v>1</v>
      </c>
      <c r="D163" s="1">
        <v>30</v>
      </c>
      <c r="E163" s="1">
        <v>50</v>
      </c>
      <c r="F163" s="1">
        <v>11</v>
      </c>
      <c r="G163" s="1">
        <v>25</v>
      </c>
      <c r="H163" s="1">
        <v>150</v>
      </c>
      <c r="I163" s="1">
        <v>100</v>
      </c>
      <c r="J163" s="1">
        <v>10.734</v>
      </c>
      <c r="K163" s="1">
        <v>39.265999999999998</v>
      </c>
      <c r="L163" s="1">
        <v>21.47</v>
      </c>
      <c r="M163" s="1">
        <v>63.9</v>
      </c>
      <c r="N163" s="1">
        <v>3.286E-2</v>
      </c>
      <c r="O163" s="1">
        <v>2.9839999999999999E-4</v>
      </c>
      <c r="P1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0.94101541024201019</v>
      </c>
      <c r="Q163" s="1">
        <f>LN(Table13[[#This Row],[qe_mg_g]]-Table13[[#This Row],[qt]])</f>
        <v>2.2816662711397466</v>
      </c>
      <c r="R163" s="1">
        <v>3</v>
      </c>
    </row>
    <row r="164" spans="1:18" x14ac:dyDescent="0.3">
      <c r="A164" s="1">
        <v>163</v>
      </c>
      <c r="B164" s="1" t="s">
        <v>16</v>
      </c>
      <c r="C164" s="1">
        <v>1</v>
      </c>
      <c r="D164" s="1">
        <v>30</v>
      </c>
      <c r="E164" s="1">
        <v>100</v>
      </c>
      <c r="F164" s="1">
        <v>3</v>
      </c>
      <c r="G164" s="1">
        <v>25</v>
      </c>
      <c r="H164" s="1">
        <v>150</v>
      </c>
      <c r="I164" s="1">
        <v>100</v>
      </c>
      <c r="J164" s="1">
        <v>27.303999999999998</v>
      </c>
      <c r="K164" s="1">
        <v>72.695999999999998</v>
      </c>
      <c r="L164" s="1">
        <v>27.3</v>
      </c>
      <c r="M164" s="1">
        <v>73.599999999999994</v>
      </c>
      <c r="N164" s="1">
        <v>5.3319999999999999E-2</v>
      </c>
      <c r="O164" s="1">
        <v>3.3379999999999998E-4</v>
      </c>
      <c r="P1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5.8625654158694074</v>
      </c>
      <c r="Q164" s="1">
        <f>LN(Table13[[#This Row],[qe_mg_g]]-Table13[[#This Row],[qt]])</f>
        <v>3.0653252455373767</v>
      </c>
      <c r="R164" s="1">
        <v>1</v>
      </c>
    </row>
    <row r="165" spans="1:18" x14ac:dyDescent="0.3">
      <c r="A165" s="1">
        <v>164</v>
      </c>
      <c r="B165" s="1" t="s">
        <v>16</v>
      </c>
      <c r="C165" s="1">
        <v>1</v>
      </c>
      <c r="D165" s="1">
        <v>30</v>
      </c>
      <c r="E165" s="1">
        <v>100</v>
      </c>
      <c r="F165" s="1">
        <v>3</v>
      </c>
      <c r="G165" s="1">
        <v>25</v>
      </c>
      <c r="H165" s="1">
        <v>150</v>
      </c>
      <c r="I165" s="1">
        <v>100</v>
      </c>
      <c r="J165" s="1">
        <v>27.22</v>
      </c>
      <c r="K165" s="1">
        <v>72.78</v>
      </c>
      <c r="L165" s="1">
        <v>27.22</v>
      </c>
      <c r="M165" s="1">
        <v>55.6</v>
      </c>
      <c r="N165" s="1">
        <v>5.6579999999999998E-2</v>
      </c>
      <c r="O165" s="1">
        <v>3.0180000000000002E-4</v>
      </c>
      <c r="P1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5.3819779208450811</v>
      </c>
      <c r="Q165" s="1">
        <f>LN(Table13[[#This Row],[qe_mg_g]]-Table13[[#This Row],[qt]])</f>
        <v>3.0836525826342664</v>
      </c>
      <c r="R165" s="1">
        <v>2</v>
      </c>
    </row>
    <row r="166" spans="1:18" x14ac:dyDescent="0.3">
      <c r="A166" s="1">
        <v>165</v>
      </c>
      <c r="B166" s="1" t="s">
        <v>16</v>
      </c>
      <c r="C166" s="1">
        <v>1</v>
      </c>
      <c r="D166" s="1">
        <v>30</v>
      </c>
      <c r="E166" s="1">
        <v>100</v>
      </c>
      <c r="F166" s="1">
        <v>3</v>
      </c>
      <c r="G166" s="1">
        <v>25</v>
      </c>
      <c r="H166" s="1">
        <v>150</v>
      </c>
      <c r="I166" s="1">
        <v>100</v>
      </c>
      <c r="J166" s="1">
        <v>27.849</v>
      </c>
      <c r="K166" s="1">
        <v>72.150999999999996</v>
      </c>
      <c r="L166" s="1">
        <v>27.85</v>
      </c>
      <c r="M166" s="1">
        <v>66.400000000000006</v>
      </c>
      <c r="N166" s="1">
        <v>4.589E-2</v>
      </c>
      <c r="O166" s="1">
        <v>2.9569999999999998E-4</v>
      </c>
      <c r="P1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5.5170694704572103</v>
      </c>
      <c r="Q166" s="1">
        <f>LN(Table13[[#This Row],[qe_mg_g]]-Table13[[#This Row],[qt]])</f>
        <v>3.106017516640069</v>
      </c>
      <c r="R166" s="1">
        <v>3</v>
      </c>
    </row>
    <row r="167" spans="1:18" x14ac:dyDescent="0.3">
      <c r="A167" s="1">
        <v>166</v>
      </c>
      <c r="B167" s="1" t="s">
        <v>16</v>
      </c>
      <c r="C167" s="1">
        <v>1</v>
      </c>
      <c r="D167" s="1">
        <v>30</v>
      </c>
      <c r="E167" s="1">
        <v>100</v>
      </c>
      <c r="F167" s="1">
        <v>7</v>
      </c>
      <c r="G167" s="1">
        <v>25</v>
      </c>
      <c r="H167" s="1">
        <v>150</v>
      </c>
      <c r="I167" s="1">
        <v>100</v>
      </c>
      <c r="J167" s="1">
        <v>41.720999999999997</v>
      </c>
      <c r="K167" s="1">
        <v>58.279000000000003</v>
      </c>
      <c r="L167" s="1">
        <v>41.72</v>
      </c>
      <c r="M167" s="1">
        <v>61.2</v>
      </c>
      <c r="N167" s="1">
        <v>4.4850000000000001E-2</v>
      </c>
      <c r="O167" s="1">
        <v>2.8370000000000001E-4</v>
      </c>
      <c r="P1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10.932580710174856</v>
      </c>
      <c r="Q167" s="1">
        <f>LN(Table13[[#This Row],[qe_mg_g]]-Table13[[#This Row],[qt]])</f>
        <v>3.4271386221913023</v>
      </c>
      <c r="R167" s="1">
        <v>1</v>
      </c>
    </row>
    <row r="168" spans="1:18" x14ac:dyDescent="0.3">
      <c r="A168" s="1">
        <v>167</v>
      </c>
      <c r="B168" s="1" t="s">
        <v>16</v>
      </c>
      <c r="C168" s="1">
        <v>1</v>
      </c>
      <c r="D168" s="1">
        <v>30</v>
      </c>
      <c r="E168" s="1">
        <v>100</v>
      </c>
      <c r="F168" s="1">
        <v>7</v>
      </c>
      <c r="G168" s="1">
        <v>25</v>
      </c>
      <c r="H168" s="1">
        <v>150</v>
      </c>
      <c r="I168" s="1">
        <v>100</v>
      </c>
      <c r="J168" s="1">
        <v>41.234999999999999</v>
      </c>
      <c r="K168" s="1">
        <v>58.765000000000001</v>
      </c>
      <c r="L168" s="1">
        <v>41.23</v>
      </c>
      <c r="M168" s="1">
        <v>67.7</v>
      </c>
      <c r="N168" s="1">
        <v>4.385E-2</v>
      </c>
      <c r="O168" s="1">
        <v>3.4509999999999999E-4</v>
      </c>
      <c r="P1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12.336809579314567</v>
      </c>
      <c r="Q168" s="1">
        <f>LN(Table13[[#This Row],[qe_mg_g]]-Table13[[#This Row],[qt]])</f>
        <v>3.3637789779567768</v>
      </c>
      <c r="R168" s="1">
        <v>2</v>
      </c>
    </row>
    <row r="169" spans="1:18" x14ac:dyDescent="0.3">
      <c r="A169" s="1">
        <v>168</v>
      </c>
      <c r="B169" s="1" t="s">
        <v>16</v>
      </c>
      <c r="C169" s="1">
        <v>1</v>
      </c>
      <c r="D169" s="1">
        <v>30</v>
      </c>
      <c r="E169" s="1">
        <v>100</v>
      </c>
      <c r="F169" s="1">
        <v>7</v>
      </c>
      <c r="G169" s="1">
        <v>25</v>
      </c>
      <c r="H169" s="1">
        <v>150</v>
      </c>
      <c r="I169" s="1">
        <v>100</v>
      </c>
      <c r="J169" s="1">
        <v>34.454000000000001</v>
      </c>
      <c r="K169" s="1">
        <v>65.546000000000006</v>
      </c>
      <c r="L169" s="1">
        <v>34.450000000000003</v>
      </c>
      <c r="M169" s="1">
        <v>77.599999999999994</v>
      </c>
      <c r="N169" s="1">
        <v>5.0610000000000002E-2</v>
      </c>
      <c r="O169" s="1">
        <v>2.3780000000000001E-4</v>
      </c>
      <c r="P1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6.7977607827746702</v>
      </c>
      <c r="Q169" s="1">
        <f>LN(Table13[[#This Row],[qe_mg_g]]-Table13[[#This Row],[qt]])</f>
        <v>3.3198513523224893</v>
      </c>
      <c r="R169" s="1">
        <v>3</v>
      </c>
    </row>
    <row r="170" spans="1:18" x14ac:dyDescent="0.3">
      <c r="A170" s="1">
        <v>169</v>
      </c>
      <c r="B170" s="1" t="s">
        <v>16</v>
      </c>
      <c r="C170" s="1">
        <v>1</v>
      </c>
      <c r="D170" s="1">
        <v>30</v>
      </c>
      <c r="E170" s="1">
        <v>100</v>
      </c>
      <c r="F170" s="1">
        <v>11</v>
      </c>
      <c r="G170" s="1">
        <v>25</v>
      </c>
      <c r="H170" s="1">
        <v>150</v>
      </c>
      <c r="I170" s="1">
        <v>100</v>
      </c>
      <c r="J170" s="1">
        <v>33.021999999999998</v>
      </c>
      <c r="K170" s="1">
        <v>66.977999999999994</v>
      </c>
      <c r="L170" s="1">
        <v>33.020000000000003</v>
      </c>
      <c r="M170" s="1">
        <v>63</v>
      </c>
      <c r="N170" s="1">
        <v>3.8670000000000003E-2</v>
      </c>
      <c r="O170" s="1">
        <v>2.767E-4</v>
      </c>
      <c r="P1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7.1044149474246048</v>
      </c>
      <c r="Q170" s="1">
        <f>LN(Table13[[#This Row],[qe_mg_g]]-Table13[[#This Row],[qt]])</f>
        <v>3.2549216978756235</v>
      </c>
      <c r="R170" s="1">
        <v>1</v>
      </c>
    </row>
    <row r="171" spans="1:18" x14ac:dyDescent="0.3">
      <c r="A171" s="1">
        <v>170</v>
      </c>
      <c r="B171" s="1" t="s">
        <v>16</v>
      </c>
      <c r="C171" s="1">
        <v>1</v>
      </c>
      <c r="D171" s="1">
        <v>30</v>
      </c>
      <c r="E171" s="1">
        <v>100</v>
      </c>
      <c r="F171" s="1">
        <v>11</v>
      </c>
      <c r="G171" s="1">
        <v>25</v>
      </c>
      <c r="H171" s="1">
        <v>150</v>
      </c>
      <c r="I171" s="1">
        <v>100</v>
      </c>
      <c r="J171" s="1">
        <v>30.936</v>
      </c>
      <c r="K171" s="1">
        <v>69.063999999999993</v>
      </c>
      <c r="L171" s="1">
        <v>30.94</v>
      </c>
      <c r="M171" s="1">
        <v>84.2</v>
      </c>
      <c r="N171" s="1">
        <v>4.9209999999999997E-2</v>
      </c>
      <c r="O171" s="1">
        <v>3.3809999999999998E-4</v>
      </c>
      <c r="P1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7.3887474994501536</v>
      </c>
      <c r="Q171" s="1">
        <f>LN(Table13[[#This Row],[qe_mg_g]]-Table13[[#This Row],[qt]])</f>
        <v>3.1590091470130259</v>
      </c>
      <c r="R171" s="1">
        <v>2</v>
      </c>
    </row>
    <row r="172" spans="1:18" x14ac:dyDescent="0.3">
      <c r="A172" s="1">
        <v>171</v>
      </c>
      <c r="B172" s="1" t="s">
        <v>16</v>
      </c>
      <c r="C172" s="1">
        <v>1</v>
      </c>
      <c r="D172" s="1">
        <v>30</v>
      </c>
      <c r="E172" s="1">
        <v>100</v>
      </c>
      <c r="F172" s="1">
        <v>11</v>
      </c>
      <c r="G172" s="1">
        <v>25</v>
      </c>
      <c r="H172" s="1">
        <v>150</v>
      </c>
      <c r="I172" s="1">
        <v>100</v>
      </c>
      <c r="J172" s="1">
        <v>35.912999999999997</v>
      </c>
      <c r="K172" s="1">
        <v>64.087000000000003</v>
      </c>
      <c r="L172" s="1">
        <v>35.909999999999997</v>
      </c>
      <c r="M172" s="1">
        <v>55.4</v>
      </c>
      <c r="N172" s="1">
        <v>4.2639999999999997E-2</v>
      </c>
      <c r="O172" s="1">
        <v>3.1470000000000001E-4</v>
      </c>
      <c r="P1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9.0933325159773357</v>
      </c>
      <c r="Q172" s="1">
        <f>LN(Table13[[#This Row],[qe_mg_g]]-Table13[[#This Row],[qt]])</f>
        <v>3.2891354797163723</v>
      </c>
      <c r="R172" s="1">
        <v>3</v>
      </c>
    </row>
    <row r="173" spans="1:18" x14ac:dyDescent="0.3">
      <c r="A173" s="1">
        <v>172</v>
      </c>
      <c r="B173" s="1" t="s">
        <v>16</v>
      </c>
      <c r="C173" s="1">
        <v>1</v>
      </c>
      <c r="D173" s="1">
        <v>30</v>
      </c>
      <c r="E173" s="1">
        <v>200</v>
      </c>
      <c r="F173" s="1">
        <v>3</v>
      </c>
      <c r="G173" s="1">
        <v>25</v>
      </c>
      <c r="H173" s="1">
        <v>150</v>
      </c>
      <c r="I173" s="1">
        <v>100</v>
      </c>
      <c r="J173" s="1">
        <v>66.933999999999997</v>
      </c>
      <c r="K173" s="1">
        <v>133.066</v>
      </c>
      <c r="L173" s="1">
        <v>33.47</v>
      </c>
      <c r="M173" s="1">
        <v>73.8</v>
      </c>
      <c r="N173" s="1">
        <v>4.3920000000000001E-2</v>
      </c>
      <c r="O173" s="1">
        <v>2.8880000000000003E-4</v>
      </c>
      <c r="P1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24.568461234859843</v>
      </c>
      <c r="Q173" s="1">
        <f>LN(Table13[[#This Row],[qe_mg_g]]-Table13[[#This Row],[qt]])</f>
        <v>3.7463352667922756</v>
      </c>
      <c r="R173" s="1">
        <v>1</v>
      </c>
    </row>
    <row r="174" spans="1:18" x14ac:dyDescent="0.3">
      <c r="A174" s="1">
        <v>173</v>
      </c>
      <c r="B174" s="1" t="s">
        <v>16</v>
      </c>
      <c r="C174" s="1">
        <v>1</v>
      </c>
      <c r="D174" s="1">
        <v>30</v>
      </c>
      <c r="E174" s="1">
        <v>200</v>
      </c>
      <c r="F174" s="1">
        <v>3</v>
      </c>
      <c r="G174" s="1">
        <v>25</v>
      </c>
      <c r="H174" s="1">
        <v>150</v>
      </c>
      <c r="I174" s="1">
        <v>100</v>
      </c>
      <c r="J174" s="1">
        <v>78.406999999999996</v>
      </c>
      <c r="K174" s="1">
        <v>121.593</v>
      </c>
      <c r="L174" s="1">
        <v>39.200000000000003</v>
      </c>
      <c r="M174" s="1">
        <v>71.099999999999994</v>
      </c>
      <c r="N174" s="1">
        <v>4.3380000000000002E-2</v>
      </c>
      <c r="O174" s="1">
        <v>3.3480000000000001E-4</v>
      </c>
      <c r="P1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34.543432579524591</v>
      </c>
      <c r="Q174" s="1">
        <f>LN(Table13[[#This Row],[qe_mg_g]]-Table13[[#This Row],[qt]])</f>
        <v>3.7810840762182525</v>
      </c>
      <c r="R174" s="1">
        <v>2</v>
      </c>
    </row>
    <row r="175" spans="1:18" x14ac:dyDescent="0.3">
      <c r="A175" s="1">
        <v>174</v>
      </c>
      <c r="B175" s="1" t="s">
        <v>16</v>
      </c>
      <c r="C175" s="1">
        <v>1</v>
      </c>
      <c r="D175" s="1">
        <v>30</v>
      </c>
      <c r="E175" s="1">
        <v>200</v>
      </c>
      <c r="F175" s="1">
        <v>3</v>
      </c>
      <c r="G175" s="1">
        <v>25</v>
      </c>
      <c r="H175" s="1">
        <v>150</v>
      </c>
      <c r="I175" s="1">
        <v>100</v>
      </c>
      <c r="J175" s="1">
        <v>67.771000000000001</v>
      </c>
      <c r="K175" s="1">
        <v>132.22900000000001</v>
      </c>
      <c r="L175" s="1">
        <v>33.89</v>
      </c>
      <c r="M175" s="1">
        <v>72.8</v>
      </c>
      <c r="N175" s="1">
        <v>4.7669999999999997E-2</v>
      </c>
      <c r="O175" s="1">
        <v>2.9070000000000002E-4</v>
      </c>
      <c r="P1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25.175346839925691</v>
      </c>
      <c r="Q175" s="1">
        <f>LN(Table13[[#This Row],[qe_mg_g]]-Table13[[#This Row],[qt]])</f>
        <v>3.751752209573135</v>
      </c>
      <c r="R175" s="1">
        <v>3</v>
      </c>
    </row>
    <row r="176" spans="1:18" x14ac:dyDescent="0.3">
      <c r="A176" s="1">
        <v>175</v>
      </c>
      <c r="B176" s="1" t="s">
        <v>16</v>
      </c>
      <c r="C176" s="1">
        <v>1</v>
      </c>
      <c r="D176" s="1">
        <v>30</v>
      </c>
      <c r="E176" s="1">
        <v>200</v>
      </c>
      <c r="F176" s="1">
        <v>7</v>
      </c>
      <c r="G176" s="1">
        <v>25</v>
      </c>
      <c r="H176" s="1">
        <v>150</v>
      </c>
      <c r="I176" s="1">
        <v>100</v>
      </c>
      <c r="J176" s="1">
        <v>114.31699999999999</v>
      </c>
      <c r="K176" s="1">
        <v>85.683000000000007</v>
      </c>
      <c r="L176" s="1">
        <v>57.16</v>
      </c>
      <c r="M176" s="1">
        <v>54.2</v>
      </c>
      <c r="N176" s="1">
        <v>4.9160000000000002E-2</v>
      </c>
      <c r="O176" s="1">
        <v>2.945E-4</v>
      </c>
      <c r="P1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57.442607355112656</v>
      </c>
      <c r="Q176" s="1">
        <f>LN(Table13[[#This Row],[qe_mg_g]]-Table13[[#This Row],[qt]])</f>
        <v>4.0408451984428844</v>
      </c>
      <c r="R176" s="1">
        <v>1</v>
      </c>
    </row>
    <row r="177" spans="1:18" x14ac:dyDescent="0.3">
      <c r="A177" s="1">
        <v>176</v>
      </c>
      <c r="B177" s="1" t="s">
        <v>16</v>
      </c>
      <c r="C177" s="1">
        <v>1</v>
      </c>
      <c r="D177" s="1">
        <v>30</v>
      </c>
      <c r="E177" s="1">
        <v>200</v>
      </c>
      <c r="F177" s="1">
        <v>7</v>
      </c>
      <c r="G177" s="1">
        <v>25</v>
      </c>
      <c r="H177" s="1">
        <v>150</v>
      </c>
      <c r="I177" s="1">
        <v>100</v>
      </c>
      <c r="J177" s="1">
        <v>106.751</v>
      </c>
      <c r="K177" s="1">
        <v>93.248999999999995</v>
      </c>
      <c r="L177" s="1">
        <v>53.38</v>
      </c>
      <c r="M177" s="1">
        <v>77.2</v>
      </c>
      <c r="N177" s="1">
        <v>4.1829999999999999E-2</v>
      </c>
      <c r="O177" s="1">
        <v>2.5769999999999998E-4</v>
      </c>
      <c r="P1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48.266658255664026</v>
      </c>
      <c r="Q177" s="1">
        <f>LN(Table13[[#This Row],[qe_mg_g]]-Table13[[#This Row],[qt]])</f>
        <v>4.0687590559198297</v>
      </c>
      <c r="R177" s="1">
        <v>2</v>
      </c>
    </row>
    <row r="178" spans="1:18" x14ac:dyDescent="0.3">
      <c r="A178" s="1">
        <v>177</v>
      </c>
      <c r="B178" s="1" t="s">
        <v>16</v>
      </c>
      <c r="C178" s="1">
        <v>1</v>
      </c>
      <c r="D178" s="1">
        <v>30</v>
      </c>
      <c r="E178" s="1">
        <v>200</v>
      </c>
      <c r="F178" s="1">
        <v>7</v>
      </c>
      <c r="G178" s="1">
        <v>25</v>
      </c>
      <c r="H178" s="1">
        <v>150</v>
      </c>
      <c r="I178" s="1">
        <v>100</v>
      </c>
      <c r="J178" s="1">
        <v>97.536000000000001</v>
      </c>
      <c r="K178" s="1">
        <v>102.464</v>
      </c>
      <c r="L178" s="1">
        <v>48.77</v>
      </c>
      <c r="M178" s="1">
        <v>72.7</v>
      </c>
      <c r="N178" s="1">
        <v>3.9239999999999997E-2</v>
      </c>
      <c r="O178" s="1">
        <v>3.5260000000000001E-4</v>
      </c>
      <c r="P1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49.529758432592438</v>
      </c>
      <c r="Q178" s="1">
        <f>LN(Table13[[#This Row],[qe_mg_g]]-Table13[[#This Row],[qt]])</f>
        <v>3.8713310351087022</v>
      </c>
      <c r="R178" s="1">
        <v>3</v>
      </c>
    </row>
    <row r="179" spans="1:18" x14ac:dyDescent="0.3">
      <c r="A179" s="1">
        <v>178</v>
      </c>
      <c r="B179" s="1" t="s">
        <v>16</v>
      </c>
      <c r="C179" s="1">
        <v>1</v>
      </c>
      <c r="D179" s="1">
        <v>30</v>
      </c>
      <c r="E179" s="1">
        <v>200</v>
      </c>
      <c r="F179" s="1">
        <v>11</v>
      </c>
      <c r="G179" s="1">
        <v>25</v>
      </c>
      <c r="H179" s="1">
        <v>150</v>
      </c>
      <c r="I179" s="1">
        <v>100</v>
      </c>
      <c r="J179" s="1">
        <v>73.978999999999999</v>
      </c>
      <c r="K179" s="1">
        <v>126.021</v>
      </c>
      <c r="L179" s="1">
        <v>36.99</v>
      </c>
      <c r="M179" s="1">
        <v>83.6</v>
      </c>
      <c r="N179" s="1">
        <v>4.5949999999999998E-2</v>
      </c>
      <c r="O179" s="1">
        <v>2.9710000000000001E-4</v>
      </c>
      <c r="P1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29.396547141083637</v>
      </c>
      <c r="Q179" s="1">
        <f>LN(Table13[[#This Row],[qe_mg_g]]-Table13[[#This Row],[qt]])</f>
        <v>3.7973403479541075</v>
      </c>
      <c r="R179" s="1">
        <v>1</v>
      </c>
    </row>
    <row r="180" spans="1:18" x14ac:dyDescent="0.3">
      <c r="A180" s="1">
        <v>179</v>
      </c>
      <c r="B180" s="1" t="s">
        <v>16</v>
      </c>
      <c r="C180" s="1">
        <v>1</v>
      </c>
      <c r="D180" s="1">
        <v>30</v>
      </c>
      <c r="E180" s="1">
        <v>200</v>
      </c>
      <c r="F180" s="1">
        <v>11</v>
      </c>
      <c r="G180" s="1">
        <v>25</v>
      </c>
      <c r="H180" s="1">
        <v>150</v>
      </c>
      <c r="I180" s="1">
        <v>100</v>
      </c>
      <c r="J180" s="1">
        <v>84.894000000000005</v>
      </c>
      <c r="K180" s="1">
        <v>115.10599999999999</v>
      </c>
      <c r="L180" s="1">
        <v>42.45</v>
      </c>
      <c r="M180" s="1">
        <v>70.7</v>
      </c>
      <c r="N180" s="1">
        <v>4.4830000000000002E-2</v>
      </c>
      <c r="O180" s="1">
        <v>3.3310000000000002E-4</v>
      </c>
      <c r="P1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38.96428129480767</v>
      </c>
      <c r="Q180" s="1">
        <f>LN(Table13[[#This Row],[qe_mg_g]]-Table13[[#This Row],[qt]])</f>
        <v>3.8271123738946571</v>
      </c>
      <c r="R180" s="1">
        <v>2</v>
      </c>
    </row>
    <row r="181" spans="1:18" x14ac:dyDescent="0.3">
      <c r="A181" s="1">
        <v>180</v>
      </c>
      <c r="B181" s="1" t="s">
        <v>16</v>
      </c>
      <c r="C181" s="1">
        <v>1</v>
      </c>
      <c r="D181" s="1">
        <v>30</v>
      </c>
      <c r="E181" s="1">
        <v>200</v>
      </c>
      <c r="F181" s="1">
        <v>11</v>
      </c>
      <c r="G181" s="1">
        <v>25</v>
      </c>
      <c r="H181" s="1">
        <v>150</v>
      </c>
      <c r="I181" s="1">
        <v>100</v>
      </c>
      <c r="J181" s="1">
        <v>89.573999999999998</v>
      </c>
      <c r="K181" s="1">
        <v>110.426</v>
      </c>
      <c r="L181" s="1">
        <v>44.79</v>
      </c>
      <c r="M181" s="1">
        <v>68.2</v>
      </c>
      <c r="N181" s="1">
        <v>4.3360000000000003E-2</v>
      </c>
      <c r="O181" s="1">
        <v>2.9829999999999999E-4</v>
      </c>
      <c r="P1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39.854798700342059</v>
      </c>
      <c r="Q181" s="1">
        <f>LN(Table13[[#This Row],[qe_mg_g]]-Table13[[#This Row],[qt]])</f>
        <v>3.9063912025484382</v>
      </c>
      <c r="R181" s="1">
        <v>3</v>
      </c>
    </row>
    <row r="182" spans="1:18" x14ac:dyDescent="0.3">
      <c r="A182" s="1">
        <v>181</v>
      </c>
      <c r="B182" s="1" t="s">
        <v>16</v>
      </c>
      <c r="C182" s="1">
        <v>1</v>
      </c>
      <c r="D182" s="1">
        <v>60</v>
      </c>
      <c r="E182" s="1">
        <v>25</v>
      </c>
      <c r="F182" s="1">
        <v>3</v>
      </c>
      <c r="G182" s="1">
        <v>25</v>
      </c>
      <c r="H182" s="1">
        <v>150</v>
      </c>
      <c r="I182" s="1">
        <v>100</v>
      </c>
      <c r="J182" s="1">
        <v>4.5380000000000003</v>
      </c>
      <c r="K182" s="1">
        <v>20.462</v>
      </c>
      <c r="L182" s="1">
        <v>18.149999999999999</v>
      </c>
      <c r="M182" s="1">
        <v>49.6</v>
      </c>
      <c r="N182" s="1">
        <v>3.8929999999999999E-2</v>
      </c>
      <c r="O182" s="1">
        <v>3.2229999999999997E-4</v>
      </c>
      <c r="P1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0.36610791131911402</v>
      </c>
      <c r="Q182" s="1">
        <f>LN(Table13[[#This Row],[qe_mg_g]]-Table13[[#This Row],[qt]])</f>
        <v>1.428369671195397</v>
      </c>
      <c r="R182" s="1">
        <v>1</v>
      </c>
    </row>
    <row r="183" spans="1:18" x14ac:dyDescent="0.3">
      <c r="A183" s="1">
        <v>182</v>
      </c>
      <c r="B183" s="1" t="s">
        <v>16</v>
      </c>
      <c r="C183" s="1">
        <v>1</v>
      </c>
      <c r="D183" s="1">
        <v>60</v>
      </c>
      <c r="E183" s="1">
        <v>25</v>
      </c>
      <c r="F183" s="1">
        <v>3</v>
      </c>
      <c r="G183" s="1">
        <v>25</v>
      </c>
      <c r="H183" s="1">
        <v>150</v>
      </c>
      <c r="I183" s="1">
        <v>100</v>
      </c>
      <c r="J183" s="1">
        <v>4.4889999999999999</v>
      </c>
      <c r="K183" s="1">
        <v>20.510999999999999</v>
      </c>
      <c r="L183" s="1">
        <v>17.96</v>
      </c>
      <c r="M183" s="1">
        <v>64.8</v>
      </c>
      <c r="N183" s="1">
        <v>4.5080000000000002E-2</v>
      </c>
      <c r="O183" s="1">
        <v>3.1040000000000001E-4</v>
      </c>
      <c r="P1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0.34633941619009861</v>
      </c>
      <c r="Q183" s="1">
        <f>LN(Table13[[#This Row],[qe_mg_g]]-Table13[[#This Row],[qt]])</f>
        <v>1.4213382345183323</v>
      </c>
      <c r="R183" s="1">
        <v>2</v>
      </c>
    </row>
    <row r="184" spans="1:18" x14ac:dyDescent="0.3">
      <c r="A184" s="1">
        <v>183</v>
      </c>
      <c r="B184" s="1" t="s">
        <v>16</v>
      </c>
      <c r="C184" s="1">
        <v>1</v>
      </c>
      <c r="D184" s="1">
        <v>60</v>
      </c>
      <c r="E184" s="1">
        <v>25</v>
      </c>
      <c r="F184" s="1">
        <v>3</v>
      </c>
      <c r="G184" s="1">
        <v>25</v>
      </c>
      <c r="H184" s="1">
        <v>150</v>
      </c>
      <c r="I184" s="1">
        <v>100</v>
      </c>
      <c r="J184" s="1">
        <v>4.2380000000000004</v>
      </c>
      <c r="K184" s="1">
        <v>20.762</v>
      </c>
      <c r="L184" s="1">
        <v>16.95</v>
      </c>
      <c r="M184" s="1">
        <v>58.9</v>
      </c>
      <c r="N184" s="1">
        <v>4.5879999999999997E-2</v>
      </c>
      <c r="O184" s="1">
        <v>2.7060000000000002E-4</v>
      </c>
      <c r="P1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0.2728356918619656</v>
      </c>
      <c r="Q184" s="1">
        <f>LN(Table13[[#This Row],[qe_mg_g]]-Table13[[#This Row],[qt]])</f>
        <v>1.3775472938594959</v>
      </c>
      <c r="R184" s="1">
        <v>3</v>
      </c>
    </row>
    <row r="185" spans="1:18" x14ac:dyDescent="0.3">
      <c r="A185" s="1">
        <v>184</v>
      </c>
      <c r="B185" s="1" t="s">
        <v>16</v>
      </c>
      <c r="C185" s="1">
        <v>1</v>
      </c>
      <c r="D185" s="1">
        <v>60</v>
      </c>
      <c r="E185" s="1">
        <v>25</v>
      </c>
      <c r="F185" s="1">
        <v>7</v>
      </c>
      <c r="G185" s="1">
        <v>25</v>
      </c>
      <c r="H185" s="1">
        <v>150</v>
      </c>
      <c r="I185" s="1">
        <v>100</v>
      </c>
      <c r="J185" s="1">
        <v>7.5119999999999996</v>
      </c>
      <c r="K185" s="1">
        <v>17.488</v>
      </c>
      <c r="L185" s="1">
        <v>30.05</v>
      </c>
      <c r="M185" s="1">
        <v>49.6</v>
      </c>
      <c r="N185" s="1">
        <v>4.9630000000000001E-2</v>
      </c>
      <c r="O185" s="1">
        <v>3.1419999999999999E-4</v>
      </c>
      <c r="P1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0.93185525251259904</v>
      </c>
      <c r="Q185" s="1">
        <f>LN(Table13[[#This Row],[qe_mg_g]]-Table13[[#This Row],[qt]])</f>
        <v>1.8840567431936603</v>
      </c>
      <c r="R185" s="1">
        <v>1</v>
      </c>
    </row>
    <row r="186" spans="1:18" x14ac:dyDescent="0.3">
      <c r="A186" s="1">
        <v>185</v>
      </c>
      <c r="B186" s="1" t="s">
        <v>16</v>
      </c>
      <c r="C186" s="1">
        <v>1</v>
      </c>
      <c r="D186" s="1">
        <v>60</v>
      </c>
      <c r="E186" s="1">
        <v>25</v>
      </c>
      <c r="F186" s="1">
        <v>7</v>
      </c>
      <c r="G186" s="1">
        <v>25</v>
      </c>
      <c r="H186" s="1">
        <v>150</v>
      </c>
      <c r="I186" s="1">
        <v>100</v>
      </c>
      <c r="J186" s="1">
        <v>7.4240000000000004</v>
      </c>
      <c r="K186" s="1">
        <v>17.576000000000001</v>
      </c>
      <c r="L186" s="1">
        <v>29.7</v>
      </c>
      <c r="M186" s="1">
        <v>76.5</v>
      </c>
      <c r="N186" s="1">
        <v>5.2490000000000002E-2</v>
      </c>
      <c r="O186" s="1">
        <v>3.3040000000000001E-4</v>
      </c>
      <c r="P1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0.95244116214914676</v>
      </c>
      <c r="Q186" s="1">
        <f>LN(Table13[[#This Row],[qe_mg_g]]-Table13[[#This Row],[qt]])</f>
        <v>1.8674170127003067</v>
      </c>
      <c r="R186" s="1">
        <v>2</v>
      </c>
    </row>
    <row r="187" spans="1:18" x14ac:dyDescent="0.3">
      <c r="A187" s="1">
        <v>186</v>
      </c>
      <c r="B187" s="1" t="s">
        <v>16</v>
      </c>
      <c r="C187" s="1">
        <v>1</v>
      </c>
      <c r="D187" s="1">
        <v>60</v>
      </c>
      <c r="E187" s="1">
        <v>25</v>
      </c>
      <c r="F187" s="1">
        <v>7</v>
      </c>
      <c r="G187" s="1">
        <v>25</v>
      </c>
      <c r="H187" s="1">
        <v>150</v>
      </c>
      <c r="I187" s="1">
        <v>100</v>
      </c>
      <c r="J187" s="1">
        <v>6.2030000000000003</v>
      </c>
      <c r="K187" s="1">
        <v>18.797000000000001</v>
      </c>
      <c r="L187" s="1">
        <v>24.81</v>
      </c>
      <c r="M187" s="1">
        <v>53.9</v>
      </c>
      <c r="N187" s="1">
        <v>4.2189999999999998E-2</v>
      </c>
      <c r="O187" s="1">
        <v>3.0079999999999999E-4</v>
      </c>
      <c r="P1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0.62452050799787229</v>
      </c>
      <c r="Q187" s="1">
        <f>LN(Table13[[#This Row],[qe_mg_g]]-Table13[[#This Row],[qt]])</f>
        <v>1.7189162467876631</v>
      </c>
      <c r="R187" s="1">
        <v>3</v>
      </c>
    </row>
    <row r="188" spans="1:18" x14ac:dyDescent="0.3">
      <c r="A188" s="1">
        <v>187</v>
      </c>
      <c r="B188" s="1" t="s">
        <v>16</v>
      </c>
      <c r="C188" s="1">
        <v>1</v>
      </c>
      <c r="D188" s="1">
        <v>60</v>
      </c>
      <c r="E188" s="1">
        <v>25</v>
      </c>
      <c r="F188" s="1">
        <v>11</v>
      </c>
      <c r="G188" s="1">
        <v>25</v>
      </c>
      <c r="H188" s="1">
        <v>150</v>
      </c>
      <c r="I188" s="1">
        <v>100</v>
      </c>
      <c r="J188" s="1">
        <v>5.7350000000000003</v>
      </c>
      <c r="K188" s="1">
        <v>19.265000000000001</v>
      </c>
      <c r="L188" s="1">
        <v>22.94</v>
      </c>
      <c r="M188" s="1">
        <v>59.4</v>
      </c>
      <c r="N188" s="1">
        <v>4.5839999999999999E-2</v>
      </c>
      <c r="O188" s="1">
        <v>2.7730000000000002E-4</v>
      </c>
      <c r="P1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0.4995600756598208</v>
      </c>
      <c r="Q188" s="1">
        <f>LN(Table13[[#This Row],[qe_mg_g]]-Table13[[#This Row],[qt]])</f>
        <v>1.6554508760047633</v>
      </c>
      <c r="R188" s="1">
        <v>1</v>
      </c>
    </row>
    <row r="189" spans="1:18" x14ac:dyDescent="0.3">
      <c r="A189" s="1">
        <v>188</v>
      </c>
      <c r="B189" s="1" t="s">
        <v>16</v>
      </c>
      <c r="C189" s="1">
        <v>1</v>
      </c>
      <c r="D189" s="1">
        <v>60</v>
      </c>
      <c r="E189" s="1">
        <v>25</v>
      </c>
      <c r="F189" s="1">
        <v>11</v>
      </c>
      <c r="G189" s="1">
        <v>25</v>
      </c>
      <c r="H189" s="1">
        <v>150</v>
      </c>
      <c r="I189" s="1">
        <v>100</v>
      </c>
      <c r="J189" s="1">
        <v>5.2380000000000004</v>
      </c>
      <c r="K189" s="1">
        <v>19.762</v>
      </c>
      <c r="L189" s="1">
        <v>20.95</v>
      </c>
      <c r="M189" s="1">
        <v>52.6</v>
      </c>
      <c r="N189" s="1">
        <v>4.0849999999999997E-2</v>
      </c>
      <c r="O189" s="1">
        <v>2.5940000000000002E-4</v>
      </c>
      <c r="P1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0.39483528392732314</v>
      </c>
      <c r="Q189" s="1">
        <f>LN(Table13[[#This Row],[qe_mg_g]]-Table13[[#This Row],[qt]])</f>
        <v>1.5775683740078459</v>
      </c>
      <c r="R189" s="1">
        <v>2</v>
      </c>
    </row>
    <row r="190" spans="1:18" x14ac:dyDescent="0.3">
      <c r="A190" s="1">
        <v>189</v>
      </c>
      <c r="B190" s="1" t="s">
        <v>16</v>
      </c>
      <c r="C190" s="1">
        <v>1</v>
      </c>
      <c r="D190" s="1">
        <v>60</v>
      </c>
      <c r="E190" s="1">
        <v>25</v>
      </c>
      <c r="F190" s="1">
        <v>11</v>
      </c>
      <c r="G190" s="1">
        <v>25</v>
      </c>
      <c r="H190" s="1">
        <v>150</v>
      </c>
      <c r="I190" s="1">
        <v>100</v>
      </c>
      <c r="J190" s="1">
        <v>5.077</v>
      </c>
      <c r="K190" s="1">
        <v>19.922999999999998</v>
      </c>
      <c r="L190" s="1">
        <v>20.309999999999999</v>
      </c>
      <c r="M190" s="1">
        <v>77.2</v>
      </c>
      <c r="N190" s="1">
        <v>4.0730000000000002E-2</v>
      </c>
      <c r="O190" s="1">
        <v>3.79E-4</v>
      </c>
      <c r="P1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0.52547770898905821</v>
      </c>
      <c r="Q190" s="1">
        <f>LN(Table13[[#This Row],[qe_mg_g]]-Table13[[#This Row],[qt]])</f>
        <v>1.5154617464599343</v>
      </c>
      <c r="R190" s="1">
        <v>3</v>
      </c>
    </row>
    <row r="191" spans="1:18" x14ac:dyDescent="0.3">
      <c r="A191" s="1">
        <v>190</v>
      </c>
      <c r="B191" s="1" t="s">
        <v>16</v>
      </c>
      <c r="C191" s="1">
        <v>1</v>
      </c>
      <c r="D191" s="1">
        <v>60</v>
      </c>
      <c r="E191" s="1">
        <v>50</v>
      </c>
      <c r="F191" s="1">
        <v>3</v>
      </c>
      <c r="G191" s="1">
        <v>25</v>
      </c>
      <c r="H191" s="1">
        <v>150</v>
      </c>
      <c r="I191" s="1">
        <v>100</v>
      </c>
      <c r="J191" s="1">
        <v>14.686999999999999</v>
      </c>
      <c r="K191" s="1">
        <v>35.313000000000002</v>
      </c>
      <c r="L191" s="1">
        <v>29.37</v>
      </c>
      <c r="M191" s="1">
        <v>68.5</v>
      </c>
      <c r="N191" s="1">
        <v>4.1140000000000003E-2</v>
      </c>
      <c r="O191" s="1">
        <v>3.21E-4</v>
      </c>
      <c r="P1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3.2384655004995748</v>
      </c>
      <c r="Q191" s="1">
        <f>LN(Table13[[#This Row],[qe_mg_g]]-Table13[[#This Row],[qt]])</f>
        <v>2.4378617304986556</v>
      </c>
      <c r="R191" s="1">
        <v>1</v>
      </c>
    </row>
    <row r="192" spans="1:18" x14ac:dyDescent="0.3">
      <c r="A192" s="1">
        <v>191</v>
      </c>
      <c r="B192" s="1" t="s">
        <v>16</v>
      </c>
      <c r="C192" s="1">
        <v>1</v>
      </c>
      <c r="D192" s="1">
        <v>60</v>
      </c>
      <c r="E192" s="1">
        <v>50</v>
      </c>
      <c r="F192" s="1">
        <v>3</v>
      </c>
      <c r="G192" s="1">
        <v>25</v>
      </c>
      <c r="H192" s="1">
        <v>150</v>
      </c>
      <c r="I192" s="1">
        <v>100</v>
      </c>
      <c r="J192" s="1">
        <v>13.478999999999999</v>
      </c>
      <c r="K192" s="1">
        <v>36.521000000000001</v>
      </c>
      <c r="L192" s="1">
        <v>26.96</v>
      </c>
      <c r="M192" s="1">
        <v>67.900000000000006</v>
      </c>
      <c r="N192" s="1">
        <v>5.6520000000000001E-2</v>
      </c>
      <c r="O192" s="1">
        <v>2.9710000000000001E-4</v>
      </c>
      <c r="P1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2.6112633893582906</v>
      </c>
      <c r="Q192" s="1">
        <f>LN(Table13[[#This Row],[qe_mg_g]]-Table13[[#This Row],[qt]])</f>
        <v>2.385798455959574</v>
      </c>
      <c r="R192" s="1">
        <v>2</v>
      </c>
    </row>
    <row r="193" spans="1:18" x14ac:dyDescent="0.3">
      <c r="A193" s="1">
        <v>192</v>
      </c>
      <c r="B193" s="1" t="s">
        <v>16</v>
      </c>
      <c r="C193" s="1">
        <v>1</v>
      </c>
      <c r="D193" s="1">
        <v>60</v>
      </c>
      <c r="E193" s="1">
        <v>50</v>
      </c>
      <c r="F193" s="1">
        <v>3</v>
      </c>
      <c r="G193" s="1">
        <v>25</v>
      </c>
      <c r="H193" s="1">
        <v>150</v>
      </c>
      <c r="I193" s="1">
        <v>100</v>
      </c>
      <c r="J193" s="1">
        <v>15.429</v>
      </c>
      <c r="K193" s="1">
        <v>34.570999999999998</v>
      </c>
      <c r="L193" s="1">
        <v>30.86</v>
      </c>
      <c r="M193" s="1">
        <v>59.6</v>
      </c>
      <c r="N193" s="1">
        <v>4.4839999999999998E-2</v>
      </c>
      <c r="O193" s="1">
        <v>3.5310000000000002E-4</v>
      </c>
      <c r="P1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3.8009597677133429</v>
      </c>
      <c r="Q193" s="1">
        <f>LN(Table13[[#This Row],[qe_mg_g]]-Table13[[#This Row],[qt]])</f>
        <v>2.4534194426396168</v>
      </c>
      <c r="R193" s="1">
        <v>3</v>
      </c>
    </row>
    <row r="194" spans="1:18" x14ac:dyDescent="0.3">
      <c r="A194" s="1">
        <v>193</v>
      </c>
      <c r="B194" s="1" t="s">
        <v>16</v>
      </c>
      <c r="C194" s="1">
        <v>1</v>
      </c>
      <c r="D194" s="1">
        <v>60</v>
      </c>
      <c r="E194" s="1">
        <v>50</v>
      </c>
      <c r="F194" s="1">
        <v>7</v>
      </c>
      <c r="G194" s="1">
        <v>25</v>
      </c>
      <c r="H194" s="1">
        <v>150</v>
      </c>
      <c r="I194" s="1">
        <v>100</v>
      </c>
      <c r="J194" s="1">
        <v>21.082999999999998</v>
      </c>
      <c r="K194" s="1">
        <v>28.917000000000002</v>
      </c>
      <c r="L194" s="1">
        <v>42.17</v>
      </c>
      <c r="M194" s="1">
        <v>84.8</v>
      </c>
      <c r="N194" s="1">
        <v>4.8180000000000001E-2</v>
      </c>
      <c r="O194" s="1">
        <v>2.831E-4</v>
      </c>
      <c r="P1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5.5592873606956639</v>
      </c>
      <c r="Q194" s="1">
        <f>LN(Table13[[#This Row],[qe_mg_g]]-Table13[[#This Row],[qt]])</f>
        <v>2.7423687025974015</v>
      </c>
      <c r="R194" s="1">
        <v>1</v>
      </c>
    </row>
    <row r="195" spans="1:18" x14ac:dyDescent="0.3">
      <c r="A195" s="1">
        <v>194</v>
      </c>
      <c r="B195" s="1" t="s">
        <v>16</v>
      </c>
      <c r="C195" s="1">
        <v>1</v>
      </c>
      <c r="D195" s="1">
        <v>60</v>
      </c>
      <c r="E195" s="1">
        <v>50</v>
      </c>
      <c r="F195" s="1">
        <v>7</v>
      </c>
      <c r="G195" s="1">
        <v>25</v>
      </c>
      <c r="H195" s="1">
        <v>150</v>
      </c>
      <c r="I195" s="1">
        <v>100</v>
      </c>
      <c r="J195" s="1">
        <v>23.318999999999999</v>
      </c>
      <c r="K195" s="1">
        <v>26.681000000000001</v>
      </c>
      <c r="L195" s="1">
        <v>46.64</v>
      </c>
      <c r="M195" s="1">
        <v>76.400000000000006</v>
      </c>
      <c r="N195" s="1">
        <v>4.7800000000000002E-2</v>
      </c>
      <c r="O195" s="1">
        <v>2.5290000000000002E-4</v>
      </c>
      <c r="P1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6.0946922266407269</v>
      </c>
      <c r="Q195" s="1">
        <f>LN(Table13[[#This Row],[qe_mg_g]]-Table13[[#This Row],[qt]])</f>
        <v>2.8463216287690711</v>
      </c>
      <c r="R195" s="1">
        <v>2</v>
      </c>
    </row>
    <row r="196" spans="1:18" x14ac:dyDescent="0.3">
      <c r="A196" s="1">
        <v>195</v>
      </c>
      <c r="B196" s="1" t="s">
        <v>16</v>
      </c>
      <c r="C196" s="1">
        <v>1</v>
      </c>
      <c r="D196" s="1">
        <v>60</v>
      </c>
      <c r="E196" s="1">
        <v>50</v>
      </c>
      <c r="F196" s="1">
        <v>7</v>
      </c>
      <c r="G196" s="1">
        <v>25</v>
      </c>
      <c r="H196" s="1">
        <v>150</v>
      </c>
      <c r="I196" s="1">
        <v>100</v>
      </c>
      <c r="J196" s="1">
        <v>20.905000000000001</v>
      </c>
      <c r="K196" s="1">
        <v>29.094999999999999</v>
      </c>
      <c r="L196" s="1">
        <v>41.81</v>
      </c>
      <c r="M196" s="1">
        <v>64.2</v>
      </c>
      <c r="N196" s="1">
        <v>4.4670000000000001E-2</v>
      </c>
      <c r="O196" s="1">
        <v>3.1859999999999999E-4</v>
      </c>
      <c r="P1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5.9688028188194355</v>
      </c>
      <c r="Q196" s="1">
        <f>LN(Table13[[#This Row],[qe_mg_g]]-Table13[[#This Row],[qt]])</f>
        <v>2.7037876078917389</v>
      </c>
      <c r="R196" s="1">
        <v>3</v>
      </c>
    </row>
    <row r="197" spans="1:18" x14ac:dyDescent="0.3">
      <c r="A197" s="1">
        <v>196</v>
      </c>
      <c r="B197" s="1" t="s">
        <v>16</v>
      </c>
      <c r="C197" s="1">
        <v>1</v>
      </c>
      <c r="D197" s="1">
        <v>60</v>
      </c>
      <c r="E197" s="1">
        <v>50</v>
      </c>
      <c r="F197" s="1">
        <v>11</v>
      </c>
      <c r="G197" s="1">
        <v>25</v>
      </c>
      <c r="H197" s="1">
        <v>150</v>
      </c>
      <c r="I197" s="1">
        <v>100</v>
      </c>
      <c r="J197" s="1">
        <v>17.486000000000001</v>
      </c>
      <c r="K197" s="1">
        <v>32.514000000000003</v>
      </c>
      <c r="L197" s="1">
        <v>34.97</v>
      </c>
      <c r="M197" s="1">
        <v>53.3</v>
      </c>
      <c r="N197" s="1">
        <v>4.6710000000000002E-2</v>
      </c>
      <c r="O197" s="1">
        <v>3.1829999999999998E-4</v>
      </c>
      <c r="P1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4.3775393431023071</v>
      </c>
      <c r="Q197" s="1">
        <f>LN(Table13[[#This Row],[qe_mg_g]]-Table13[[#This Row],[qt]])</f>
        <v>2.5732578734062512</v>
      </c>
      <c r="R197" s="1">
        <v>1</v>
      </c>
    </row>
    <row r="198" spans="1:18" x14ac:dyDescent="0.3">
      <c r="A198" s="1">
        <v>197</v>
      </c>
      <c r="B198" s="1" t="s">
        <v>16</v>
      </c>
      <c r="C198" s="1">
        <v>1</v>
      </c>
      <c r="D198" s="1">
        <v>60</v>
      </c>
      <c r="E198" s="1">
        <v>50</v>
      </c>
      <c r="F198" s="1">
        <v>11</v>
      </c>
      <c r="G198" s="1">
        <v>25</v>
      </c>
      <c r="H198" s="1">
        <v>150</v>
      </c>
      <c r="I198" s="1">
        <v>100</v>
      </c>
      <c r="J198" s="1">
        <v>18.013000000000002</v>
      </c>
      <c r="K198" s="1">
        <v>31.986999999999998</v>
      </c>
      <c r="L198" s="1">
        <v>36.03</v>
      </c>
      <c r="M198" s="1">
        <v>77.5</v>
      </c>
      <c r="N198" s="1">
        <v>4.8750000000000002E-2</v>
      </c>
      <c r="O198" s="1">
        <v>3.1379999999999998E-4</v>
      </c>
      <c r="P1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4.5619178766101598</v>
      </c>
      <c r="Q198" s="1">
        <f>LN(Table13[[#This Row],[qe_mg_g]]-Table13[[#This Row],[qt]])</f>
        <v>2.5990595580821165</v>
      </c>
      <c r="R198" s="1">
        <v>2</v>
      </c>
    </row>
    <row r="199" spans="1:18" x14ac:dyDescent="0.3">
      <c r="A199" s="1">
        <v>198</v>
      </c>
      <c r="B199" s="1" t="s">
        <v>16</v>
      </c>
      <c r="C199" s="1">
        <v>1</v>
      </c>
      <c r="D199" s="1">
        <v>60</v>
      </c>
      <c r="E199" s="1">
        <v>50</v>
      </c>
      <c r="F199" s="1">
        <v>11</v>
      </c>
      <c r="G199" s="1">
        <v>25</v>
      </c>
      <c r="H199" s="1">
        <v>150</v>
      </c>
      <c r="I199" s="1">
        <v>100</v>
      </c>
      <c r="J199" s="1">
        <v>17.143999999999998</v>
      </c>
      <c r="K199" s="1">
        <v>32.856000000000002</v>
      </c>
      <c r="L199" s="1">
        <v>34.29</v>
      </c>
      <c r="M199" s="1">
        <v>50.1</v>
      </c>
      <c r="N199" s="1">
        <v>4.6929999999999999E-2</v>
      </c>
      <c r="O199" s="1">
        <v>3.0620000000000002E-4</v>
      </c>
      <c r="P1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4.1064359246008033</v>
      </c>
      <c r="Q199" s="1">
        <f>LN(Table13[[#This Row],[qe_mg_g]]-Table13[[#This Row],[qt]])</f>
        <v>2.5678347350146562</v>
      </c>
      <c r="R199" s="1">
        <v>3</v>
      </c>
    </row>
    <row r="200" spans="1:18" x14ac:dyDescent="0.3">
      <c r="A200" s="1">
        <v>199</v>
      </c>
      <c r="B200" s="1" t="s">
        <v>16</v>
      </c>
      <c r="C200" s="1">
        <v>1</v>
      </c>
      <c r="D200" s="1">
        <v>60</v>
      </c>
      <c r="E200" s="1">
        <v>100</v>
      </c>
      <c r="F200" s="1">
        <v>3</v>
      </c>
      <c r="G200" s="1">
        <v>25</v>
      </c>
      <c r="H200" s="1">
        <v>150</v>
      </c>
      <c r="I200" s="1">
        <v>100</v>
      </c>
      <c r="J200" s="1">
        <v>40.811999999999998</v>
      </c>
      <c r="K200" s="1">
        <v>59.188000000000002</v>
      </c>
      <c r="L200" s="1">
        <v>40.81</v>
      </c>
      <c r="M200" s="1">
        <v>53.9</v>
      </c>
      <c r="N200" s="1">
        <v>4.0140000000000002E-2</v>
      </c>
      <c r="O200" s="1">
        <v>3.3159999999999998E-4</v>
      </c>
      <c r="P2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18.288765903231088</v>
      </c>
      <c r="Q200" s="1">
        <f>LN(Table13[[#This Row],[qe_mg_g]]-Table13[[#This Row],[qt]])</f>
        <v>3.1145474029414211</v>
      </c>
      <c r="R200" s="1">
        <v>1</v>
      </c>
    </row>
    <row r="201" spans="1:18" x14ac:dyDescent="0.3">
      <c r="A201" s="1">
        <v>200</v>
      </c>
      <c r="B201" s="1" t="s">
        <v>16</v>
      </c>
      <c r="C201" s="1">
        <v>1</v>
      </c>
      <c r="D201" s="1">
        <v>60</v>
      </c>
      <c r="E201" s="1">
        <v>100</v>
      </c>
      <c r="F201" s="1">
        <v>3</v>
      </c>
      <c r="G201" s="1">
        <v>25</v>
      </c>
      <c r="H201" s="1">
        <v>150</v>
      </c>
      <c r="I201" s="1">
        <v>100</v>
      </c>
      <c r="J201" s="1">
        <v>39.817999999999998</v>
      </c>
      <c r="K201" s="1">
        <v>60.182000000000002</v>
      </c>
      <c r="L201" s="1">
        <v>39.82</v>
      </c>
      <c r="M201" s="1">
        <v>73.5</v>
      </c>
      <c r="N201" s="1">
        <v>4.5130000000000003E-2</v>
      </c>
      <c r="O201" s="1">
        <v>3.009E-4</v>
      </c>
      <c r="P2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16.652837215763341</v>
      </c>
      <c r="Q201" s="1">
        <f>LN(Table13[[#This Row],[qe_mg_g]]-Table13[[#This Row],[qt]])</f>
        <v>3.1426495460071702</v>
      </c>
      <c r="R201" s="1">
        <v>2</v>
      </c>
    </row>
    <row r="202" spans="1:18" x14ac:dyDescent="0.3">
      <c r="A202" s="1">
        <v>201</v>
      </c>
      <c r="B202" s="1" t="s">
        <v>16</v>
      </c>
      <c r="C202" s="1">
        <v>1</v>
      </c>
      <c r="D202" s="1">
        <v>60</v>
      </c>
      <c r="E202" s="1">
        <v>100</v>
      </c>
      <c r="F202" s="1">
        <v>3</v>
      </c>
      <c r="G202" s="1">
        <v>25</v>
      </c>
      <c r="H202" s="1">
        <v>150</v>
      </c>
      <c r="I202" s="1">
        <v>100</v>
      </c>
      <c r="J202" s="1">
        <v>42.942999999999998</v>
      </c>
      <c r="K202" s="1">
        <v>57.057000000000002</v>
      </c>
      <c r="L202" s="1">
        <v>42.94</v>
      </c>
      <c r="M202" s="1">
        <v>61.5</v>
      </c>
      <c r="N202" s="1">
        <v>4.5429999999999998E-2</v>
      </c>
      <c r="O202" s="1">
        <v>2.8610000000000002E-4</v>
      </c>
      <c r="P2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18.222760401603367</v>
      </c>
      <c r="Q202" s="1">
        <f>LN(Table13[[#This Row],[qe_mg_g]]-Table13[[#This Row],[qt]])</f>
        <v>3.2076223250342912</v>
      </c>
      <c r="R202" s="1">
        <v>3</v>
      </c>
    </row>
    <row r="203" spans="1:18" x14ac:dyDescent="0.3">
      <c r="A203" s="1">
        <v>202</v>
      </c>
      <c r="B203" s="1" t="s">
        <v>16</v>
      </c>
      <c r="C203" s="1">
        <v>1</v>
      </c>
      <c r="D203" s="1">
        <v>60</v>
      </c>
      <c r="E203" s="1">
        <v>100</v>
      </c>
      <c r="F203" s="1">
        <v>7</v>
      </c>
      <c r="G203" s="1">
        <v>25</v>
      </c>
      <c r="H203" s="1">
        <v>150</v>
      </c>
      <c r="I203" s="1">
        <v>100</v>
      </c>
      <c r="J203" s="1">
        <v>57.695</v>
      </c>
      <c r="K203" s="1">
        <v>42.305</v>
      </c>
      <c r="L203" s="1">
        <v>57.7</v>
      </c>
      <c r="M203" s="1">
        <v>63.6</v>
      </c>
      <c r="N203" s="1">
        <v>4.5999999999999999E-2</v>
      </c>
      <c r="O203" s="1">
        <v>2.856E-4</v>
      </c>
      <c r="P2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28.683024146009519</v>
      </c>
      <c r="Q203" s="1">
        <f>LN(Table13[[#This Row],[qe_mg_g]]-Table13[[#This Row],[qt]])</f>
        <v>3.3677087052241919</v>
      </c>
      <c r="R203" s="1">
        <v>1</v>
      </c>
    </row>
    <row r="204" spans="1:18" x14ac:dyDescent="0.3">
      <c r="A204" s="1">
        <v>203</v>
      </c>
      <c r="B204" s="1" t="s">
        <v>16</v>
      </c>
      <c r="C204" s="1">
        <v>1</v>
      </c>
      <c r="D204" s="1">
        <v>60</v>
      </c>
      <c r="E204" s="1">
        <v>100</v>
      </c>
      <c r="F204" s="1">
        <v>7</v>
      </c>
      <c r="G204" s="1">
        <v>25</v>
      </c>
      <c r="H204" s="1">
        <v>150</v>
      </c>
      <c r="I204" s="1">
        <v>100</v>
      </c>
      <c r="J204" s="1">
        <v>65.778000000000006</v>
      </c>
      <c r="K204" s="1">
        <v>34.222000000000001</v>
      </c>
      <c r="L204" s="1">
        <v>65.78</v>
      </c>
      <c r="M204" s="1">
        <v>57.7</v>
      </c>
      <c r="N204" s="1">
        <v>4.4159999999999998E-2</v>
      </c>
      <c r="O204" s="1">
        <v>2.8679999999999998E-4</v>
      </c>
      <c r="P2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34.923945589437459</v>
      </c>
      <c r="Q204" s="1">
        <f>LN(Table13[[#This Row],[qe_mg_g]]-Table13[[#This Row],[qt]])</f>
        <v>3.4292681650730747</v>
      </c>
      <c r="R204" s="1">
        <v>2</v>
      </c>
    </row>
    <row r="205" spans="1:18" x14ac:dyDescent="0.3">
      <c r="A205" s="1">
        <v>204</v>
      </c>
      <c r="B205" s="1" t="s">
        <v>16</v>
      </c>
      <c r="C205" s="1">
        <v>1</v>
      </c>
      <c r="D205" s="1">
        <v>60</v>
      </c>
      <c r="E205" s="1">
        <v>100</v>
      </c>
      <c r="F205" s="1">
        <v>7</v>
      </c>
      <c r="G205" s="1">
        <v>25</v>
      </c>
      <c r="H205" s="1">
        <v>150</v>
      </c>
      <c r="I205" s="1">
        <v>100</v>
      </c>
      <c r="J205" s="1">
        <v>66.691999999999993</v>
      </c>
      <c r="K205" s="1">
        <v>33.308</v>
      </c>
      <c r="L205" s="1">
        <v>66.69</v>
      </c>
      <c r="M205" s="1">
        <v>68.599999999999994</v>
      </c>
      <c r="N205" s="1">
        <v>4.9639999999999997E-2</v>
      </c>
      <c r="O205" s="1">
        <v>2.5539999999999997E-4</v>
      </c>
      <c r="P2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33.708622680521579</v>
      </c>
      <c r="Q205" s="1">
        <f>LN(Table13[[#This Row],[qe_mg_g]]-Table13[[#This Row],[qt]])</f>
        <v>3.4960037169665918</v>
      </c>
      <c r="R205" s="1">
        <v>3</v>
      </c>
    </row>
    <row r="206" spans="1:18" x14ac:dyDescent="0.3">
      <c r="A206" s="1">
        <v>205</v>
      </c>
      <c r="B206" s="1" t="s">
        <v>16</v>
      </c>
      <c r="C206" s="1">
        <v>1</v>
      </c>
      <c r="D206" s="1">
        <v>60</v>
      </c>
      <c r="E206" s="1">
        <v>100</v>
      </c>
      <c r="F206" s="1">
        <v>11</v>
      </c>
      <c r="G206" s="1">
        <v>25</v>
      </c>
      <c r="H206" s="1">
        <v>150</v>
      </c>
      <c r="I206" s="1">
        <v>100</v>
      </c>
      <c r="J206" s="1">
        <v>48.737000000000002</v>
      </c>
      <c r="K206" s="1">
        <v>51.262999999999998</v>
      </c>
      <c r="L206" s="1">
        <v>48.74</v>
      </c>
      <c r="M206" s="1">
        <v>75.599999999999994</v>
      </c>
      <c r="N206" s="1">
        <v>4.5370000000000001E-2</v>
      </c>
      <c r="O206" s="1">
        <v>3.3199999999999999E-4</v>
      </c>
      <c r="P2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24.007963507031494</v>
      </c>
      <c r="Q206" s="1">
        <f>LN(Table13[[#This Row],[qe_mg_g]]-Table13[[#This Row],[qt]])</f>
        <v>3.2079781197136077</v>
      </c>
      <c r="R206" s="1">
        <v>1</v>
      </c>
    </row>
    <row r="207" spans="1:18" x14ac:dyDescent="0.3">
      <c r="A207" s="1">
        <v>206</v>
      </c>
      <c r="B207" s="1" t="s">
        <v>16</v>
      </c>
      <c r="C207" s="1">
        <v>1</v>
      </c>
      <c r="D207" s="1">
        <v>60</v>
      </c>
      <c r="E207" s="1">
        <v>100</v>
      </c>
      <c r="F207" s="1">
        <v>11</v>
      </c>
      <c r="G207" s="1">
        <v>25</v>
      </c>
      <c r="H207" s="1">
        <v>150</v>
      </c>
      <c r="I207" s="1">
        <v>100</v>
      </c>
      <c r="J207" s="1">
        <v>45.743000000000002</v>
      </c>
      <c r="K207" s="1">
        <v>54.256999999999998</v>
      </c>
      <c r="L207" s="1">
        <v>45.74</v>
      </c>
      <c r="M207" s="1">
        <v>80.8</v>
      </c>
      <c r="N207" s="1">
        <v>5.5350000000000003E-2</v>
      </c>
      <c r="O207" s="1">
        <v>2.8909999999999998E-4</v>
      </c>
      <c r="P2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20.237525095891314</v>
      </c>
      <c r="Q207" s="1">
        <f>LN(Table13[[#This Row],[qe_mg_g]]-Table13[[#This Row],[qt]])</f>
        <v>3.2388931312410878</v>
      </c>
      <c r="R207" s="1">
        <v>2</v>
      </c>
    </row>
    <row r="208" spans="1:18" x14ac:dyDescent="0.3">
      <c r="A208" s="1">
        <v>207</v>
      </c>
      <c r="B208" s="1" t="s">
        <v>16</v>
      </c>
      <c r="C208" s="1">
        <v>1</v>
      </c>
      <c r="D208" s="1">
        <v>60</v>
      </c>
      <c r="E208" s="1">
        <v>100</v>
      </c>
      <c r="F208" s="1">
        <v>11</v>
      </c>
      <c r="G208" s="1">
        <v>25</v>
      </c>
      <c r="H208" s="1">
        <v>150</v>
      </c>
      <c r="I208" s="1">
        <v>100</v>
      </c>
      <c r="J208" s="1">
        <v>46.017000000000003</v>
      </c>
      <c r="K208" s="1">
        <v>53.982999999999997</v>
      </c>
      <c r="L208" s="1">
        <v>46.02</v>
      </c>
      <c r="M208" s="1">
        <v>81.2</v>
      </c>
      <c r="N208" s="1">
        <v>5.2109999999999997E-2</v>
      </c>
      <c r="O208" s="1">
        <v>2.8430000000000003E-4</v>
      </c>
      <c r="P2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20.236561266468939</v>
      </c>
      <c r="Q208" s="1">
        <f>LN(Table13[[#This Row],[qe_mg_g]]-Table13[[#This Row],[qt]])</f>
        <v>3.2496160157343867</v>
      </c>
      <c r="R208" s="1">
        <v>3</v>
      </c>
    </row>
    <row r="209" spans="1:18" x14ac:dyDescent="0.3">
      <c r="A209" s="1">
        <v>208</v>
      </c>
      <c r="B209" s="1" t="s">
        <v>16</v>
      </c>
      <c r="C209" s="1">
        <v>1</v>
      </c>
      <c r="D209" s="1">
        <v>60</v>
      </c>
      <c r="E209" s="1">
        <v>200</v>
      </c>
      <c r="F209" s="1">
        <v>3</v>
      </c>
      <c r="G209" s="1">
        <v>25</v>
      </c>
      <c r="H209" s="1">
        <v>150</v>
      </c>
      <c r="I209" s="1">
        <v>100</v>
      </c>
      <c r="J209" s="1">
        <v>92.423000000000002</v>
      </c>
      <c r="K209" s="1">
        <v>107.577</v>
      </c>
      <c r="L209" s="1">
        <v>46.21</v>
      </c>
      <c r="M209" s="1">
        <v>63.8</v>
      </c>
      <c r="N209" s="1">
        <v>3.8949999999999999E-2</v>
      </c>
      <c r="O209" s="1">
        <v>2.7240000000000001E-4</v>
      </c>
      <c r="P2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55.609323235564688</v>
      </c>
      <c r="Q209" s="1">
        <f>LN(Table13[[#This Row],[qe_mg_g]]-Table13[[#This Row],[qt]])</f>
        <v>3.6058694273371632</v>
      </c>
      <c r="R209" s="1">
        <v>1</v>
      </c>
    </row>
    <row r="210" spans="1:18" x14ac:dyDescent="0.3">
      <c r="A210" s="1">
        <v>209</v>
      </c>
      <c r="B210" s="1" t="s">
        <v>16</v>
      </c>
      <c r="C210" s="1">
        <v>1</v>
      </c>
      <c r="D210" s="1">
        <v>60</v>
      </c>
      <c r="E210" s="1">
        <v>200</v>
      </c>
      <c r="F210" s="1">
        <v>3</v>
      </c>
      <c r="G210" s="1">
        <v>25</v>
      </c>
      <c r="H210" s="1">
        <v>150</v>
      </c>
      <c r="I210" s="1">
        <v>100</v>
      </c>
      <c r="J210" s="1">
        <v>87.954999999999998</v>
      </c>
      <c r="K210" s="1">
        <v>112.045</v>
      </c>
      <c r="L210" s="1">
        <v>43.98</v>
      </c>
      <c r="M210" s="1">
        <v>59</v>
      </c>
      <c r="N210" s="1">
        <v>4.4839999999999998E-2</v>
      </c>
      <c r="O210" s="1">
        <v>3.0699999999999998E-4</v>
      </c>
      <c r="P2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54.386069040781962</v>
      </c>
      <c r="Q210" s="1">
        <f>LN(Table13[[#This Row],[qe_mg_g]]-Table13[[#This Row],[qt]])</f>
        <v>3.5136009653617917</v>
      </c>
      <c r="R210" s="1">
        <v>2</v>
      </c>
    </row>
    <row r="211" spans="1:18" x14ac:dyDescent="0.3">
      <c r="A211" s="1">
        <v>210</v>
      </c>
      <c r="B211" s="1" t="s">
        <v>16</v>
      </c>
      <c r="C211" s="1">
        <v>1</v>
      </c>
      <c r="D211" s="1">
        <v>60</v>
      </c>
      <c r="E211" s="1">
        <v>200</v>
      </c>
      <c r="F211" s="1">
        <v>3</v>
      </c>
      <c r="G211" s="1">
        <v>25</v>
      </c>
      <c r="H211" s="1">
        <v>150</v>
      </c>
      <c r="I211" s="1">
        <v>100</v>
      </c>
      <c r="J211" s="1">
        <v>107.501</v>
      </c>
      <c r="K211" s="1">
        <v>92.498999999999995</v>
      </c>
      <c r="L211" s="1">
        <v>53.75</v>
      </c>
      <c r="M211" s="1">
        <v>56.7</v>
      </c>
      <c r="N211" s="1">
        <v>4.9430000000000002E-2</v>
      </c>
      <c r="O211" s="1">
        <v>2.9359999999999998E-4</v>
      </c>
      <c r="P2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70.351467365939655</v>
      </c>
      <c r="Q211" s="1">
        <f>LN(Table13[[#This Row],[qe_mg_g]]-Table13[[#This Row],[qt]])</f>
        <v>3.6149511905748173</v>
      </c>
      <c r="R211" s="1">
        <v>3</v>
      </c>
    </row>
    <row r="212" spans="1:18" x14ac:dyDescent="0.3">
      <c r="A212" s="1">
        <v>211</v>
      </c>
      <c r="B212" s="1" t="s">
        <v>16</v>
      </c>
      <c r="C212" s="1">
        <v>1</v>
      </c>
      <c r="D212" s="1">
        <v>60</v>
      </c>
      <c r="E212" s="1">
        <v>200</v>
      </c>
      <c r="F212" s="1">
        <v>7</v>
      </c>
      <c r="G212" s="1">
        <v>25</v>
      </c>
      <c r="H212" s="1">
        <v>150</v>
      </c>
      <c r="I212" s="1">
        <v>100</v>
      </c>
      <c r="J212" s="1">
        <v>136.90899999999999</v>
      </c>
      <c r="K212" s="1">
        <v>63.091000000000001</v>
      </c>
      <c r="L212" s="1">
        <v>68.45</v>
      </c>
      <c r="M212" s="1">
        <v>73.400000000000006</v>
      </c>
      <c r="N212" s="1">
        <v>3.9949999999999999E-2</v>
      </c>
      <c r="O212" s="1">
        <v>3.1149999999999998E-4</v>
      </c>
      <c r="P2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98.43876388546613</v>
      </c>
      <c r="Q212" s="1">
        <f>LN(Table13[[#This Row],[qe_mg_g]]-Table13[[#This Row],[qt]])</f>
        <v>3.6498848543729707</v>
      </c>
      <c r="R212" s="1">
        <v>1</v>
      </c>
    </row>
    <row r="213" spans="1:18" x14ac:dyDescent="0.3">
      <c r="A213" s="1">
        <v>212</v>
      </c>
      <c r="B213" s="1" t="s">
        <v>16</v>
      </c>
      <c r="C213" s="1">
        <v>1</v>
      </c>
      <c r="D213" s="1">
        <v>60</v>
      </c>
      <c r="E213" s="1">
        <v>200</v>
      </c>
      <c r="F213" s="1">
        <v>7</v>
      </c>
      <c r="G213" s="1">
        <v>25</v>
      </c>
      <c r="H213" s="1">
        <v>150</v>
      </c>
      <c r="I213" s="1">
        <v>100</v>
      </c>
      <c r="J213" s="1">
        <v>139.28299999999999</v>
      </c>
      <c r="K213" s="1">
        <v>60.716999999999999</v>
      </c>
      <c r="L213" s="1">
        <v>69.64</v>
      </c>
      <c r="M213" s="1">
        <v>71.599999999999994</v>
      </c>
      <c r="N213" s="1">
        <v>4.6300000000000001E-2</v>
      </c>
      <c r="O213" s="1">
        <v>3.7369999999999998E-4</v>
      </c>
      <c r="P2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105.50107318381791</v>
      </c>
      <c r="Q213" s="1">
        <f>LN(Table13[[#This Row],[qe_mg_g]]-Table13[[#This Row],[qt]])</f>
        <v>3.5199259499004127</v>
      </c>
      <c r="R213" s="1">
        <v>2</v>
      </c>
    </row>
    <row r="214" spans="1:18" x14ac:dyDescent="0.3">
      <c r="A214" s="1">
        <v>213</v>
      </c>
      <c r="B214" s="1" t="s">
        <v>16</v>
      </c>
      <c r="C214" s="1">
        <v>1</v>
      </c>
      <c r="D214" s="1">
        <v>60</v>
      </c>
      <c r="E214" s="1">
        <v>200</v>
      </c>
      <c r="F214" s="1">
        <v>7</v>
      </c>
      <c r="G214" s="1">
        <v>25</v>
      </c>
      <c r="H214" s="1">
        <v>150</v>
      </c>
      <c r="I214" s="1">
        <v>100</v>
      </c>
      <c r="J214" s="1">
        <v>130.44</v>
      </c>
      <c r="K214" s="1">
        <v>69.56</v>
      </c>
      <c r="L214" s="1">
        <v>65.22</v>
      </c>
      <c r="M214" s="1">
        <v>61.4</v>
      </c>
      <c r="N214" s="1">
        <v>4.2200000000000001E-2</v>
      </c>
      <c r="O214" s="1">
        <v>2.833E-4</v>
      </c>
      <c r="P2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89.895668036686303</v>
      </c>
      <c r="Q214" s="1">
        <f>LN(Table13[[#This Row],[qe_mg_g]]-Table13[[#This Row],[qt]])</f>
        <v>3.7023959918349276</v>
      </c>
      <c r="R214" s="1">
        <v>3</v>
      </c>
    </row>
    <row r="215" spans="1:18" x14ac:dyDescent="0.3">
      <c r="A215" s="1">
        <v>214</v>
      </c>
      <c r="B215" s="1" t="s">
        <v>16</v>
      </c>
      <c r="C215" s="1">
        <v>1</v>
      </c>
      <c r="D215" s="1">
        <v>60</v>
      </c>
      <c r="E215" s="1">
        <v>200</v>
      </c>
      <c r="F215" s="1">
        <v>11</v>
      </c>
      <c r="G215" s="1">
        <v>25</v>
      </c>
      <c r="H215" s="1">
        <v>150</v>
      </c>
      <c r="I215" s="1">
        <v>100</v>
      </c>
      <c r="J215" s="1">
        <v>106.485</v>
      </c>
      <c r="K215" s="1">
        <v>93.515000000000001</v>
      </c>
      <c r="L215" s="1">
        <v>53.24</v>
      </c>
      <c r="M215" s="1">
        <v>78.599999999999994</v>
      </c>
      <c r="N215" s="1">
        <v>5.1389999999999998E-2</v>
      </c>
      <c r="O215" s="1">
        <v>2.8289999999999999E-4</v>
      </c>
      <c r="P2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68.555918786960831</v>
      </c>
      <c r="Q215" s="1">
        <f>LN(Table13[[#This Row],[qe_mg_g]]-Table13[[#This Row],[qt]])</f>
        <v>3.6357181321814562</v>
      </c>
      <c r="R215" s="1">
        <v>1</v>
      </c>
    </row>
    <row r="216" spans="1:18" x14ac:dyDescent="0.3">
      <c r="A216" s="1">
        <v>215</v>
      </c>
      <c r="B216" s="1" t="s">
        <v>16</v>
      </c>
      <c r="C216" s="1">
        <v>1</v>
      </c>
      <c r="D216" s="1">
        <v>60</v>
      </c>
      <c r="E216" s="1">
        <v>200</v>
      </c>
      <c r="F216" s="1">
        <v>11</v>
      </c>
      <c r="G216" s="1">
        <v>25</v>
      </c>
      <c r="H216" s="1">
        <v>150</v>
      </c>
      <c r="I216" s="1">
        <v>100</v>
      </c>
      <c r="J216" s="1">
        <v>104.735</v>
      </c>
      <c r="K216" s="1">
        <v>95.265000000000001</v>
      </c>
      <c r="L216" s="1">
        <v>52.37</v>
      </c>
      <c r="M216" s="1">
        <v>71.400000000000006</v>
      </c>
      <c r="N216" s="1">
        <v>4.2509999999999999E-2</v>
      </c>
      <c r="O216" s="1">
        <v>3.19E-4</v>
      </c>
      <c r="P2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69.877106282112337</v>
      </c>
      <c r="Q216" s="1">
        <f>LN(Table13[[#This Row],[qe_mg_g]]-Table13[[#This Row],[qt]])</f>
        <v>3.551279617092824</v>
      </c>
      <c r="R216" s="1">
        <v>2</v>
      </c>
    </row>
    <row r="217" spans="1:18" x14ac:dyDescent="0.3">
      <c r="A217" s="1">
        <v>216</v>
      </c>
      <c r="B217" s="1" t="s">
        <v>16</v>
      </c>
      <c r="C217" s="1">
        <v>1</v>
      </c>
      <c r="D217" s="1">
        <v>60</v>
      </c>
      <c r="E217" s="1">
        <v>200</v>
      </c>
      <c r="F217" s="1">
        <v>11</v>
      </c>
      <c r="G217" s="1">
        <v>25</v>
      </c>
      <c r="H217" s="1">
        <v>150</v>
      </c>
      <c r="I217" s="1">
        <v>100</v>
      </c>
      <c r="J217" s="1">
        <v>114.02800000000001</v>
      </c>
      <c r="K217" s="1">
        <v>85.971999999999994</v>
      </c>
      <c r="L217" s="1">
        <v>57.01</v>
      </c>
      <c r="M217" s="1">
        <v>51.5</v>
      </c>
      <c r="N217" s="1">
        <v>5.1959999999999999E-2</v>
      </c>
      <c r="O217" s="1">
        <v>3.5389999999999998E-4</v>
      </c>
      <c r="P2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80.698861521506473</v>
      </c>
      <c r="Q217" s="1">
        <f>LN(Table13[[#This Row],[qe_mg_g]]-Table13[[#This Row],[qt]])</f>
        <v>3.5064320437555603</v>
      </c>
      <c r="R217" s="1">
        <v>3</v>
      </c>
    </row>
    <row r="218" spans="1:18" x14ac:dyDescent="0.3">
      <c r="A218" s="1">
        <v>217</v>
      </c>
      <c r="B218" s="1" t="s">
        <v>16</v>
      </c>
      <c r="C218" s="1">
        <v>1</v>
      </c>
      <c r="D218" s="1">
        <v>120</v>
      </c>
      <c r="E218" s="1">
        <v>25</v>
      </c>
      <c r="F218" s="1">
        <v>3</v>
      </c>
      <c r="G218" s="1">
        <v>25</v>
      </c>
      <c r="H218" s="1">
        <v>150</v>
      </c>
      <c r="I218" s="1">
        <v>100</v>
      </c>
      <c r="J218" s="1">
        <v>6.7560000000000002</v>
      </c>
      <c r="K218" s="1">
        <v>18.244</v>
      </c>
      <c r="L218" s="1">
        <v>27.02</v>
      </c>
      <c r="M218" s="1">
        <v>62.8</v>
      </c>
      <c r="N218" s="1">
        <v>4.6289999999999998E-2</v>
      </c>
      <c r="O218" s="1">
        <v>3.1E-4</v>
      </c>
      <c r="P2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1.356915255147511</v>
      </c>
      <c r="Q218" s="1">
        <f>LN(Table13[[#This Row],[qe_mg_g]]-Table13[[#This Row],[qt]])</f>
        <v>1.6862294475109048</v>
      </c>
      <c r="R218" s="1">
        <v>1</v>
      </c>
    </row>
    <row r="219" spans="1:18" x14ac:dyDescent="0.3">
      <c r="A219" s="1">
        <v>218</v>
      </c>
      <c r="B219" s="1" t="s">
        <v>16</v>
      </c>
      <c r="C219" s="1">
        <v>1</v>
      </c>
      <c r="D219" s="1">
        <v>120</v>
      </c>
      <c r="E219" s="1">
        <v>25</v>
      </c>
      <c r="F219" s="1">
        <v>3</v>
      </c>
      <c r="G219" s="1">
        <v>25</v>
      </c>
      <c r="H219" s="1">
        <v>150</v>
      </c>
      <c r="I219" s="1">
        <v>100</v>
      </c>
      <c r="J219" s="1">
        <v>7.4779999999999998</v>
      </c>
      <c r="K219" s="1">
        <v>17.521999999999998</v>
      </c>
      <c r="L219" s="1">
        <v>29.91</v>
      </c>
      <c r="M219" s="1">
        <v>86.8</v>
      </c>
      <c r="N219" s="1">
        <v>4.4200000000000003E-2</v>
      </c>
      <c r="O219" s="1">
        <v>2.7609999999999999E-4</v>
      </c>
      <c r="P2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1.4848655578599637</v>
      </c>
      <c r="Q219" s="1">
        <f>LN(Table13[[#This Row],[qe_mg_g]]-Table13[[#This Row],[qt]])</f>
        <v>1.7906145544198284</v>
      </c>
      <c r="R219" s="1">
        <v>2</v>
      </c>
    </row>
    <row r="220" spans="1:18" x14ac:dyDescent="0.3">
      <c r="A220" s="1">
        <v>219</v>
      </c>
      <c r="B220" s="1" t="s">
        <v>16</v>
      </c>
      <c r="C220" s="1">
        <v>1</v>
      </c>
      <c r="D220" s="1">
        <v>120</v>
      </c>
      <c r="E220" s="1">
        <v>25</v>
      </c>
      <c r="F220" s="1">
        <v>3</v>
      </c>
      <c r="G220" s="1">
        <v>25</v>
      </c>
      <c r="H220" s="1">
        <v>150</v>
      </c>
      <c r="I220" s="1">
        <v>100</v>
      </c>
      <c r="J220" s="1">
        <v>6.32</v>
      </c>
      <c r="K220" s="1">
        <v>18.68</v>
      </c>
      <c r="L220" s="1">
        <v>25.28</v>
      </c>
      <c r="M220" s="1">
        <v>59.4</v>
      </c>
      <c r="N220" s="1">
        <v>4.4850000000000001E-2</v>
      </c>
      <c r="O220" s="1">
        <v>3.5379999999999998E-4</v>
      </c>
      <c r="P2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1.3370379456975721</v>
      </c>
      <c r="Q220" s="1">
        <f>LN(Table13[[#This Row],[qe_mg_g]]-Table13[[#This Row],[qt]])</f>
        <v>1.6060245042396546</v>
      </c>
      <c r="R220" s="1">
        <v>3</v>
      </c>
    </row>
    <row r="221" spans="1:18" x14ac:dyDescent="0.3">
      <c r="A221" s="1">
        <v>220</v>
      </c>
      <c r="B221" s="1" t="s">
        <v>16</v>
      </c>
      <c r="C221" s="1">
        <v>1</v>
      </c>
      <c r="D221" s="1">
        <v>120</v>
      </c>
      <c r="E221" s="1">
        <v>25</v>
      </c>
      <c r="F221" s="1">
        <v>7</v>
      </c>
      <c r="G221" s="1">
        <v>25</v>
      </c>
      <c r="H221" s="1">
        <v>150</v>
      </c>
      <c r="I221" s="1">
        <v>100</v>
      </c>
      <c r="J221" s="1">
        <v>10.694000000000001</v>
      </c>
      <c r="K221" s="1">
        <v>14.305999999999999</v>
      </c>
      <c r="L221" s="1">
        <v>42.78</v>
      </c>
      <c r="M221" s="1">
        <v>68.900000000000006</v>
      </c>
      <c r="N221" s="1">
        <v>4.4929999999999998E-2</v>
      </c>
      <c r="O221" s="1">
        <v>3.3569999999999997E-4</v>
      </c>
      <c r="P2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3.2198444891336298</v>
      </c>
      <c r="Q221" s="1">
        <f>LN(Table13[[#This Row],[qe_mg_g]]-Table13[[#This Row],[qt]])</f>
        <v>2.0114511377596451</v>
      </c>
      <c r="R221" s="1">
        <v>1</v>
      </c>
    </row>
    <row r="222" spans="1:18" x14ac:dyDescent="0.3">
      <c r="A222" s="1">
        <v>221</v>
      </c>
      <c r="B222" s="1" t="s">
        <v>16</v>
      </c>
      <c r="C222" s="1">
        <v>1</v>
      </c>
      <c r="D222" s="1">
        <v>120</v>
      </c>
      <c r="E222" s="1">
        <v>25</v>
      </c>
      <c r="F222" s="1">
        <v>7</v>
      </c>
      <c r="G222" s="1">
        <v>25</v>
      </c>
      <c r="H222" s="1">
        <v>150</v>
      </c>
      <c r="I222" s="1">
        <v>100</v>
      </c>
      <c r="J222" s="1">
        <v>13.412000000000001</v>
      </c>
      <c r="K222" s="1">
        <v>11.587999999999999</v>
      </c>
      <c r="L222" s="1">
        <v>53.65</v>
      </c>
      <c r="M222" s="1">
        <v>61.4</v>
      </c>
      <c r="N222" s="1">
        <v>4.2799999999999998E-2</v>
      </c>
      <c r="O222" s="1">
        <v>3.3129999999999998E-4</v>
      </c>
      <c r="P2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4.664325438706185</v>
      </c>
      <c r="Q222" s="1">
        <f>LN(Table13[[#This Row],[qe_mg_g]]-Table13[[#This Row],[qt]])</f>
        <v>2.1687879006243365</v>
      </c>
      <c r="R222" s="1">
        <v>2</v>
      </c>
    </row>
    <row r="223" spans="1:18" x14ac:dyDescent="0.3">
      <c r="A223" s="1">
        <v>222</v>
      </c>
      <c r="B223" s="1" t="s">
        <v>16</v>
      </c>
      <c r="C223" s="1">
        <v>1</v>
      </c>
      <c r="D223" s="1">
        <v>120</v>
      </c>
      <c r="E223" s="1">
        <v>25</v>
      </c>
      <c r="F223" s="1">
        <v>7</v>
      </c>
      <c r="G223" s="1">
        <v>25</v>
      </c>
      <c r="H223" s="1">
        <v>150</v>
      </c>
      <c r="I223" s="1">
        <v>100</v>
      </c>
      <c r="J223" s="1">
        <v>11.765000000000001</v>
      </c>
      <c r="K223" s="1">
        <v>13.234999999999999</v>
      </c>
      <c r="L223" s="1">
        <v>47.06</v>
      </c>
      <c r="M223" s="1">
        <v>85.1</v>
      </c>
      <c r="N223" s="1">
        <v>4.7629999999999999E-2</v>
      </c>
      <c r="O223" s="1">
        <v>2.8919999999999998E-4</v>
      </c>
      <c r="P2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3.4109119829476344</v>
      </c>
      <c r="Q223" s="1">
        <f>LN(Table13[[#This Row],[qe_mg_g]]-Table13[[#This Row],[qt]])</f>
        <v>2.1227510019366904</v>
      </c>
      <c r="R223" s="1">
        <v>3</v>
      </c>
    </row>
    <row r="224" spans="1:18" x14ac:dyDescent="0.3">
      <c r="A224" s="1">
        <v>223</v>
      </c>
      <c r="B224" s="1" t="s">
        <v>16</v>
      </c>
      <c r="C224" s="1">
        <v>1</v>
      </c>
      <c r="D224" s="1">
        <v>120</v>
      </c>
      <c r="E224" s="1">
        <v>25</v>
      </c>
      <c r="F224" s="1">
        <v>11</v>
      </c>
      <c r="G224" s="1">
        <v>25</v>
      </c>
      <c r="H224" s="1">
        <v>150</v>
      </c>
      <c r="I224" s="1">
        <v>100</v>
      </c>
      <c r="J224" s="1">
        <v>9.0760000000000005</v>
      </c>
      <c r="K224" s="1">
        <v>15.923999999999999</v>
      </c>
      <c r="L224" s="1">
        <v>36.31</v>
      </c>
      <c r="M224" s="1">
        <v>77.8</v>
      </c>
      <c r="N224" s="1">
        <v>4.8689999999999997E-2</v>
      </c>
      <c r="O224" s="1">
        <v>3.1520000000000002E-4</v>
      </c>
      <c r="P2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2.3194576421192981</v>
      </c>
      <c r="Q224" s="1">
        <f>LN(Table13[[#This Row],[qe_mg_g]]-Table13[[#This Row],[qt]])</f>
        <v>1.910511273680926</v>
      </c>
      <c r="R224" s="1">
        <v>1</v>
      </c>
    </row>
    <row r="225" spans="1:18" x14ac:dyDescent="0.3">
      <c r="A225" s="1">
        <v>224</v>
      </c>
      <c r="B225" s="1" t="s">
        <v>16</v>
      </c>
      <c r="C225" s="1">
        <v>1</v>
      </c>
      <c r="D225" s="1">
        <v>120</v>
      </c>
      <c r="E225" s="1">
        <v>25</v>
      </c>
      <c r="F225" s="1">
        <v>11</v>
      </c>
      <c r="G225" s="1">
        <v>25</v>
      </c>
      <c r="H225" s="1">
        <v>150</v>
      </c>
      <c r="I225" s="1">
        <v>100</v>
      </c>
      <c r="J225" s="1">
        <v>9.4060000000000006</v>
      </c>
      <c r="K225" s="1">
        <v>15.593999999999999</v>
      </c>
      <c r="L225" s="1">
        <v>37.630000000000003</v>
      </c>
      <c r="M225" s="1">
        <v>78.400000000000006</v>
      </c>
      <c r="N225" s="1">
        <v>5.1220000000000002E-2</v>
      </c>
      <c r="O225" s="1">
        <v>3.1950000000000001E-4</v>
      </c>
      <c r="P2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2.4930057433267998</v>
      </c>
      <c r="Q225" s="1">
        <f>LN(Table13[[#This Row],[qe_mg_g]]-Table13[[#This Row],[qt]])</f>
        <v>1.9334028661618572</v>
      </c>
      <c r="R225" s="1">
        <v>2</v>
      </c>
    </row>
    <row r="226" spans="1:18" x14ac:dyDescent="0.3">
      <c r="A226" s="1">
        <v>225</v>
      </c>
      <c r="B226" s="1" t="s">
        <v>16</v>
      </c>
      <c r="C226" s="1">
        <v>1</v>
      </c>
      <c r="D226" s="1">
        <v>120</v>
      </c>
      <c r="E226" s="1">
        <v>25</v>
      </c>
      <c r="F226" s="1">
        <v>11</v>
      </c>
      <c r="G226" s="1">
        <v>25</v>
      </c>
      <c r="H226" s="1">
        <v>150</v>
      </c>
      <c r="I226" s="1">
        <v>100</v>
      </c>
      <c r="J226" s="1">
        <v>8.5510000000000002</v>
      </c>
      <c r="K226" s="1">
        <v>16.449000000000002</v>
      </c>
      <c r="L226" s="1">
        <v>34.200000000000003</v>
      </c>
      <c r="M226" s="1">
        <v>68.099999999999994</v>
      </c>
      <c r="N226" s="1">
        <v>5.0430000000000003E-2</v>
      </c>
      <c r="O226" s="1">
        <v>2.7549999999999997E-4</v>
      </c>
      <c r="P2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1.8845727249368802</v>
      </c>
      <c r="Q226" s="1">
        <f>LN(Table13[[#This Row],[qe_mg_g]]-Table13[[#This Row],[qt]])</f>
        <v>1.8970840755006149</v>
      </c>
      <c r="R226" s="1">
        <v>3</v>
      </c>
    </row>
    <row r="227" spans="1:18" x14ac:dyDescent="0.3">
      <c r="A227" s="1">
        <v>226</v>
      </c>
      <c r="B227" s="1" t="s">
        <v>16</v>
      </c>
      <c r="C227" s="1">
        <v>1</v>
      </c>
      <c r="D227" s="1">
        <v>120</v>
      </c>
      <c r="E227" s="1">
        <v>50</v>
      </c>
      <c r="F227" s="1">
        <v>3</v>
      </c>
      <c r="G227" s="1">
        <v>25</v>
      </c>
      <c r="H227" s="1">
        <v>150</v>
      </c>
      <c r="I227" s="1">
        <v>100</v>
      </c>
      <c r="J227" s="1">
        <v>20.853000000000002</v>
      </c>
      <c r="K227" s="1">
        <v>29.146999999999998</v>
      </c>
      <c r="L227" s="1">
        <v>41.71</v>
      </c>
      <c r="M227" s="1">
        <v>62.7</v>
      </c>
      <c r="N227" s="1">
        <v>4.5130000000000003E-2</v>
      </c>
      <c r="O227" s="1">
        <v>3.3839999999999999E-4</v>
      </c>
      <c r="P2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9.5615685851149959</v>
      </c>
      <c r="Q227" s="1">
        <f>LN(Table13[[#This Row],[qe_mg_g]]-Table13[[#This Row],[qt]])</f>
        <v>2.4240441562085975</v>
      </c>
      <c r="R227" s="1">
        <v>1</v>
      </c>
    </row>
    <row r="228" spans="1:18" x14ac:dyDescent="0.3">
      <c r="A228" s="1">
        <v>227</v>
      </c>
      <c r="B228" s="1" t="s">
        <v>16</v>
      </c>
      <c r="C228" s="1">
        <v>1</v>
      </c>
      <c r="D228" s="1">
        <v>120</v>
      </c>
      <c r="E228" s="1">
        <v>50</v>
      </c>
      <c r="F228" s="1">
        <v>3</v>
      </c>
      <c r="G228" s="1">
        <v>25</v>
      </c>
      <c r="H228" s="1">
        <v>150</v>
      </c>
      <c r="I228" s="1">
        <v>100</v>
      </c>
      <c r="J228" s="1">
        <v>20.565000000000001</v>
      </c>
      <c r="K228" s="1">
        <v>29.434999999999999</v>
      </c>
      <c r="L228" s="1">
        <v>41.13</v>
      </c>
      <c r="M228" s="1">
        <v>67.099999999999994</v>
      </c>
      <c r="N228" s="1">
        <v>3.8879999999999998E-2</v>
      </c>
      <c r="O228" s="1">
        <v>3.2239999999999998E-4</v>
      </c>
      <c r="P2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9.1121231888248548</v>
      </c>
      <c r="Q228" s="1">
        <f>LN(Table13[[#This Row],[qe_mg_g]]-Table13[[#This Row],[qt]])</f>
        <v>2.4382409483265746</v>
      </c>
      <c r="R228" s="1">
        <v>2</v>
      </c>
    </row>
    <row r="229" spans="1:18" x14ac:dyDescent="0.3">
      <c r="A229" s="1">
        <v>228</v>
      </c>
      <c r="B229" s="1" t="s">
        <v>16</v>
      </c>
      <c r="C229" s="1">
        <v>1</v>
      </c>
      <c r="D229" s="1">
        <v>120</v>
      </c>
      <c r="E229" s="1">
        <v>50</v>
      </c>
      <c r="F229" s="1">
        <v>3</v>
      </c>
      <c r="G229" s="1">
        <v>25</v>
      </c>
      <c r="H229" s="1">
        <v>150</v>
      </c>
      <c r="I229" s="1">
        <v>100</v>
      </c>
      <c r="J229" s="1">
        <v>21.300999999999998</v>
      </c>
      <c r="K229" s="1">
        <v>28.699000000000002</v>
      </c>
      <c r="L229" s="1">
        <v>42.6</v>
      </c>
      <c r="M229" s="1">
        <v>88.3</v>
      </c>
      <c r="N229" s="1">
        <v>4.3610000000000003E-2</v>
      </c>
      <c r="O229" s="1">
        <v>3.0660000000000003E-4</v>
      </c>
      <c r="P2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9.3590121843281473</v>
      </c>
      <c r="Q229" s="1">
        <f>LN(Table13[[#This Row],[qe_mg_g]]-Table13[[#This Row],[qt]])</f>
        <v>2.4800605778321891</v>
      </c>
      <c r="R229" s="1">
        <v>3</v>
      </c>
    </row>
    <row r="230" spans="1:18" x14ac:dyDescent="0.3">
      <c r="A230" s="1">
        <v>229</v>
      </c>
      <c r="B230" s="1" t="s">
        <v>16</v>
      </c>
      <c r="C230" s="1">
        <v>1</v>
      </c>
      <c r="D230" s="1">
        <v>120</v>
      </c>
      <c r="E230" s="1">
        <v>50</v>
      </c>
      <c r="F230" s="1">
        <v>7</v>
      </c>
      <c r="G230" s="1">
        <v>25</v>
      </c>
      <c r="H230" s="1">
        <v>150</v>
      </c>
      <c r="I230" s="1">
        <v>100</v>
      </c>
      <c r="J230" s="1">
        <v>30.893999999999998</v>
      </c>
      <c r="K230" s="1">
        <v>19.106000000000002</v>
      </c>
      <c r="L230" s="1">
        <v>61.79</v>
      </c>
      <c r="M230" s="1">
        <v>82.4</v>
      </c>
      <c r="N230" s="1">
        <v>4.4569999999999999E-2</v>
      </c>
      <c r="O230" s="1">
        <v>3.0840000000000002E-4</v>
      </c>
      <c r="P2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16.479948090437002</v>
      </c>
      <c r="Q230" s="1">
        <f>LN(Table13[[#This Row],[qe_mg_g]]-Table13[[#This Row],[qt]])</f>
        <v>2.6682035578252354</v>
      </c>
      <c r="R230" s="1">
        <v>1</v>
      </c>
    </row>
    <row r="231" spans="1:18" x14ac:dyDescent="0.3">
      <c r="A231" s="1">
        <v>230</v>
      </c>
      <c r="B231" s="1" t="s">
        <v>16</v>
      </c>
      <c r="C231" s="1">
        <v>1</v>
      </c>
      <c r="D231" s="1">
        <v>120</v>
      </c>
      <c r="E231" s="1">
        <v>50</v>
      </c>
      <c r="F231" s="1">
        <v>7</v>
      </c>
      <c r="G231" s="1">
        <v>25</v>
      </c>
      <c r="H231" s="1">
        <v>150</v>
      </c>
      <c r="I231" s="1">
        <v>100</v>
      </c>
      <c r="J231" s="1">
        <v>31.763000000000002</v>
      </c>
      <c r="K231" s="1">
        <v>18.236999999999998</v>
      </c>
      <c r="L231" s="1">
        <v>63.53</v>
      </c>
      <c r="M231" s="1">
        <v>68.5</v>
      </c>
      <c r="N231" s="1">
        <v>4.299E-2</v>
      </c>
      <c r="O231" s="1">
        <v>3.0580000000000001E-4</v>
      </c>
      <c r="P2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17.095764140714277</v>
      </c>
      <c r="Q231" s="1">
        <f>LN(Table13[[#This Row],[qe_mg_g]]-Table13[[#This Row],[qt]])</f>
        <v>2.6856161530847809</v>
      </c>
      <c r="R231" s="1">
        <v>2</v>
      </c>
    </row>
    <row r="232" spans="1:18" x14ac:dyDescent="0.3">
      <c r="A232" s="1">
        <v>231</v>
      </c>
      <c r="B232" s="1" t="s">
        <v>16</v>
      </c>
      <c r="C232" s="1">
        <v>1</v>
      </c>
      <c r="D232" s="1">
        <v>120</v>
      </c>
      <c r="E232" s="1">
        <v>50</v>
      </c>
      <c r="F232" s="1">
        <v>7</v>
      </c>
      <c r="G232" s="1">
        <v>25</v>
      </c>
      <c r="H232" s="1">
        <v>150</v>
      </c>
      <c r="I232" s="1">
        <v>100</v>
      </c>
      <c r="J232" s="1">
        <v>32.890999999999998</v>
      </c>
      <c r="K232" s="1">
        <v>17.109000000000002</v>
      </c>
      <c r="L232" s="1">
        <v>65.78</v>
      </c>
      <c r="M232" s="1">
        <v>56.4</v>
      </c>
      <c r="N232" s="1">
        <v>4.5600000000000002E-2</v>
      </c>
      <c r="O232" s="1">
        <v>2.7900000000000001E-4</v>
      </c>
      <c r="P2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17.237494436192719</v>
      </c>
      <c r="Q232" s="1">
        <f>LN(Table13[[#This Row],[qe_mg_g]]-Table13[[#This Row],[qt]])</f>
        <v>2.7506948895897922</v>
      </c>
      <c r="R232" s="1">
        <v>3</v>
      </c>
    </row>
    <row r="233" spans="1:18" x14ac:dyDescent="0.3">
      <c r="A233" s="1">
        <v>232</v>
      </c>
      <c r="B233" s="1" t="s">
        <v>16</v>
      </c>
      <c r="C233" s="1">
        <v>1</v>
      </c>
      <c r="D233" s="1">
        <v>120</v>
      </c>
      <c r="E233" s="1">
        <v>50</v>
      </c>
      <c r="F233" s="1">
        <v>11</v>
      </c>
      <c r="G233" s="1">
        <v>25</v>
      </c>
      <c r="H233" s="1">
        <v>150</v>
      </c>
      <c r="I233" s="1">
        <v>100</v>
      </c>
      <c r="J233" s="1">
        <v>26.501999999999999</v>
      </c>
      <c r="K233" s="1">
        <v>23.498000000000001</v>
      </c>
      <c r="L233" s="1">
        <v>53</v>
      </c>
      <c r="M233" s="1">
        <v>51.4</v>
      </c>
      <c r="N233" s="1">
        <v>4.2479999999999997E-2</v>
      </c>
      <c r="O233" s="1">
        <v>3.1129999999999998E-4</v>
      </c>
      <c r="P2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13.184470362973968</v>
      </c>
      <c r="Q233" s="1">
        <f>LN(Table13[[#This Row],[qe_mg_g]]-Table13[[#This Row],[qt]])</f>
        <v>2.589081185226179</v>
      </c>
      <c r="R233" s="1">
        <v>1</v>
      </c>
    </row>
    <row r="234" spans="1:18" x14ac:dyDescent="0.3">
      <c r="A234" s="1">
        <v>233</v>
      </c>
      <c r="B234" s="1" t="s">
        <v>16</v>
      </c>
      <c r="C234" s="1">
        <v>1</v>
      </c>
      <c r="D234" s="1">
        <v>120</v>
      </c>
      <c r="E234" s="1">
        <v>50</v>
      </c>
      <c r="F234" s="1">
        <v>11</v>
      </c>
      <c r="G234" s="1">
        <v>25</v>
      </c>
      <c r="H234" s="1">
        <v>150</v>
      </c>
      <c r="I234" s="1">
        <v>100</v>
      </c>
      <c r="J234" s="1">
        <v>27.219000000000001</v>
      </c>
      <c r="K234" s="1">
        <v>22.780999999999999</v>
      </c>
      <c r="L234" s="1">
        <v>54.44</v>
      </c>
      <c r="M234" s="1">
        <v>66</v>
      </c>
      <c r="N234" s="1">
        <v>4.2500000000000003E-2</v>
      </c>
      <c r="O234" s="1">
        <v>3.5639999999999999E-4</v>
      </c>
      <c r="P2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14.641497837384936</v>
      </c>
      <c r="Q234" s="1">
        <f>LN(Table13[[#This Row],[qe_mg_g]]-Table13[[#This Row],[qt]])</f>
        <v>2.5319096753264794</v>
      </c>
      <c r="R234" s="1">
        <v>2</v>
      </c>
    </row>
    <row r="235" spans="1:18" x14ac:dyDescent="0.3">
      <c r="A235" s="1">
        <v>234</v>
      </c>
      <c r="B235" s="1" t="s">
        <v>16</v>
      </c>
      <c r="C235" s="1">
        <v>1</v>
      </c>
      <c r="D235" s="1">
        <v>120</v>
      </c>
      <c r="E235" s="1">
        <v>50</v>
      </c>
      <c r="F235" s="1">
        <v>11</v>
      </c>
      <c r="G235" s="1">
        <v>25</v>
      </c>
      <c r="H235" s="1">
        <v>150</v>
      </c>
      <c r="I235" s="1">
        <v>100</v>
      </c>
      <c r="J235" s="1">
        <v>21.387</v>
      </c>
      <c r="K235" s="1">
        <v>28.613</v>
      </c>
      <c r="L235" s="1">
        <v>42.77</v>
      </c>
      <c r="M235" s="1">
        <v>44.7</v>
      </c>
      <c r="N235" s="1">
        <v>4.6980000000000001E-2</v>
      </c>
      <c r="O235" s="1">
        <v>2.8489999999999999E-4</v>
      </c>
      <c r="P2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9.0329898055726829</v>
      </c>
      <c r="Q235" s="1">
        <f>LN(Table13[[#This Row],[qe_mg_g]]-Table13[[#This Row],[qt]])</f>
        <v>2.5139807224657997</v>
      </c>
      <c r="R235" s="1">
        <v>3</v>
      </c>
    </row>
    <row r="236" spans="1:18" x14ac:dyDescent="0.3">
      <c r="A236" s="1">
        <v>235</v>
      </c>
      <c r="B236" s="1" t="s">
        <v>16</v>
      </c>
      <c r="C236" s="1">
        <v>1</v>
      </c>
      <c r="D236" s="1">
        <v>120</v>
      </c>
      <c r="E236" s="1">
        <v>100</v>
      </c>
      <c r="F236" s="1">
        <v>3</v>
      </c>
      <c r="G236" s="1">
        <v>25</v>
      </c>
      <c r="H236" s="1">
        <v>150</v>
      </c>
      <c r="I236" s="1">
        <v>100</v>
      </c>
      <c r="J236" s="1">
        <v>46.904000000000003</v>
      </c>
      <c r="K236" s="1">
        <v>53.095999999999997</v>
      </c>
      <c r="L236" s="1">
        <v>46.9</v>
      </c>
      <c r="M236" s="1">
        <v>73.8</v>
      </c>
      <c r="N236" s="1">
        <v>4.6100000000000002E-2</v>
      </c>
      <c r="O236" s="1">
        <v>2.831E-4</v>
      </c>
      <c r="P2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28.818247832785218</v>
      </c>
      <c r="Q236" s="1">
        <f>LN(Table13[[#This Row],[qe_mg_g]]-Table13[[#This Row],[qt]])</f>
        <v>2.8951244552063091</v>
      </c>
      <c r="R236" s="1">
        <v>1</v>
      </c>
    </row>
    <row r="237" spans="1:18" x14ac:dyDescent="0.3">
      <c r="A237" s="1">
        <v>236</v>
      </c>
      <c r="B237" s="1" t="s">
        <v>16</v>
      </c>
      <c r="C237" s="1">
        <v>1</v>
      </c>
      <c r="D237" s="1">
        <v>120</v>
      </c>
      <c r="E237" s="1">
        <v>100</v>
      </c>
      <c r="F237" s="1">
        <v>3</v>
      </c>
      <c r="G237" s="1">
        <v>25</v>
      </c>
      <c r="H237" s="1">
        <v>150</v>
      </c>
      <c r="I237" s="1">
        <v>100</v>
      </c>
      <c r="J237" s="1">
        <v>45.844999999999999</v>
      </c>
      <c r="K237" s="1">
        <v>54.155000000000001</v>
      </c>
      <c r="L237" s="1">
        <v>45.85</v>
      </c>
      <c r="M237" s="1">
        <v>75.400000000000006</v>
      </c>
      <c r="N237" s="1">
        <v>4.793E-2</v>
      </c>
      <c r="O237" s="1">
        <v>2.9700000000000001E-4</v>
      </c>
      <c r="P2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28.439356281244827</v>
      </c>
      <c r="Q237" s="1">
        <f>LN(Table13[[#This Row],[qe_mg_g]]-Table13[[#This Row],[qt]])</f>
        <v>2.8567945052824539</v>
      </c>
      <c r="R237" s="1">
        <v>2</v>
      </c>
    </row>
    <row r="238" spans="1:18" x14ac:dyDescent="0.3">
      <c r="A238" s="1">
        <v>237</v>
      </c>
      <c r="B238" s="1" t="s">
        <v>16</v>
      </c>
      <c r="C238" s="1">
        <v>1</v>
      </c>
      <c r="D238" s="1">
        <v>120</v>
      </c>
      <c r="E238" s="1">
        <v>100</v>
      </c>
      <c r="F238" s="1">
        <v>3</v>
      </c>
      <c r="G238" s="1">
        <v>25</v>
      </c>
      <c r="H238" s="1">
        <v>150</v>
      </c>
      <c r="I238" s="1">
        <v>100</v>
      </c>
      <c r="J238" s="1">
        <v>58.622999999999998</v>
      </c>
      <c r="K238" s="1">
        <v>41.377000000000002</v>
      </c>
      <c r="L238" s="1">
        <v>58.62</v>
      </c>
      <c r="M238" s="1">
        <v>56</v>
      </c>
      <c r="N238" s="1">
        <v>3.814E-2</v>
      </c>
      <c r="O238" s="1">
        <v>2.7920000000000001E-4</v>
      </c>
      <c r="P2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38.845360490528797</v>
      </c>
      <c r="Q238" s="1">
        <f>LN(Table13[[#This Row],[qe_mg_g]]-Table13[[#This Row],[qt]])</f>
        <v>2.9845519818372752</v>
      </c>
      <c r="R238" s="1">
        <v>3</v>
      </c>
    </row>
    <row r="239" spans="1:18" x14ac:dyDescent="0.3">
      <c r="A239" s="1">
        <v>238</v>
      </c>
      <c r="B239" s="1" t="s">
        <v>16</v>
      </c>
      <c r="C239" s="1">
        <v>1</v>
      </c>
      <c r="D239" s="1">
        <v>120</v>
      </c>
      <c r="E239" s="1">
        <v>100</v>
      </c>
      <c r="F239" s="1">
        <v>7</v>
      </c>
      <c r="G239" s="1">
        <v>25</v>
      </c>
      <c r="H239" s="1">
        <v>150</v>
      </c>
      <c r="I239" s="1">
        <v>100</v>
      </c>
      <c r="J239" s="1">
        <v>72.936000000000007</v>
      </c>
      <c r="K239" s="1">
        <v>27.064</v>
      </c>
      <c r="L239" s="1">
        <v>72.94</v>
      </c>
      <c r="M239" s="1">
        <v>69.099999999999994</v>
      </c>
      <c r="N239" s="1">
        <v>4.3909999999999998E-2</v>
      </c>
      <c r="O239" s="1">
        <v>3.1060000000000001E-4</v>
      </c>
      <c r="P2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53.321484248035709</v>
      </c>
      <c r="Q239" s="1">
        <f>LN(Table13[[#This Row],[qe_mg_g]]-Table13[[#This Row],[qt]])</f>
        <v>2.9762698917179384</v>
      </c>
      <c r="R239" s="1">
        <v>1</v>
      </c>
    </row>
    <row r="240" spans="1:18" x14ac:dyDescent="0.3">
      <c r="A240" s="1">
        <v>239</v>
      </c>
      <c r="B240" s="1" t="s">
        <v>16</v>
      </c>
      <c r="C240" s="1">
        <v>1</v>
      </c>
      <c r="D240" s="1">
        <v>120</v>
      </c>
      <c r="E240" s="1">
        <v>100</v>
      </c>
      <c r="F240" s="1">
        <v>7</v>
      </c>
      <c r="G240" s="1">
        <v>25</v>
      </c>
      <c r="H240" s="1">
        <v>150</v>
      </c>
      <c r="I240" s="1">
        <v>100</v>
      </c>
      <c r="J240" s="1">
        <v>65.873999999999995</v>
      </c>
      <c r="K240" s="1">
        <v>34.125999999999998</v>
      </c>
      <c r="L240" s="1">
        <v>65.87</v>
      </c>
      <c r="M240" s="1">
        <v>81.099999999999994</v>
      </c>
      <c r="N240" s="1">
        <v>4.4630000000000003E-2</v>
      </c>
      <c r="O240" s="1">
        <v>3.3349999999999997E-4</v>
      </c>
      <c r="P2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47.758220782843004</v>
      </c>
      <c r="Q240" s="1">
        <f>LN(Table13[[#This Row],[qe_mg_g]]-Table13[[#This Row],[qt]])</f>
        <v>2.896783338445768</v>
      </c>
      <c r="R240" s="1">
        <v>2</v>
      </c>
    </row>
    <row r="241" spans="1:18" x14ac:dyDescent="0.3">
      <c r="A241" s="1">
        <v>240</v>
      </c>
      <c r="B241" s="1" t="s">
        <v>16</v>
      </c>
      <c r="C241" s="1">
        <v>1</v>
      </c>
      <c r="D241" s="1">
        <v>120</v>
      </c>
      <c r="E241" s="1">
        <v>100</v>
      </c>
      <c r="F241" s="1">
        <v>7</v>
      </c>
      <c r="G241" s="1">
        <v>25</v>
      </c>
      <c r="H241" s="1">
        <v>150</v>
      </c>
      <c r="I241" s="1">
        <v>100</v>
      </c>
      <c r="J241" s="1">
        <v>75.209999999999994</v>
      </c>
      <c r="K241" s="1">
        <v>24.79</v>
      </c>
      <c r="L241" s="1">
        <v>75.209999999999994</v>
      </c>
      <c r="M241" s="1">
        <v>71.2</v>
      </c>
      <c r="N241" s="1">
        <v>4.7559999999999998E-2</v>
      </c>
      <c r="O241" s="1">
        <v>3.1339999999999997E-4</v>
      </c>
      <c r="P2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55.56521860365865</v>
      </c>
      <c r="Q241" s="1">
        <f>LN(Table13[[#This Row],[qe_mg_g]]-Table13[[#This Row],[qt]])</f>
        <v>2.9778117252489089</v>
      </c>
      <c r="R241" s="1">
        <v>3</v>
      </c>
    </row>
    <row r="242" spans="1:18" x14ac:dyDescent="0.3">
      <c r="A242" s="1">
        <v>241</v>
      </c>
      <c r="B242" s="1" t="s">
        <v>16</v>
      </c>
      <c r="C242" s="1">
        <v>1</v>
      </c>
      <c r="D242" s="1">
        <v>120</v>
      </c>
      <c r="E242" s="1">
        <v>100</v>
      </c>
      <c r="F242" s="1">
        <v>11</v>
      </c>
      <c r="G242" s="1">
        <v>25</v>
      </c>
      <c r="H242" s="1">
        <v>150</v>
      </c>
      <c r="I242" s="1">
        <v>100</v>
      </c>
      <c r="J242" s="1">
        <v>62.927</v>
      </c>
      <c r="K242" s="1">
        <v>37.073</v>
      </c>
      <c r="L242" s="1">
        <v>62.93</v>
      </c>
      <c r="M242" s="1">
        <v>80</v>
      </c>
      <c r="N242" s="1">
        <v>4.5879999999999997E-2</v>
      </c>
      <c r="O242" s="1">
        <v>3.213E-4</v>
      </c>
      <c r="P2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44.560660127648809</v>
      </c>
      <c r="Q242" s="1">
        <f>LN(Table13[[#This Row],[qe_mg_g]]-Table13[[#This Row],[qt]])</f>
        <v>2.9105196345385194</v>
      </c>
      <c r="R242" s="1">
        <v>1</v>
      </c>
    </row>
    <row r="243" spans="1:18" x14ac:dyDescent="0.3">
      <c r="A243" s="1">
        <v>242</v>
      </c>
      <c r="B243" s="1" t="s">
        <v>16</v>
      </c>
      <c r="C243" s="1">
        <v>1</v>
      </c>
      <c r="D243" s="1">
        <v>120</v>
      </c>
      <c r="E243" s="1">
        <v>100</v>
      </c>
      <c r="F243" s="1">
        <v>11</v>
      </c>
      <c r="G243" s="1">
        <v>25</v>
      </c>
      <c r="H243" s="1">
        <v>150</v>
      </c>
      <c r="I243" s="1">
        <v>100</v>
      </c>
      <c r="J243" s="1">
        <v>59.42</v>
      </c>
      <c r="K243" s="1">
        <v>40.58</v>
      </c>
      <c r="L243" s="1">
        <v>59.42</v>
      </c>
      <c r="M243" s="1">
        <v>81.099999999999994</v>
      </c>
      <c r="N243" s="1">
        <v>4.1959999999999997E-2</v>
      </c>
      <c r="O243" s="1">
        <v>3.5399999999999999E-4</v>
      </c>
      <c r="P2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42.559252184122315</v>
      </c>
      <c r="Q243" s="1">
        <f>LN(Table13[[#This Row],[qe_mg_g]]-Table13[[#This Row],[qt]])</f>
        <v>2.8249883060312242</v>
      </c>
      <c r="R243" s="1">
        <v>2</v>
      </c>
    </row>
    <row r="244" spans="1:18" x14ac:dyDescent="0.3">
      <c r="A244" s="1">
        <v>243</v>
      </c>
      <c r="B244" s="1" t="s">
        <v>16</v>
      </c>
      <c r="C244" s="1">
        <v>1</v>
      </c>
      <c r="D244" s="1">
        <v>120</v>
      </c>
      <c r="E244" s="1">
        <v>100</v>
      </c>
      <c r="F244" s="1">
        <v>11</v>
      </c>
      <c r="G244" s="1">
        <v>25</v>
      </c>
      <c r="H244" s="1">
        <v>150</v>
      </c>
      <c r="I244" s="1">
        <v>100</v>
      </c>
      <c r="J244" s="1">
        <v>59.656999999999996</v>
      </c>
      <c r="K244" s="1">
        <v>40.343000000000004</v>
      </c>
      <c r="L244" s="1">
        <v>59.66</v>
      </c>
      <c r="M244" s="1">
        <v>52.4</v>
      </c>
      <c r="N244" s="1">
        <v>4.5580000000000002E-2</v>
      </c>
      <c r="O244" s="1">
        <v>2.7960000000000002E-4</v>
      </c>
      <c r="P2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39.782010601637907</v>
      </c>
      <c r="Q244" s="1">
        <f>LN(Table13[[#This Row],[qe_mg_g]]-Table13[[#This Row],[qt]])</f>
        <v>2.9894621271245092</v>
      </c>
      <c r="R244" s="1">
        <v>3</v>
      </c>
    </row>
    <row r="245" spans="1:18" x14ac:dyDescent="0.3">
      <c r="A245" s="1">
        <v>244</v>
      </c>
      <c r="B245" s="1" t="s">
        <v>16</v>
      </c>
      <c r="C245" s="1">
        <v>1</v>
      </c>
      <c r="D245" s="1">
        <v>120</v>
      </c>
      <c r="E245" s="1">
        <v>200</v>
      </c>
      <c r="F245" s="1">
        <v>3</v>
      </c>
      <c r="G245" s="1">
        <v>25</v>
      </c>
      <c r="H245" s="1">
        <v>150</v>
      </c>
      <c r="I245" s="1">
        <v>100</v>
      </c>
      <c r="J245" s="1">
        <v>119.319</v>
      </c>
      <c r="K245" s="1">
        <v>80.680999999999997</v>
      </c>
      <c r="L245" s="1">
        <v>59.66</v>
      </c>
      <c r="M245" s="1">
        <v>60.1</v>
      </c>
      <c r="N245" s="1">
        <v>4.299E-2</v>
      </c>
      <c r="O245" s="1">
        <v>2.433E-4</v>
      </c>
      <c r="P2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92.706902264331205</v>
      </c>
      <c r="Q245" s="1">
        <f>LN(Table13[[#This Row],[qe_mg_g]]-Table13[[#This Row],[qt]])</f>
        <v>3.2813659144893408</v>
      </c>
      <c r="R245" s="1">
        <v>1</v>
      </c>
    </row>
    <row r="246" spans="1:18" x14ac:dyDescent="0.3">
      <c r="A246" s="1">
        <v>245</v>
      </c>
      <c r="B246" s="1" t="s">
        <v>16</v>
      </c>
      <c r="C246" s="1">
        <v>1</v>
      </c>
      <c r="D246" s="1">
        <v>120</v>
      </c>
      <c r="E246" s="1">
        <v>200</v>
      </c>
      <c r="F246" s="1">
        <v>3</v>
      </c>
      <c r="G246" s="1">
        <v>25</v>
      </c>
      <c r="H246" s="1">
        <v>150</v>
      </c>
      <c r="I246" s="1">
        <v>100</v>
      </c>
      <c r="J246" s="1">
        <v>107.755</v>
      </c>
      <c r="K246" s="1">
        <v>92.245000000000005</v>
      </c>
      <c r="L246" s="1">
        <v>53.88</v>
      </c>
      <c r="M246" s="1">
        <v>42.4</v>
      </c>
      <c r="N246" s="1">
        <v>3.7870000000000001E-2</v>
      </c>
      <c r="O246" s="1">
        <v>3.2279999999999999E-4</v>
      </c>
      <c r="P2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86.928744043889878</v>
      </c>
      <c r="Q246" s="1">
        <f>LN(Table13[[#This Row],[qe_mg_g]]-Table13[[#This Row],[qt]])</f>
        <v>3.0362144962516231</v>
      </c>
      <c r="R246" s="1">
        <v>2</v>
      </c>
    </row>
    <row r="247" spans="1:18" x14ac:dyDescent="0.3">
      <c r="A247" s="1">
        <v>246</v>
      </c>
      <c r="B247" s="1" t="s">
        <v>16</v>
      </c>
      <c r="C247" s="1">
        <v>1</v>
      </c>
      <c r="D247" s="1">
        <v>120</v>
      </c>
      <c r="E247" s="1">
        <v>200</v>
      </c>
      <c r="F247" s="1">
        <v>3</v>
      </c>
      <c r="G247" s="1">
        <v>25</v>
      </c>
      <c r="H247" s="1">
        <v>150</v>
      </c>
      <c r="I247" s="1">
        <v>100</v>
      </c>
      <c r="J247" s="1">
        <v>118.82899999999999</v>
      </c>
      <c r="K247" s="1">
        <v>81.171000000000006</v>
      </c>
      <c r="L247" s="1">
        <v>59.41</v>
      </c>
      <c r="M247" s="1">
        <v>70.900000000000006</v>
      </c>
      <c r="N247" s="1">
        <v>4.0649999999999999E-2</v>
      </c>
      <c r="O247" s="1">
        <v>2.9859999999999999E-4</v>
      </c>
      <c r="P2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96.228829675253891</v>
      </c>
      <c r="Q247" s="1">
        <f>LN(Table13[[#This Row],[qe_mg_g]]-Table13[[#This Row],[qt]])</f>
        <v>3.1179574427430312</v>
      </c>
      <c r="R247" s="1">
        <v>3</v>
      </c>
    </row>
    <row r="248" spans="1:18" x14ac:dyDescent="0.3">
      <c r="A248" s="1">
        <v>247</v>
      </c>
      <c r="B248" s="1" t="s">
        <v>16</v>
      </c>
      <c r="C248" s="1">
        <v>1</v>
      </c>
      <c r="D248" s="1">
        <v>120</v>
      </c>
      <c r="E248" s="1">
        <v>200</v>
      </c>
      <c r="F248" s="1">
        <v>7</v>
      </c>
      <c r="G248" s="1">
        <v>25</v>
      </c>
      <c r="H248" s="1">
        <v>150</v>
      </c>
      <c r="I248" s="1">
        <v>100</v>
      </c>
      <c r="J248" s="1">
        <v>155.59899999999999</v>
      </c>
      <c r="K248" s="1">
        <v>44.401000000000003</v>
      </c>
      <c r="L248" s="1">
        <v>77.8</v>
      </c>
      <c r="M248" s="1">
        <v>55.1</v>
      </c>
      <c r="N248" s="1">
        <v>5.1769999999999997E-2</v>
      </c>
      <c r="O248" s="1">
        <v>3.2630000000000002E-4</v>
      </c>
      <c r="P2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133.66088924178538</v>
      </c>
      <c r="Q248" s="1">
        <f>LN(Table13[[#This Row],[qe_mg_g]]-Table13[[#This Row],[qt]])</f>
        <v>3.0882253416688314</v>
      </c>
      <c r="R248" s="1">
        <v>1</v>
      </c>
    </row>
    <row r="249" spans="1:18" x14ac:dyDescent="0.3">
      <c r="A249" s="1">
        <v>248</v>
      </c>
      <c r="B249" s="1" t="s">
        <v>16</v>
      </c>
      <c r="C249" s="1">
        <v>1</v>
      </c>
      <c r="D249" s="1">
        <v>120</v>
      </c>
      <c r="E249" s="1">
        <v>200</v>
      </c>
      <c r="F249" s="1">
        <v>7</v>
      </c>
      <c r="G249" s="1">
        <v>25</v>
      </c>
      <c r="H249" s="1">
        <v>150</v>
      </c>
      <c r="I249" s="1">
        <v>100</v>
      </c>
      <c r="J249" s="1">
        <v>152.892</v>
      </c>
      <c r="K249" s="1">
        <v>47.107999999999997</v>
      </c>
      <c r="L249" s="1">
        <v>76.45</v>
      </c>
      <c r="M249" s="1">
        <v>66.900000000000006</v>
      </c>
      <c r="N249" s="1">
        <v>4.5940000000000002E-2</v>
      </c>
      <c r="O249" s="1">
        <v>2.387E-4</v>
      </c>
      <c r="P2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124.47044606311219</v>
      </c>
      <c r="Q249" s="1">
        <f>LN(Table13[[#This Row],[qe_mg_g]]-Table13[[#This Row],[qt]])</f>
        <v>3.3471477987564491</v>
      </c>
      <c r="R249" s="1">
        <v>2</v>
      </c>
    </row>
    <row r="250" spans="1:18" x14ac:dyDescent="0.3">
      <c r="A250" s="1">
        <v>249</v>
      </c>
      <c r="B250" s="1" t="s">
        <v>16</v>
      </c>
      <c r="C250" s="1">
        <v>1</v>
      </c>
      <c r="D250" s="1">
        <v>120</v>
      </c>
      <c r="E250" s="1">
        <v>200</v>
      </c>
      <c r="F250" s="1">
        <v>7</v>
      </c>
      <c r="G250" s="1">
        <v>25</v>
      </c>
      <c r="H250" s="1">
        <v>150</v>
      </c>
      <c r="I250" s="1">
        <v>100</v>
      </c>
      <c r="J250" s="1">
        <v>152.566</v>
      </c>
      <c r="K250" s="1">
        <v>47.433999999999997</v>
      </c>
      <c r="L250" s="1">
        <v>76.28</v>
      </c>
      <c r="M250" s="1">
        <v>59.8</v>
      </c>
      <c r="N250" s="1">
        <v>4.0489999999999998E-2</v>
      </c>
      <c r="O250" s="1">
        <v>2.9159999999999999E-4</v>
      </c>
      <c r="P2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128.49660716837033</v>
      </c>
      <c r="Q250" s="1">
        <f>LN(Table13[[#This Row],[qe_mg_g]]-Table13[[#This Row],[qt]])</f>
        <v>3.1809410263679592</v>
      </c>
      <c r="R250" s="1">
        <v>3</v>
      </c>
    </row>
    <row r="251" spans="1:18" x14ac:dyDescent="0.3">
      <c r="A251" s="1">
        <v>250</v>
      </c>
      <c r="B251" s="1" t="s">
        <v>16</v>
      </c>
      <c r="C251" s="1">
        <v>1</v>
      </c>
      <c r="D251" s="1">
        <v>120</v>
      </c>
      <c r="E251" s="1">
        <v>200</v>
      </c>
      <c r="F251" s="1">
        <v>11</v>
      </c>
      <c r="G251" s="1">
        <v>25</v>
      </c>
      <c r="H251" s="1">
        <v>150</v>
      </c>
      <c r="I251" s="1">
        <v>100</v>
      </c>
      <c r="J251" s="1">
        <v>147.87</v>
      </c>
      <c r="K251" s="1">
        <v>52.13</v>
      </c>
      <c r="L251" s="1">
        <v>73.930000000000007</v>
      </c>
      <c r="M251" s="1">
        <v>73.099999999999994</v>
      </c>
      <c r="N251" s="1">
        <v>4.2430000000000002E-2</v>
      </c>
      <c r="O251" s="1">
        <v>3.1720000000000001E-4</v>
      </c>
      <c r="P2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125.56186516657357</v>
      </c>
      <c r="Q251" s="1">
        <f>LN(Table13[[#This Row],[qe_mg_g]]-Table13[[#This Row],[qt]])</f>
        <v>3.1049514026827207</v>
      </c>
      <c r="R251" s="1">
        <v>1</v>
      </c>
    </row>
    <row r="252" spans="1:18" x14ac:dyDescent="0.3">
      <c r="A252" s="1">
        <v>251</v>
      </c>
      <c r="B252" s="1" t="s">
        <v>16</v>
      </c>
      <c r="C252" s="1">
        <v>1</v>
      </c>
      <c r="D252" s="1">
        <v>120</v>
      </c>
      <c r="E252" s="1">
        <v>200</v>
      </c>
      <c r="F252" s="1">
        <v>11</v>
      </c>
      <c r="G252" s="1">
        <v>25</v>
      </c>
      <c r="H252" s="1">
        <v>150</v>
      </c>
      <c r="I252" s="1">
        <v>100</v>
      </c>
      <c r="J252" s="1">
        <v>143.75</v>
      </c>
      <c r="K252" s="1">
        <v>56.25</v>
      </c>
      <c r="L252" s="1">
        <v>71.88</v>
      </c>
      <c r="M252" s="1">
        <v>75.900000000000006</v>
      </c>
      <c r="N252" s="1">
        <v>4.5269999999999998E-2</v>
      </c>
      <c r="O252" s="1">
        <v>2.8059999999999999E-4</v>
      </c>
      <c r="P2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119.13674908181873</v>
      </c>
      <c r="Q252" s="1">
        <f>LN(Table13[[#This Row],[qe_mg_g]]-Table13[[#This Row],[qt]])</f>
        <v>3.2032849531262957</v>
      </c>
      <c r="R252" s="1">
        <v>2</v>
      </c>
    </row>
    <row r="253" spans="1:18" x14ac:dyDescent="0.3">
      <c r="A253" s="1">
        <v>252</v>
      </c>
      <c r="B253" s="1" t="s">
        <v>16</v>
      </c>
      <c r="C253" s="1">
        <v>1</v>
      </c>
      <c r="D253" s="1">
        <v>120</v>
      </c>
      <c r="E253" s="1">
        <v>200</v>
      </c>
      <c r="F253" s="1">
        <v>11</v>
      </c>
      <c r="G253" s="1">
        <v>25</v>
      </c>
      <c r="H253" s="1">
        <v>150</v>
      </c>
      <c r="I253" s="1">
        <v>100</v>
      </c>
      <c r="J253" s="1">
        <v>136.499</v>
      </c>
      <c r="K253" s="1">
        <v>63.500999999999998</v>
      </c>
      <c r="L253" s="1">
        <v>68.25</v>
      </c>
      <c r="M253" s="1">
        <v>70.599999999999994</v>
      </c>
      <c r="N253" s="1">
        <v>4.9029999999999997E-2</v>
      </c>
      <c r="O253" s="1">
        <v>3.191E-4</v>
      </c>
      <c r="P2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114.57785784381537</v>
      </c>
      <c r="Q253" s="1">
        <f>LN(Table13[[#This Row],[qe_mg_g]]-Table13[[#This Row],[qt]])</f>
        <v>3.0874515663877191</v>
      </c>
      <c r="R253" s="1">
        <v>3</v>
      </c>
    </row>
    <row r="254" spans="1:18" x14ac:dyDescent="0.3">
      <c r="A254" s="1">
        <v>253</v>
      </c>
      <c r="B254" s="1" t="s">
        <v>16</v>
      </c>
      <c r="C254" s="1">
        <v>1</v>
      </c>
      <c r="D254" s="1">
        <v>240</v>
      </c>
      <c r="E254" s="1">
        <v>25</v>
      </c>
      <c r="F254" s="1">
        <v>3</v>
      </c>
      <c r="G254" s="1">
        <v>25</v>
      </c>
      <c r="H254" s="1">
        <v>150</v>
      </c>
      <c r="I254" s="1">
        <v>100</v>
      </c>
      <c r="J254" s="1">
        <v>11.032</v>
      </c>
      <c r="K254" s="1">
        <v>13.968</v>
      </c>
      <c r="L254" s="1">
        <v>44.13</v>
      </c>
      <c r="M254" s="1">
        <v>61.3</v>
      </c>
      <c r="N254" s="1">
        <v>5.0930000000000003E-2</v>
      </c>
      <c r="O254" s="1">
        <v>3.0590000000000001E-4</v>
      </c>
      <c r="P2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4.9367208595533478</v>
      </c>
      <c r="Q254" s="1">
        <f>LN(Table13[[#This Row],[qe_mg_g]]-Table13[[#This Row],[qt]])</f>
        <v>1.80751456015305</v>
      </c>
      <c r="R254" s="1">
        <v>1</v>
      </c>
    </row>
    <row r="255" spans="1:18" x14ac:dyDescent="0.3">
      <c r="A255" s="1">
        <v>254</v>
      </c>
      <c r="B255" s="1" t="s">
        <v>16</v>
      </c>
      <c r="C255" s="1">
        <v>1</v>
      </c>
      <c r="D255" s="1">
        <v>240</v>
      </c>
      <c r="E255" s="1">
        <v>25</v>
      </c>
      <c r="F255" s="1">
        <v>3</v>
      </c>
      <c r="G255" s="1">
        <v>25</v>
      </c>
      <c r="H255" s="1">
        <v>150</v>
      </c>
      <c r="I255" s="1">
        <v>100</v>
      </c>
      <c r="J255" s="1">
        <v>11.867000000000001</v>
      </c>
      <c r="K255" s="1">
        <v>13.132999999999999</v>
      </c>
      <c r="L255" s="1">
        <v>47.47</v>
      </c>
      <c r="M255" s="1">
        <v>59.8</v>
      </c>
      <c r="N255" s="1">
        <v>5.2810000000000003E-2</v>
      </c>
      <c r="O255" s="1">
        <v>3.0590000000000001E-4</v>
      </c>
      <c r="P2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5.5251741615031014</v>
      </c>
      <c r="Q255" s="1">
        <f>LN(Table13[[#This Row],[qe_mg_g]]-Table13[[#This Row],[qt]])</f>
        <v>1.847166714133418</v>
      </c>
      <c r="R255" s="1">
        <v>2</v>
      </c>
    </row>
    <row r="256" spans="1:18" x14ac:dyDescent="0.3">
      <c r="A256" s="1">
        <v>255</v>
      </c>
      <c r="B256" s="1" t="s">
        <v>16</v>
      </c>
      <c r="C256" s="1">
        <v>1</v>
      </c>
      <c r="D256" s="1">
        <v>240</v>
      </c>
      <c r="E256" s="1">
        <v>25</v>
      </c>
      <c r="F256" s="1">
        <v>3</v>
      </c>
      <c r="G256" s="1">
        <v>25</v>
      </c>
      <c r="H256" s="1">
        <v>150</v>
      </c>
      <c r="I256" s="1">
        <v>100</v>
      </c>
      <c r="J256" s="1">
        <v>9.6470000000000002</v>
      </c>
      <c r="K256" s="1">
        <v>15.353</v>
      </c>
      <c r="L256" s="1">
        <v>38.590000000000003</v>
      </c>
      <c r="M256" s="1">
        <v>61.8</v>
      </c>
      <c r="N256" s="1">
        <v>4.3560000000000001E-2</v>
      </c>
      <c r="O256" s="1">
        <v>3.1270000000000001E-4</v>
      </c>
      <c r="P2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4.0512535756407821</v>
      </c>
      <c r="Q256" s="1">
        <f>LN(Table13[[#This Row],[qe_mg_g]]-Table13[[#This Row],[qt]])</f>
        <v>1.7220067420451604</v>
      </c>
      <c r="R256" s="1">
        <v>3</v>
      </c>
    </row>
    <row r="257" spans="1:18" x14ac:dyDescent="0.3">
      <c r="A257" s="1">
        <v>256</v>
      </c>
      <c r="B257" s="1" t="s">
        <v>16</v>
      </c>
      <c r="C257" s="1">
        <v>1</v>
      </c>
      <c r="D257" s="1">
        <v>240</v>
      </c>
      <c r="E257" s="1">
        <v>25</v>
      </c>
      <c r="F257" s="1">
        <v>7</v>
      </c>
      <c r="G257" s="1">
        <v>25</v>
      </c>
      <c r="H257" s="1">
        <v>150</v>
      </c>
      <c r="I257" s="1">
        <v>100</v>
      </c>
      <c r="J257" s="1">
        <v>15.852</v>
      </c>
      <c r="K257" s="1">
        <v>9.1479999999999997</v>
      </c>
      <c r="L257" s="1">
        <v>63.41</v>
      </c>
      <c r="M257" s="1">
        <v>60.9</v>
      </c>
      <c r="N257" s="1">
        <v>4.4889999999999999E-2</v>
      </c>
      <c r="O257" s="1">
        <v>3.6430000000000002E-4</v>
      </c>
      <c r="P2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9.2081669731268079</v>
      </c>
      <c r="Q257" s="1">
        <f>LN(Table13[[#This Row],[qe_mg_g]]-Table13[[#This Row],[qt]])</f>
        <v>1.8936890600194141</v>
      </c>
      <c r="R257" s="1">
        <v>1</v>
      </c>
    </row>
    <row r="258" spans="1:18" x14ac:dyDescent="0.3">
      <c r="A258" s="1">
        <v>257</v>
      </c>
      <c r="B258" s="1" t="s">
        <v>16</v>
      </c>
      <c r="C258" s="1">
        <v>1</v>
      </c>
      <c r="D258" s="1">
        <v>240</v>
      </c>
      <c r="E258" s="1">
        <v>25</v>
      </c>
      <c r="F258" s="1">
        <v>7</v>
      </c>
      <c r="G258" s="1">
        <v>25</v>
      </c>
      <c r="H258" s="1">
        <v>150</v>
      </c>
      <c r="I258" s="1">
        <v>100</v>
      </c>
      <c r="J258" s="1">
        <v>17.318999999999999</v>
      </c>
      <c r="K258" s="1">
        <v>7.681</v>
      </c>
      <c r="L258" s="1">
        <v>69.27</v>
      </c>
      <c r="M258" s="1">
        <v>71</v>
      </c>
      <c r="N258" s="1">
        <v>4.5170000000000002E-2</v>
      </c>
      <c r="O258" s="1">
        <v>3.0360000000000001E-4</v>
      </c>
      <c r="P2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9.6622698506478617</v>
      </c>
      <c r="Q258" s="1">
        <f>LN(Table13[[#This Row],[qe_mg_g]]-Table13[[#This Row],[qt]])</f>
        <v>2.0355850191633671</v>
      </c>
      <c r="R258" s="1">
        <v>2</v>
      </c>
    </row>
    <row r="259" spans="1:18" x14ac:dyDescent="0.3">
      <c r="A259" s="1">
        <v>258</v>
      </c>
      <c r="B259" s="1" t="s">
        <v>16</v>
      </c>
      <c r="C259" s="1">
        <v>1</v>
      </c>
      <c r="D259" s="1">
        <v>240</v>
      </c>
      <c r="E259" s="1">
        <v>25</v>
      </c>
      <c r="F259" s="1">
        <v>7</v>
      </c>
      <c r="G259" s="1">
        <v>25</v>
      </c>
      <c r="H259" s="1">
        <v>150</v>
      </c>
      <c r="I259" s="1">
        <v>100</v>
      </c>
      <c r="J259" s="1">
        <v>15.962999999999999</v>
      </c>
      <c r="K259" s="1">
        <v>9.0370000000000008</v>
      </c>
      <c r="L259" s="1">
        <v>63.85</v>
      </c>
      <c r="M259" s="1">
        <v>56.4</v>
      </c>
      <c r="N259" s="1">
        <v>4.3839999999999997E-2</v>
      </c>
      <c r="O259" s="1">
        <v>2.499E-4</v>
      </c>
      <c r="P2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7.8077811489521487</v>
      </c>
      <c r="Q259" s="1">
        <f>LN(Table13[[#This Row],[qe_mg_g]]-Table13[[#This Row],[qt]])</f>
        <v>2.0986580721381292</v>
      </c>
      <c r="R259" s="1">
        <v>3</v>
      </c>
    </row>
    <row r="260" spans="1:18" x14ac:dyDescent="0.3">
      <c r="A260" s="1">
        <v>259</v>
      </c>
      <c r="B260" s="1" t="s">
        <v>16</v>
      </c>
      <c r="C260" s="1">
        <v>1</v>
      </c>
      <c r="D260" s="1">
        <v>240</v>
      </c>
      <c r="E260" s="1">
        <v>25</v>
      </c>
      <c r="F260" s="1">
        <v>11</v>
      </c>
      <c r="G260" s="1">
        <v>25</v>
      </c>
      <c r="H260" s="1">
        <v>150</v>
      </c>
      <c r="I260" s="1">
        <v>100</v>
      </c>
      <c r="J260" s="1">
        <v>12.541</v>
      </c>
      <c r="K260" s="1">
        <v>12.459</v>
      </c>
      <c r="L260" s="1">
        <v>50.16</v>
      </c>
      <c r="M260" s="1">
        <v>73.099999999999994</v>
      </c>
      <c r="N260" s="1">
        <v>4.283E-2</v>
      </c>
      <c r="O260" s="1">
        <v>3.4719999999999998E-4</v>
      </c>
      <c r="P2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6.4085309862348829</v>
      </c>
      <c r="Q260" s="1">
        <f>LN(Table13[[#This Row],[qe_mg_g]]-Table13[[#This Row],[qt]])</f>
        <v>1.8135974443477081</v>
      </c>
      <c r="R260" s="1">
        <v>1</v>
      </c>
    </row>
    <row r="261" spans="1:18" x14ac:dyDescent="0.3">
      <c r="A261" s="1">
        <v>260</v>
      </c>
      <c r="B261" s="1" t="s">
        <v>16</v>
      </c>
      <c r="C261" s="1">
        <v>1</v>
      </c>
      <c r="D261" s="1">
        <v>240</v>
      </c>
      <c r="E261" s="1">
        <v>25</v>
      </c>
      <c r="F261" s="1">
        <v>11</v>
      </c>
      <c r="G261" s="1">
        <v>25</v>
      </c>
      <c r="H261" s="1">
        <v>150</v>
      </c>
      <c r="I261" s="1">
        <v>100</v>
      </c>
      <c r="J261" s="1">
        <v>10.961</v>
      </c>
      <c r="K261" s="1">
        <v>14.039</v>
      </c>
      <c r="L261" s="1">
        <v>43.85</v>
      </c>
      <c r="M261" s="1">
        <v>52</v>
      </c>
      <c r="N261" s="1">
        <v>4.6010000000000002E-2</v>
      </c>
      <c r="O261" s="1">
        <v>3.3139999999999998E-4</v>
      </c>
      <c r="P2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5.1051208606098735</v>
      </c>
      <c r="Q261" s="1">
        <f>LN(Table13[[#This Row],[qe_mg_g]]-Table13[[#This Row],[qt]])</f>
        <v>1.7674461376806809</v>
      </c>
      <c r="R261" s="1">
        <v>2</v>
      </c>
    </row>
    <row r="262" spans="1:18" x14ac:dyDescent="0.3">
      <c r="A262" s="1">
        <v>261</v>
      </c>
      <c r="B262" s="1" t="s">
        <v>16</v>
      </c>
      <c r="C262" s="1">
        <v>1</v>
      </c>
      <c r="D262" s="1">
        <v>240</v>
      </c>
      <c r="E262" s="1">
        <v>25</v>
      </c>
      <c r="F262" s="1">
        <v>11</v>
      </c>
      <c r="G262" s="1">
        <v>25</v>
      </c>
      <c r="H262" s="1">
        <v>150</v>
      </c>
      <c r="I262" s="1">
        <v>100</v>
      </c>
      <c r="J262" s="1">
        <v>13.79</v>
      </c>
      <c r="K262" s="1">
        <v>11.21</v>
      </c>
      <c r="L262" s="1">
        <v>55.16</v>
      </c>
      <c r="M262" s="1">
        <v>62.1</v>
      </c>
      <c r="N262" s="1">
        <v>4.9849999999999998E-2</v>
      </c>
      <c r="O262" s="1">
        <v>2.988E-4</v>
      </c>
      <c r="P2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6.8565487433589691</v>
      </c>
      <c r="Q262" s="1">
        <f>LN(Table13[[#This Row],[qe_mg_g]]-Table13[[#This Row],[qt]])</f>
        <v>1.9363577060639046</v>
      </c>
      <c r="R262" s="1">
        <v>3</v>
      </c>
    </row>
    <row r="263" spans="1:18" x14ac:dyDescent="0.3">
      <c r="A263" s="1">
        <v>262</v>
      </c>
      <c r="B263" s="1" t="s">
        <v>16</v>
      </c>
      <c r="C263" s="1">
        <v>1</v>
      </c>
      <c r="D263" s="1">
        <v>240</v>
      </c>
      <c r="E263" s="1">
        <v>50</v>
      </c>
      <c r="F263" s="1">
        <v>3</v>
      </c>
      <c r="G263" s="1">
        <v>25</v>
      </c>
      <c r="H263" s="1">
        <v>150</v>
      </c>
      <c r="I263" s="1">
        <v>100</v>
      </c>
      <c r="J263" s="1">
        <v>25.503</v>
      </c>
      <c r="K263" s="1">
        <v>24.497</v>
      </c>
      <c r="L263" s="1">
        <v>51.01</v>
      </c>
      <c r="M263" s="1">
        <v>75.5</v>
      </c>
      <c r="N263" s="1">
        <v>4.7940000000000003E-2</v>
      </c>
      <c r="O263" s="1">
        <v>2.5270000000000002E-4</v>
      </c>
      <c r="P2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15.488887432318334</v>
      </c>
      <c r="Q263" s="1">
        <f>LN(Table13[[#This Row],[qe_mg_g]]-Table13[[#This Row],[qt]])</f>
        <v>2.3039953548752967</v>
      </c>
      <c r="R263" s="1">
        <v>1</v>
      </c>
    </row>
    <row r="264" spans="1:18" x14ac:dyDescent="0.3">
      <c r="A264" s="1">
        <v>263</v>
      </c>
      <c r="B264" s="1" t="s">
        <v>16</v>
      </c>
      <c r="C264" s="1">
        <v>1</v>
      </c>
      <c r="D264" s="1">
        <v>240</v>
      </c>
      <c r="E264" s="1">
        <v>50</v>
      </c>
      <c r="F264" s="1">
        <v>3</v>
      </c>
      <c r="G264" s="1">
        <v>25</v>
      </c>
      <c r="H264" s="1">
        <v>150</v>
      </c>
      <c r="I264" s="1">
        <v>100</v>
      </c>
      <c r="J264" s="1">
        <v>28.914999999999999</v>
      </c>
      <c r="K264" s="1">
        <v>21.085000000000001</v>
      </c>
      <c r="L264" s="1">
        <v>57.83</v>
      </c>
      <c r="M264" s="1">
        <v>80.5</v>
      </c>
      <c r="N264" s="1">
        <v>4.2180000000000002E-2</v>
      </c>
      <c r="O264" s="1">
        <v>3.1189999999999999E-4</v>
      </c>
      <c r="P2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19.777583609967046</v>
      </c>
      <c r="Q264" s="1">
        <f>LN(Table13[[#This Row],[qe_mg_g]]-Table13[[#This Row],[qt]])</f>
        <v>2.2123776748324415</v>
      </c>
      <c r="R264" s="1">
        <v>2</v>
      </c>
    </row>
    <row r="265" spans="1:18" x14ac:dyDescent="0.3">
      <c r="A265" s="1">
        <v>264</v>
      </c>
      <c r="B265" s="1" t="s">
        <v>16</v>
      </c>
      <c r="C265" s="1">
        <v>1</v>
      </c>
      <c r="D265" s="1">
        <v>240</v>
      </c>
      <c r="E265" s="1">
        <v>50</v>
      </c>
      <c r="F265" s="1">
        <v>3</v>
      </c>
      <c r="G265" s="1">
        <v>25</v>
      </c>
      <c r="H265" s="1">
        <v>150</v>
      </c>
      <c r="I265" s="1">
        <v>100</v>
      </c>
      <c r="J265" s="1">
        <v>26.882999999999999</v>
      </c>
      <c r="K265" s="1">
        <v>23.117000000000001</v>
      </c>
      <c r="L265" s="1">
        <v>53.77</v>
      </c>
      <c r="M265" s="1">
        <v>69.3</v>
      </c>
      <c r="N265" s="1">
        <v>4.2520000000000002E-2</v>
      </c>
      <c r="O265" s="1">
        <v>2.7989999999999997E-4</v>
      </c>
      <c r="P2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17.302090937573823</v>
      </c>
      <c r="Q265" s="1">
        <f>LN(Table13[[#This Row],[qe_mg_g]]-Table13[[#This Row],[qt]])</f>
        <v>2.2597724791745923</v>
      </c>
      <c r="R265" s="1">
        <v>3</v>
      </c>
    </row>
    <row r="266" spans="1:18" x14ac:dyDescent="0.3">
      <c r="A266" s="1">
        <v>265</v>
      </c>
      <c r="B266" s="1" t="s">
        <v>16</v>
      </c>
      <c r="C266" s="1">
        <v>1</v>
      </c>
      <c r="D266" s="1">
        <v>240</v>
      </c>
      <c r="E266" s="1">
        <v>50</v>
      </c>
      <c r="F266" s="1">
        <v>7</v>
      </c>
      <c r="G266" s="1">
        <v>25</v>
      </c>
      <c r="H266" s="1">
        <v>150</v>
      </c>
      <c r="I266" s="1">
        <v>100</v>
      </c>
      <c r="J266" s="1">
        <v>36.968000000000004</v>
      </c>
      <c r="K266" s="1">
        <v>13.032</v>
      </c>
      <c r="L266" s="1">
        <v>73.94</v>
      </c>
      <c r="M266" s="1">
        <v>78.400000000000006</v>
      </c>
      <c r="N266" s="1">
        <v>4.7449999999999999E-2</v>
      </c>
      <c r="O266" s="1">
        <v>2.8889999999999997E-4</v>
      </c>
      <c r="P2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26.593094703285072</v>
      </c>
      <c r="Q266" s="1">
        <f>LN(Table13[[#This Row],[qe_mg_g]]-Table13[[#This Row],[qt]])</f>
        <v>2.3393899380476246</v>
      </c>
      <c r="R266" s="1">
        <v>1</v>
      </c>
    </row>
    <row r="267" spans="1:18" x14ac:dyDescent="0.3">
      <c r="A267" s="1">
        <v>266</v>
      </c>
      <c r="B267" s="1" t="s">
        <v>16</v>
      </c>
      <c r="C267" s="1">
        <v>1</v>
      </c>
      <c r="D267" s="1">
        <v>240</v>
      </c>
      <c r="E267" s="1">
        <v>50</v>
      </c>
      <c r="F267" s="1">
        <v>7</v>
      </c>
      <c r="G267" s="1">
        <v>25</v>
      </c>
      <c r="H267" s="1">
        <v>150</v>
      </c>
      <c r="I267" s="1">
        <v>100</v>
      </c>
      <c r="J267" s="1">
        <v>39.33</v>
      </c>
      <c r="K267" s="1">
        <v>10.67</v>
      </c>
      <c r="L267" s="1">
        <v>78.66</v>
      </c>
      <c r="M267" s="1">
        <v>38.200000000000003</v>
      </c>
      <c r="N267" s="1">
        <v>5.0169999999999999E-2</v>
      </c>
      <c r="O267" s="1">
        <v>2.4780000000000001E-4</v>
      </c>
      <c r="P2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27.551143352560775</v>
      </c>
      <c r="Q267" s="1">
        <f>LN(Table13[[#This Row],[qe_mg_g]]-Table13[[#This Row],[qt]])</f>
        <v>2.4663061147216938</v>
      </c>
      <c r="R267" s="1">
        <v>2</v>
      </c>
    </row>
    <row r="268" spans="1:18" x14ac:dyDescent="0.3">
      <c r="A268" s="1">
        <v>267</v>
      </c>
      <c r="B268" s="1" t="s">
        <v>16</v>
      </c>
      <c r="C268" s="1">
        <v>1</v>
      </c>
      <c r="D268" s="1">
        <v>240</v>
      </c>
      <c r="E268" s="1">
        <v>50</v>
      </c>
      <c r="F268" s="1">
        <v>7</v>
      </c>
      <c r="G268" s="1">
        <v>25</v>
      </c>
      <c r="H268" s="1">
        <v>150</v>
      </c>
      <c r="I268" s="1">
        <v>100</v>
      </c>
      <c r="J268" s="1">
        <v>35.969000000000001</v>
      </c>
      <c r="K268" s="1">
        <v>14.031000000000001</v>
      </c>
      <c r="L268" s="1">
        <v>71.94</v>
      </c>
      <c r="M268" s="1">
        <v>55.5</v>
      </c>
      <c r="N268" s="1">
        <v>3.9170000000000003E-2</v>
      </c>
      <c r="O268" s="1">
        <v>3.3480000000000001E-4</v>
      </c>
      <c r="P2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26.722900863136378</v>
      </c>
      <c r="Q268" s="1">
        <f>LN(Table13[[#This Row],[qe_mg_g]]-Table13[[#This Row],[qt]])</f>
        <v>2.2242017476439213</v>
      </c>
      <c r="R268" s="1">
        <v>3</v>
      </c>
    </row>
    <row r="269" spans="1:18" x14ac:dyDescent="0.3">
      <c r="A269" s="1">
        <v>268</v>
      </c>
      <c r="B269" s="1" t="s">
        <v>16</v>
      </c>
      <c r="C269" s="1">
        <v>1</v>
      </c>
      <c r="D269" s="1">
        <v>240</v>
      </c>
      <c r="E269" s="1">
        <v>50</v>
      </c>
      <c r="F269" s="1">
        <v>11</v>
      </c>
      <c r="G269" s="1">
        <v>25</v>
      </c>
      <c r="H269" s="1">
        <v>150</v>
      </c>
      <c r="I269" s="1">
        <v>100</v>
      </c>
      <c r="J269" s="1">
        <v>29.161000000000001</v>
      </c>
      <c r="K269" s="1">
        <v>20.838999999999999</v>
      </c>
      <c r="L269" s="1">
        <v>58.32</v>
      </c>
      <c r="M269" s="1">
        <v>70.099999999999994</v>
      </c>
      <c r="N269" s="1">
        <v>4.4790000000000003E-2</v>
      </c>
      <c r="O269" s="1">
        <v>3.143E-4</v>
      </c>
      <c r="P2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20.047254913249638</v>
      </c>
      <c r="Q269" s="1">
        <f>LN(Table13[[#This Row],[qe_mg_g]]-Table13[[#This Row],[qt]])</f>
        <v>2.2097837230353936</v>
      </c>
      <c r="R269" s="1">
        <v>1</v>
      </c>
    </row>
    <row r="270" spans="1:18" x14ac:dyDescent="0.3">
      <c r="A270" s="1">
        <v>269</v>
      </c>
      <c r="B270" s="1" t="s">
        <v>16</v>
      </c>
      <c r="C270" s="1">
        <v>1</v>
      </c>
      <c r="D270" s="1">
        <v>240</v>
      </c>
      <c r="E270" s="1">
        <v>50</v>
      </c>
      <c r="F270" s="1">
        <v>11</v>
      </c>
      <c r="G270" s="1">
        <v>25</v>
      </c>
      <c r="H270" s="1">
        <v>150</v>
      </c>
      <c r="I270" s="1">
        <v>100</v>
      </c>
      <c r="J270" s="1">
        <v>30.481000000000002</v>
      </c>
      <c r="K270" s="1">
        <v>19.518999999999998</v>
      </c>
      <c r="L270" s="1">
        <v>60.96</v>
      </c>
      <c r="M270" s="1">
        <v>53.8</v>
      </c>
      <c r="N270" s="1">
        <v>4.9480000000000003E-2</v>
      </c>
      <c r="O270" s="1">
        <v>2.8519999999999999E-4</v>
      </c>
      <c r="P2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20.60497596118789</v>
      </c>
      <c r="Q270" s="1">
        <f>LN(Table13[[#This Row],[qe_mg_g]]-Table13[[#This Row],[qt]])</f>
        <v>2.2901100055435704</v>
      </c>
      <c r="R270" s="1">
        <v>2</v>
      </c>
    </row>
    <row r="271" spans="1:18" x14ac:dyDescent="0.3">
      <c r="A271" s="1">
        <v>270</v>
      </c>
      <c r="B271" s="1" t="s">
        <v>16</v>
      </c>
      <c r="C271" s="1">
        <v>1</v>
      </c>
      <c r="D271" s="1">
        <v>240</v>
      </c>
      <c r="E271" s="1">
        <v>50</v>
      </c>
      <c r="F271" s="1">
        <v>11</v>
      </c>
      <c r="G271" s="1">
        <v>25</v>
      </c>
      <c r="H271" s="1">
        <v>150</v>
      </c>
      <c r="I271" s="1">
        <v>100</v>
      </c>
      <c r="J271" s="1">
        <v>26.521999999999998</v>
      </c>
      <c r="K271" s="1">
        <v>23.478000000000002</v>
      </c>
      <c r="L271" s="1">
        <v>53.04</v>
      </c>
      <c r="M271" s="1">
        <v>62.4</v>
      </c>
      <c r="N271" s="1">
        <v>5.1749999999999997E-2</v>
      </c>
      <c r="O271" s="1">
        <v>3.255E-4</v>
      </c>
      <c r="P2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17.888251589603229</v>
      </c>
      <c r="Q271" s="1">
        <f>LN(Table13[[#This Row],[qe_mg_g]]-Table13[[#This Row],[qt]])</f>
        <v>2.1556787573059881</v>
      </c>
      <c r="R271" s="1">
        <v>3</v>
      </c>
    </row>
    <row r="272" spans="1:18" x14ac:dyDescent="0.3">
      <c r="A272" s="1">
        <v>271</v>
      </c>
      <c r="B272" s="1" t="s">
        <v>16</v>
      </c>
      <c r="C272" s="1">
        <v>1</v>
      </c>
      <c r="D272" s="1">
        <v>240</v>
      </c>
      <c r="E272" s="1">
        <v>100</v>
      </c>
      <c r="F272" s="1">
        <v>3</v>
      </c>
      <c r="G272" s="1">
        <v>25</v>
      </c>
      <c r="H272" s="1">
        <v>150</v>
      </c>
      <c r="I272" s="1">
        <v>100</v>
      </c>
      <c r="J272" s="1">
        <v>57.692</v>
      </c>
      <c r="K272" s="1">
        <v>42.308</v>
      </c>
      <c r="L272" s="1">
        <v>57.69</v>
      </c>
      <c r="M272" s="1">
        <v>63.2</v>
      </c>
      <c r="N272" s="1">
        <v>4.3549999999999998E-2</v>
      </c>
      <c r="O272" s="1">
        <v>3.6230000000000002E-4</v>
      </c>
      <c r="P2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48.102932375860682</v>
      </c>
      <c r="Q272" s="1">
        <f>LN(Table13[[#This Row],[qe_mg_g]]-Table13[[#This Row],[qt]])</f>
        <v>2.2606236604085725</v>
      </c>
      <c r="R272" s="1">
        <v>1</v>
      </c>
    </row>
    <row r="273" spans="1:18" x14ac:dyDescent="0.3">
      <c r="A273" s="1">
        <v>272</v>
      </c>
      <c r="B273" s="1" t="s">
        <v>16</v>
      </c>
      <c r="C273" s="1">
        <v>1</v>
      </c>
      <c r="D273" s="1">
        <v>240</v>
      </c>
      <c r="E273" s="1">
        <v>100</v>
      </c>
      <c r="F273" s="1">
        <v>3</v>
      </c>
      <c r="G273" s="1">
        <v>25</v>
      </c>
      <c r="H273" s="1">
        <v>150</v>
      </c>
      <c r="I273" s="1">
        <v>100</v>
      </c>
      <c r="J273" s="1">
        <v>61.16</v>
      </c>
      <c r="K273" s="1">
        <v>38.840000000000003</v>
      </c>
      <c r="L273" s="1">
        <v>61.16</v>
      </c>
      <c r="M273" s="1">
        <v>71</v>
      </c>
      <c r="N273" s="1">
        <v>4.9639999999999997E-2</v>
      </c>
      <c r="O273" s="1">
        <v>3.0719999999999999E-4</v>
      </c>
      <c r="P2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50.058578692798861</v>
      </c>
      <c r="Q273" s="1">
        <f>LN(Table13[[#This Row],[qe_mg_g]]-Table13[[#This Row],[qt]])</f>
        <v>2.4070731458149344</v>
      </c>
      <c r="R273" s="1">
        <v>2</v>
      </c>
    </row>
    <row r="274" spans="1:18" x14ac:dyDescent="0.3">
      <c r="A274" s="1">
        <v>273</v>
      </c>
      <c r="B274" s="1" t="s">
        <v>16</v>
      </c>
      <c r="C274" s="1">
        <v>1</v>
      </c>
      <c r="D274" s="1">
        <v>240</v>
      </c>
      <c r="E274" s="1">
        <v>100</v>
      </c>
      <c r="F274" s="1">
        <v>3</v>
      </c>
      <c r="G274" s="1">
        <v>25</v>
      </c>
      <c r="H274" s="1">
        <v>150</v>
      </c>
      <c r="I274" s="1">
        <v>100</v>
      </c>
      <c r="J274" s="1">
        <v>58.116999999999997</v>
      </c>
      <c r="K274" s="1">
        <v>41.883000000000003</v>
      </c>
      <c r="L274" s="1">
        <v>58.12</v>
      </c>
      <c r="M274" s="1">
        <v>64.7</v>
      </c>
      <c r="N274" s="1">
        <v>4.4679999999999997E-2</v>
      </c>
      <c r="O274" s="1">
        <v>2.989E-4</v>
      </c>
      <c r="P2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46.87380246822174</v>
      </c>
      <c r="Q274" s="1">
        <f>LN(Table13[[#This Row],[qe_mg_g]]-Table13[[#This Row],[qt]])</f>
        <v>2.4197632819255901</v>
      </c>
      <c r="R274" s="1">
        <v>3</v>
      </c>
    </row>
    <row r="275" spans="1:18" x14ac:dyDescent="0.3">
      <c r="A275" s="1">
        <v>274</v>
      </c>
      <c r="B275" s="1" t="s">
        <v>16</v>
      </c>
      <c r="C275" s="1">
        <v>1</v>
      </c>
      <c r="D275" s="1">
        <v>240</v>
      </c>
      <c r="E275" s="1">
        <v>100</v>
      </c>
      <c r="F275" s="1">
        <v>7</v>
      </c>
      <c r="G275" s="1">
        <v>25</v>
      </c>
      <c r="H275" s="1">
        <v>150</v>
      </c>
      <c r="I275" s="1">
        <v>100</v>
      </c>
      <c r="J275" s="1">
        <v>87.268000000000001</v>
      </c>
      <c r="K275" s="1">
        <v>12.731999999999999</v>
      </c>
      <c r="L275" s="1">
        <v>87.27</v>
      </c>
      <c r="M275" s="1">
        <v>67.2</v>
      </c>
      <c r="N275" s="1">
        <v>4.8300000000000003E-2</v>
      </c>
      <c r="O275" s="1">
        <v>2.9760000000000002E-4</v>
      </c>
      <c r="P2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75.202792965051145</v>
      </c>
      <c r="Q275" s="1">
        <f>LN(Table13[[#This Row],[qe_mg_g]]-Table13[[#This Row],[qt]])</f>
        <v>2.4903258588923718</v>
      </c>
      <c r="R275" s="1">
        <v>1</v>
      </c>
    </row>
    <row r="276" spans="1:18" x14ac:dyDescent="0.3">
      <c r="A276" s="1">
        <v>275</v>
      </c>
      <c r="B276" s="1" t="s">
        <v>16</v>
      </c>
      <c r="C276" s="1">
        <v>1</v>
      </c>
      <c r="D276" s="1">
        <v>240</v>
      </c>
      <c r="E276" s="1">
        <v>100</v>
      </c>
      <c r="F276" s="1">
        <v>7</v>
      </c>
      <c r="G276" s="1">
        <v>25</v>
      </c>
      <c r="H276" s="1">
        <v>150</v>
      </c>
      <c r="I276" s="1">
        <v>100</v>
      </c>
      <c r="J276" s="1">
        <v>82.986000000000004</v>
      </c>
      <c r="K276" s="1">
        <v>17.013999999999999</v>
      </c>
      <c r="L276" s="1">
        <v>82.99</v>
      </c>
      <c r="M276" s="1">
        <v>46.7</v>
      </c>
      <c r="N276" s="1">
        <v>4.9119999999999997E-2</v>
      </c>
      <c r="O276" s="1">
        <v>3.1040000000000001E-4</v>
      </c>
      <c r="P2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71.431481058468492</v>
      </c>
      <c r="Q276" s="1">
        <f>LN(Table13[[#This Row],[qe_mg_g]]-Table13[[#This Row],[qt]])</f>
        <v>2.4470766107983914</v>
      </c>
      <c r="R276" s="1">
        <v>2</v>
      </c>
    </row>
    <row r="277" spans="1:18" x14ac:dyDescent="0.3">
      <c r="A277" s="1">
        <v>276</v>
      </c>
      <c r="B277" s="1" t="s">
        <v>16</v>
      </c>
      <c r="C277" s="1">
        <v>1</v>
      </c>
      <c r="D277" s="1">
        <v>240</v>
      </c>
      <c r="E277" s="1">
        <v>100</v>
      </c>
      <c r="F277" s="1">
        <v>7</v>
      </c>
      <c r="G277" s="1">
        <v>25</v>
      </c>
      <c r="H277" s="1">
        <v>150</v>
      </c>
      <c r="I277" s="1">
        <v>100</v>
      </c>
      <c r="J277" s="1">
        <v>89.052000000000007</v>
      </c>
      <c r="K277" s="1">
        <v>10.948</v>
      </c>
      <c r="L277" s="1">
        <v>89.05</v>
      </c>
      <c r="M277" s="1">
        <v>37.700000000000003</v>
      </c>
      <c r="N277" s="1">
        <v>5.4399999999999997E-2</v>
      </c>
      <c r="O277" s="1">
        <v>2.9579999999999998E-4</v>
      </c>
      <c r="P2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76.889715336628839</v>
      </c>
      <c r="Q277" s="1">
        <f>LN(Table13[[#This Row],[qe_mg_g]]-Table13[[#This Row],[qt]])</f>
        <v>2.4983397423910447</v>
      </c>
      <c r="R277" s="1">
        <v>3</v>
      </c>
    </row>
    <row r="278" spans="1:18" x14ac:dyDescent="0.3">
      <c r="A278" s="1">
        <v>277</v>
      </c>
      <c r="B278" s="1" t="s">
        <v>16</v>
      </c>
      <c r="C278" s="1">
        <v>1</v>
      </c>
      <c r="D278" s="1">
        <v>240</v>
      </c>
      <c r="E278" s="1">
        <v>100</v>
      </c>
      <c r="F278" s="1">
        <v>11</v>
      </c>
      <c r="G278" s="1">
        <v>25</v>
      </c>
      <c r="H278" s="1">
        <v>150</v>
      </c>
      <c r="I278" s="1">
        <v>100</v>
      </c>
      <c r="J278" s="1">
        <v>74.644999999999996</v>
      </c>
      <c r="K278" s="1">
        <v>25.355</v>
      </c>
      <c r="L278" s="1">
        <v>74.64</v>
      </c>
      <c r="M278" s="1">
        <v>56.3</v>
      </c>
      <c r="N278" s="1">
        <v>4.7759999999999997E-2</v>
      </c>
      <c r="O278" s="1">
        <v>2.6840000000000002E-4</v>
      </c>
      <c r="P2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61.793634773707304</v>
      </c>
      <c r="Q278" s="1">
        <f>LN(Table13[[#This Row],[qe_mg_g]]-Table13[[#This Row],[qt]])</f>
        <v>2.5534500489890704</v>
      </c>
      <c r="R278" s="1">
        <v>1</v>
      </c>
    </row>
    <row r="279" spans="1:18" x14ac:dyDescent="0.3">
      <c r="A279" s="1">
        <v>278</v>
      </c>
      <c r="B279" s="1" t="s">
        <v>16</v>
      </c>
      <c r="C279" s="1">
        <v>1</v>
      </c>
      <c r="D279" s="1">
        <v>240</v>
      </c>
      <c r="E279" s="1">
        <v>100</v>
      </c>
      <c r="F279" s="1">
        <v>11</v>
      </c>
      <c r="G279" s="1">
        <v>25</v>
      </c>
      <c r="H279" s="1">
        <v>150</v>
      </c>
      <c r="I279" s="1">
        <v>100</v>
      </c>
      <c r="J279" s="1">
        <v>65.144000000000005</v>
      </c>
      <c r="K279" s="1">
        <v>34.856000000000002</v>
      </c>
      <c r="L279" s="1">
        <v>65.14</v>
      </c>
      <c r="M279" s="1">
        <v>85.8</v>
      </c>
      <c r="N279" s="1">
        <v>4.4139999999999999E-2</v>
      </c>
      <c r="O279" s="1">
        <v>3.0650000000000002E-4</v>
      </c>
      <c r="P2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53.89674813885123</v>
      </c>
      <c r="Q279" s="1">
        <f>LN(Table13[[#This Row],[qe_mg_g]]-Table13[[#This Row],[qt]])</f>
        <v>2.4201238198004544</v>
      </c>
      <c r="R279" s="1">
        <v>2</v>
      </c>
    </row>
    <row r="280" spans="1:18" x14ac:dyDescent="0.3">
      <c r="A280" s="1">
        <v>279</v>
      </c>
      <c r="B280" s="1" t="s">
        <v>16</v>
      </c>
      <c r="C280" s="1">
        <v>1</v>
      </c>
      <c r="D280" s="1">
        <v>240</v>
      </c>
      <c r="E280" s="1">
        <v>100</v>
      </c>
      <c r="F280" s="1">
        <v>11</v>
      </c>
      <c r="G280" s="1">
        <v>25</v>
      </c>
      <c r="H280" s="1">
        <v>150</v>
      </c>
      <c r="I280" s="1">
        <v>100</v>
      </c>
      <c r="J280" s="1">
        <v>73.338999999999999</v>
      </c>
      <c r="K280" s="1">
        <v>26.661000000000001</v>
      </c>
      <c r="L280" s="1">
        <v>73.34</v>
      </c>
      <c r="M280" s="1">
        <v>71.599999999999994</v>
      </c>
      <c r="N280" s="1">
        <v>4.5679999999999998E-2</v>
      </c>
      <c r="O280" s="1">
        <v>3.1090000000000002E-4</v>
      </c>
      <c r="P2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62.007723444287613</v>
      </c>
      <c r="Q280" s="1">
        <f>LN(Table13[[#This Row],[qe_mg_g]]-Table13[[#This Row],[qt]])</f>
        <v>2.4275667391001763</v>
      </c>
      <c r="R280" s="1">
        <v>3</v>
      </c>
    </row>
    <row r="281" spans="1:18" x14ac:dyDescent="0.3">
      <c r="A281" s="1">
        <v>280</v>
      </c>
      <c r="B281" s="1" t="s">
        <v>16</v>
      </c>
      <c r="C281" s="1">
        <v>1</v>
      </c>
      <c r="D281" s="1">
        <v>240</v>
      </c>
      <c r="E281" s="1">
        <v>200</v>
      </c>
      <c r="F281" s="1">
        <v>3</v>
      </c>
      <c r="G281" s="1">
        <v>25</v>
      </c>
      <c r="H281" s="1">
        <v>150</v>
      </c>
      <c r="I281" s="1">
        <v>100</v>
      </c>
      <c r="J281" s="1">
        <v>145.6</v>
      </c>
      <c r="K281" s="1">
        <v>54.4</v>
      </c>
      <c r="L281" s="1">
        <v>72.8</v>
      </c>
      <c r="M281" s="1">
        <v>66.099999999999994</v>
      </c>
      <c r="N281" s="1">
        <v>4.5900000000000003E-2</v>
      </c>
      <c r="O281" s="1">
        <v>3.3149999999999998E-4</v>
      </c>
      <c r="P2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134.02969322158023</v>
      </c>
      <c r="Q281" s="1">
        <f>LN(Table13[[#This Row],[qe_mg_g]]-Table13[[#This Row],[qt]])</f>
        <v>2.4484420558428126</v>
      </c>
      <c r="R281" s="1">
        <v>1</v>
      </c>
    </row>
    <row r="282" spans="1:18" x14ac:dyDescent="0.3">
      <c r="A282" s="1">
        <v>281</v>
      </c>
      <c r="B282" s="1" t="s">
        <v>16</v>
      </c>
      <c r="C282" s="1">
        <v>1</v>
      </c>
      <c r="D282" s="1">
        <v>240</v>
      </c>
      <c r="E282" s="1">
        <v>200</v>
      </c>
      <c r="F282" s="1">
        <v>3</v>
      </c>
      <c r="G282" s="1">
        <v>25</v>
      </c>
      <c r="H282" s="1">
        <v>150</v>
      </c>
      <c r="I282" s="1">
        <v>100</v>
      </c>
      <c r="J282" s="1">
        <v>132.91999999999999</v>
      </c>
      <c r="K282" s="1">
        <v>67.08</v>
      </c>
      <c r="L282" s="1">
        <v>66.459999999999994</v>
      </c>
      <c r="M282" s="1">
        <v>78.5</v>
      </c>
      <c r="N282" s="1">
        <v>4.7870000000000003E-2</v>
      </c>
      <c r="O282" s="1">
        <v>2.6570000000000001E-4</v>
      </c>
      <c r="P2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118.89304738150098</v>
      </c>
      <c r="Q282" s="1">
        <f>LN(Table13[[#This Row],[qe_mg_g]]-Table13[[#This Row],[qt]])</f>
        <v>2.6409806658533812</v>
      </c>
      <c r="R282" s="1">
        <v>2</v>
      </c>
    </row>
    <row r="283" spans="1:18" x14ac:dyDescent="0.3">
      <c r="A283" s="1">
        <v>282</v>
      </c>
      <c r="B283" s="1" t="s">
        <v>16</v>
      </c>
      <c r="C283" s="1">
        <v>1</v>
      </c>
      <c r="D283" s="1">
        <v>240</v>
      </c>
      <c r="E283" s="1">
        <v>200</v>
      </c>
      <c r="F283" s="1">
        <v>3</v>
      </c>
      <c r="G283" s="1">
        <v>25</v>
      </c>
      <c r="H283" s="1">
        <v>150</v>
      </c>
      <c r="I283" s="1">
        <v>100</v>
      </c>
      <c r="J283" s="1">
        <v>138.078</v>
      </c>
      <c r="K283" s="1">
        <v>61.921999999999997</v>
      </c>
      <c r="L283" s="1">
        <v>69.040000000000006</v>
      </c>
      <c r="M283" s="1">
        <v>55.2</v>
      </c>
      <c r="N283" s="1">
        <v>4.6359999999999998E-2</v>
      </c>
      <c r="O283" s="1">
        <v>2.7740000000000002E-4</v>
      </c>
      <c r="P2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124.53122060257081</v>
      </c>
      <c r="Q283" s="1">
        <f>LN(Table13[[#This Row],[qe_mg_g]]-Table13[[#This Row],[qt]])</f>
        <v>2.6061488362281113</v>
      </c>
      <c r="R283" s="1">
        <v>3</v>
      </c>
    </row>
    <row r="284" spans="1:18" x14ac:dyDescent="0.3">
      <c r="A284" s="1">
        <v>283</v>
      </c>
      <c r="B284" s="1" t="s">
        <v>16</v>
      </c>
      <c r="C284" s="1">
        <v>1</v>
      </c>
      <c r="D284" s="1">
        <v>240</v>
      </c>
      <c r="E284" s="1">
        <v>200</v>
      </c>
      <c r="F284" s="1">
        <v>7</v>
      </c>
      <c r="G284" s="1">
        <v>25</v>
      </c>
      <c r="H284" s="1">
        <v>150</v>
      </c>
      <c r="I284" s="1">
        <v>100</v>
      </c>
      <c r="J284" s="1">
        <v>165.81700000000001</v>
      </c>
      <c r="K284" s="1">
        <v>34.183</v>
      </c>
      <c r="L284" s="1">
        <v>82.91</v>
      </c>
      <c r="M284" s="1">
        <v>70</v>
      </c>
      <c r="N284" s="1">
        <v>4.6449999999999998E-2</v>
      </c>
      <c r="O284" s="1">
        <v>3.1270000000000001E-4</v>
      </c>
      <c r="P2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153.48331127248136</v>
      </c>
      <c r="Q284" s="1">
        <f>LN(Table13[[#This Row],[qe_mg_g]]-Table13[[#This Row],[qt]])</f>
        <v>2.5123344393057043</v>
      </c>
      <c r="R284" s="1">
        <v>1</v>
      </c>
    </row>
    <row r="285" spans="1:18" x14ac:dyDescent="0.3">
      <c r="A285" s="1">
        <v>284</v>
      </c>
      <c r="B285" s="1" t="s">
        <v>16</v>
      </c>
      <c r="C285" s="1">
        <v>1</v>
      </c>
      <c r="D285" s="1">
        <v>240</v>
      </c>
      <c r="E285" s="1">
        <v>200</v>
      </c>
      <c r="F285" s="1">
        <v>7</v>
      </c>
      <c r="G285" s="1">
        <v>25</v>
      </c>
      <c r="H285" s="1">
        <v>150</v>
      </c>
      <c r="I285" s="1">
        <v>100</v>
      </c>
      <c r="J285" s="1">
        <v>188.18899999999999</v>
      </c>
      <c r="K285" s="1">
        <v>11.811</v>
      </c>
      <c r="L285" s="1">
        <v>94.09</v>
      </c>
      <c r="M285" s="1">
        <v>71.2</v>
      </c>
      <c r="N285" s="1">
        <v>4.3900000000000002E-2</v>
      </c>
      <c r="O285" s="1">
        <v>3.2890000000000003E-4</v>
      </c>
      <c r="P2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176.31953658853143</v>
      </c>
      <c r="Q285" s="1">
        <f>LN(Table13[[#This Row],[qe_mg_g]]-Table13[[#This Row],[qt]])</f>
        <v>2.4739690021632645</v>
      </c>
      <c r="R285" s="1">
        <v>2</v>
      </c>
    </row>
    <row r="286" spans="1:18" x14ac:dyDescent="0.3">
      <c r="A286" s="1">
        <v>285</v>
      </c>
      <c r="B286" s="1" t="s">
        <v>16</v>
      </c>
      <c r="C286" s="1">
        <v>1</v>
      </c>
      <c r="D286" s="1">
        <v>240</v>
      </c>
      <c r="E286" s="1">
        <v>200</v>
      </c>
      <c r="F286" s="1">
        <v>7</v>
      </c>
      <c r="G286" s="1">
        <v>25</v>
      </c>
      <c r="H286" s="1">
        <v>150</v>
      </c>
      <c r="I286" s="1">
        <v>100</v>
      </c>
      <c r="J286" s="1">
        <v>182.53299999999999</v>
      </c>
      <c r="K286" s="1">
        <v>17.466999999999999</v>
      </c>
      <c r="L286" s="1">
        <v>91.27</v>
      </c>
      <c r="M286" s="1">
        <v>54.4</v>
      </c>
      <c r="N286" s="1">
        <v>4.7690000000000003E-2</v>
      </c>
      <c r="O286" s="1">
        <v>3.21E-4</v>
      </c>
      <c r="P2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170.41449969492922</v>
      </c>
      <c r="Q286" s="1">
        <f>LN(Table13[[#This Row],[qe_mg_g]]-Table13[[#This Row],[qt]])</f>
        <v>2.4947332357797065</v>
      </c>
      <c r="R286" s="1">
        <v>3</v>
      </c>
    </row>
    <row r="287" spans="1:18" x14ac:dyDescent="0.3">
      <c r="A287" s="1">
        <v>286</v>
      </c>
      <c r="B287" s="1" t="s">
        <v>16</v>
      </c>
      <c r="C287" s="1">
        <v>1</v>
      </c>
      <c r="D287" s="1">
        <v>240</v>
      </c>
      <c r="E287" s="1">
        <v>200</v>
      </c>
      <c r="F287" s="1">
        <v>11</v>
      </c>
      <c r="G287" s="1">
        <v>25</v>
      </c>
      <c r="H287" s="1">
        <v>150</v>
      </c>
      <c r="I287" s="1">
        <v>100</v>
      </c>
      <c r="J287" s="1">
        <v>136.59100000000001</v>
      </c>
      <c r="K287" s="1">
        <v>63.408999999999999</v>
      </c>
      <c r="L287" s="1">
        <v>68.3</v>
      </c>
      <c r="M287" s="1">
        <v>80.400000000000006</v>
      </c>
      <c r="N287" s="1">
        <v>4.4319999999999998E-2</v>
      </c>
      <c r="O287" s="1">
        <v>3.0380000000000001E-4</v>
      </c>
      <c r="P2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124.12732018732619</v>
      </c>
      <c r="Q287" s="1">
        <f>LN(Table13[[#This Row],[qe_mg_g]]-Table13[[#This Row],[qt]])</f>
        <v>2.5228187998280962</v>
      </c>
      <c r="R287" s="1">
        <v>1</v>
      </c>
    </row>
    <row r="288" spans="1:18" x14ac:dyDescent="0.3">
      <c r="A288" s="1">
        <v>287</v>
      </c>
      <c r="B288" s="1" t="s">
        <v>16</v>
      </c>
      <c r="C288" s="1">
        <v>1</v>
      </c>
      <c r="D288" s="1">
        <v>240</v>
      </c>
      <c r="E288" s="1">
        <v>200</v>
      </c>
      <c r="F288" s="1">
        <v>11</v>
      </c>
      <c r="G288" s="1">
        <v>25</v>
      </c>
      <c r="H288" s="1">
        <v>150</v>
      </c>
      <c r="I288" s="1">
        <v>100</v>
      </c>
      <c r="J288" s="1">
        <v>137.98500000000001</v>
      </c>
      <c r="K288" s="1">
        <v>62.015000000000001</v>
      </c>
      <c r="L288" s="1">
        <v>68.989999999999995</v>
      </c>
      <c r="M288" s="1">
        <v>66.8</v>
      </c>
      <c r="N288" s="1">
        <v>4.0070000000000001E-2</v>
      </c>
      <c r="O288" s="1">
        <v>2.5680000000000001E-4</v>
      </c>
      <c r="P2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123.46682158452987</v>
      </c>
      <c r="Q288" s="1">
        <f>LN(Table13[[#This Row],[qe_mg_g]]-Table13[[#This Row],[qt]])</f>
        <v>2.6754015480466866</v>
      </c>
      <c r="R288" s="1">
        <v>2</v>
      </c>
    </row>
    <row r="289" spans="1:18" x14ac:dyDescent="0.3">
      <c r="A289" s="1">
        <v>288</v>
      </c>
      <c r="B289" s="1" t="s">
        <v>16</v>
      </c>
      <c r="C289" s="1">
        <v>1</v>
      </c>
      <c r="D289" s="1">
        <v>240</v>
      </c>
      <c r="E289" s="1">
        <v>200</v>
      </c>
      <c r="F289" s="1">
        <v>11</v>
      </c>
      <c r="G289" s="1">
        <v>25</v>
      </c>
      <c r="H289" s="1">
        <v>150</v>
      </c>
      <c r="I289" s="1">
        <v>100</v>
      </c>
      <c r="J289" s="1">
        <v>157.77000000000001</v>
      </c>
      <c r="K289" s="1">
        <v>42.23</v>
      </c>
      <c r="L289" s="1">
        <v>78.89</v>
      </c>
      <c r="M289" s="1">
        <v>58.2</v>
      </c>
      <c r="N289" s="1">
        <v>4.054E-2</v>
      </c>
      <c r="O289" s="1">
        <v>2.354E-4</v>
      </c>
      <c r="P2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141.85513576980054</v>
      </c>
      <c r="Q289" s="1">
        <f>LN(Table13[[#This Row],[qe_mg_g]]-Table13[[#This Row],[qt]])</f>
        <v>2.7672535297645524</v>
      </c>
      <c r="R289" s="1">
        <v>3</v>
      </c>
    </row>
    <row r="290" spans="1:18" x14ac:dyDescent="0.3">
      <c r="A290" s="1">
        <v>289</v>
      </c>
      <c r="B290" s="1" t="s">
        <v>16</v>
      </c>
      <c r="C290" s="1">
        <v>2</v>
      </c>
      <c r="D290" s="1">
        <v>30</v>
      </c>
      <c r="E290" s="1">
        <v>25</v>
      </c>
      <c r="F290" s="1">
        <v>3</v>
      </c>
      <c r="G290" s="1">
        <v>25</v>
      </c>
      <c r="H290" s="1">
        <v>150</v>
      </c>
      <c r="I290" s="1">
        <v>100</v>
      </c>
      <c r="J290" s="1">
        <v>0.64400000000000002</v>
      </c>
      <c r="K290" s="1">
        <v>23.713000000000001</v>
      </c>
      <c r="L290" s="1">
        <v>5.15</v>
      </c>
      <c r="M290" s="1">
        <v>53.4</v>
      </c>
      <c r="N290" s="1">
        <v>5.2389999999999999E-2</v>
      </c>
      <c r="O290" s="1">
        <v>3.3030000000000001E-4</v>
      </c>
      <c r="P2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4.0835602092151547E-3</v>
      </c>
      <c r="Q290" s="1">
        <f>LN(Table13[[#This Row],[qe_mg_g]]-Table13[[#This Row],[qt]])</f>
        <v>-0.44641767397938603</v>
      </c>
      <c r="R290" s="1">
        <v>1</v>
      </c>
    </row>
    <row r="291" spans="1:18" x14ac:dyDescent="0.3">
      <c r="A291" s="1">
        <v>290</v>
      </c>
      <c r="B291" s="1" t="s">
        <v>16</v>
      </c>
      <c r="C291" s="1">
        <v>2</v>
      </c>
      <c r="D291" s="1">
        <v>30</v>
      </c>
      <c r="E291" s="1">
        <v>25</v>
      </c>
      <c r="F291" s="1">
        <v>3</v>
      </c>
      <c r="G291" s="1">
        <v>25</v>
      </c>
      <c r="H291" s="1">
        <v>150</v>
      </c>
      <c r="I291" s="1">
        <v>100</v>
      </c>
      <c r="J291" s="1">
        <v>0.64100000000000001</v>
      </c>
      <c r="K291" s="1">
        <v>23.718</v>
      </c>
      <c r="L291" s="1">
        <v>5.13</v>
      </c>
      <c r="M291" s="1">
        <v>89.2</v>
      </c>
      <c r="N291" s="1">
        <v>4.9419999999999999E-2</v>
      </c>
      <c r="O291" s="1">
        <v>2.9030000000000001E-4</v>
      </c>
      <c r="P2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3.5584974274248215E-3</v>
      </c>
      <c r="Q291" s="1">
        <f>LN(Table13[[#This Row],[qe_mg_g]]-Table13[[#This Row],[qt]])</f>
        <v>-0.45029276683029407</v>
      </c>
      <c r="R291" s="1">
        <v>2</v>
      </c>
    </row>
    <row r="292" spans="1:18" x14ac:dyDescent="0.3">
      <c r="A292" s="1">
        <v>291</v>
      </c>
      <c r="B292" s="1" t="s">
        <v>16</v>
      </c>
      <c r="C292" s="1">
        <v>2</v>
      </c>
      <c r="D292" s="1">
        <v>30</v>
      </c>
      <c r="E292" s="1">
        <v>25</v>
      </c>
      <c r="F292" s="1">
        <v>3</v>
      </c>
      <c r="G292" s="1">
        <v>25</v>
      </c>
      <c r="H292" s="1">
        <v>150</v>
      </c>
      <c r="I292" s="1">
        <v>100</v>
      </c>
      <c r="J292" s="1">
        <v>0.54300000000000004</v>
      </c>
      <c r="K292" s="1">
        <v>23.914999999999999</v>
      </c>
      <c r="L292" s="1">
        <v>4.34</v>
      </c>
      <c r="M292" s="1">
        <v>89.6</v>
      </c>
      <c r="N292" s="1">
        <v>3.875E-2</v>
      </c>
      <c r="O292" s="1">
        <v>2.5060000000000002E-4</v>
      </c>
      <c r="P2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2.207662498780454E-3</v>
      </c>
      <c r="Q292" s="1">
        <f>LN(Table13[[#This Row],[qe_mg_g]]-Table13[[#This Row],[qt]])</f>
        <v>-0.61471992317547075</v>
      </c>
      <c r="R292" s="1">
        <v>3</v>
      </c>
    </row>
    <row r="293" spans="1:18" x14ac:dyDescent="0.3">
      <c r="A293" s="1">
        <v>292</v>
      </c>
      <c r="B293" s="1" t="s">
        <v>16</v>
      </c>
      <c r="C293" s="1">
        <v>2</v>
      </c>
      <c r="D293" s="1">
        <v>30</v>
      </c>
      <c r="E293" s="1">
        <v>25</v>
      </c>
      <c r="F293" s="1">
        <v>7</v>
      </c>
      <c r="G293" s="1">
        <v>25</v>
      </c>
      <c r="H293" s="1">
        <v>150</v>
      </c>
      <c r="I293" s="1">
        <v>100</v>
      </c>
      <c r="J293" s="1">
        <v>1.272</v>
      </c>
      <c r="K293" s="1">
        <v>22.456</v>
      </c>
      <c r="L293" s="1">
        <v>10.17</v>
      </c>
      <c r="M293" s="1">
        <v>91.1</v>
      </c>
      <c r="N293" s="1">
        <v>5.1229999999999998E-2</v>
      </c>
      <c r="O293" s="1">
        <v>3.1690000000000001E-4</v>
      </c>
      <c r="P2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1.5198381321721036E-2</v>
      </c>
      <c r="Q293" s="1">
        <f>LN(Table13[[#This Row],[qe_mg_g]]-Table13[[#This Row],[qt]])</f>
        <v>0.22857009589469487</v>
      </c>
      <c r="R293" s="1">
        <v>1</v>
      </c>
    </row>
    <row r="294" spans="1:18" x14ac:dyDescent="0.3">
      <c r="A294" s="1">
        <v>293</v>
      </c>
      <c r="B294" s="1" t="s">
        <v>16</v>
      </c>
      <c r="C294" s="1">
        <v>2</v>
      </c>
      <c r="D294" s="1">
        <v>30</v>
      </c>
      <c r="E294" s="1">
        <v>25</v>
      </c>
      <c r="F294" s="1">
        <v>7</v>
      </c>
      <c r="G294" s="1">
        <v>25</v>
      </c>
      <c r="H294" s="1">
        <v>150</v>
      </c>
      <c r="I294" s="1">
        <v>100</v>
      </c>
      <c r="J294" s="1">
        <v>1.232</v>
      </c>
      <c r="K294" s="1">
        <v>22.536999999999999</v>
      </c>
      <c r="L294" s="1">
        <v>9.85</v>
      </c>
      <c r="M294" s="1">
        <v>75.2</v>
      </c>
      <c r="N294" s="1">
        <v>4.8419999999999998E-2</v>
      </c>
      <c r="O294" s="1">
        <v>3.0840000000000002E-4</v>
      </c>
      <c r="P2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1.388464403283887E-2</v>
      </c>
      <c r="Q294" s="1">
        <f>LN(Table13[[#This Row],[qe_mg_g]]-Table13[[#This Row],[qt]])</f>
        <v>0.19730487413570422</v>
      </c>
      <c r="R294" s="1">
        <v>2</v>
      </c>
    </row>
    <row r="295" spans="1:18" x14ac:dyDescent="0.3">
      <c r="A295" s="1">
        <v>294</v>
      </c>
      <c r="B295" s="1" t="s">
        <v>16</v>
      </c>
      <c r="C295" s="1">
        <v>2</v>
      </c>
      <c r="D295" s="1">
        <v>30</v>
      </c>
      <c r="E295" s="1">
        <v>25</v>
      </c>
      <c r="F295" s="1">
        <v>7</v>
      </c>
      <c r="G295" s="1">
        <v>25</v>
      </c>
      <c r="H295" s="1">
        <v>150</v>
      </c>
      <c r="I295" s="1">
        <v>100</v>
      </c>
      <c r="J295" s="1">
        <v>1.1850000000000001</v>
      </c>
      <c r="K295" s="1">
        <v>22.629000000000001</v>
      </c>
      <c r="L295" s="1">
        <v>9.48</v>
      </c>
      <c r="M295" s="1">
        <v>66</v>
      </c>
      <c r="N295" s="1">
        <v>4.1610000000000001E-2</v>
      </c>
      <c r="O295" s="1">
        <v>2.9159999999999999E-4</v>
      </c>
      <c r="P2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1.2158124560716282E-2</v>
      </c>
      <c r="Q295" s="1">
        <f>LN(Table13[[#This Row],[qe_mg_g]]-Table13[[#This Row],[qt]])</f>
        <v>0.15942975703745096</v>
      </c>
      <c r="R295" s="1">
        <v>3</v>
      </c>
    </row>
    <row r="296" spans="1:18" x14ac:dyDescent="0.3">
      <c r="A296" s="1">
        <v>295</v>
      </c>
      <c r="B296" s="1" t="s">
        <v>16</v>
      </c>
      <c r="C296" s="1">
        <v>2</v>
      </c>
      <c r="D296" s="1">
        <v>30</v>
      </c>
      <c r="E296" s="1">
        <v>25</v>
      </c>
      <c r="F296" s="1">
        <v>11</v>
      </c>
      <c r="G296" s="1">
        <v>25</v>
      </c>
      <c r="H296" s="1">
        <v>150</v>
      </c>
      <c r="I296" s="1">
        <v>100</v>
      </c>
      <c r="J296" s="1">
        <v>0.746</v>
      </c>
      <c r="K296" s="1">
        <v>23.509</v>
      </c>
      <c r="L296" s="1">
        <v>5.96</v>
      </c>
      <c r="M296" s="1">
        <v>65.7</v>
      </c>
      <c r="N296" s="1">
        <v>4.0550000000000003E-2</v>
      </c>
      <c r="O296" s="1">
        <v>2.6689999999999998E-4</v>
      </c>
      <c r="P2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4.4295648378600682E-3</v>
      </c>
      <c r="Q296" s="1">
        <f>LN(Table13[[#This Row],[qe_mg_g]]-Table13[[#This Row],[qt]])</f>
        <v>-0.29898513181139225</v>
      </c>
      <c r="R296" s="1">
        <v>1</v>
      </c>
    </row>
    <row r="297" spans="1:18" x14ac:dyDescent="0.3">
      <c r="A297" s="1">
        <v>296</v>
      </c>
      <c r="B297" s="1" t="s">
        <v>16</v>
      </c>
      <c r="C297" s="1">
        <v>2</v>
      </c>
      <c r="D297" s="1">
        <v>30</v>
      </c>
      <c r="E297" s="1">
        <v>25</v>
      </c>
      <c r="F297" s="1">
        <v>11</v>
      </c>
      <c r="G297" s="1">
        <v>25</v>
      </c>
      <c r="H297" s="1">
        <v>150</v>
      </c>
      <c r="I297" s="1">
        <v>100</v>
      </c>
      <c r="J297" s="1">
        <v>0.875</v>
      </c>
      <c r="K297" s="1">
        <v>23.251000000000001</v>
      </c>
      <c r="L297" s="1">
        <v>7</v>
      </c>
      <c r="M297" s="1">
        <v>80.599999999999994</v>
      </c>
      <c r="N297" s="1">
        <v>4.913E-2</v>
      </c>
      <c r="O297" s="1">
        <v>2.5290000000000002E-4</v>
      </c>
      <c r="P2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5.7704887640288999E-3</v>
      </c>
      <c r="Q297" s="1">
        <f>LN(Table13[[#This Row],[qe_mg_g]]-Table13[[#This Row],[qt]])</f>
        <v>-0.14014807899494178</v>
      </c>
      <c r="R297" s="1">
        <v>2</v>
      </c>
    </row>
    <row r="298" spans="1:18" x14ac:dyDescent="0.3">
      <c r="A298" s="1">
        <v>297</v>
      </c>
      <c r="B298" s="1" t="s">
        <v>16</v>
      </c>
      <c r="C298" s="1">
        <v>2</v>
      </c>
      <c r="D298" s="1">
        <v>30</v>
      </c>
      <c r="E298" s="1">
        <v>25</v>
      </c>
      <c r="F298" s="1">
        <v>11</v>
      </c>
      <c r="G298" s="1">
        <v>25</v>
      </c>
      <c r="H298" s="1">
        <v>150</v>
      </c>
      <c r="I298" s="1">
        <v>100</v>
      </c>
      <c r="J298" s="1">
        <v>0.79400000000000004</v>
      </c>
      <c r="K298" s="1">
        <v>23.411999999999999</v>
      </c>
      <c r="L298" s="1">
        <v>6.35</v>
      </c>
      <c r="M298" s="1">
        <v>76.099999999999994</v>
      </c>
      <c r="N298" s="1">
        <v>4.0579999999999998E-2</v>
      </c>
      <c r="O298" s="1">
        <v>2.9329999999999997E-4</v>
      </c>
      <c r="P2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5.5087202080859087E-3</v>
      </c>
      <c r="Q298" s="1">
        <f>LN(Table13[[#This Row],[qe_mg_g]]-Table13[[#This Row],[qt]])</f>
        <v>-0.23763393187683174</v>
      </c>
      <c r="R298" s="1">
        <v>3</v>
      </c>
    </row>
    <row r="299" spans="1:18" x14ac:dyDescent="0.3">
      <c r="A299" s="1">
        <v>298</v>
      </c>
      <c r="B299" s="1" t="s">
        <v>16</v>
      </c>
      <c r="C299" s="1">
        <v>2</v>
      </c>
      <c r="D299" s="1">
        <v>30</v>
      </c>
      <c r="E299" s="1">
        <v>50</v>
      </c>
      <c r="F299" s="1">
        <v>3</v>
      </c>
      <c r="G299" s="1">
        <v>25</v>
      </c>
      <c r="H299" s="1">
        <v>150</v>
      </c>
      <c r="I299" s="1">
        <v>100</v>
      </c>
      <c r="J299" s="1">
        <v>2.6269999999999998</v>
      </c>
      <c r="K299" s="1">
        <v>44.747</v>
      </c>
      <c r="L299" s="1">
        <v>10.51</v>
      </c>
      <c r="M299" s="1">
        <v>57</v>
      </c>
      <c r="N299" s="1">
        <v>4.5469999999999997E-2</v>
      </c>
      <c r="O299" s="1">
        <v>2.5999999999999998E-4</v>
      </c>
      <c r="P2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5.2747968673106826E-2</v>
      </c>
      <c r="Q299" s="1">
        <f>LN(Table13[[#This Row],[qe_mg_g]]-Table13[[#This Row],[qt]])</f>
        <v>0.945559018649058</v>
      </c>
      <c r="R299" s="1">
        <v>1</v>
      </c>
    </row>
    <row r="300" spans="1:18" x14ac:dyDescent="0.3">
      <c r="A300" s="1">
        <v>299</v>
      </c>
      <c r="B300" s="1" t="s">
        <v>16</v>
      </c>
      <c r="C300" s="1">
        <v>2</v>
      </c>
      <c r="D300" s="1">
        <v>30</v>
      </c>
      <c r="E300" s="1">
        <v>50</v>
      </c>
      <c r="F300" s="1">
        <v>3</v>
      </c>
      <c r="G300" s="1">
        <v>25</v>
      </c>
      <c r="H300" s="1">
        <v>150</v>
      </c>
      <c r="I300" s="1">
        <v>100</v>
      </c>
      <c r="J300" s="1">
        <v>2.395</v>
      </c>
      <c r="K300" s="1">
        <v>45.21</v>
      </c>
      <c r="L300" s="1">
        <v>9.58</v>
      </c>
      <c r="M300" s="1">
        <v>69.900000000000006</v>
      </c>
      <c r="N300" s="1">
        <v>3.7830000000000003E-2</v>
      </c>
      <c r="O300" s="1">
        <v>3.1320000000000002E-4</v>
      </c>
      <c r="P3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5.2709545851690166E-2</v>
      </c>
      <c r="Q300" s="1">
        <f>LN(Table13[[#This Row],[qe_mg_g]]-Table13[[#This Row],[qt]])</f>
        <v>0.85112927719037612</v>
      </c>
      <c r="R300" s="1">
        <v>2</v>
      </c>
    </row>
    <row r="301" spans="1:18" x14ac:dyDescent="0.3">
      <c r="A301" s="1">
        <v>300</v>
      </c>
      <c r="B301" s="1" t="s">
        <v>16</v>
      </c>
      <c r="C301" s="1">
        <v>2</v>
      </c>
      <c r="D301" s="1">
        <v>30</v>
      </c>
      <c r="E301" s="1">
        <v>50</v>
      </c>
      <c r="F301" s="1">
        <v>3</v>
      </c>
      <c r="G301" s="1">
        <v>25</v>
      </c>
      <c r="H301" s="1">
        <v>150</v>
      </c>
      <c r="I301" s="1">
        <v>100</v>
      </c>
      <c r="J301" s="1">
        <v>2.512</v>
      </c>
      <c r="K301" s="1">
        <v>44.975999999999999</v>
      </c>
      <c r="L301" s="1">
        <v>10.050000000000001</v>
      </c>
      <c r="M301" s="1">
        <v>72.2</v>
      </c>
      <c r="N301" s="1">
        <v>4.6010000000000002E-2</v>
      </c>
      <c r="O301" s="1">
        <v>3.4089999999999999E-4</v>
      </c>
      <c r="P3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6.291747857002096E-2</v>
      </c>
      <c r="Q301" s="1">
        <f>LN(Table13[[#This Row],[qe_mg_g]]-Table13[[#This Row],[qt]])</f>
        <v>0.89571347337210927</v>
      </c>
      <c r="R301" s="1">
        <v>3</v>
      </c>
    </row>
    <row r="302" spans="1:18" x14ac:dyDescent="0.3">
      <c r="A302" s="1">
        <v>301</v>
      </c>
      <c r="B302" s="1" t="s">
        <v>16</v>
      </c>
      <c r="C302" s="1">
        <v>2</v>
      </c>
      <c r="D302" s="1">
        <v>30</v>
      </c>
      <c r="E302" s="1">
        <v>50</v>
      </c>
      <c r="F302" s="1">
        <v>7</v>
      </c>
      <c r="G302" s="1">
        <v>25</v>
      </c>
      <c r="H302" s="1">
        <v>150</v>
      </c>
      <c r="I302" s="1">
        <v>100</v>
      </c>
      <c r="J302" s="1">
        <v>4.3129999999999997</v>
      </c>
      <c r="K302" s="1">
        <v>41.375</v>
      </c>
      <c r="L302" s="1">
        <v>17.25</v>
      </c>
      <c r="M302" s="1">
        <v>62.4</v>
      </c>
      <c r="N302" s="1">
        <v>4.555E-2</v>
      </c>
      <c r="O302" s="1">
        <v>3.1629999999999999E-4</v>
      </c>
      <c r="P3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0.16957408516578229</v>
      </c>
      <c r="Q302" s="1">
        <f>LN(Table13[[#This Row],[qe_mg_g]]-Table13[[#This Row],[qt]])</f>
        <v>1.4215229612953502</v>
      </c>
      <c r="R302" s="1">
        <v>1</v>
      </c>
    </row>
    <row r="303" spans="1:18" x14ac:dyDescent="0.3">
      <c r="A303" s="1">
        <v>302</v>
      </c>
      <c r="B303" s="1" t="s">
        <v>16</v>
      </c>
      <c r="C303" s="1">
        <v>2</v>
      </c>
      <c r="D303" s="1">
        <v>30</v>
      </c>
      <c r="E303" s="1">
        <v>50</v>
      </c>
      <c r="F303" s="1">
        <v>7</v>
      </c>
      <c r="G303" s="1">
        <v>25</v>
      </c>
      <c r="H303" s="1">
        <v>150</v>
      </c>
      <c r="I303" s="1">
        <v>100</v>
      </c>
      <c r="J303" s="1">
        <v>4.2859999999999996</v>
      </c>
      <c r="K303" s="1">
        <v>41.427</v>
      </c>
      <c r="L303" s="1">
        <v>17.149999999999999</v>
      </c>
      <c r="M303" s="1">
        <v>67.099999999999994</v>
      </c>
      <c r="N303" s="1">
        <v>4.1840000000000002E-2</v>
      </c>
      <c r="O303" s="1">
        <v>2.8009999999999998E-4</v>
      </c>
      <c r="P3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0.14899529190910812</v>
      </c>
      <c r="Q303" s="1">
        <f>LN(Table13[[#This Row],[qe_mg_g]]-Table13[[#This Row],[qt]])</f>
        <v>1.419972025523319</v>
      </c>
      <c r="R303" s="1">
        <v>2</v>
      </c>
    </row>
    <row r="304" spans="1:18" x14ac:dyDescent="0.3">
      <c r="A304" s="1">
        <v>303</v>
      </c>
      <c r="B304" s="1" t="s">
        <v>16</v>
      </c>
      <c r="C304" s="1">
        <v>2</v>
      </c>
      <c r="D304" s="1">
        <v>30</v>
      </c>
      <c r="E304" s="1">
        <v>50</v>
      </c>
      <c r="F304" s="1">
        <v>7</v>
      </c>
      <c r="G304" s="1">
        <v>25</v>
      </c>
      <c r="H304" s="1">
        <v>150</v>
      </c>
      <c r="I304" s="1">
        <v>100</v>
      </c>
      <c r="J304" s="1">
        <v>3.7909999999999999</v>
      </c>
      <c r="K304" s="1">
        <v>42.418999999999997</v>
      </c>
      <c r="L304" s="1">
        <v>15.16</v>
      </c>
      <c r="M304" s="1">
        <v>84.2</v>
      </c>
      <c r="N304" s="1">
        <v>3.9399999999999998E-2</v>
      </c>
      <c r="O304" s="1">
        <v>2.7920000000000001E-4</v>
      </c>
      <c r="P3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0.11667245117800511</v>
      </c>
      <c r="Q304" s="1">
        <f>LN(Table13[[#This Row],[qe_mg_g]]-Table13[[#This Row],[qt]])</f>
        <v>1.3013701360095511</v>
      </c>
      <c r="R304" s="1">
        <v>3</v>
      </c>
    </row>
    <row r="305" spans="1:18" x14ac:dyDescent="0.3">
      <c r="A305" s="1">
        <v>304</v>
      </c>
      <c r="B305" s="1" t="s">
        <v>16</v>
      </c>
      <c r="C305" s="1">
        <v>2</v>
      </c>
      <c r="D305" s="1">
        <v>30</v>
      </c>
      <c r="E305" s="1">
        <v>50</v>
      </c>
      <c r="F305" s="1">
        <v>11</v>
      </c>
      <c r="G305" s="1">
        <v>25</v>
      </c>
      <c r="H305" s="1">
        <v>150</v>
      </c>
      <c r="I305" s="1">
        <v>100</v>
      </c>
      <c r="J305" s="1">
        <v>2.9889999999999999</v>
      </c>
      <c r="K305" s="1">
        <v>44.021999999999998</v>
      </c>
      <c r="L305" s="1">
        <v>11.96</v>
      </c>
      <c r="M305" s="1">
        <v>75.599999999999994</v>
      </c>
      <c r="N305" s="1">
        <v>4.367E-2</v>
      </c>
      <c r="O305" s="1">
        <v>3.3740000000000002E-4</v>
      </c>
      <c r="P3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8.7775553412736906E-2</v>
      </c>
      <c r="Q305" s="1">
        <f>LN(Table13[[#This Row],[qe_mg_g]]-Table13[[#This Row],[qt]])</f>
        <v>1.0651328708425214</v>
      </c>
      <c r="R305" s="1">
        <v>1</v>
      </c>
    </row>
    <row r="306" spans="1:18" x14ac:dyDescent="0.3">
      <c r="A306" s="1">
        <v>305</v>
      </c>
      <c r="B306" s="1" t="s">
        <v>16</v>
      </c>
      <c r="C306" s="1">
        <v>2</v>
      </c>
      <c r="D306" s="1">
        <v>30</v>
      </c>
      <c r="E306" s="1">
        <v>50</v>
      </c>
      <c r="F306" s="1">
        <v>11</v>
      </c>
      <c r="G306" s="1">
        <v>25</v>
      </c>
      <c r="H306" s="1">
        <v>150</v>
      </c>
      <c r="I306" s="1">
        <v>100</v>
      </c>
      <c r="J306" s="1">
        <v>3</v>
      </c>
      <c r="K306" s="1">
        <v>43.999000000000002</v>
      </c>
      <c r="L306" s="1">
        <v>12</v>
      </c>
      <c r="M306" s="1">
        <v>69.5</v>
      </c>
      <c r="N306" s="1">
        <v>4.1239999999999999E-2</v>
      </c>
      <c r="O306" s="1">
        <v>3.6440000000000002E-4</v>
      </c>
      <c r="P3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9.5263730688345039E-2</v>
      </c>
      <c r="Q306" s="1">
        <f>LN(Table13[[#This Row],[qe_mg_g]]-Table13[[#This Row],[qt]])</f>
        <v>1.0663426010920065</v>
      </c>
      <c r="R306" s="1">
        <v>2</v>
      </c>
    </row>
    <row r="307" spans="1:18" x14ac:dyDescent="0.3">
      <c r="A307" s="1">
        <v>306</v>
      </c>
      <c r="B307" s="1" t="s">
        <v>16</v>
      </c>
      <c r="C307" s="1">
        <v>2</v>
      </c>
      <c r="D307" s="1">
        <v>30</v>
      </c>
      <c r="E307" s="1">
        <v>50</v>
      </c>
      <c r="F307" s="1">
        <v>11</v>
      </c>
      <c r="G307" s="1">
        <v>25</v>
      </c>
      <c r="H307" s="1">
        <v>150</v>
      </c>
      <c r="I307" s="1">
        <v>100</v>
      </c>
      <c r="J307" s="1">
        <v>2.87</v>
      </c>
      <c r="K307" s="1">
        <v>44.26</v>
      </c>
      <c r="L307" s="1">
        <v>11.48</v>
      </c>
      <c r="M307" s="1">
        <v>69.8</v>
      </c>
      <c r="N307" s="1">
        <v>4.7849999999999997E-2</v>
      </c>
      <c r="O307" s="1">
        <v>3.124E-4</v>
      </c>
      <c r="P3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7.5174217753582531E-2</v>
      </c>
      <c r="Q307" s="1">
        <f>LN(Table13[[#This Row],[qe_mg_g]]-Table13[[#This Row],[qt]])</f>
        <v>1.0277697727310438</v>
      </c>
      <c r="R307" s="1">
        <v>3</v>
      </c>
    </row>
    <row r="308" spans="1:18" x14ac:dyDescent="0.3">
      <c r="A308" s="1">
        <v>307</v>
      </c>
      <c r="B308" s="1" t="s">
        <v>16</v>
      </c>
      <c r="C308" s="1">
        <v>2</v>
      </c>
      <c r="D308" s="1">
        <v>30</v>
      </c>
      <c r="E308" s="1">
        <v>100</v>
      </c>
      <c r="F308" s="1">
        <v>3</v>
      </c>
      <c r="G308" s="1">
        <v>25</v>
      </c>
      <c r="H308" s="1">
        <v>150</v>
      </c>
      <c r="I308" s="1">
        <v>100</v>
      </c>
      <c r="J308" s="1">
        <v>8.65</v>
      </c>
      <c r="K308" s="1">
        <v>82.7</v>
      </c>
      <c r="L308" s="1">
        <v>17.3</v>
      </c>
      <c r="M308" s="1">
        <v>65.400000000000006</v>
      </c>
      <c r="N308" s="1">
        <v>4.5199999999999997E-2</v>
      </c>
      <c r="O308" s="1">
        <v>2.9559999999999998E-4</v>
      </c>
      <c r="P3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0.61625418103066365</v>
      </c>
      <c r="Q308" s="1">
        <f>LN(Table13[[#This Row],[qe_mg_g]]-Table13[[#This Row],[qt]])</f>
        <v>2.0836508972699681</v>
      </c>
      <c r="R308" s="1">
        <v>1</v>
      </c>
    </row>
    <row r="309" spans="1:18" x14ac:dyDescent="0.3">
      <c r="A309" s="1">
        <v>308</v>
      </c>
      <c r="B309" s="1" t="s">
        <v>16</v>
      </c>
      <c r="C309" s="1">
        <v>2</v>
      </c>
      <c r="D309" s="1">
        <v>30</v>
      </c>
      <c r="E309" s="1">
        <v>100</v>
      </c>
      <c r="F309" s="1">
        <v>3</v>
      </c>
      <c r="G309" s="1">
        <v>25</v>
      </c>
      <c r="H309" s="1">
        <v>150</v>
      </c>
      <c r="I309" s="1">
        <v>100</v>
      </c>
      <c r="J309" s="1">
        <v>9.4570000000000007</v>
      </c>
      <c r="K309" s="1">
        <v>81.084999999999994</v>
      </c>
      <c r="L309" s="1">
        <v>18.91</v>
      </c>
      <c r="M309" s="1">
        <v>88.8</v>
      </c>
      <c r="N309" s="1">
        <v>4.249E-2</v>
      </c>
      <c r="O309" s="1">
        <v>2.589E-4</v>
      </c>
      <c r="P3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0.64710870754684979</v>
      </c>
      <c r="Q309" s="1">
        <f>LN(Table13[[#This Row],[qe_mg_g]]-Table13[[#This Row],[qt]])</f>
        <v>2.1758751007633514</v>
      </c>
      <c r="R309" s="1">
        <v>2</v>
      </c>
    </row>
    <row r="310" spans="1:18" x14ac:dyDescent="0.3">
      <c r="A310" s="1">
        <v>309</v>
      </c>
      <c r="B310" s="1" t="s">
        <v>16</v>
      </c>
      <c r="C310" s="1">
        <v>2</v>
      </c>
      <c r="D310" s="1">
        <v>30</v>
      </c>
      <c r="E310" s="1">
        <v>100</v>
      </c>
      <c r="F310" s="1">
        <v>3</v>
      </c>
      <c r="G310" s="1">
        <v>25</v>
      </c>
      <c r="H310" s="1">
        <v>150</v>
      </c>
      <c r="I310" s="1">
        <v>100</v>
      </c>
      <c r="J310" s="1">
        <v>8.718</v>
      </c>
      <c r="K310" s="1">
        <v>82.563000000000002</v>
      </c>
      <c r="L310" s="1">
        <v>17.440000000000001</v>
      </c>
      <c r="M310" s="1">
        <v>92.5</v>
      </c>
      <c r="N310" s="1">
        <v>4.138E-2</v>
      </c>
      <c r="O310" s="1">
        <v>3.4919999999999998E-4</v>
      </c>
      <c r="P3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0.7295804996533366</v>
      </c>
      <c r="Q310" s="1">
        <f>LN(Table13[[#This Row],[qe_mg_g]]-Table13[[#This Row],[qt]])</f>
        <v>2.0779929304924449</v>
      </c>
      <c r="R310" s="1">
        <v>3</v>
      </c>
    </row>
    <row r="311" spans="1:18" x14ac:dyDescent="0.3">
      <c r="A311" s="1">
        <v>310</v>
      </c>
      <c r="B311" s="1" t="s">
        <v>16</v>
      </c>
      <c r="C311" s="1">
        <v>2</v>
      </c>
      <c r="D311" s="1">
        <v>30</v>
      </c>
      <c r="E311" s="1">
        <v>100</v>
      </c>
      <c r="F311" s="1">
        <v>7</v>
      </c>
      <c r="G311" s="1">
        <v>25</v>
      </c>
      <c r="H311" s="1">
        <v>150</v>
      </c>
      <c r="I311" s="1">
        <v>100</v>
      </c>
      <c r="J311" s="1">
        <v>16.346</v>
      </c>
      <c r="K311" s="1">
        <v>67.307000000000002</v>
      </c>
      <c r="L311" s="1">
        <v>32.69</v>
      </c>
      <c r="M311" s="1">
        <v>61.1</v>
      </c>
      <c r="N311" s="1">
        <v>4.7559999999999998E-2</v>
      </c>
      <c r="O311" s="1">
        <v>3.4890000000000002E-4</v>
      </c>
      <c r="P3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2.3881060697094654</v>
      </c>
      <c r="Q311" s="1">
        <f>LN(Table13[[#This Row],[qe_mg_g]]-Table13[[#This Row],[qt]])</f>
        <v>2.6360452213606504</v>
      </c>
      <c r="R311" s="1">
        <v>1</v>
      </c>
    </row>
    <row r="312" spans="1:18" x14ac:dyDescent="0.3">
      <c r="A312" s="1">
        <v>311</v>
      </c>
      <c r="B312" s="1" t="s">
        <v>16</v>
      </c>
      <c r="C312" s="1">
        <v>2</v>
      </c>
      <c r="D312" s="1">
        <v>30</v>
      </c>
      <c r="E312" s="1">
        <v>100</v>
      </c>
      <c r="F312" s="1">
        <v>7</v>
      </c>
      <c r="G312" s="1">
        <v>25</v>
      </c>
      <c r="H312" s="1">
        <v>150</v>
      </c>
      <c r="I312" s="1">
        <v>100</v>
      </c>
      <c r="J312" s="1">
        <v>13.975</v>
      </c>
      <c r="K312" s="1">
        <v>72.05</v>
      </c>
      <c r="L312" s="1">
        <v>27.95</v>
      </c>
      <c r="M312" s="1">
        <v>64.599999999999994</v>
      </c>
      <c r="N312" s="1">
        <v>4.2380000000000001E-2</v>
      </c>
      <c r="O312" s="1">
        <v>2.6959999999999999E-4</v>
      </c>
      <c r="P3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1.4191816382634137</v>
      </c>
      <c r="Q312" s="1">
        <f>LN(Table13[[#This Row],[qe_mg_g]]-Table13[[#This Row],[qt]])</f>
        <v>2.5301841726228069</v>
      </c>
      <c r="R312" s="1">
        <v>2</v>
      </c>
    </row>
    <row r="313" spans="1:18" x14ac:dyDescent="0.3">
      <c r="A313" s="1">
        <v>312</v>
      </c>
      <c r="B313" s="1" t="s">
        <v>16</v>
      </c>
      <c r="C313" s="1">
        <v>2</v>
      </c>
      <c r="D313" s="1">
        <v>30</v>
      </c>
      <c r="E313" s="1">
        <v>100</v>
      </c>
      <c r="F313" s="1">
        <v>7</v>
      </c>
      <c r="G313" s="1">
        <v>25</v>
      </c>
      <c r="H313" s="1">
        <v>150</v>
      </c>
      <c r="I313" s="1">
        <v>100</v>
      </c>
      <c r="J313" s="1">
        <v>13.663</v>
      </c>
      <c r="K313" s="1">
        <v>72.673000000000002</v>
      </c>
      <c r="L313" s="1">
        <v>27.33</v>
      </c>
      <c r="M313" s="1">
        <v>54.4</v>
      </c>
      <c r="N313" s="1">
        <v>4.5150000000000003E-2</v>
      </c>
      <c r="O313" s="1">
        <v>2.7690000000000001E-4</v>
      </c>
      <c r="P3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1.3926651078413943</v>
      </c>
      <c r="Q313" s="1">
        <f>LN(Table13[[#This Row],[qe_mg_g]]-Table13[[#This Row],[qt]])</f>
        <v>2.5071845519248157</v>
      </c>
      <c r="R313" s="1">
        <v>3</v>
      </c>
    </row>
    <row r="314" spans="1:18" x14ac:dyDescent="0.3">
      <c r="A314" s="1">
        <v>313</v>
      </c>
      <c r="B314" s="1" t="s">
        <v>16</v>
      </c>
      <c r="C314" s="1">
        <v>2</v>
      </c>
      <c r="D314" s="1">
        <v>30</v>
      </c>
      <c r="E314" s="1">
        <v>100</v>
      </c>
      <c r="F314" s="1">
        <v>11</v>
      </c>
      <c r="G314" s="1">
        <v>25</v>
      </c>
      <c r="H314" s="1">
        <v>150</v>
      </c>
      <c r="I314" s="1">
        <v>100</v>
      </c>
      <c r="J314" s="1">
        <v>11.119</v>
      </c>
      <c r="K314" s="1">
        <v>77.762</v>
      </c>
      <c r="L314" s="1">
        <v>22.24</v>
      </c>
      <c r="M314" s="1">
        <v>51.1</v>
      </c>
      <c r="N314" s="1">
        <v>4.6489999999999997E-2</v>
      </c>
      <c r="O314" s="1">
        <v>3.2499999999999999E-4</v>
      </c>
      <c r="P3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1.0875157187963571</v>
      </c>
      <c r="Q314" s="1">
        <f>LN(Table13[[#This Row],[qe_mg_g]]-Table13[[#This Row],[qt]])</f>
        <v>2.305728575193128</v>
      </c>
      <c r="R314" s="1">
        <v>1</v>
      </c>
    </row>
    <row r="315" spans="1:18" x14ac:dyDescent="0.3">
      <c r="A315" s="1">
        <v>314</v>
      </c>
      <c r="B315" s="1" t="s">
        <v>16</v>
      </c>
      <c r="C315" s="1">
        <v>2</v>
      </c>
      <c r="D315" s="1">
        <v>30</v>
      </c>
      <c r="E315" s="1">
        <v>100</v>
      </c>
      <c r="F315" s="1">
        <v>11</v>
      </c>
      <c r="G315" s="1">
        <v>25</v>
      </c>
      <c r="H315" s="1">
        <v>150</v>
      </c>
      <c r="I315" s="1">
        <v>100</v>
      </c>
      <c r="J315" s="1">
        <v>9.1739999999999995</v>
      </c>
      <c r="K315" s="1">
        <v>81.652000000000001</v>
      </c>
      <c r="L315" s="1">
        <v>18.350000000000001</v>
      </c>
      <c r="M315" s="1">
        <v>70.400000000000006</v>
      </c>
      <c r="N315" s="1">
        <v>5.0520000000000002E-2</v>
      </c>
      <c r="O315" s="1">
        <v>2.6370000000000001E-4</v>
      </c>
      <c r="P3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0.62075607427674317</v>
      </c>
      <c r="Q315" s="1">
        <f>LN(Table13[[#This Row],[qe_mg_g]]-Table13[[#This Row],[qt]])</f>
        <v>2.1463106175095561</v>
      </c>
      <c r="R315" s="1">
        <v>2</v>
      </c>
    </row>
    <row r="316" spans="1:18" x14ac:dyDescent="0.3">
      <c r="A316" s="1">
        <v>315</v>
      </c>
      <c r="B316" s="1" t="s">
        <v>16</v>
      </c>
      <c r="C316" s="1">
        <v>2</v>
      </c>
      <c r="D316" s="1">
        <v>30</v>
      </c>
      <c r="E316" s="1">
        <v>100</v>
      </c>
      <c r="F316" s="1">
        <v>11</v>
      </c>
      <c r="G316" s="1">
        <v>25</v>
      </c>
      <c r="H316" s="1">
        <v>150</v>
      </c>
      <c r="I316" s="1">
        <v>100</v>
      </c>
      <c r="J316" s="1">
        <v>12.375999999999999</v>
      </c>
      <c r="K316" s="1">
        <v>75.248999999999995</v>
      </c>
      <c r="L316" s="1">
        <v>24.75</v>
      </c>
      <c r="M316" s="1">
        <v>70.900000000000006</v>
      </c>
      <c r="N316" s="1">
        <v>4.1829999999999999E-2</v>
      </c>
      <c r="O316" s="1">
        <v>2.9829999999999999E-4</v>
      </c>
      <c r="P3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1.2340071708194909</v>
      </c>
      <c r="Q316" s="1">
        <f>LN(Table13[[#This Row],[qe_mg_g]]-Table13[[#This Row],[qt]])</f>
        <v>2.4107211080138278</v>
      </c>
      <c r="R316" s="1">
        <v>3</v>
      </c>
    </row>
    <row r="317" spans="1:18" x14ac:dyDescent="0.3">
      <c r="A317" s="1">
        <v>316</v>
      </c>
      <c r="B317" s="1" t="s">
        <v>16</v>
      </c>
      <c r="C317" s="1">
        <v>2</v>
      </c>
      <c r="D317" s="1">
        <v>30</v>
      </c>
      <c r="E317" s="1">
        <v>200</v>
      </c>
      <c r="F317" s="1">
        <v>3</v>
      </c>
      <c r="G317" s="1">
        <v>25</v>
      </c>
      <c r="H317" s="1">
        <v>150</v>
      </c>
      <c r="I317" s="1">
        <v>100</v>
      </c>
      <c r="J317" s="1">
        <v>29.126000000000001</v>
      </c>
      <c r="K317" s="1">
        <v>141.749</v>
      </c>
      <c r="L317" s="1">
        <v>29.13</v>
      </c>
      <c r="M317" s="1">
        <v>67.400000000000006</v>
      </c>
      <c r="N317" s="1">
        <v>4.7419999999999997E-2</v>
      </c>
      <c r="O317" s="1">
        <v>2.7240000000000001E-4</v>
      </c>
      <c r="P3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5.5996799330599547</v>
      </c>
      <c r="Q317" s="1">
        <f>LN(Table13[[#This Row],[qe_mg_g]]-Table13[[#This Row],[qt]])</f>
        <v>3.1581197972633555</v>
      </c>
      <c r="R317" s="1">
        <v>1</v>
      </c>
    </row>
    <row r="318" spans="1:18" x14ac:dyDescent="0.3">
      <c r="A318" s="1">
        <v>317</v>
      </c>
      <c r="B318" s="1" t="s">
        <v>16</v>
      </c>
      <c r="C318" s="1">
        <v>2</v>
      </c>
      <c r="D318" s="1">
        <v>30</v>
      </c>
      <c r="E318" s="1">
        <v>200</v>
      </c>
      <c r="F318" s="1">
        <v>3</v>
      </c>
      <c r="G318" s="1">
        <v>25</v>
      </c>
      <c r="H318" s="1">
        <v>150</v>
      </c>
      <c r="I318" s="1">
        <v>100</v>
      </c>
      <c r="J318" s="1">
        <v>28.257999999999999</v>
      </c>
      <c r="K318" s="1">
        <v>143.48400000000001</v>
      </c>
      <c r="L318" s="1">
        <v>28.26</v>
      </c>
      <c r="M318" s="1">
        <v>52.5</v>
      </c>
      <c r="N318" s="1">
        <v>4.4499999999999998E-2</v>
      </c>
      <c r="O318" s="1">
        <v>2.7290000000000002E-4</v>
      </c>
      <c r="P3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5.3091712736057275</v>
      </c>
      <c r="Q318" s="1">
        <f>LN(Table13[[#This Row],[qe_mg_g]]-Table13[[#This Row],[qt]])</f>
        <v>3.1332668993172192</v>
      </c>
      <c r="R318" s="1">
        <v>2</v>
      </c>
    </row>
    <row r="319" spans="1:18" x14ac:dyDescent="0.3">
      <c r="A319" s="1">
        <v>318</v>
      </c>
      <c r="B319" s="1" t="s">
        <v>16</v>
      </c>
      <c r="C319" s="1">
        <v>2</v>
      </c>
      <c r="D319" s="1">
        <v>30</v>
      </c>
      <c r="E319" s="1">
        <v>200</v>
      </c>
      <c r="F319" s="1">
        <v>3</v>
      </c>
      <c r="G319" s="1">
        <v>25</v>
      </c>
      <c r="H319" s="1">
        <v>150</v>
      </c>
      <c r="I319" s="1">
        <v>100</v>
      </c>
      <c r="J319" s="1">
        <v>26.24</v>
      </c>
      <c r="K319" s="1">
        <v>147.52000000000001</v>
      </c>
      <c r="L319" s="1">
        <v>26.24</v>
      </c>
      <c r="M319" s="1">
        <v>79</v>
      </c>
      <c r="N319" s="1">
        <v>4.9910000000000003E-2</v>
      </c>
      <c r="O319" s="1">
        <v>3.1829999999999998E-4</v>
      </c>
      <c r="P3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5.2574968487862641</v>
      </c>
      <c r="Q319" s="1">
        <f>LN(Table13[[#This Row],[qe_mg_g]]-Table13[[#This Row],[qt]])</f>
        <v>3.0436889071577835</v>
      </c>
      <c r="R319" s="1">
        <v>3</v>
      </c>
    </row>
    <row r="320" spans="1:18" x14ac:dyDescent="0.3">
      <c r="A320" s="1">
        <v>319</v>
      </c>
      <c r="B320" s="1" t="s">
        <v>16</v>
      </c>
      <c r="C320" s="1">
        <v>2</v>
      </c>
      <c r="D320" s="1">
        <v>30</v>
      </c>
      <c r="E320" s="1">
        <v>200</v>
      </c>
      <c r="F320" s="1">
        <v>7</v>
      </c>
      <c r="G320" s="1">
        <v>25</v>
      </c>
      <c r="H320" s="1">
        <v>150</v>
      </c>
      <c r="I320" s="1">
        <v>100</v>
      </c>
      <c r="J320" s="1">
        <v>39.938000000000002</v>
      </c>
      <c r="K320" s="1">
        <v>120.124</v>
      </c>
      <c r="L320" s="1">
        <v>39.94</v>
      </c>
      <c r="M320" s="1">
        <v>63.5</v>
      </c>
      <c r="N320" s="1">
        <v>5.0459999999999998E-2</v>
      </c>
      <c r="O320" s="1">
        <v>3.0430000000000002E-4</v>
      </c>
      <c r="P3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10.6706868347176</v>
      </c>
      <c r="Q320" s="1">
        <f>LN(Table13[[#This Row],[qe_mg_g]]-Table13[[#This Row],[qt]])</f>
        <v>3.376471301658905</v>
      </c>
      <c r="R320" s="1">
        <v>1</v>
      </c>
    </row>
    <row r="321" spans="1:18" x14ac:dyDescent="0.3">
      <c r="A321" s="1">
        <v>320</v>
      </c>
      <c r="B321" s="1" t="s">
        <v>16</v>
      </c>
      <c r="C321" s="1">
        <v>2</v>
      </c>
      <c r="D321" s="1">
        <v>30</v>
      </c>
      <c r="E321" s="1">
        <v>200</v>
      </c>
      <c r="F321" s="1">
        <v>7</v>
      </c>
      <c r="G321" s="1">
        <v>25</v>
      </c>
      <c r="H321" s="1">
        <v>150</v>
      </c>
      <c r="I321" s="1">
        <v>100</v>
      </c>
      <c r="J321" s="1">
        <v>51.881999999999998</v>
      </c>
      <c r="K321" s="1">
        <v>96.234999999999999</v>
      </c>
      <c r="L321" s="1">
        <v>51.88</v>
      </c>
      <c r="M321" s="1">
        <v>70.599999999999994</v>
      </c>
      <c r="N321" s="1">
        <v>4.5859999999999998E-2</v>
      </c>
      <c r="O321" s="1">
        <v>2.9070000000000002E-4</v>
      </c>
      <c r="P3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16.16198318293732</v>
      </c>
      <c r="Q321" s="1">
        <f>LN(Table13[[#This Row],[qe_mg_g]]-Table13[[#This Row],[qt]])</f>
        <v>3.5757112268106139</v>
      </c>
      <c r="R321" s="1">
        <v>2</v>
      </c>
    </row>
    <row r="322" spans="1:18" x14ac:dyDescent="0.3">
      <c r="A322" s="1">
        <v>321</v>
      </c>
      <c r="B322" s="1" t="s">
        <v>16</v>
      </c>
      <c r="C322" s="1">
        <v>2</v>
      </c>
      <c r="D322" s="1">
        <v>30</v>
      </c>
      <c r="E322" s="1">
        <v>200</v>
      </c>
      <c r="F322" s="1">
        <v>7</v>
      </c>
      <c r="G322" s="1">
        <v>25</v>
      </c>
      <c r="H322" s="1">
        <v>150</v>
      </c>
      <c r="I322" s="1">
        <v>100</v>
      </c>
      <c r="J322" s="1">
        <v>44.23</v>
      </c>
      <c r="K322" s="1">
        <v>111.54</v>
      </c>
      <c r="L322" s="1">
        <v>44.23</v>
      </c>
      <c r="M322" s="1">
        <v>65.099999999999994</v>
      </c>
      <c r="N322" s="1">
        <v>4.8189999999999997E-2</v>
      </c>
      <c r="O322" s="1">
        <v>3.2870000000000002E-4</v>
      </c>
      <c r="P3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13.432424899263625</v>
      </c>
      <c r="Q322" s="1">
        <f>LN(Table13[[#This Row],[qe_mg_g]]-Table13[[#This Row],[qt]])</f>
        <v>3.4274359563845485</v>
      </c>
      <c r="R322" s="1">
        <v>3</v>
      </c>
    </row>
    <row r="323" spans="1:18" x14ac:dyDescent="0.3">
      <c r="A323" s="1">
        <v>322</v>
      </c>
      <c r="B323" s="1" t="s">
        <v>16</v>
      </c>
      <c r="C323" s="1">
        <v>2</v>
      </c>
      <c r="D323" s="1">
        <v>30</v>
      </c>
      <c r="E323" s="1">
        <v>200</v>
      </c>
      <c r="F323" s="1">
        <v>11</v>
      </c>
      <c r="G323" s="1">
        <v>25</v>
      </c>
      <c r="H323" s="1">
        <v>150</v>
      </c>
      <c r="I323" s="1">
        <v>100</v>
      </c>
      <c r="J323" s="1">
        <v>31.869</v>
      </c>
      <c r="K323" s="1">
        <v>136.26300000000001</v>
      </c>
      <c r="L323" s="1">
        <v>31.87</v>
      </c>
      <c r="M323" s="1">
        <v>53.4</v>
      </c>
      <c r="N323" s="1">
        <v>3.6740000000000002E-2</v>
      </c>
      <c r="O323" s="1">
        <v>3.1520000000000002E-4</v>
      </c>
      <c r="P3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7.3798771141484609</v>
      </c>
      <c r="Q323" s="1">
        <f>LN(Table13[[#This Row],[qe_mg_g]]-Table13[[#This Row],[qt]])</f>
        <v>3.1982290551267614</v>
      </c>
      <c r="R323" s="1">
        <v>1</v>
      </c>
    </row>
    <row r="324" spans="1:18" x14ac:dyDescent="0.3">
      <c r="A324" s="1">
        <v>323</v>
      </c>
      <c r="B324" s="1" t="s">
        <v>16</v>
      </c>
      <c r="C324" s="1">
        <v>2</v>
      </c>
      <c r="D324" s="1">
        <v>30</v>
      </c>
      <c r="E324" s="1">
        <v>200</v>
      </c>
      <c r="F324" s="1">
        <v>11</v>
      </c>
      <c r="G324" s="1">
        <v>25</v>
      </c>
      <c r="H324" s="1">
        <v>150</v>
      </c>
      <c r="I324" s="1">
        <v>100</v>
      </c>
      <c r="J324" s="1">
        <v>31.004999999999999</v>
      </c>
      <c r="K324" s="1">
        <v>137.989</v>
      </c>
      <c r="L324" s="1">
        <v>31.01</v>
      </c>
      <c r="M324" s="1">
        <v>45.1</v>
      </c>
      <c r="N324" s="1">
        <v>4.675E-2</v>
      </c>
      <c r="O324" s="1">
        <v>3.748E-4</v>
      </c>
      <c r="P3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8.0148360233691296</v>
      </c>
      <c r="Q324" s="1">
        <f>LN(Table13[[#This Row],[qe_mg_g]]-Table13[[#This Row],[qt]])</f>
        <v>3.1350664712694827</v>
      </c>
      <c r="R324" s="1">
        <v>2</v>
      </c>
    </row>
    <row r="325" spans="1:18" x14ac:dyDescent="0.3">
      <c r="A325" s="1">
        <v>324</v>
      </c>
      <c r="B325" s="1" t="s">
        <v>16</v>
      </c>
      <c r="C325" s="1">
        <v>2</v>
      </c>
      <c r="D325" s="1">
        <v>30</v>
      </c>
      <c r="E325" s="1">
        <v>200</v>
      </c>
      <c r="F325" s="1">
        <v>11</v>
      </c>
      <c r="G325" s="1">
        <v>25</v>
      </c>
      <c r="H325" s="1">
        <v>150</v>
      </c>
      <c r="I325" s="1">
        <v>100</v>
      </c>
      <c r="J325" s="1">
        <v>33.991</v>
      </c>
      <c r="K325" s="1">
        <v>132.01900000000001</v>
      </c>
      <c r="L325" s="1">
        <v>33.99</v>
      </c>
      <c r="M325" s="1">
        <v>75.099999999999994</v>
      </c>
      <c r="N325" s="1">
        <v>4.5370000000000001E-2</v>
      </c>
      <c r="O325" s="1">
        <v>2.9700000000000001E-4</v>
      </c>
      <c r="P3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7.9014700758249647</v>
      </c>
      <c r="Q325" s="1">
        <f>LN(Table13[[#This Row],[qe_mg_g]]-Table13[[#This Row],[qt]])</f>
        <v>3.2615340815150686</v>
      </c>
      <c r="R325" s="1">
        <v>3</v>
      </c>
    </row>
    <row r="326" spans="1:18" x14ac:dyDescent="0.3">
      <c r="A326" s="1">
        <v>325</v>
      </c>
      <c r="B326" s="1" t="s">
        <v>16</v>
      </c>
      <c r="C326" s="1">
        <v>2</v>
      </c>
      <c r="D326" s="1">
        <v>60</v>
      </c>
      <c r="E326" s="1">
        <v>25</v>
      </c>
      <c r="F326" s="1">
        <v>3</v>
      </c>
      <c r="G326" s="1">
        <v>25</v>
      </c>
      <c r="H326" s="1">
        <v>150</v>
      </c>
      <c r="I326" s="1">
        <v>100</v>
      </c>
      <c r="J326" s="1">
        <v>1.3520000000000001</v>
      </c>
      <c r="K326" s="1">
        <v>22.295000000000002</v>
      </c>
      <c r="L326" s="1">
        <v>10.82</v>
      </c>
      <c r="M326" s="1">
        <v>63.8</v>
      </c>
      <c r="N326" s="1">
        <v>4.6199999999999998E-2</v>
      </c>
      <c r="O326" s="1">
        <v>3.0969999999999999E-4</v>
      </c>
      <c r="P3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3.3133698721210067E-2</v>
      </c>
      <c r="Q326" s="1">
        <f>LN(Table13[[#This Row],[qe_mg_g]]-Table13[[#This Row],[qt]])</f>
        <v>0.27677250489684052</v>
      </c>
      <c r="R326" s="1">
        <v>1</v>
      </c>
    </row>
    <row r="327" spans="1:18" x14ac:dyDescent="0.3">
      <c r="A327" s="1">
        <v>326</v>
      </c>
      <c r="B327" s="1" t="s">
        <v>16</v>
      </c>
      <c r="C327" s="1">
        <v>2</v>
      </c>
      <c r="D327" s="1">
        <v>60</v>
      </c>
      <c r="E327" s="1">
        <v>25</v>
      </c>
      <c r="F327" s="1">
        <v>3</v>
      </c>
      <c r="G327" s="1">
        <v>25</v>
      </c>
      <c r="H327" s="1">
        <v>150</v>
      </c>
      <c r="I327" s="1">
        <v>100</v>
      </c>
      <c r="J327" s="1">
        <v>1.1919999999999999</v>
      </c>
      <c r="K327" s="1">
        <v>22.614999999999998</v>
      </c>
      <c r="L327" s="1">
        <v>9.5399999999999991</v>
      </c>
      <c r="M327" s="1">
        <v>76.599999999999994</v>
      </c>
      <c r="N327" s="1">
        <v>4.4209999999999999E-2</v>
      </c>
      <c r="O327" s="1">
        <v>2.7730000000000002E-4</v>
      </c>
      <c r="P3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2.3180605957078659E-2</v>
      </c>
      <c r="Q327" s="1">
        <f>LN(Table13[[#This Row],[qe_mg_g]]-Table13[[#This Row],[qt]])</f>
        <v>0.15599417444033756</v>
      </c>
      <c r="R327" s="1">
        <v>2</v>
      </c>
    </row>
    <row r="328" spans="1:18" x14ac:dyDescent="0.3">
      <c r="A328" s="1">
        <v>327</v>
      </c>
      <c r="B328" s="1" t="s">
        <v>16</v>
      </c>
      <c r="C328" s="1">
        <v>2</v>
      </c>
      <c r="D328" s="1">
        <v>60</v>
      </c>
      <c r="E328" s="1">
        <v>25</v>
      </c>
      <c r="F328" s="1">
        <v>3</v>
      </c>
      <c r="G328" s="1">
        <v>25</v>
      </c>
      <c r="H328" s="1">
        <v>150</v>
      </c>
      <c r="I328" s="1">
        <v>100</v>
      </c>
      <c r="J328" s="1">
        <v>1.3140000000000001</v>
      </c>
      <c r="K328" s="1">
        <v>22.372</v>
      </c>
      <c r="L328" s="1">
        <v>10.51</v>
      </c>
      <c r="M328" s="1">
        <v>57.7</v>
      </c>
      <c r="N328" s="1">
        <v>4.5130000000000003E-2</v>
      </c>
      <c r="O328" s="1">
        <v>2.9970000000000002E-4</v>
      </c>
      <c r="P3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3.0330978360126472E-2</v>
      </c>
      <c r="Q328" s="1">
        <f>LN(Table13[[#This Row],[qe_mg_g]]-Table13[[#This Row],[qt]])</f>
        <v>0.24972240073052565</v>
      </c>
      <c r="R328" s="1">
        <v>3</v>
      </c>
    </row>
    <row r="329" spans="1:18" x14ac:dyDescent="0.3">
      <c r="A329" s="1">
        <v>328</v>
      </c>
      <c r="B329" s="1" t="s">
        <v>16</v>
      </c>
      <c r="C329" s="1">
        <v>2</v>
      </c>
      <c r="D329" s="1">
        <v>60</v>
      </c>
      <c r="E329" s="1">
        <v>25</v>
      </c>
      <c r="F329" s="1">
        <v>7</v>
      </c>
      <c r="G329" s="1">
        <v>25</v>
      </c>
      <c r="H329" s="1">
        <v>150</v>
      </c>
      <c r="I329" s="1">
        <v>100</v>
      </c>
      <c r="J329" s="1">
        <v>2.3239999999999998</v>
      </c>
      <c r="K329" s="1">
        <v>20.353000000000002</v>
      </c>
      <c r="L329" s="1">
        <v>18.59</v>
      </c>
      <c r="M329" s="1">
        <v>71.400000000000006</v>
      </c>
      <c r="N329" s="1">
        <v>4.4889999999999999E-2</v>
      </c>
      <c r="O329" s="1">
        <v>3.2449999999999997E-4</v>
      </c>
      <c r="P3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0.10060480818968673</v>
      </c>
      <c r="Q329" s="1">
        <f>LN(Table13[[#This Row],[qe_mg_g]]-Table13[[#This Row],[qt]])</f>
        <v>0.79903539327582584</v>
      </c>
      <c r="R329" s="1">
        <v>1</v>
      </c>
    </row>
    <row r="330" spans="1:18" x14ac:dyDescent="0.3">
      <c r="A330" s="1">
        <v>329</v>
      </c>
      <c r="B330" s="1" t="s">
        <v>16</v>
      </c>
      <c r="C330" s="1">
        <v>2</v>
      </c>
      <c r="D330" s="1">
        <v>60</v>
      </c>
      <c r="E330" s="1">
        <v>25</v>
      </c>
      <c r="F330" s="1">
        <v>7</v>
      </c>
      <c r="G330" s="1">
        <v>25</v>
      </c>
      <c r="H330" s="1">
        <v>150</v>
      </c>
      <c r="I330" s="1">
        <v>100</v>
      </c>
      <c r="J330" s="1">
        <v>2.3759999999999999</v>
      </c>
      <c r="K330" s="1">
        <v>20.248999999999999</v>
      </c>
      <c r="L330" s="1">
        <v>19</v>
      </c>
      <c r="M330" s="1">
        <v>72.2</v>
      </c>
      <c r="N330" s="1">
        <v>4.505E-2</v>
      </c>
      <c r="O330" s="1">
        <v>2.6059999999999999E-4</v>
      </c>
      <c r="P3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8.5109195826981177E-2</v>
      </c>
      <c r="Q330" s="1">
        <f>LN(Table13[[#This Row],[qe_mg_g]]-Table13[[#This Row],[qt]])</f>
        <v>0.82894073938172008</v>
      </c>
      <c r="R330" s="1">
        <v>2</v>
      </c>
    </row>
    <row r="331" spans="1:18" x14ac:dyDescent="0.3">
      <c r="A331" s="1">
        <v>330</v>
      </c>
      <c r="B331" s="1" t="s">
        <v>16</v>
      </c>
      <c r="C331" s="1">
        <v>2</v>
      </c>
      <c r="D331" s="1">
        <v>60</v>
      </c>
      <c r="E331" s="1">
        <v>25</v>
      </c>
      <c r="F331" s="1">
        <v>7</v>
      </c>
      <c r="G331" s="1">
        <v>25</v>
      </c>
      <c r="H331" s="1">
        <v>150</v>
      </c>
      <c r="I331" s="1">
        <v>100</v>
      </c>
      <c r="J331" s="1">
        <v>1.956</v>
      </c>
      <c r="K331" s="1">
        <v>21.088999999999999</v>
      </c>
      <c r="L331" s="1">
        <v>15.65</v>
      </c>
      <c r="M331" s="1">
        <v>63.6</v>
      </c>
      <c r="N331" s="1">
        <v>4.2259999999999999E-2</v>
      </c>
      <c r="O331" s="1">
        <v>2.944E-4</v>
      </c>
      <c r="P3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6.5324326798828283E-2</v>
      </c>
      <c r="Q331" s="1">
        <f>LN(Table13[[#This Row],[qe_mg_g]]-Table13[[#This Row],[qt]])</f>
        <v>0.63693426423223121</v>
      </c>
      <c r="R331" s="1">
        <v>3</v>
      </c>
    </row>
    <row r="332" spans="1:18" x14ac:dyDescent="0.3">
      <c r="A332" s="1">
        <v>331</v>
      </c>
      <c r="B332" s="1" t="s">
        <v>16</v>
      </c>
      <c r="C332" s="1">
        <v>2</v>
      </c>
      <c r="D332" s="1">
        <v>60</v>
      </c>
      <c r="E332" s="1">
        <v>25</v>
      </c>
      <c r="F332" s="1">
        <v>11</v>
      </c>
      <c r="G332" s="1">
        <v>25</v>
      </c>
      <c r="H332" s="1">
        <v>150</v>
      </c>
      <c r="I332" s="1">
        <v>100</v>
      </c>
      <c r="J332" s="1">
        <v>1.595</v>
      </c>
      <c r="K332" s="1">
        <v>21.81</v>
      </c>
      <c r="L332" s="1">
        <v>12.76</v>
      </c>
      <c r="M332" s="1">
        <v>72</v>
      </c>
      <c r="N332" s="1">
        <v>4.4679999999999997E-2</v>
      </c>
      <c r="O332" s="1">
        <v>3.146E-4</v>
      </c>
      <c r="P3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4.6617492788760373E-2</v>
      </c>
      <c r="Q332" s="1">
        <f>LN(Table13[[#This Row],[qe_mg_g]]-Table13[[#This Row],[qt]])</f>
        <v>0.43721084232561064</v>
      </c>
      <c r="R332" s="1">
        <v>1</v>
      </c>
    </row>
    <row r="333" spans="1:18" x14ac:dyDescent="0.3">
      <c r="A333" s="1">
        <v>332</v>
      </c>
      <c r="B333" s="1" t="s">
        <v>16</v>
      </c>
      <c r="C333" s="1">
        <v>2</v>
      </c>
      <c r="D333" s="1">
        <v>60</v>
      </c>
      <c r="E333" s="1">
        <v>25</v>
      </c>
      <c r="F333" s="1">
        <v>11</v>
      </c>
      <c r="G333" s="1">
        <v>25</v>
      </c>
      <c r="H333" s="1">
        <v>150</v>
      </c>
      <c r="I333" s="1">
        <v>100</v>
      </c>
      <c r="J333" s="1">
        <v>1.5960000000000001</v>
      </c>
      <c r="K333" s="1">
        <v>21.808</v>
      </c>
      <c r="L333" s="1">
        <v>12.77</v>
      </c>
      <c r="M333" s="1">
        <v>46.9</v>
      </c>
      <c r="N333" s="1">
        <v>4.0770000000000001E-2</v>
      </c>
      <c r="O333" s="1">
        <v>2.9569999999999998E-4</v>
      </c>
      <c r="P3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4.3948257224437154E-2</v>
      </c>
      <c r="Q333" s="1">
        <f>LN(Table13[[#This Row],[qe_mg_g]]-Table13[[#This Row],[qt]])</f>
        <v>0.43957776062252513</v>
      </c>
      <c r="R333" s="1">
        <v>2</v>
      </c>
    </row>
    <row r="334" spans="1:18" x14ac:dyDescent="0.3">
      <c r="A334" s="1">
        <v>333</v>
      </c>
      <c r="B334" s="1" t="s">
        <v>16</v>
      </c>
      <c r="C334" s="1">
        <v>2</v>
      </c>
      <c r="D334" s="1">
        <v>60</v>
      </c>
      <c r="E334" s="1">
        <v>25</v>
      </c>
      <c r="F334" s="1">
        <v>11</v>
      </c>
      <c r="G334" s="1">
        <v>25</v>
      </c>
      <c r="H334" s="1">
        <v>150</v>
      </c>
      <c r="I334" s="1">
        <v>100</v>
      </c>
      <c r="J334" s="1">
        <v>1.4339999999999999</v>
      </c>
      <c r="K334" s="1">
        <v>22.132000000000001</v>
      </c>
      <c r="L334" s="1">
        <v>11.47</v>
      </c>
      <c r="M334" s="1">
        <v>72.7</v>
      </c>
      <c r="N334" s="1">
        <v>5.1889999999999999E-2</v>
      </c>
      <c r="O334" s="1">
        <v>3.366E-4</v>
      </c>
      <c r="P3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4.0361260721134523E-2</v>
      </c>
      <c r="Q334" s="1">
        <f>LN(Table13[[#This Row],[qe_mg_g]]-Table13[[#This Row],[qt]])</f>
        <v>0.33191812471974536</v>
      </c>
      <c r="R334" s="1">
        <v>3</v>
      </c>
    </row>
    <row r="335" spans="1:18" x14ac:dyDescent="0.3">
      <c r="A335" s="1">
        <v>334</v>
      </c>
      <c r="B335" s="1" t="s">
        <v>16</v>
      </c>
      <c r="C335" s="1">
        <v>2</v>
      </c>
      <c r="D335" s="1">
        <v>60</v>
      </c>
      <c r="E335" s="1">
        <v>50</v>
      </c>
      <c r="F335" s="1">
        <v>3</v>
      </c>
      <c r="G335" s="1">
        <v>25</v>
      </c>
      <c r="H335" s="1">
        <v>150</v>
      </c>
      <c r="I335" s="1">
        <v>100</v>
      </c>
      <c r="J335" s="1">
        <v>4.3289999999999997</v>
      </c>
      <c r="K335" s="1">
        <v>41.343000000000004</v>
      </c>
      <c r="L335" s="1">
        <v>17.309999999999999</v>
      </c>
      <c r="M335" s="1">
        <v>81.599999999999994</v>
      </c>
      <c r="N335" s="1">
        <v>4.5670000000000002E-2</v>
      </c>
      <c r="O335" s="1">
        <v>2.899E-4</v>
      </c>
      <c r="P3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0.30314160557106484</v>
      </c>
      <c r="Q335" s="1">
        <f>LN(Table13[[#This Row],[qe_mg_g]]-Table13[[#This Row],[qt]])</f>
        <v>1.3927381538292607</v>
      </c>
      <c r="R335" s="1">
        <v>1</v>
      </c>
    </row>
    <row r="336" spans="1:18" x14ac:dyDescent="0.3">
      <c r="A336" s="1">
        <v>335</v>
      </c>
      <c r="B336" s="1" t="s">
        <v>16</v>
      </c>
      <c r="C336" s="1">
        <v>2</v>
      </c>
      <c r="D336" s="1">
        <v>60</v>
      </c>
      <c r="E336" s="1">
        <v>50</v>
      </c>
      <c r="F336" s="1">
        <v>3</v>
      </c>
      <c r="G336" s="1">
        <v>25</v>
      </c>
      <c r="H336" s="1">
        <v>150</v>
      </c>
      <c r="I336" s="1">
        <v>100</v>
      </c>
      <c r="J336" s="1">
        <v>4.1879999999999997</v>
      </c>
      <c r="K336" s="1">
        <v>41.625</v>
      </c>
      <c r="L336" s="1">
        <v>16.75</v>
      </c>
      <c r="M336" s="1">
        <v>63.6</v>
      </c>
      <c r="N336" s="1">
        <v>4.3249999999999997E-2</v>
      </c>
      <c r="O336" s="1">
        <v>3.0509999999999999E-4</v>
      </c>
      <c r="P3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0.29821260448490916</v>
      </c>
      <c r="Q336" s="1">
        <f>LN(Table13[[#This Row],[qe_mg_g]]-Table13[[#This Row],[qt]])</f>
        <v>1.3583545020275334</v>
      </c>
      <c r="R336" s="1">
        <v>2</v>
      </c>
    </row>
    <row r="337" spans="1:18" x14ac:dyDescent="0.3">
      <c r="A337" s="1">
        <v>336</v>
      </c>
      <c r="B337" s="1" t="s">
        <v>16</v>
      </c>
      <c r="C337" s="1">
        <v>2</v>
      </c>
      <c r="D337" s="1">
        <v>60</v>
      </c>
      <c r="E337" s="1">
        <v>50</v>
      </c>
      <c r="F337" s="1">
        <v>3</v>
      </c>
      <c r="G337" s="1">
        <v>25</v>
      </c>
      <c r="H337" s="1">
        <v>150</v>
      </c>
      <c r="I337" s="1">
        <v>100</v>
      </c>
      <c r="J337" s="1">
        <v>4.46</v>
      </c>
      <c r="K337" s="1">
        <v>41.079000000000001</v>
      </c>
      <c r="L337" s="1">
        <v>17.84</v>
      </c>
      <c r="M337" s="1">
        <v>66.7</v>
      </c>
      <c r="N337" s="1">
        <v>4.6969999999999998E-2</v>
      </c>
      <c r="O337" s="1">
        <v>3.3569999999999997E-4</v>
      </c>
      <c r="P3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0.36763108619215279</v>
      </c>
      <c r="Q337" s="1">
        <f>LN(Table13[[#This Row],[qe_mg_g]]-Table13[[#This Row],[qt]])</f>
        <v>1.4091239989151756</v>
      </c>
      <c r="R337" s="1">
        <v>3</v>
      </c>
    </row>
    <row r="338" spans="1:18" x14ac:dyDescent="0.3">
      <c r="A338" s="1">
        <v>337</v>
      </c>
      <c r="B338" s="1" t="s">
        <v>16</v>
      </c>
      <c r="C338" s="1">
        <v>2</v>
      </c>
      <c r="D338" s="1">
        <v>60</v>
      </c>
      <c r="E338" s="1">
        <v>50</v>
      </c>
      <c r="F338" s="1">
        <v>7</v>
      </c>
      <c r="G338" s="1">
        <v>25</v>
      </c>
      <c r="H338" s="1">
        <v>150</v>
      </c>
      <c r="I338" s="1">
        <v>100</v>
      </c>
      <c r="J338" s="1">
        <v>7.7770000000000001</v>
      </c>
      <c r="K338" s="1">
        <v>34.445999999999998</v>
      </c>
      <c r="L338" s="1">
        <v>31.11</v>
      </c>
      <c r="M338" s="1">
        <v>51.8</v>
      </c>
      <c r="N338" s="1">
        <v>3.3509999999999998E-2</v>
      </c>
      <c r="O338" s="1">
        <v>3.28E-4</v>
      </c>
      <c r="P3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1.0322874314289001</v>
      </c>
      <c r="Q338" s="1">
        <f>LN(Table13[[#This Row],[qe_mg_g]]-Table13[[#This Row],[qt]])</f>
        <v>1.90875887475188</v>
      </c>
      <c r="R338" s="1">
        <v>1</v>
      </c>
    </row>
    <row r="339" spans="1:18" x14ac:dyDescent="0.3">
      <c r="A339" s="1">
        <v>338</v>
      </c>
      <c r="B339" s="1" t="s">
        <v>16</v>
      </c>
      <c r="C339" s="1">
        <v>2</v>
      </c>
      <c r="D339" s="1">
        <v>60</v>
      </c>
      <c r="E339" s="1">
        <v>50</v>
      </c>
      <c r="F339" s="1">
        <v>7</v>
      </c>
      <c r="G339" s="1">
        <v>25</v>
      </c>
      <c r="H339" s="1">
        <v>150</v>
      </c>
      <c r="I339" s="1">
        <v>100</v>
      </c>
      <c r="J339" s="1">
        <v>6.4370000000000003</v>
      </c>
      <c r="K339" s="1">
        <v>37.125</v>
      </c>
      <c r="L339" s="1">
        <v>25.75</v>
      </c>
      <c r="M339" s="1">
        <v>64.400000000000006</v>
      </c>
      <c r="N339" s="1">
        <v>3.9730000000000001E-2</v>
      </c>
      <c r="O339" s="1">
        <v>2.4590000000000001E-4</v>
      </c>
      <c r="P3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0.55830816942963035</v>
      </c>
      <c r="Q339" s="1">
        <f>LN(Table13[[#This Row],[qe_mg_g]]-Table13[[#This Row],[qt]])</f>
        <v>1.7713342593645252</v>
      </c>
      <c r="R339" s="1">
        <v>2</v>
      </c>
    </row>
    <row r="340" spans="1:18" x14ac:dyDescent="0.3">
      <c r="A340" s="1">
        <v>339</v>
      </c>
      <c r="B340" s="1" t="s">
        <v>16</v>
      </c>
      <c r="C340" s="1">
        <v>2</v>
      </c>
      <c r="D340" s="1">
        <v>60</v>
      </c>
      <c r="E340" s="1">
        <v>50</v>
      </c>
      <c r="F340" s="1">
        <v>7</v>
      </c>
      <c r="G340" s="1">
        <v>25</v>
      </c>
      <c r="H340" s="1">
        <v>150</v>
      </c>
      <c r="I340" s="1">
        <v>100</v>
      </c>
      <c r="J340" s="1">
        <v>7.5410000000000004</v>
      </c>
      <c r="K340" s="1">
        <v>34.917999999999999</v>
      </c>
      <c r="L340" s="1">
        <v>30.16</v>
      </c>
      <c r="M340" s="1">
        <v>74.3</v>
      </c>
      <c r="N340" s="1">
        <v>4.2410000000000003E-2</v>
      </c>
      <c r="O340" s="1">
        <v>2.2230000000000001E-4</v>
      </c>
      <c r="P3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0.68916981110004827</v>
      </c>
      <c r="Q340" s="1">
        <f>LN(Table13[[#This Row],[qe_mg_g]]-Table13[[#This Row],[qt]])</f>
        <v>1.9245157974489908</v>
      </c>
      <c r="R340" s="1">
        <v>3</v>
      </c>
    </row>
    <row r="341" spans="1:18" x14ac:dyDescent="0.3">
      <c r="A341" s="1">
        <v>340</v>
      </c>
      <c r="B341" s="1" t="s">
        <v>16</v>
      </c>
      <c r="C341" s="1">
        <v>2</v>
      </c>
      <c r="D341" s="1">
        <v>60</v>
      </c>
      <c r="E341" s="1">
        <v>50</v>
      </c>
      <c r="F341" s="1">
        <v>11</v>
      </c>
      <c r="G341" s="1">
        <v>25</v>
      </c>
      <c r="H341" s="1">
        <v>150</v>
      </c>
      <c r="I341" s="1">
        <v>100</v>
      </c>
      <c r="J341" s="1">
        <v>5.2350000000000003</v>
      </c>
      <c r="K341" s="1">
        <v>39.53</v>
      </c>
      <c r="L341" s="1">
        <v>20.94</v>
      </c>
      <c r="M341" s="1">
        <v>70.599999999999994</v>
      </c>
      <c r="N341" s="1">
        <v>3.8339999999999999E-2</v>
      </c>
      <c r="O341" s="1">
        <v>3.055E-4</v>
      </c>
      <c r="P3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0.45835513816205747</v>
      </c>
      <c r="Q341" s="1">
        <f>LN(Table13[[#This Row],[qe_mg_g]]-Table13[[#This Row],[qt]])</f>
        <v>1.5637383882985949</v>
      </c>
      <c r="R341" s="1">
        <v>1</v>
      </c>
    </row>
    <row r="342" spans="1:18" x14ac:dyDescent="0.3">
      <c r="A342" s="1">
        <v>341</v>
      </c>
      <c r="B342" s="1" t="s">
        <v>16</v>
      </c>
      <c r="C342" s="1">
        <v>2</v>
      </c>
      <c r="D342" s="1">
        <v>60</v>
      </c>
      <c r="E342" s="1">
        <v>50</v>
      </c>
      <c r="F342" s="1">
        <v>11</v>
      </c>
      <c r="G342" s="1">
        <v>25</v>
      </c>
      <c r="H342" s="1">
        <v>150</v>
      </c>
      <c r="I342" s="1">
        <v>100</v>
      </c>
      <c r="J342" s="1">
        <v>5.468</v>
      </c>
      <c r="K342" s="1">
        <v>39.064999999999998</v>
      </c>
      <c r="L342" s="1">
        <v>21.87</v>
      </c>
      <c r="M342" s="1">
        <v>72.5</v>
      </c>
      <c r="N342" s="1">
        <v>4.5539999999999997E-2</v>
      </c>
      <c r="O342" s="1">
        <v>2.7080000000000002E-4</v>
      </c>
      <c r="P3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0.44616061933364237</v>
      </c>
      <c r="Q342" s="1">
        <f>LN(Table13[[#This Row],[qe_mg_g]]-Table13[[#This Row],[qt]])</f>
        <v>1.6137962770830132</v>
      </c>
      <c r="R342" s="1">
        <v>2</v>
      </c>
    </row>
    <row r="343" spans="1:18" x14ac:dyDescent="0.3">
      <c r="A343" s="1">
        <v>342</v>
      </c>
      <c r="B343" s="1" t="s">
        <v>16</v>
      </c>
      <c r="C343" s="1">
        <v>2</v>
      </c>
      <c r="D343" s="1">
        <v>60</v>
      </c>
      <c r="E343" s="1">
        <v>50</v>
      </c>
      <c r="F343" s="1">
        <v>11</v>
      </c>
      <c r="G343" s="1">
        <v>25</v>
      </c>
      <c r="H343" s="1">
        <v>150</v>
      </c>
      <c r="I343" s="1">
        <v>100</v>
      </c>
      <c r="J343" s="1">
        <v>5.9980000000000002</v>
      </c>
      <c r="K343" s="1">
        <v>38.003</v>
      </c>
      <c r="L343" s="1">
        <v>23.99</v>
      </c>
      <c r="M343" s="1">
        <v>65.099999999999994</v>
      </c>
      <c r="N343" s="1">
        <v>4.4880000000000003E-2</v>
      </c>
      <c r="O343" s="1">
        <v>2.72E-4</v>
      </c>
      <c r="P3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0.53478016659195349</v>
      </c>
      <c r="Q343" s="1">
        <f>LN(Table13[[#This Row],[qe_mg_g]]-Table13[[#This Row],[qt]])</f>
        <v>1.6980383290227827</v>
      </c>
      <c r="R343" s="1">
        <v>3</v>
      </c>
    </row>
    <row r="344" spans="1:18" x14ac:dyDescent="0.3">
      <c r="A344" s="1">
        <v>343</v>
      </c>
      <c r="B344" s="1" t="s">
        <v>16</v>
      </c>
      <c r="C344" s="1">
        <v>2</v>
      </c>
      <c r="D344" s="1">
        <v>60</v>
      </c>
      <c r="E344" s="1">
        <v>100</v>
      </c>
      <c r="F344" s="1">
        <v>3</v>
      </c>
      <c r="G344" s="1">
        <v>25</v>
      </c>
      <c r="H344" s="1">
        <v>150</v>
      </c>
      <c r="I344" s="1">
        <v>100</v>
      </c>
      <c r="J344" s="1">
        <v>13.558</v>
      </c>
      <c r="K344" s="1">
        <v>72.882999999999996</v>
      </c>
      <c r="L344" s="1">
        <v>27.12</v>
      </c>
      <c r="M344" s="1">
        <v>57.8</v>
      </c>
      <c r="N344" s="1">
        <v>4.4220000000000002E-2</v>
      </c>
      <c r="O344" s="1">
        <v>3.5139999999999998E-4</v>
      </c>
      <c r="P3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3.0140582167188508</v>
      </c>
      <c r="Q344" s="1">
        <f>LN(Table13[[#This Row],[qe_mg_g]]-Table13[[#This Row],[qt]])</f>
        <v>2.3555514564324231</v>
      </c>
      <c r="R344" s="1">
        <v>1</v>
      </c>
    </row>
    <row r="345" spans="1:18" x14ac:dyDescent="0.3">
      <c r="A345" s="1">
        <v>344</v>
      </c>
      <c r="B345" s="1" t="s">
        <v>16</v>
      </c>
      <c r="C345" s="1">
        <v>2</v>
      </c>
      <c r="D345" s="1">
        <v>60</v>
      </c>
      <c r="E345" s="1">
        <v>100</v>
      </c>
      <c r="F345" s="1">
        <v>3</v>
      </c>
      <c r="G345" s="1">
        <v>25</v>
      </c>
      <c r="H345" s="1">
        <v>150</v>
      </c>
      <c r="I345" s="1">
        <v>100</v>
      </c>
      <c r="J345" s="1">
        <v>12.513999999999999</v>
      </c>
      <c r="K345" s="1">
        <v>74.971999999999994</v>
      </c>
      <c r="L345" s="1">
        <v>25.03</v>
      </c>
      <c r="M345" s="1">
        <v>50.5</v>
      </c>
      <c r="N345" s="1">
        <v>5.1619999999999999E-2</v>
      </c>
      <c r="O345" s="1">
        <v>2.9369999999999998E-4</v>
      </c>
      <c r="P3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2.2610074329886478</v>
      </c>
      <c r="Q345" s="1">
        <f>LN(Table13[[#This Row],[qe_mg_g]]-Table13[[#This Row],[qt]])</f>
        <v>2.3275696207302499</v>
      </c>
      <c r="R345" s="1">
        <v>2</v>
      </c>
    </row>
    <row r="346" spans="1:18" x14ac:dyDescent="0.3">
      <c r="A346" s="1">
        <v>345</v>
      </c>
      <c r="B346" s="1" t="s">
        <v>16</v>
      </c>
      <c r="C346" s="1">
        <v>2</v>
      </c>
      <c r="D346" s="1">
        <v>60</v>
      </c>
      <c r="E346" s="1">
        <v>100</v>
      </c>
      <c r="F346" s="1">
        <v>3</v>
      </c>
      <c r="G346" s="1">
        <v>25</v>
      </c>
      <c r="H346" s="1">
        <v>150</v>
      </c>
      <c r="I346" s="1">
        <v>100</v>
      </c>
      <c r="J346" s="1">
        <v>13.305</v>
      </c>
      <c r="K346" s="1">
        <v>73.391000000000005</v>
      </c>
      <c r="L346" s="1">
        <v>26.61</v>
      </c>
      <c r="M346" s="1">
        <v>77.099999999999994</v>
      </c>
      <c r="N346" s="1">
        <v>4.2270000000000002E-2</v>
      </c>
      <c r="O346" s="1">
        <v>3.548E-4</v>
      </c>
      <c r="P3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2.9366879431235779</v>
      </c>
      <c r="Q346" s="1">
        <f>LN(Table13[[#This Row],[qe_mg_g]]-Table13[[#This Row],[qt]])</f>
        <v>2.3387542372353392</v>
      </c>
      <c r="R346" s="1">
        <v>3</v>
      </c>
    </row>
    <row r="347" spans="1:18" x14ac:dyDescent="0.3">
      <c r="A347" s="1">
        <v>346</v>
      </c>
      <c r="B347" s="1" t="s">
        <v>16</v>
      </c>
      <c r="C347" s="1">
        <v>2</v>
      </c>
      <c r="D347" s="1">
        <v>60</v>
      </c>
      <c r="E347" s="1">
        <v>100</v>
      </c>
      <c r="F347" s="1">
        <v>7</v>
      </c>
      <c r="G347" s="1">
        <v>25</v>
      </c>
      <c r="H347" s="1">
        <v>150</v>
      </c>
      <c r="I347" s="1">
        <v>100</v>
      </c>
      <c r="J347" s="1">
        <v>23.253</v>
      </c>
      <c r="K347" s="1">
        <v>53.494999999999997</v>
      </c>
      <c r="L347" s="1">
        <v>46.51</v>
      </c>
      <c r="M347" s="1">
        <v>61.8</v>
      </c>
      <c r="N347" s="1">
        <v>5.4710000000000002E-2</v>
      </c>
      <c r="O347" s="1">
        <v>2.8180000000000002E-4</v>
      </c>
      <c r="P3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6.5621883021041123</v>
      </c>
      <c r="Q347" s="1">
        <f>LN(Table13[[#This Row],[qe_mg_g]]-Table13[[#This Row],[qt]])</f>
        <v>2.8148583702776118</v>
      </c>
      <c r="R347" s="1">
        <v>1</v>
      </c>
    </row>
    <row r="348" spans="1:18" x14ac:dyDescent="0.3">
      <c r="A348" s="1">
        <v>347</v>
      </c>
      <c r="B348" s="1" t="s">
        <v>16</v>
      </c>
      <c r="C348" s="1">
        <v>2</v>
      </c>
      <c r="D348" s="1">
        <v>60</v>
      </c>
      <c r="E348" s="1">
        <v>100</v>
      </c>
      <c r="F348" s="1">
        <v>7</v>
      </c>
      <c r="G348" s="1">
        <v>25</v>
      </c>
      <c r="H348" s="1">
        <v>150</v>
      </c>
      <c r="I348" s="1">
        <v>100</v>
      </c>
      <c r="J348" s="1">
        <v>23.366</v>
      </c>
      <c r="K348" s="1">
        <v>53.268000000000001</v>
      </c>
      <c r="L348" s="1">
        <v>46.73</v>
      </c>
      <c r="M348" s="1">
        <v>69.7</v>
      </c>
      <c r="N348" s="1">
        <v>5.0860000000000002E-2</v>
      </c>
      <c r="O348" s="1">
        <v>3.4680000000000003E-4</v>
      </c>
      <c r="P3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7.6440216146022602</v>
      </c>
      <c r="Q348" s="1">
        <f>LN(Table13[[#This Row],[qe_mg_g]]-Table13[[#This Row],[qt]])</f>
        <v>2.7550596305708321</v>
      </c>
      <c r="R348" s="1">
        <v>2</v>
      </c>
    </row>
    <row r="349" spans="1:18" x14ac:dyDescent="0.3">
      <c r="A349" s="1">
        <v>348</v>
      </c>
      <c r="B349" s="1" t="s">
        <v>16</v>
      </c>
      <c r="C349" s="1">
        <v>2</v>
      </c>
      <c r="D349" s="1">
        <v>60</v>
      </c>
      <c r="E349" s="1">
        <v>100</v>
      </c>
      <c r="F349" s="1">
        <v>7</v>
      </c>
      <c r="G349" s="1">
        <v>25</v>
      </c>
      <c r="H349" s="1">
        <v>150</v>
      </c>
      <c r="I349" s="1">
        <v>100</v>
      </c>
      <c r="J349" s="1">
        <v>22.113</v>
      </c>
      <c r="K349" s="1">
        <v>55.774000000000001</v>
      </c>
      <c r="L349" s="1">
        <v>44.23</v>
      </c>
      <c r="M349" s="1">
        <v>59.1</v>
      </c>
      <c r="N349" s="1">
        <v>4.7070000000000001E-2</v>
      </c>
      <c r="O349" s="1">
        <v>2.7970000000000002E-4</v>
      </c>
      <c r="P3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5.9850778227842731</v>
      </c>
      <c r="Q349" s="1">
        <f>LN(Table13[[#This Row],[qe_mg_g]]-Table13[[#This Row],[qt]])</f>
        <v>2.7805520665558707</v>
      </c>
      <c r="R349" s="1">
        <v>3</v>
      </c>
    </row>
    <row r="350" spans="1:18" x14ac:dyDescent="0.3">
      <c r="A350" s="1">
        <v>349</v>
      </c>
      <c r="B350" s="1" t="s">
        <v>16</v>
      </c>
      <c r="C350" s="1">
        <v>2</v>
      </c>
      <c r="D350" s="1">
        <v>60</v>
      </c>
      <c r="E350" s="1">
        <v>100</v>
      </c>
      <c r="F350" s="1">
        <v>11</v>
      </c>
      <c r="G350" s="1">
        <v>25</v>
      </c>
      <c r="H350" s="1">
        <v>150</v>
      </c>
      <c r="I350" s="1">
        <v>100</v>
      </c>
      <c r="J350" s="1">
        <v>19.905000000000001</v>
      </c>
      <c r="K350" s="1">
        <v>60.191000000000003</v>
      </c>
      <c r="L350" s="1">
        <v>39.81</v>
      </c>
      <c r="M350" s="1">
        <v>68</v>
      </c>
      <c r="N350" s="1">
        <v>4.3360000000000003E-2</v>
      </c>
      <c r="O350" s="1">
        <v>3.055E-4</v>
      </c>
      <c r="P3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5.3210722064515625</v>
      </c>
      <c r="Q350" s="1">
        <f>LN(Table13[[#This Row],[qe_mg_g]]-Table13[[#This Row],[qt]])</f>
        <v>2.6799200862909043</v>
      </c>
      <c r="R350" s="1">
        <v>1</v>
      </c>
    </row>
    <row r="351" spans="1:18" x14ac:dyDescent="0.3">
      <c r="A351" s="1">
        <v>350</v>
      </c>
      <c r="B351" s="1" t="s">
        <v>16</v>
      </c>
      <c r="C351" s="1">
        <v>2</v>
      </c>
      <c r="D351" s="1">
        <v>60</v>
      </c>
      <c r="E351" s="1">
        <v>100</v>
      </c>
      <c r="F351" s="1">
        <v>11</v>
      </c>
      <c r="G351" s="1">
        <v>25</v>
      </c>
      <c r="H351" s="1">
        <v>150</v>
      </c>
      <c r="I351" s="1">
        <v>100</v>
      </c>
      <c r="J351" s="1">
        <v>15.295999999999999</v>
      </c>
      <c r="K351" s="1">
        <v>69.408000000000001</v>
      </c>
      <c r="L351" s="1">
        <v>30.59</v>
      </c>
      <c r="M351" s="1">
        <v>57</v>
      </c>
      <c r="N351" s="1">
        <v>5.04E-2</v>
      </c>
      <c r="O351" s="1">
        <v>2.8029999999999998E-4</v>
      </c>
      <c r="P3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3.1297460527123562</v>
      </c>
      <c r="Q351" s="1">
        <f>LN(Table13[[#This Row],[qe_mg_g]]-Table13[[#This Row],[qt]])</f>
        <v>2.4986660492042256</v>
      </c>
      <c r="R351" s="1">
        <v>2</v>
      </c>
    </row>
    <row r="352" spans="1:18" x14ac:dyDescent="0.3">
      <c r="A352" s="1">
        <v>351</v>
      </c>
      <c r="B352" s="1" t="s">
        <v>16</v>
      </c>
      <c r="C352" s="1">
        <v>2</v>
      </c>
      <c r="D352" s="1">
        <v>60</v>
      </c>
      <c r="E352" s="1">
        <v>100</v>
      </c>
      <c r="F352" s="1">
        <v>11</v>
      </c>
      <c r="G352" s="1">
        <v>25</v>
      </c>
      <c r="H352" s="1">
        <v>150</v>
      </c>
      <c r="I352" s="1">
        <v>100</v>
      </c>
      <c r="J352" s="1">
        <v>15.707000000000001</v>
      </c>
      <c r="K352" s="1">
        <v>68.584999999999994</v>
      </c>
      <c r="L352" s="1">
        <v>31.41</v>
      </c>
      <c r="M352" s="1">
        <v>72</v>
      </c>
      <c r="N352" s="1">
        <v>5.0340000000000003E-2</v>
      </c>
      <c r="O352" s="1">
        <v>3.2160000000000001E-4</v>
      </c>
      <c r="P3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3.6532714384928724</v>
      </c>
      <c r="Q352" s="1">
        <f>LN(Table13[[#This Row],[qe_mg_g]]-Table13[[#This Row],[qt]])</f>
        <v>2.4893740362663346</v>
      </c>
      <c r="R352" s="1">
        <v>3</v>
      </c>
    </row>
    <row r="353" spans="1:18" x14ac:dyDescent="0.3">
      <c r="A353" s="1">
        <v>352</v>
      </c>
      <c r="B353" s="1" t="s">
        <v>16</v>
      </c>
      <c r="C353" s="1">
        <v>2</v>
      </c>
      <c r="D353" s="1">
        <v>60</v>
      </c>
      <c r="E353" s="1">
        <v>200</v>
      </c>
      <c r="F353" s="1">
        <v>3</v>
      </c>
      <c r="G353" s="1">
        <v>25</v>
      </c>
      <c r="H353" s="1">
        <v>150</v>
      </c>
      <c r="I353" s="1">
        <v>100</v>
      </c>
      <c r="J353" s="1">
        <v>43.070999999999998</v>
      </c>
      <c r="K353" s="1">
        <v>113.858</v>
      </c>
      <c r="L353" s="1">
        <v>43.07</v>
      </c>
      <c r="M353" s="1">
        <v>59.1</v>
      </c>
      <c r="N353" s="1">
        <v>3.8600000000000002E-2</v>
      </c>
      <c r="O353" s="1">
        <v>3.4499999999999998E-4</v>
      </c>
      <c r="P3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20.301022240258977</v>
      </c>
      <c r="Q353" s="1">
        <f>LN(Table13[[#This Row],[qe_mg_g]]-Table13[[#This Row],[qt]])</f>
        <v>3.1254429033400384</v>
      </c>
      <c r="R353" s="1">
        <v>1</v>
      </c>
    </row>
    <row r="354" spans="1:18" x14ac:dyDescent="0.3">
      <c r="A354" s="1">
        <v>353</v>
      </c>
      <c r="B354" s="1" t="s">
        <v>16</v>
      </c>
      <c r="C354" s="1">
        <v>2</v>
      </c>
      <c r="D354" s="1">
        <v>60</v>
      </c>
      <c r="E354" s="1">
        <v>200</v>
      </c>
      <c r="F354" s="1">
        <v>3</v>
      </c>
      <c r="G354" s="1">
        <v>25</v>
      </c>
      <c r="H354" s="1">
        <v>150</v>
      </c>
      <c r="I354" s="1">
        <v>100</v>
      </c>
      <c r="J354" s="1">
        <v>38.862000000000002</v>
      </c>
      <c r="K354" s="1">
        <v>122.27500000000001</v>
      </c>
      <c r="L354" s="1">
        <v>38.86</v>
      </c>
      <c r="M354" s="1">
        <v>64.2</v>
      </c>
      <c r="N354" s="1">
        <v>5.0979999999999998E-2</v>
      </c>
      <c r="O354" s="1">
        <v>3.167E-4</v>
      </c>
      <c r="P3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16.507677446082603</v>
      </c>
      <c r="Q354" s="1">
        <f>LN(Table13[[#This Row],[qe_mg_g]]-Table13[[#This Row],[qt]])</f>
        <v>3.1070197052194946</v>
      </c>
      <c r="R354" s="1">
        <v>2</v>
      </c>
    </row>
    <row r="355" spans="1:18" x14ac:dyDescent="0.3">
      <c r="A355" s="1">
        <v>354</v>
      </c>
      <c r="B355" s="1" t="s">
        <v>16</v>
      </c>
      <c r="C355" s="1">
        <v>2</v>
      </c>
      <c r="D355" s="1">
        <v>60</v>
      </c>
      <c r="E355" s="1">
        <v>200</v>
      </c>
      <c r="F355" s="1">
        <v>3</v>
      </c>
      <c r="G355" s="1">
        <v>25</v>
      </c>
      <c r="H355" s="1">
        <v>150</v>
      </c>
      <c r="I355" s="1">
        <v>100</v>
      </c>
      <c r="J355" s="1">
        <v>41.347000000000001</v>
      </c>
      <c r="K355" s="1">
        <v>117.306</v>
      </c>
      <c r="L355" s="1">
        <v>41.35</v>
      </c>
      <c r="M355" s="1">
        <v>88.3</v>
      </c>
      <c r="N355" s="1">
        <v>4.2099999999999999E-2</v>
      </c>
      <c r="O355" s="1">
        <v>3.278E-4</v>
      </c>
      <c r="P3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18.543829797797216</v>
      </c>
      <c r="Q355" s="1">
        <f>LN(Table13[[#This Row],[qe_mg_g]]-Table13[[#This Row],[qt]])</f>
        <v>3.1268995702509428</v>
      </c>
      <c r="R355" s="1">
        <v>3</v>
      </c>
    </row>
    <row r="356" spans="1:18" x14ac:dyDescent="0.3">
      <c r="A356" s="1">
        <v>355</v>
      </c>
      <c r="B356" s="1" t="s">
        <v>16</v>
      </c>
      <c r="C356" s="1">
        <v>2</v>
      </c>
      <c r="D356" s="1">
        <v>60</v>
      </c>
      <c r="E356" s="1">
        <v>200</v>
      </c>
      <c r="F356" s="1">
        <v>7</v>
      </c>
      <c r="G356" s="1">
        <v>25</v>
      </c>
      <c r="H356" s="1">
        <v>150</v>
      </c>
      <c r="I356" s="1">
        <v>100</v>
      </c>
      <c r="J356" s="1">
        <v>59.881999999999998</v>
      </c>
      <c r="K356" s="1">
        <v>80.236000000000004</v>
      </c>
      <c r="L356" s="1">
        <v>59.88</v>
      </c>
      <c r="M356" s="1">
        <v>69.400000000000006</v>
      </c>
      <c r="N356" s="1">
        <v>5.1880000000000003E-2</v>
      </c>
      <c r="O356" s="1">
        <v>3.1520000000000002E-4</v>
      </c>
      <c r="P3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31.801190533794717</v>
      </c>
      <c r="Q356" s="1">
        <f>LN(Table13[[#This Row],[qe_mg_g]]-Table13[[#This Row],[qt]])</f>
        <v>3.3350864058861789</v>
      </c>
      <c r="R356" s="1">
        <v>1</v>
      </c>
    </row>
    <row r="357" spans="1:18" x14ac:dyDescent="0.3">
      <c r="A357" s="1">
        <v>356</v>
      </c>
      <c r="B357" s="1" t="s">
        <v>16</v>
      </c>
      <c r="C357" s="1">
        <v>2</v>
      </c>
      <c r="D357" s="1">
        <v>60</v>
      </c>
      <c r="E357" s="1">
        <v>200</v>
      </c>
      <c r="F357" s="1">
        <v>7</v>
      </c>
      <c r="G357" s="1">
        <v>25</v>
      </c>
      <c r="H357" s="1">
        <v>150</v>
      </c>
      <c r="I357" s="1">
        <v>100</v>
      </c>
      <c r="J357" s="1">
        <v>62.177</v>
      </c>
      <c r="K357" s="1">
        <v>75.646000000000001</v>
      </c>
      <c r="L357" s="1">
        <v>62.18</v>
      </c>
      <c r="M357" s="1">
        <v>77.400000000000006</v>
      </c>
      <c r="N357" s="1">
        <v>4.3360000000000003E-2</v>
      </c>
      <c r="O357" s="1">
        <v>2.7480000000000001E-4</v>
      </c>
      <c r="P3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31.474952444565197</v>
      </c>
      <c r="Q357" s="1">
        <f>LN(Table13[[#This Row],[qe_mg_g]]-Table13[[#This Row],[qt]])</f>
        <v>3.4243293479858665</v>
      </c>
      <c r="R357" s="1">
        <v>2</v>
      </c>
    </row>
    <row r="358" spans="1:18" x14ac:dyDescent="0.3">
      <c r="A358" s="1">
        <v>357</v>
      </c>
      <c r="B358" s="1" t="s">
        <v>16</v>
      </c>
      <c r="C358" s="1">
        <v>2</v>
      </c>
      <c r="D358" s="1">
        <v>60</v>
      </c>
      <c r="E358" s="1">
        <v>200</v>
      </c>
      <c r="F358" s="1">
        <v>7</v>
      </c>
      <c r="G358" s="1">
        <v>25</v>
      </c>
      <c r="H358" s="1">
        <v>150</v>
      </c>
      <c r="I358" s="1">
        <v>100</v>
      </c>
      <c r="J358" s="1">
        <v>54.628</v>
      </c>
      <c r="K358" s="1">
        <v>90.745000000000005</v>
      </c>
      <c r="L358" s="1">
        <v>54.63</v>
      </c>
      <c r="M358" s="1">
        <v>47</v>
      </c>
      <c r="N358" s="1">
        <v>5.425E-2</v>
      </c>
      <c r="O358" s="1">
        <v>2.6689999999999998E-4</v>
      </c>
      <c r="P3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25.490157420142033</v>
      </c>
      <c r="Q358" s="1">
        <f>LN(Table13[[#This Row],[qe_mg_g]]-Table13[[#This Row],[qt]])</f>
        <v>3.3720377616452413</v>
      </c>
      <c r="R358" s="1">
        <v>3</v>
      </c>
    </row>
    <row r="359" spans="1:18" x14ac:dyDescent="0.3">
      <c r="A359" s="1">
        <v>358</v>
      </c>
      <c r="B359" s="1" t="s">
        <v>16</v>
      </c>
      <c r="C359" s="1">
        <v>2</v>
      </c>
      <c r="D359" s="1">
        <v>60</v>
      </c>
      <c r="E359" s="1">
        <v>200</v>
      </c>
      <c r="F359" s="1">
        <v>11</v>
      </c>
      <c r="G359" s="1">
        <v>25</v>
      </c>
      <c r="H359" s="1">
        <v>150</v>
      </c>
      <c r="I359" s="1">
        <v>100</v>
      </c>
      <c r="J359" s="1">
        <v>46.781999999999996</v>
      </c>
      <c r="K359" s="1">
        <v>106.43600000000001</v>
      </c>
      <c r="L359" s="1">
        <v>46.78</v>
      </c>
      <c r="M359" s="1">
        <v>63.9</v>
      </c>
      <c r="N359" s="1">
        <v>4.6379999999999998E-2</v>
      </c>
      <c r="O359" s="1">
        <v>3.2449999999999997E-4</v>
      </c>
      <c r="P3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22.299644403639238</v>
      </c>
      <c r="Q359" s="1">
        <f>LN(Table13[[#This Row],[qe_mg_g]]-Table13[[#This Row],[qt]])</f>
        <v>3.1979526783562982</v>
      </c>
      <c r="R359" s="1">
        <v>1</v>
      </c>
    </row>
    <row r="360" spans="1:18" x14ac:dyDescent="0.3">
      <c r="A360" s="1">
        <v>359</v>
      </c>
      <c r="B360" s="1" t="s">
        <v>16</v>
      </c>
      <c r="C360" s="1">
        <v>2</v>
      </c>
      <c r="D360" s="1">
        <v>60</v>
      </c>
      <c r="E360" s="1">
        <v>200</v>
      </c>
      <c r="F360" s="1">
        <v>11</v>
      </c>
      <c r="G360" s="1">
        <v>25</v>
      </c>
      <c r="H360" s="1">
        <v>150</v>
      </c>
      <c r="I360" s="1">
        <v>100</v>
      </c>
      <c r="J360" s="1">
        <v>50.904000000000003</v>
      </c>
      <c r="K360" s="1">
        <v>98.192999999999998</v>
      </c>
      <c r="L360" s="1">
        <v>50.9</v>
      </c>
      <c r="M360" s="1">
        <v>60.8</v>
      </c>
      <c r="N360" s="1">
        <v>4.4249999999999998E-2</v>
      </c>
      <c r="O360" s="1">
        <v>3.0850000000000002E-4</v>
      </c>
      <c r="P3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24.694992660695348</v>
      </c>
      <c r="Q360" s="1">
        <f>LN(Table13[[#This Row],[qe_mg_g]]-Table13[[#This Row],[qt]])</f>
        <v>3.2661031432607817</v>
      </c>
      <c r="R360" s="1">
        <v>2</v>
      </c>
    </row>
    <row r="361" spans="1:18" x14ac:dyDescent="0.3">
      <c r="A361" s="1">
        <v>360</v>
      </c>
      <c r="B361" s="1" t="s">
        <v>16</v>
      </c>
      <c r="C361" s="1">
        <v>2</v>
      </c>
      <c r="D361" s="1">
        <v>60</v>
      </c>
      <c r="E361" s="1">
        <v>200</v>
      </c>
      <c r="F361" s="1">
        <v>11</v>
      </c>
      <c r="G361" s="1">
        <v>25</v>
      </c>
      <c r="H361" s="1">
        <v>150</v>
      </c>
      <c r="I361" s="1">
        <v>100</v>
      </c>
      <c r="J361" s="1">
        <v>46.677999999999997</v>
      </c>
      <c r="K361" s="1">
        <v>106.645</v>
      </c>
      <c r="L361" s="1">
        <v>46.68</v>
      </c>
      <c r="M361" s="1">
        <v>82.7</v>
      </c>
      <c r="N361" s="1">
        <v>4.7210000000000002E-2</v>
      </c>
      <c r="O361" s="1">
        <v>3.2200000000000002E-4</v>
      </c>
      <c r="P3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22.134128589652928</v>
      </c>
      <c r="Q361" s="1">
        <f>LN(Table13[[#This Row],[qe_mg_g]]-Table13[[#This Row],[qt]])</f>
        <v>3.2004621860229414</v>
      </c>
      <c r="R361" s="1">
        <v>3</v>
      </c>
    </row>
    <row r="362" spans="1:18" x14ac:dyDescent="0.3">
      <c r="A362" s="1">
        <v>361</v>
      </c>
      <c r="B362" s="1" t="s">
        <v>16</v>
      </c>
      <c r="C362" s="1">
        <v>2</v>
      </c>
      <c r="D362" s="1">
        <v>120</v>
      </c>
      <c r="E362" s="1">
        <v>25</v>
      </c>
      <c r="F362" s="1">
        <v>3</v>
      </c>
      <c r="G362" s="1">
        <v>25</v>
      </c>
      <c r="H362" s="1">
        <v>150</v>
      </c>
      <c r="I362" s="1">
        <v>100</v>
      </c>
      <c r="J362" s="1">
        <v>2.3220000000000001</v>
      </c>
      <c r="K362" s="1">
        <v>20.356000000000002</v>
      </c>
      <c r="L362" s="1">
        <v>18.57</v>
      </c>
      <c r="M362" s="1">
        <v>78.400000000000006</v>
      </c>
      <c r="N362" s="1">
        <v>4.5809999999999997E-2</v>
      </c>
      <c r="O362" s="1">
        <v>2.611E-4</v>
      </c>
      <c r="P3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0.15747544700937022</v>
      </c>
      <c r="Q362" s="1">
        <f>LN(Table13[[#This Row],[qe_mg_g]]-Table13[[#This Row],[qt]])</f>
        <v>0.77220073132857581</v>
      </c>
      <c r="R362" s="1">
        <v>1</v>
      </c>
    </row>
    <row r="363" spans="1:18" x14ac:dyDescent="0.3">
      <c r="A363" s="1">
        <v>362</v>
      </c>
      <c r="B363" s="1" t="s">
        <v>16</v>
      </c>
      <c r="C363" s="1">
        <v>2</v>
      </c>
      <c r="D363" s="1">
        <v>120</v>
      </c>
      <c r="E363" s="1">
        <v>25</v>
      </c>
      <c r="F363" s="1">
        <v>3</v>
      </c>
      <c r="G363" s="1">
        <v>25</v>
      </c>
      <c r="H363" s="1">
        <v>150</v>
      </c>
      <c r="I363" s="1">
        <v>100</v>
      </c>
      <c r="J363" s="1">
        <v>2.2749999999999999</v>
      </c>
      <c r="K363" s="1">
        <v>20.449000000000002</v>
      </c>
      <c r="L363" s="1">
        <v>18.2</v>
      </c>
      <c r="M363" s="1">
        <v>60.2</v>
      </c>
      <c r="N363" s="1">
        <v>4.2619999999999998E-2</v>
      </c>
      <c r="O363" s="1">
        <v>3.1760000000000002E-4</v>
      </c>
      <c r="P3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0.18151518241200371</v>
      </c>
      <c r="Q363" s="1">
        <f>LN(Table13[[#This Row],[qe_mg_g]]-Table13[[#This Row],[qt]])</f>
        <v>0.73883005428357784</v>
      </c>
      <c r="R363" s="1">
        <v>2</v>
      </c>
    </row>
    <row r="364" spans="1:18" x14ac:dyDescent="0.3">
      <c r="A364" s="1">
        <v>363</v>
      </c>
      <c r="B364" s="1" t="s">
        <v>16</v>
      </c>
      <c r="C364" s="1">
        <v>2</v>
      </c>
      <c r="D364" s="1">
        <v>120</v>
      </c>
      <c r="E364" s="1">
        <v>25</v>
      </c>
      <c r="F364" s="1">
        <v>3</v>
      </c>
      <c r="G364" s="1">
        <v>25</v>
      </c>
      <c r="H364" s="1">
        <v>150</v>
      </c>
      <c r="I364" s="1">
        <v>100</v>
      </c>
      <c r="J364" s="1">
        <v>2.423</v>
      </c>
      <c r="K364" s="1">
        <v>20.154</v>
      </c>
      <c r="L364" s="1">
        <v>19.39</v>
      </c>
      <c r="M364" s="1">
        <v>66.900000000000006</v>
      </c>
      <c r="N364" s="1">
        <v>4.6390000000000001E-2</v>
      </c>
      <c r="O364" s="1">
        <v>3.5110000000000002E-4</v>
      </c>
      <c r="P3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0.22444166556551229</v>
      </c>
      <c r="Q364" s="1">
        <f>LN(Table13[[#This Row],[qe_mg_g]]-Table13[[#This Row],[qt]])</f>
        <v>0.78780184302994272</v>
      </c>
      <c r="R364" s="1">
        <v>3</v>
      </c>
    </row>
    <row r="365" spans="1:18" x14ac:dyDescent="0.3">
      <c r="A365" s="1">
        <v>364</v>
      </c>
      <c r="B365" s="1" t="s">
        <v>16</v>
      </c>
      <c r="C365" s="1">
        <v>2</v>
      </c>
      <c r="D365" s="1">
        <v>120</v>
      </c>
      <c r="E365" s="1">
        <v>25</v>
      </c>
      <c r="F365" s="1">
        <v>7</v>
      </c>
      <c r="G365" s="1">
        <v>25</v>
      </c>
      <c r="H365" s="1">
        <v>150</v>
      </c>
      <c r="I365" s="1">
        <v>100</v>
      </c>
      <c r="J365" s="1">
        <v>3.6880000000000002</v>
      </c>
      <c r="K365" s="1">
        <v>17.623999999999999</v>
      </c>
      <c r="L365" s="1">
        <v>29.51</v>
      </c>
      <c r="M365" s="1">
        <v>92.7</v>
      </c>
      <c r="N365" s="1">
        <v>4.7539999999999999E-2</v>
      </c>
      <c r="O365" s="1">
        <v>2.4719999999999999E-4</v>
      </c>
      <c r="P3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0.36368304113188193</v>
      </c>
      <c r="Q365" s="1">
        <f>LN(Table13[[#This Row],[qe_mg_g]]-Table13[[#This Row],[qt]])</f>
        <v>1.201264227100701</v>
      </c>
      <c r="R365" s="1">
        <v>1</v>
      </c>
    </row>
    <row r="366" spans="1:18" x14ac:dyDescent="0.3">
      <c r="A366" s="1">
        <v>365</v>
      </c>
      <c r="B366" s="1" t="s">
        <v>16</v>
      </c>
      <c r="C366" s="1">
        <v>2</v>
      </c>
      <c r="D366" s="1">
        <v>120</v>
      </c>
      <c r="E366" s="1">
        <v>25</v>
      </c>
      <c r="F366" s="1">
        <v>7</v>
      </c>
      <c r="G366" s="1">
        <v>25</v>
      </c>
      <c r="H366" s="1">
        <v>150</v>
      </c>
      <c r="I366" s="1">
        <v>100</v>
      </c>
      <c r="J366" s="1">
        <v>3.8370000000000002</v>
      </c>
      <c r="K366" s="1">
        <v>17.327000000000002</v>
      </c>
      <c r="L366" s="1">
        <v>30.69</v>
      </c>
      <c r="M366" s="1">
        <v>70.5</v>
      </c>
      <c r="N366" s="1">
        <v>5.0799999999999998E-2</v>
      </c>
      <c r="O366" s="1">
        <v>3.2019999999999998E-4</v>
      </c>
      <c r="P3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0.49301357593299178</v>
      </c>
      <c r="Q366" s="1">
        <f>LN(Table13[[#This Row],[qe_mg_g]]-Table13[[#This Row],[qt]])</f>
        <v>1.2071636354256401</v>
      </c>
      <c r="R366" s="1">
        <v>2</v>
      </c>
    </row>
    <row r="367" spans="1:18" x14ac:dyDescent="0.3">
      <c r="A367" s="1">
        <v>366</v>
      </c>
      <c r="B367" s="1" t="s">
        <v>16</v>
      </c>
      <c r="C367" s="1">
        <v>2</v>
      </c>
      <c r="D367" s="1">
        <v>120</v>
      </c>
      <c r="E367" s="1">
        <v>25</v>
      </c>
      <c r="F367" s="1">
        <v>7</v>
      </c>
      <c r="G367" s="1">
        <v>25</v>
      </c>
      <c r="H367" s="1">
        <v>150</v>
      </c>
      <c r="I367" s="1">
        <v>100</v>
      </c>
      <c r="J367" s="1">
        <v>3.5779999999999998</v>
      </c>
      <c r="K367" s="1">
        <v>17.843</v>
      </c>
      <c r="L367" s="1">
        <v>28.63</v>
      </c>
      <c r="M367" s="1">
        <v>54.4</v>
      </c>
      <c r="N367" s="1">
        <v>4.4060000000000002E-2</v>
      </c>
      <c r="O367" s="1">
        <v>2.745E-4</v>
      </c>
      <c r="P3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0.37723946065055836</v>
      </c>
      <c r="Q367" s="1">
        <f>LN(Table13[[#This Row],[qe_mg_g]]-Table13[[#This Row],[qt]])</f>
        <v>1.1633884501136864</v>
      </c>
      <c r="R367" s="1">
        <v>3</v>
      </c>
    </row>
    <row r="368" spans="1:18" x14ac:dyDescent="0.3">
      <c r="A368" s="1">
        <v>367</v>
      </c>
      <c r="B368" s="1" t="s">
        <v>16</v>
      </c>
      <c r="C368" s="1">
        <v>2</v>
      </c>
      <c r="D368" s="1">
        <v>120</v>
      </c>
      <c r="E368" s="1">
        <v>25</v>
      </c>
      <c r="F368" s="1">
        <v>11</v>
      </c>
      <c r="G368" s="1">
        <v>25</v>
      </c>
      <c r="H368" s="1">
        <v>150</v>
      </c>
      <c r="I368" s="1">
        <v>100</v>
      </c>
      <c r="J368" s="1">
        <v>2.613</v>
      </c>
      <c r="K368" s="1">
        <v>19.773</v>
      </c>
      <c r="L368" s="1">
        <v>20.91</v>
      </c>
      <c r="M368" s="1">
        <v>72.599999999999994</v>
      </c>
      <c r="N368" s="1">
        <v>5.2510000000000001E-2</v>
      </c>
      <c r="O368" s="1">
        <v>3.1179999999999999E-4</v>
      </c>
      <c r="P3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0.23271565853830201</v>
      </c>
      <c r="Q368" s="1">
        <f>LN(Table13[[#This Row],[qe_mg_g]]-Table13[[#This Row],[qt]])</f>
        <v>0.86721995174966171</v>
      </c>
      <c r="R368" s="1">
        <v>1</v>
      </c>
    </row>
    <row r="369" spans="1:18" x14ac:dyDescent="0.3">
      <c r="A369" s="1">
        <v>368</v>
      </c>
      <c r="B369" s="1" t="s">
        <v>16</v>
      </c>
      <c r="C369" s="1">
        <v>2</v>
      </c>
      <c r="D369" s="1">
        <v>120</v>
      </c>
      <c r="E369" s="1">
        <v>25</v>
      </c>
      <c r="F369" s="1">
        <v>11</v>
      </c>
      <c r="G369" s="1">
        <v>25</v>
      </c>
      <c r="H369" s="1">
        <v>150</v>
      </c>
      <c r="I369" s="1">
        <v>100</v>
      </c>
      <c r="J369" s="1">
        <v>2.4790000000000001</v>
      </c>
      <c r="K369" s="1">
        <v>20.042999999999999</v>
      </c>
      <c r="L369" s="1">
        <v>19.829999999999998</v>
      </c>
      <c r="M369" s="1">
        <v>71.099999999999994</v>
      </c>
      <c r="N369" s="1">
        <v>5.0380000000000001E-2</v>
      </c>
      <c r="O369" s="1">
        <v>2.8170000000000002E-4</v>
      </c>
      <c r="P3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0.19167786061023087</v>
      </c>
      <c r="Q369" s="1">
        <f>LN(Table13[[#This Row],[qe_mg_g]]-Table13[[#This Row],[qt]])</f>
        <v>0.8273817618723649</v>
      </c>
      <c r="R369" s="1">
        <v>2</v>
      </c>
    </row>
    <row r="370" spans="1:18" x14ac:dyDescent="0.3">
      <c r="A370" s="1">
        <v>369</v>
      </c>
      <c r="B370" s="1" t="s">
        <v>16</v>
      </c>
      <c r="C370" s="1">
        <v>2</v>
      </c>
      <c r="D370" s="1">
        <v>120</v>
      </c>
      <c r="E370" s="1">
        <v>25</v>
      </c>
      <c r="F370" s="1">
        <v>11</v>
      </c>
      <c r="G370" s="1">
        <v>25</v>
      </c>
      <c r="H370" s="1">
        <v>150</v>
      </c>
      <c r="I370" s="1">
        <v>100</v>
      </c>
      <c r="J370" s="1">
        <v>2.7109999999999999</v>
      </c>
      <c r="K370" s="1">
        <v>19.577000000000002</v>
      </c>
      <c r="L370" s="1">
        <v>21.69</v>
      </c>
      <c r="M370" s="1">
        <v>66.8</v>
      </c>
      <c r="N370" s="1">
        <v>4.147E-2</v>
      </c>
      <c r="O370" s="1">
        <v>3.1940000000000001E-4</v>
      </c>
      <c r="P3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0.25517764432243834</v>
      </c>
      <c r="Q370" s="1">
        <f>LN(Table13[[#This Row],[qe_mg_g]]-Table13[[#This Row],[qt]])</f>
        <v>0.8984616769187227</v>
      </c>
      <c r="R370" s="1">
        <v>3</v>
      </c>
    </row>
    <row r="371" spans="1:18" x14ac:dyDescent="0.3">
      <c r="A371" s="1">
        <v>370</v>
      </c>
      <c r="B371" s="1" t="s">
        <v>16</v>
      </c>
      <c r="C371" s="1">
        <v>2</v>
      </c>
      <c r="D371" s="1">
        <v>120</v>
      </c>
      <c r="E371" s="1">
        <v>50</v>
      </c>
      <c r="F371" s="1">
        <v>3</v>
      </c>
      <c r="G371" s="1">
        <v>25</v>
      </c>
      <c r="H371" s="1">
        <v>150</v>
      </c>
      <c r="I371" s="1">
        <v>100</v>
      </c>
      <c r="J371" s="1">
        <v>6.98</v>
      </c>
      <c r="K371" s="1">
        <v>36.039000000000001</v>
      </c>
      <c r="L371" s="1">
        <v>27.92</v>
      </c>
      <c r="M371" s="1">
        <v>70.900000000000006</v>
      </c>
      <c r="N371" s="1">
        <v>4.1009999999999998E-2</v>
      </c>
      <c r="O371" s="1">
        <v>2.8689999999999998E-4</v>
      </c>
      <c r="P3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1.3523630328299894</v>
      </c>
      <c r="Q371" s="1">
        <f>LN(Table13[[#This Row],[qe_mg_g]]-Table13[[#This Row],[qt]])</f>
        <v>1.7276896324043873</v>
      </c>
      <c r="R371" s="1">
        <v>1</v>
      </c>
    </row>
    <row r="372" spans="1:18" x14ac:dyDescent="0.3">
      <c r="A372" s="1">
        <v>371</v>
      </c>
      <c r="B372" s="1" t="s">
        <v>16</v>
      </c>
      <c r="C372" s="1">
        <v>2</v>
      </c>
      <c r="D372" s="1">
        <v>120</v>
      </c>
      <c r="E372" s="1">
        <v>50</v>
      </c>
      <c r="F372" s="1">
        <v>3</v>
      </c>
      <c r="G372" s="1">
        <v>25</v>
      </c>
      <c r="H372" s="1">
        <v>150</v>
      </c>
      <c r="I372" s="1">
        <v>100</v>
      </c>
      <c r="J372" s="1">
        <v>7.4560000000000004</v>
      </c>
      <c r="K372" s="1">
        <v>35.088000000000001</v>
      </c>
      <c r="L372" s="1">
        <v>29.82</v>
      </c>
      <c r="M372" s="1">
        <v>62.9</v>
      </c>
      <c r="N372" s="1">
        <v>5.2769999999999997E-2</v>
      </c>
      <c r="O372" s="1">
        <v>2.8800000000000001E-4</v>
      </c>
      <c r="P3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1.5276209257023985</v>
      </c>
      <c r="Q372" s="1">
        <f>LN(Table13[[#This Row],[qe_mg_g]]-Table13[[#This Row],[qt]])</f>
        <v>1.7797508323557796</v>
      </c>
      <c r="R372" s="1">
        <v>2</v>
      </c>
    </row>
    <row r="373" spans="1:18" x14ac:dyDescent="0.3">
      <c r="A373" s="1">
        <v>372</v>
      </c>
      <c r="B373" s="1" t="s">
        <v>16</v>
      </c>
      <c r="C373" s="1">
        <v>2</v>
      </c>
      <c r="D373" s="1">
        <v>120</v>
      </c>
      <c r="E373" s="1">
        <v>50</v>
      </c>
      <c r="F373" s="1">
        <v>3</v>
      </c>
      <c r="G373" s="1">
        <v>25</v>
      </c>
      <c r="H373" s="1">
        <v>150</v>
      </c>
      <c r="I373" s="1">
        <v>100</v>
      </c>
      <c r="J373" s="1">
        <v>7.1749999999999998</v>
      </c>
      <c r="K373" s="1">
        <v>35.65</v>
      </c>
      <c r="L373" s="1">
        <v>28.7</v>
      </c>
      <c r="M373" s="1">
        <v>76</v>
      </c>
      <c r="N373" s="1">
        <v>3.8620000000000002E-2</v>
      </c>
      <c r="O373" s="1">
        <v>2.4719999999999999E-4</v>
      </c>
      <c r="P3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1.2591292069055815</v>
      </c>
      <c r="Q373" s="1">
        <f>LN(Table13[[#This Row],[qe_mg_g]]-Table13[[#This Row],[qt]])</f>
        <v>1.7776387043623199</v>
      </c>
      <c r="R373" s="1">
        <v>3</v>
      </c>
    </row>
    <row r="374" spans="1:18" x14ac:dyDescent="0.3">
      <c r="A374" s="1">
        <v>373</v>
      </c>
      <c r="B374" s="1" t="s">
        <v>16</v>
      </c>
      <c r="C374" s="1">
        <v>2</v>
      </c>
      <c r="D374" s="1">
        <v>120</v>
      </c>
      <c r="E374" s="1">
        <v>50</v>
      </c>
      <c r="F374" s="1">
        <v>7</v>
      </c>
      <c r="G374" s="1">
        <v>25</v>
      </c>
      <c r="H374" s="1">
        <v>150</v>
      </c>
      <c r="I374" s="1">
        <v>100</v>
      </c>
      <c r="J374" s="1">
        <v>9.7089999999999996</v>
      </c>
      <c r="K374" s="1">
        <v>30.582999999999998</v>
      </c>
      <c r="L374" s="1">
        <v>38.83</v>
      </c>
      <c r="M374" s="1">
        <v>79.3</v>
      </c>
      <c r="N374" s="1">
        <v>4.2520000000000002E-2</v>
      </c>
      <c r="O374" s="1">
        <v>3.7669999999999999E-4</v>
      </c>
      <c r="P3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2.9614171782058154</v>
      </c>
      <c r="Q374" s="1">
        <f>LN(Table13[[#This Row],[qe_mg_g]]-Table13[[#This Row],[qt]])</f>
        <v>1.9091843402762165</v>
      </c>
      <c r="R374" s="1">
        <v>1</v>
      </c>
    </row>
    <row r="375" spans="1:18" x14ac:dyDescent="0.3">
      <c r="A375" s="1">
        <v>374</v>
      </c>
      <c r="B375" s="1" t="s">
        <v>16</v>
      </c>
      <c r="C375" s="1">
        <v>2</v>
      </c>
      <c r="D375" s="1">
        <v>120</v>
      </c>
      <c r="E375" s="1">
        <v>50</v>
      </c>
      <c r="F375" s="1">
        <v>7</v>
      </c>
      <c r="G375" s="1">
        <v>25</v>
      </c>
      <c r="H375" s="1">
        <v>150</v>
      </c>
      <c r="I375" s="1">
        <v>100</v>
      </c>
      <c r="J375" s="1">
        <v>10.558999999999999</v>
      </c>
      <c r="K375" s="1">
        <v>28.882000000000001</v>
      </c>
      <c r="L375" s="1">
        <v>42.24</v>
      </c>
      <c r="M375" s="1">
        <v>68.5</v>
      </c>
      <c r="N375" s="1">
        <v>5.194E-2</v>
      </c>
      <c r="O375" s="1">
        <v>3.6019999999999997E-4</v>
      </c>
      <c r="P3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3.3089423689423989</v>
      </c>
      <c r="Q375" s="1">
        <f>LN(Table13[[#This Row],[qe_mg_g]]-Table13[[#This Row],[qt]])</f>
        <v>1.9810094179463826</v>
      </c>
      <c r="R375" s="1">
        <v>2</v>
      </c>
    </row>
    <row r="376" spans="1:18" x14ac:dyDescent="0.3">
      <c r="A376" s="1">
        <v>375</v>
      </c>
      <c r="B376" s="1" t="s">
        <v>16</v>
      </c>
      <c r="C376" s="1">
        <v>2</v>
      </c>
      <c r="D376" s="1">
        <v>120</v>
      </c>
      <c r="E376" s="1">
        <v>50</v>
      </c>
      <c r="F376" s="1">
        <v>7</v>
      </c>
      <c r="G376" s="1">
        <v>25</v>
      </c>
      <c r="H376" s="1">
        <v>150</v>
      </c>
      <c r="I376" s="1">
        <v>100</v>
      </c>
      <c r="J376" s="1">
        <v>12.882</v>
      </c>
      <c r="K376" s="1">
        <v>24.236000000000001</v>
      </c>
      <c r="L376" s="1">
        <v>51.53</v>
      </c>
      <c r="M376" s="1">
        <v>78.8</v>
      </c>
      <c r="N376" s="1">
        <v>4.9610000000000001E-2</v>
      </c>
      <c r="O376" s="1">
        <v>3.1780000000000003E-4</v>
      </c>
      <c r="P3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4.2437133777176479</v>
      </c>
      <c r="Q376" s="1">
        <f>LN(Table13[[#This Row],[qe_mg_g]]-Table13[[#This Row],[qt]])</f>
        <v>2.1562042555442016</v>
      </c>
      <c r="R376" s="1">
        <v>3</v>
      </c>
    </row>
    <row r="377" spans="1:18" x14ac:dyDescent="0.3">
      <c r="A377" s="1">
        <v>376</v>
      </c>
      <c r="B377" s="1" t="s">
        <v>16</v>
      </c>
      <c r="C377" s="1">
        <v>2</v>
      </c>
      <c r="D377" s="1">
        <v>120</v>
      </c>
      <c r="E377" s="1">
        <v>50</v>
      </c>
      <c r="F377" s="1">
        <v>11</v>
      </c>
      <c r="G377" s="1">
        <v>25</v>
      </c>
      <c r="H377" s="1">
        <v>150</v>
      </c>
      <c r="I377" s="1">
        <v>100</v>
      </c>
      <c r="J377" s="1">
        <v>9.1310000000000002</v>
      </c>
      <c r="K377" s="1">
        <v>31.738</v>
      </c>
      <c r="L377" s="1">
        <v>36.520000000000003</v>
      </c>
      <c r="M377" s="1">
        <v>61.2</v>
      </c>
      <c r="N377" s="1">
        <v>4.1320000000000003E-2</v>
      </c>
      <c r="O377" s="1">
        <v>2.9990000000000003E-4</v>
      </c>
      <c r="P3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2.2583853508708152</v>
      </c>
      <c r="Q377" s="1">
        <f>LN(Table13[[#This Row],[qe_mg_g]]-Table13[[#This Row],[qt]])</f>
        <v>1.92754462322138</v>
      </c>
      <c r="R377" s="1">
        <v>1</v>
      </c>
    </row>
    <row r="378" spans="1:18" x14ac:dyDescent="0.3">
      <c r="A378" s="1">
        <v>377</v>
      </c>
      <c r="B378" s="1" t="s">
        <v>16</v>
      </c>
      <c r="C378" s="1">
        <v>2</v>
      </c>
      <c r="D378" s="1">
        <v>120</v>
      </c>
      <c r="E378" s="1">
        <v>50</v>
      </c>
      <c r="F378" s="1">
        <v>11</v>
      </c>
      <c r="G378" s="1">
        <v>25</v>
      </c>
      <c r="H378" s="1">
        <v>150</v>
      </c>
      <c r="I378" s="1">
        <v>100</v>
      </c>
      <c r="J378" s="1">
        <v>8.4789999999999992</v>
      </c>
      <c r="K378" s="1">
        <v>33.042999999999999</v>
      </c>
      <c r="L378" s="1">
        <v>33.909999999999997</v>
      </c>
      <c r="M378" s="1">
        <v>62.1</v>
      </c>
      <c r="N378" s="1">
        <v>4.8129999999999999E-2</v>
      </c>
      <c r="O378" s="1">
        <v>3.2870000000000002E-4</v>
      </c>
      <c r="P3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2.1250508265755728</v>
      </c>
      <c r="Q378" s="1">
        <f>LN(Table13[[#This Row],[qe_mg_g]]-Table13[[#This Row],[qt]])</f>
        <v>1.8490765366690338</v>
      </c>
      <c r="R378" s="1">
        <v>2</v>
      </c>
    </row>
    <row r="379" spans="1:18" x14ac:dyDescent="0.3">
      <c r="A379" s="1">
        <v>378</v>
      </c>
      <c r="B379" s="1" t="s">
        <v>16</v>
      </c>
      <c r="C379" s="1">
        <v>2</v>
      </c>
      <c r="D379" s="1">
        <v>120</v>
      </c>
      <c r="E379" s="1">
        <v>50</v>
      </c>
      <c r="F379" s="1">
        <v>11</v>
      </c>
      <c r="G379" s="1">
        <v>25</v>
      </c>
      <c r="H379" s="1">
        <v>150</v>
      </c>
      <c r="I379" s="1">
        <v>100</v>
      </c>
      <c r="J379" s="1">
        <v>8.6560000000000006</v>
      </c>
      <c r="K379" s="1">
        <v>32.686999999999998</v>
      </c>
      <c r="L379" s="1">
        <v>34.630000000000003</v>
      </c>
      <c r="M379" s="1">
        <v>81.400000000000006</v>
      </c>
      <c r="N379" s="1">
        <v>3.986E-2</v>
      </c>
      <c r="O379" s="1">
        <v>2.942E-4</v>
      </c>
      <c r="P3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2.0260544895736081</v>
      </c>
      <c r="Q379" s="1">
        <f>LN(Table13[[#This Row],[qe_mg_g]]-Table13[[#This Row],[qt]])</f>
        <v>1.8915965855254446</v>
      </c>
      <c r="R379" s="1">
        <v>3</v>
      </c>
    </row>
    <row r="380" spans="1:18" x14ac:dyDescent="0.3">
      <c r="A380" s="1">
        <v>379</v>
      </c>
      <c r="B380" s="1" t="s">
        <v>16</v>
      </c>
      <c r="C380" s="1">
        <v>2</v>
      </c>
      <c r="D380" s="1">
        <v>120</v>
      </c>
      <c r="E380" s="1">
        <v>100</v>
      </c>
      <c r="F380" s="1">
        <v>3</v>
      </c>
      <c r="G380" s="1">
        <v>25</v>
      </c>
      <c r="H380" s="1">
        <v>150</v>
      </c>
      <c r="I380" s="1">
        <v>100</v>
      </c>
      <c r="J380" s="1">
        <v>18.943000000000001</v>
      </c>
      <c r="K380" s="1">
        <v>62.113999999999997</v>
      </c>
      <c r="L380" s="1">
        <v>37.89</v>
      </c>
      <c r="M380" s="1">
        <v>48</v>
      </c>
      <c r="N380" s="1">
        <v>4.4630000000000003E-2</v>
      </c>
      <c r="O380" s="1">
        <v>2.9629999999999999E-4</v>
      </c>
      <c r="P3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7.6238618430871563</v>
      </c>
      <c r="Q380" s="1">
        <f>LN(Table13[[#This Row],[qe_mg_g]]-Table13[[#This Row],[qt]])</f>
        <v>2.4264949353283201</v>
      </c>
      <c r="R380" s="1">
        <v>1</v>
      </c>
    </row>
    <row r="381" spans="1:18" x14ac:dyDescent="0.3">
      <c r="A381" s="1">
        <v>380</v>
      </c>
      <c r="B381" s="1" t="s">
        <v>16</v>
      </c>
      <c r="C381" s="1">
        <v>2</v>
      </c>
      <c r="D381" s="1">
        <v>120</v>
      </c>
      <c r="E381" s="1">
        <v>100</v>
      </c>
      <c r="F381" s="1">
        <v>3</v>
      </c>
      <c r="G381" s="1">
        <v>25</v>
      </c>
      <c r="H381" s="1">
        <v>150</v>
      </c>
      <c r="I381" s="1">
        <v>100</v>
      </c>
      <c r="J381" s="1">
        <v>22.527999999999999</v>
      </c>
      <c r="K381" s="1">
        <v>54.942999999999998</v>
      </c>
      <c r="L381" s="1">
        <v>45.06</v>
      </c>
      <c r="M381" s="1">
        <v>73</v>
      </c>
      <c r="N381" s="1">
        <v>4.0390000000000002E-2</v>
      </c>
      <c r="O381" s="1">
        <v>3.5560000000000002E-4</v>
      </c>
      <c r="P3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11.041827654682848</v>
      </c>
      <c r="Q381" s="1">
        <f>LN(Table13[[#This Row],[qe_mg_g]]-Table13[[#This Row],[qt]])</f>
        <v>2.4411439071455838</v>
      </c>
      <c r="R381" s="1">
        <v>2</v>
      </c>
    </row>
    <row r="382" spans="1:18" x14ac:dyDescent="0.3">
      <c r="A382" s="1">
        <v>381</v>
      </c>
      <c r="B382" s="1" t="s">
        <v>16</v>
      </c>
      <c r="C382" s="1">
        <v>2</v>
      </c>
      <c r="D382" s="1">
        <v>120</v>
      </c>
      <c r="E382" s="1">
        <v>100</v>
      </c>
      <c r="F382" s="1">
        <v>3</v>
      </c>
      <c r="G382" s="1">
        <v>25</v>
      </c>
      <c r="H382" s="1">
        <v>150</v>
      </c>
      <c r="I382" s="1">
        <v>100</v>
      </c>
      <c r="J382" s="1">
        <v>22.058</v>
      </c>
      <c r="K382" s="1">
        <v>55.884</v>
      </c>
      <c r="L382" s="1">
        <v>44.12</v>
      </c>
      <c r="M382" s="1">
        <v>72.5</v>
      </c>
      <c r="N382" s="1">
        <v>4.3979999999999998E-2</v>
      </c>
      <c r="O382" s="1">
        <v>2.7119999999999998E-4</v>
      </c>
      <c r="P3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9.2175723084405163</v>
      </c>
      <c r="Q382" s="1">
        <f>LN(Table13[[#This Row],[qe_mg_g]]-Table13[[#This Row],[qt]])</f>
        <v>2.5525986070185587</v>
      </c>
      <c r="R382" s="1">
        <v>3</v>
      </c>
    </row>
    <row r="383" spans="1:18" x14ac:dyDescent="0.3">
      <c r="A383" s="1">
        <v>382</v>
      </c>
      <c r="B383" s="1" t="s">
        <v>16</v>
      </c>
      <c r="C383" s="1">
        <v>2</v>
      </c>
      <c r="D383" s="1">
        <v>120</v>
      </c>
      <c r="E383" s="1">
        <v>100</v>
      </c>
      <c r="F383" s="1">
        <v>7</v>
      </c>
      <c r="G383" s="1">
        <v>25</v>
      </c>
      <c r="H383" s="1">
        <v>150</v>
      </c>
      <c r="I383" s="1">
        <v>100</v>
      </c>
      <c r="J383" s="1">
        <v>29.123000000000001</v>
      </c>
      <c r="K383" s="1">
        <v>41.753</v>
      </c>
      <c r="L383" s="1">
        <v>58.25</v>
      </c>
      <c r="M383" s="1">
        <v>77.599999999999994</v>
      </c>
      <c r="N383" s="1">
        <v>5.348E-2</v>
      </c>
      <c r="O383" s="1">
        <v>3.4630000000000001E-4</v>
      </c>
      <c r="P3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15.946575372054447</v>
      </c>
      <c r="Q383" s="1">
        <f>LN(Table13[[#This Row],[qe_mg_g]]-Table13[[#This Row],[qt]])</f>
        <v>2.5784292197350371</v>
      </c>
      <c r="R383" s="1">
        <v>1</v>
      </c>
    </row>
    <row r="384" spans="1:18" x14ac:dyDescent="0.3">
      <c r="A384" s="1">
        <v>383</v>
      </c>
      <c r="B384" s="1" t="s">
        <v>16</v>
      </c>
      <c r="C384" s="1">
        <v>2</v>
      </c>
      <c r="D384" s="1">
        <v>120</v>
      </c>
      <c r="E384" s="1">
        <v>100</v>
      </c>
      <c r="F384" s="1">
        <v>7</v>
      </c>
      <c r="G384" s="1">
        <v>25</v>
      </c>
      <c r="H384" s="1">
        <v>150</v>
      </c>
      <c r="I384" s="1">
        <v>100</v>
      </c>
      <c r="J384" s="1">
        <v>28.843</v>
      </c>
      <c r="K384" s="1">
        <v>42.313000000000002</v>
      </c>
      <c r="L384" s="1">
        <v>57.69</v>
      </c>
      <c r="M384" s="1">
        <v>55.5</v>
      </c>
      <c r="N384" s="1">
        <v>4.5629999999999997E-2</v>
      </c>
      <c r="O384" s="1">
        <v>2.4689999999999998E-4</v>
      </c>
      <c r="P3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13.290527328961563</v>
      </c>
      <c r="Q384" s="1">
        <f>LN(Table13[[#This Row],[qe_mg_g]]-Table13[[#This Row],[qt]])</f>
        <v>2.7442196401985135</v>
      </c>
      <c r="R384" s="1">
        <v>2</v>
      </c>
    </row>
    <row r="385" spans="1:18" x14ac:dyDescent="0.3">
      <c r="A385" s="1">
        <v>384</v>
      </c>
      <c r="B385" s="1" t="s">
        <v>16</v>
      </c>
      <c r="C385" s="1">
        <v>2</v>
      </c>
      <c r="D385" s="1">
        <v>120</v>
      </c>
      <c r="E385" s="1">
        <v>100</v>
      </c>
      <c r="F385" s="1">
        <v>7</v>
      </c>
      <c r="G385" s="1">
        <v>25</v>
      </c>
      <c r="H385" s="1">
        <v>150</v>
      </c>
      <c r="I385" s="1">
        <v>100</v>
      </c>
      <c r="J385" s="1">
        <v>30.792999999999999</v>
      </c>
      <c r="K385" s="1">
        <v>38.412999999999997</v>
      </c>
      <c r="L385" s="1">
        <v>61.59</v>
      </c>
      <c r="M385" s="1">
        <v>65.2</v>
      </c>
      <c r="N385" s="1">
        <v>4.2900000000000001E-2</v>
      </c>
      <c r="O385" s="1">
        <v>2.522E-4</v>
      </c>
      <c r="P3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14.85392885392868</v>
      </c>
      <c r="Q385" s="1">
        <f>LN(Table13[[#This Row],[qe_mg_g]]-Table13[[#This Row],[qt]])</f>
        <v>2.7687733997740658</v>
      </c>
      <c r="R385" s="1">
        <v>3</v>
      </c>
    </row>
    <row r="386" spans="1:18" x14ac:dyDescent="0.3">
      <c r="A386" s="1">
        <v>385</v>
      </c>
      <c r="B386" s="1" t="s">
        <v>16</v>
      </c>
      <c r="C386" s="1">
        <v>2</v>
      </c>
      <c r="D386" s="1">
        <v>120</v>
      </c>
      <c r="E386" s="1">
        <v>100</v>
      </c>
      <c r="F386" s="1">
        <v>11</v>
      </c>
      <c r="G386" s="1">
        <v>25</v>
      </c>
      <c r="H386" s="1">
        <v>150</v>
      </c>
      <c r="I386" s="1">
        <v>100</v>
      </c>
      <c r="J386" s="1">
        <v>24.972000000000001</v>
      </c>
      <c r="K386" s="1">
        <v>50.055</v>
      </c>
      <c r="L386" s="1">
        <v>49.94</v>
      </c>
      <c r="M386" s="1">
        <v>61.3</v>
      </c>
      <c r="N386" s="1">
        <v>3.9739999999999998E-2</v>
      </c>
      <c r="O386" s="1">
        <v>2.1379999999999999E-4</v>
      </c>
      <c r="P3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9.7514968183077695</v>
      </c>
      <c r="Q386" s="1">
        <f>LN(Table13[[#This Row],[qe_mg_g]]-Table13[[#This Row],[qt]])</f>
        <v>2.722643412445017</v>
      </c>
      <c r="R386" s="1">
        <v>1</v>
      </c>
    </row>
    <row r="387" spans="1:18" x14ac:dyDescent="0.3">
      <c r="A387" s="1">
        <v>386</v>
      </c>
      <c r="B387" s="1" t="s">
        <v>16</v>
      </c>
      <c r="C387" s="1">
        <v>2</v>
      </c>
      <c r="D387" s="1">
        <v>120</v>
      </c>
      <c r="E387" s="1">
        <v>100</v>
      </c>
      <c r="F387" s="1">
        <v>11</v>
      </c>
      <c r="G387" s="1">
        <v>25</v>
      </c>
      <c r="H387" s="1">
        <v>150</v>
      </c>
      <c r="I387" s="1">
        <v>100</v>
      </c>
      <c r="J387" s="1">
        <v>23.934000000000001</v>
      </c>
      <c r="K387" s="1">
        <v>52.131999999999998</v>
      </c>
      <c r="L387" s="1">
        <v>47.87</v>
      </c>
      <c r="M387" s="1">
        <v>84.4</v>
      </c>
      <c r="N387" s="1">
        <v>5.2479999999999999E-2</v>
      </c>
      <c r="O387" s="1">
        <v>2.8630000000000002E-4</v>
      </c>
      <c r="P3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10.799879054323801</v>
      </c>
      <c r="Q387" s="1">
        <f>LN(Table13[[#This Row],[qe_mg_g]]-Table13[[#This Row],[qt]])</f>
        <v>2.5752134963205804</v>
      </c>
      <c r="R387" s="1">
        <v>2</v>
      </c>
    </row>
    <row r="388" spans="1:18" x14ac:dyDescent="0.3">
      <c r="A388" s="1">
        <v>387</v>
      </c>
      <c r="B388" s="1" t="s">
        <v>16</v>
      </c>
      <c r="C388" s="1">
        <v>2</v>
      </c>
      <c r="D388" s="1">
        <v>120</v>
      </c>
      <c r="E388" s="1">
        <v>100</v>
      </c>
      <c r="F388" s="1">
        <v>11</v>
      </c>
      <c r="G388" s="1">
        <v>25</v>
      </c>
      <c r="H388" s="1">
        <v>150</v>
      </c>
      <c r="I388" s="1">
        <v>100</v>
      </c>
      <c r="J388" s="1">
        <v>22.831</v>
      </c>
      <c r="K388" s="1">
        <v>54.337000000000003</v>
      </c>
      <c r="L388" s="1">
        <v>45.66</v>
      </c>
      <c r="M388" s="1">
        <v>71.400000000000006</v>
      </c>
      <c r="N388" s="1">
        <v>4.0509999999999997E-2</v>
      </c>
      <c r="O388" s="1">
        <v>3.0909999999999998E-4</v>
      </c>
      <c r="P3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10.468852831171461</v>
      </c>
      <c r="Q388" s="1">
        <f>LN(Table13[[#This Row],[qe_mg_g]]-Table13[[#This Row],[qt]])</f>
        <v>2.5146391561030037</v>
      </c>
      <c r="R388" s="1">
        <v>3</v>
      </c>
    </row>
    <row r="389" spans="1:18" x14ac:dyDescent="0.3">
      <c r="A389" s="1">
        <v>388</v>
      </c>
      <c r="B389" s="1" t="s">
        <v>16</v>
      </c>
      <c r="C389" s="1">
        <v>2</v>
      </c>
      <c r="D389" s="1">
        <v>120</v>
      </c>
      <c r="E389" s="1">
        <v>200</v>
      </c>
      <c r="F389" s="1">
        <v>3</v>
      </c>
      <c r="G389" s="1">
        <v>25</v>
      </c>
      <c r="H389" s="1">
        <v>150</v>
      </c>
      <c r="I389" s="1">
        <v>100</v>
      </c>
      <c r="J389" s="1">
        <v>53.960999999999999</v>
      </c>
      <c r="K389" s="1">
        <v>92.076999999999998</v>
      </c>
      <c r="L389" s="1">
        <v>53.96</v>
      </c>
      <c r="M389" s="1">
        <v>78.900000000000006</v>
      </c>
      <c r="N389" s="1">
        <v>4.4549999999999999E-2</v>
      </c>
      <c r="O389" s="1">
        <v>2.9389999999999999E-4</v>
      </c>
      <c r="P3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35.373605778758964</v>
      </c>
      <c r="Q389" s="1">
        <f>LN(Table13[[#This Row],[qe_mg_g]]-Table13[[#This Row],[qt]])</f>
        <v>2.9224836209155294</v>
      </c>
      <c r="R389" s="1">
        <v>1</v>
      </c>
    </row>
    <row r="390" spans="1:18" x14ac:dyDescent="0.3">
      <c r="A390" s="1">
        <v>389</v>
      </c>
      <c r="B390" s="1" t="s">
        <v>16</v>
      </c>
      <c r="C390" s="1">
        <v>2</v>
      </c>
      <c r="D390" s="1">
        <v>120</v>
      </c>
      <c r="E390" s="1">
        <v>200</v>
      </c>
      <c r="F390" s="1">
        <v>3</v>
      </c>
      <c r="G390" s="1">
        <v>25</v>
      </c>
      <c r="H390" s="1">
        <v>150</v>
      </c>
      <c r="I390" s="1">
        <v>100</v>
      </c>
      <c r="J390" s="1">
        <v>47.274000000000001</v>
      </c>
      <c r="K390" s="1">
        <v>105.452</v>
      </c>
      <c r="L390" s="1">
        <v>47.27</v>
      </c>
      <c r="M390" s="1">
        <v>58.4</v>
      </c>
      <c r="N390" s="1">
        <v>4.3979999999999998E-2</v>
      </c>
      <c r="O390" s="1">
        <v>3.1100000000000002E-4</v>
      </c>
      <c r="P3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30.172170627361695</v>
      </c>
      <c r="Q390" s="1">
        <f>LN(Table13[[#This Row],[qe_mg_g]]-Table13[[#This Row],[qt]])</f>
        <v>2.8391854386426116</v>
      </c>
      <c r="R390" s="1">
        <v>2</v>
      </c>
    </row>
    <row r="391" spans="1:18" x14ac:dyDescent="0.3">
      <c r="A391" s="1">
        <v>390</v>
      </c>
      <c r="B391" s="1" t="s">
        <v>16</v>
      </c>
      <c r="C391" s="1">
        <v>2</v>
      </c>
      <c r="D391" s="1">
        <v>120</v>
      </c>
      <c r="E391" s="1">
        <v>200</v>
      </c>
      <c r="F391" s="1">
        <v>3</v>
      </c>
      <c r="G391" s="1">
        <v>25</v>
      </c>
      <c r="H391" s="1">
        <v>150</v>
      </c>
      <c r="I391" s="1">
        <v>100</v>
      </c>
      <c r="J391" s="1">
        <v>54.561</v>
      </c>
      <c r="K391" s="1">
        <v>90.876999999999995</v>
      </c>
      <c r="L391" s="1">
        <v>54.56</v>
      </c>
      <c r="M391" s="1">
        <v>58.6</v>
      </c>
      <c r="N391" s="1">
        <v>5.1720000000000002E-2</v>
      </c>
      <c r="O391" s="1">
        <v>2.9189999999999999E-4</v>
      </c>
      <c r="P3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35.819003941152431</v>
      </c>
      <c r="Q391" s="1">
        <f>LN(Table13[[#This Row],[qe_mg_g]]-Table13[[#This Row],[qt]])</f>
        <v>2.9307667844170919</v>
      </c>
      <c r="R391" s="1">
        <v>3</v>
      </c>
    </row>
    <row r="392" spans="1:18" x14ac:dyDescent="0.3">
      <c r="A392" s="1">
        <v>391</v>
      </c>
      <c r="B392" s="1" t="s">
        <v>16</v>
      </c>
      <c r="C392" s="1">
        <v>2</v>
      </c>
      <c r="D392" s="1">
        <v>120</v>
      </c>
      <c r="E392" s="1">
        <v>200</v>
      </c>
      <c r="F392" s="1">
        <v>7</v>
      </c>
      <c r="G392" s="1">
        <v>25</v>
      </c>
      <c r="H392" s="1">
        <v>150</v>
      </c>
      <c r="I392" s="1">
        <v>100</v>
      </c>
      <c r="J392" s="1">
        <v>72.665999999999997</v>
      </c>
      <c r="K392" s="1">
        <v>54.668999999999997</v>
      </c>
      <c r="L392" s="1">
        <v>72.67</v>
      </c>
      <c r="M392" s="1">
        <v>59.2</v>
      </c>
      <c r="N392" s="1">
        <v>3.4090000000000002E-2</v>
      </c>
      <c r="O392" s="1">
        <v>3.2650000000000002E-4</v>
      </c>
      <c r="P3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53.777260131350168</v>
      </c>
      <c r="Q392" s="1">
        <f>LN(Table13[[#This Row],[qe_mg_g]]-Table13[[#This Row],[qt]])</f>
        <v>2.938565970376148</v>
      </c>
      <c r="R392" s="1">
        <v>1</v>
      </c>
    </row>
    <row r="393" spans="1:18" x14ac:dyDescent="0.3">
      <c r="A393" s="1">
        <v>392</v>
      </c>
      <c r="B393" s="1" t="s">
        <v>16</v>
      </c>
      <c r="C393" s="1">
        <v>2</v>
      </c>
      <c r="D393" s="1">
        <v>120</v>
      </c>
      <c r="E393" s="1">
        <v>200</v>
      </c>
      <c r="F393" s="1">
        <v>7</v>
      </c>
      <c r="G393" s="1">
        <v>25</v>
      </c>
      <c r="H393" s="1">
        <v>150</v>
      </c>
      <c r="I393" s="1">
        <v>100</v>
      </c>
      <c r="J393" s="1">
        <v>77.081000000000003</v>
      </c>
      <c r="K393" s="1">
        <v>45.838000000000001</v>
      </c>
      <c r="L393" s="1">
        <v>77.08</v>
      </c>
      <c r="M393" s="1">
        <v>63.9</v>
      </c>
      <c r="N393" s="1">
        <v>4.53E-2</v>
      </c>
      <c r="O393" s="1">
        <v>3.1550000000000003E-4</v>
      </c>
      <c r="P3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57.408881370476351</v>
      </c>
      <c r="Q393" s="1">
        <f>LN(Table13[[#This Row],[qe_mg_g]]-Table13[[#This Row],[qt]])</f>
        <v>2.9792023352700303</v>
      </c>
      <c r="R393" s="1">
        <v>2</v>
      </c>
    </row>
    <row r="394" spans="1:18" x14ac:dyDescent="0.3">
      <c r="A394" s="1">
        <v>393</v>
      </c>
      <c r="B394" s="1" t="s">
        <v>16</v>
      </c>
      <c r="C394" s="1">
        <v>2</v>
      </c>
      <c r="D394" s="1">
        <v>120</v>
      </c>
      <c r="E394" s="1">
        <v>200</v>
      </c>
      <c r="F394" s="1">
        <v>7</v>
      </c>
      <c r="G394" s="1">
        <v>25</v>
      </c>
      <c r="H394" s="1">
        <v>150</v>
      </c>
      <c r="I394" s="1">
        <v>100</v>
      </c>
      <c r="J394" s="1">
        <v>63.691000000000003</v>
      </c>
      <c r="K394" s="1">
        <v>72.617999999999995</v>
      </c>
      <c r="L394" s="1">
        <v>63.69</v>
      </c>
      <c r="M394" s="1">
        <v>61.4</v>
      </c>
      <c r="N394" s="1">
        <v>4.8570000000000002E-2</v>
      </c>
      <c r="O394" s="1">
        <v>2.6239999999999998E-4</v>
      </c>
      <c r="P3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42.49953328589536</v>
      </c>
      <c r="Q394" s="1">
        <f>LN(Table13[[#This Row],[qe_mg_g]]-Table13[[#This Row],[qt]])</f>
        <v>3.053598587162039</v>
      </c>
      <c r="R394" s="1">
        <v>3</v>
      </c>
    </row>
    <row r="395" spans="1:18" x14ac:dyDescent="0.3">
      <c r="A395" s="1">
        <v>394</v>
      </c>
      <c r="B395" s="1" t="s">
        <v>16</v>
      </c>
      <c r="C395" s="1">
        <v>2</v>
      </c>
      <c r="D395" s="1">
        <v>120</v>
      </c>
      <c r="E395" s="1">
        <v>200</v>
      </c>
      <c r="F395" s="1">
        <v>11</v>
      </c>
      <c r="G395" s="1">
        <v>25</v>
      </c>
      <c r="H395" s="1">
        <v>150</v>
      </c>
      <c r="I395" s="1">
        <v>100</v>
      </c>
      <c r="J395" s="1">
        <v>60.947000000000003</v>
      </c>
      <c r="K395" s="1">
        <v>78.106999999999999</v>
      </c>
      <c r="L395" s="1">
        <v>60.95</v>
      </c>
      <c r="M395" s="1">
        <v>53.1</v>
      </c>
      <c r="N395" s="1">
        <v>4.7100000000000003E-2</v>
      </c>
      <c r="O395" s="1">
        <v>2.989E-4</v>
      </c>
      <c r="P3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41.817652543255832</v>
      </c>
      <c r="Q395" s="1">
        <f>LN(Table13[[#This Row],[qe_mg_g]]-Table13[[#This Row],[qt]])</f>
        <v>2.9512236718794731</v>
      </c>
      <c r="R395" s="1">
        <v>1</v>
      </c>
    </row>
    <row r="396" spans="1:18" x14ac:dyDescent="0.3">
      <c r="A396" s="1">
        <v>395</v>
      </c>
      <c r="B396" s="1" t="s">
        <v>16</v>
      </c>
      <c r="C396" s="1">
        <v>2</v>
      </c>
      <c r="D396" s="1">
        <v>120</v>
      </c>
      <c r="E396" s="1">
        <v>200</v>
      </c>
      <c r="F396" s="1">
        <v>11</v>
      </c>
      <c r="G396" s="1">
        <v>25</v>
      </c>
      <c r="H396" s="1">
        <v>150</v>
      </c>
      <c r="I396" s="1">
        <v>100</v>
      </c>
      <c r="J396" s="1">
        <v>51.853999999999999</v>
      </c>
      <c r="K396" s="1">
        <v>96.292000000000002</v>
      </c>
      <c r="L396" s="1">
        <v>51.85</v>
      </c>
      <c r="M396" s="1">
        <v>78.3</v>
      </c>
      <c r="N396" s="1">
        <v>4.1689999999999998E-2</v>
      </c>
      <c r="O396" s="1">
        <v>2.7569999999999998E-4</v>
      </c>
      <c r="P3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32.75870284667036</v>
      </c>
      <c r="Q396" s="1">
        <f>LN(Table13[[#This Row],[qe_mg_g]]-Table13[[#This Row],[qt]])</f>
        <v>2.9494420823961249</v>
      </c>
      <c r="R396" s="1">
        <v>2</v>
      </c>
    </row>
    <row r="397" spans="1:18" x14ac:dyDescent="0.3">
      <c r="A397" s="1">
        <v>396</v>
      </c>
      <c r="B397" s="1" t="s">
        <v>16</v>
      </c>
      <c r="C397" s="1">
        <v>2</v>
      </c>
      <c r="D397" s="1">
        <v>120</v>
      </c>
      <c r="E397" s="1">
        <v>200</v>
      </c>
      <c r="F397" s="1">
        <v>11</v>
      </c>
      <c r="G397" s="1">
        <v>25</v>
      </c>
      <c r="H397" s="1">
        <v>150</v>
      </c>
      <c r="I397" s="1">
        <v>100</v>
      </c>
      <c r="J397" s="1">
        <v>60.503999999999998</v>
      </c>
      <c r="K397" s="1">
        <v>78.992999999999995</v>
      </c>
      <c r="L397" s="1">
        <v>60.5</v>
      </c>
      <c r="M397" s="1">
        <v>78.2</v>
      </c>
      <c r="N397" s="1">
        <v>4.0430000000000001E-2</v>
      </c>
      <c r="O397" s="1">
        <v>3.0190000000000002E-4</v>
      </c>
      <c r="P3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41.548750019326185</v>
      </c>
      <c r="Q397" s="1">
        <f>LN(Table13[[#This Row],[qe_mg_g]]-Table13[[#This Row],[qt]])</f>
        <v>2.9420809369939085</v>
      </c>
      <c r="R397" s="1">
        <v>3</v>
      </c>
    </row>
    <row r="398" spans="1:18" x14ac:dyDescent="0.3">
      <c r="A398" s="1">
        <v>397</v>
      </c>
      <c r="B398" s="1" t="s">
        <v>16</v>
      </c>
      <c r="C398" s="1">
        <v>2</v>
      </c>
      <c r="D398" s="1">
        <v>240</v>
      </c>
      <c r="E398" s="1">
        <v>25</v>
      </c>
      <c r="F398" s="1">
        <v>3</v>
      </c>
      <c r="G398" s="1">
        <v>25</v>
      </c>
      <c r="H398" s="1">
        <v>150</v>
      </c>
      <c r="I398" s="1">
        <v>100</v>
      </c>
      <c r="J398" s="1">
        <v>3.65</v>
      </c>
      <c r="K398" s="1">
        <v>17.701000000000001</v>
      </c>
      <c r="L398" s="1">
        <v>29.2</v>
      </c>
      <c r="M398" s="1">
        <v>73.599999999999994</v>
      </c>
      <c r="N398" s="1">
        <v>4.5789999999999997E-2</v>
      </c>
      <c r="O398" s="1">
        <v>2.8899999999999998E-4</v>
      </c>
      <c r="P3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0.73737244287260084</v>
      </c>
      <c r="Q398" s="1">
        <f>LN(Table13[[#This Row],[qe_mg_g]]-Table13[[#This Row],[qt]])</f>
        <v>1.0690556143713748</v>
      </c>
      <c r="R398" s="1">
        <v>1</v>
      </c>
    </row>
    <row r="399" spans="1:18" x14ac:dyDescent="0.3">
      <c r="A399" s="1">
        <v>398</v>
      </c>
      <c r="B399" s="1" t="s">
        <v>16</v>
      </c>
      <c r="C399" s="1">
        <v>2</v>
      </c>
      <c r="D399" s="1">
        <v>240</v>
      </c>
      <c r="E399" s="1">
        <v>25</v>
      </c>
      <c r="F399" s="1">
        <v>3</v>
      </c>
      <c r="G399" s="1">
        <v>25</v>
      </c>
      <c r="H399" s="1">
        <v>150</v>
      </c>
      <c r="I399" s="1">
        <v>100</v>
      </c>
      <c r="J399" s="1">
        <v>3.2949999999999999</v>
      </c>
      <c r="K399" s="1">
        <v>18.41</v>
      </c>
      <c r="L399" s="1">
        <v>26.36</v>
      </c>
      <c r="M399" s="1">
        <v>67.5</v>
      </c>
      <c r="N399" s="1">
        <v>4.018E-2</v>
      </c>
      <c r="O399" s="1">
        <v>2.1240000000000001E-4</v>
      </c>
      <c r="P3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0.47385604059406117</v>
      </c>
      <c r="Q399" s="1">
        <f>LN(Table13[[#This Row],[qe_mg_g]]-Table13[[#This Row],[qt]])</f>
        <v>1.0371424620563154</v>
      </c>
      <c r="R399" s="1">
        <v>2</v>
      </c>
    </row>
    <row r="400" spans="1:18" x14ac:dyDescent="0.3">
      <c r="A400" s="1">
        <v>399</v>
      </c>
      <c r="B400" s="1" t="s">
        <v>16</v>
      </c>
      <c r="C400" s="1">
        <v>2</v>
      </c>
      <c r="D400" s="1">
        <v>240</v>
      </c>
      <c r="E400" s="1">
        <v>25</v>
      </c>
      <c r="F400" s="1">
        <v>3</v>
      </c>
      <c r="G400" s="1">
        <v>25</v>
      </c>
      <c r="H400" s="1">
        <v>150</v>
      </c>
      <c r="I400" s="1">
        <v>100</v>
      </c>
      <c r="J400" s="1">
        <v>3.6520000000000001</v>
      </c>
      <c r="K400" s="1">
        <v>17.696000000000002</v>
      </c>
      <c r="L400" s="1">
        <v>29.21</v>
      </c>
      <c r="M400" s="1">
        <v>75.7</v>
      </c>
      <c r="N400" s="1">
        <v>3.4369999999999998E-2</v>
      </c>
      <c r="O400" s="1">
        <v>2.697E-4</v>
      </c>
      <c r="P4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0.69823146628331134</v>
      </c>
      <c r="Q400" s="1">
        <f>LN(Table13[[#This Row],[qe_mg_g]]-Table13[[#This Row],[qt]])</f>
        <v>1.0830818241388851</v>
      </c>
      <c r="R400" s="1">
        <v>3</v>
      </c>
    </row>
    <row r="401" spans="1:18" x14ac:dyDescent="0.3">
      <c r="A401" s="1">
        <v>400</v>
      </c>
      <c r="B401" s="1" t="s">
        <v>16</v>
      </c>
      <c r="C401" s="1">
        <v>2</v>
      </c>
      <c r="D401" s="1">
        <v>240</v>
      </c>
      <c r="E401" s="1">
        <v>25</v>
      </c>
      <c r="F401" s="1">
        <v>7</v>
      </c>
      <c r="G401" s="1">
        <v>25</v>
      </c>
      <c r="H401" s="1">
        <v>150</v>
      </c>
      <c r="I401" s="1">
        <v>100</v>
      </c>
      <c r="J401" s="1">
        <v>5.81</v>
      </c>
      <c r="K401" s="1">
        <v>13.381</v>
      </c>
      <c r="L401" s="1">
        <v>46.48</v>
      </c>
      <c r="M401" s="1">
        <v>87.2</v>
      </c>
      <c r="N401" s="1">
        <v>4.5089999999999998E-2</v>
      </c>
      <c r="O401" s="1">
        <v>2.7819999999999999E-4</v>
      </c>
      <c r="P4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1.6238860360230016</v>
      </c>
      <c r="Q401" s="1">
        <f>LN(Table13[[#This Row],[qe_mg_g]]-Table13[[#This Row],[qt]])</f>
        <v>1.4317728486835524</v>
      </c>
      <c r="R401" s="1">
        <v>1</v>
      </c>
    </row>
    <row r="402" spans="1:18" x14ac:dyDescent="0.3">
      <c r="A402" s="1">
        <v>401</v>
      </c>
      <c r="B402" s="1" t="s">
        <v>16</v>
      </c>
      <c r="C402" s="1">
        <v>2</v>
      </c>
      <c r="D402" s="1">
        <v>240</v>
      </c>
      <c r="E402" s="1">
        <v>25</v>
      </c>
      <c r="F402" s="1">
        <v>7</v>
      </c>
      <c r="G402" s="1">
        <v>25</v>
      </c>
      <c r="H402" s="1">
        <v>150</v>
      </c>
      <c r="I402" s="1">
        <v>100</v>
      </c>
      <c r="J402" s="1">
        <v>5.4550000000000001</v>
      </c>
      <c r="K402" s="1">
        <v>14.090999999999999</v>
      </c>
      <c r="L402" s="1">
        <v>43.64</v>
      </c>
      <c r="M402" s="1">
        <v>80.400000000000006</v>
      </c>
      <c r="N402" s="1">
        <v>4.2090000000000002E-2</v>
      </c>
      <c r="O402" s="1">
        <v>2.7599999999999999E-4</v>
      </c>
      <c r="P4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1.4479163870400558</v>
      </c>
      <c r="Q402" s="1">
        <f>LN(Table13[[#This Row],[qe_mg_g]]-Table13[[#This Row],[qt]])</f>
        <v>1.3880636981595207</v>
      </c>
      <c r="R402" s="1">
        <v>2</v>
      </c>
    </row>
    <row r="403" spans="1:18" x14ac:dyDescent="0.3">
      <c r="A403" s="1">
        <v>402</v>
      </c>
      <c r="B403" s="1" t="s">
        <v>16</v>
      </c>
      <c r="C403" s="1">
        <v>2</v>
      </c>
      <c r="D403" s="1">
        <v>240</v>
      </c>
      <c r="E403" s="1">
        <v>25</v>
      </c>
      <c r="F403" s="1">
        <v>7</v>
      </c>
      <c r="G403" s="1">
        <v>25</v>
      </c>
      <c r="H403" s="1">
        <v>150</v>
      </c>
      <c r="I403" s="1">
        <v>100</v>
      </c>
      <c r="J403" s="1">
        <v>5.3220000000000001</v>
      </c>
      <c r="K403" s="1">
        <v>14.356</v>
      </c>
      <c r="L403" s="1">
        <v>42.57</v>
      </c>
      <c r="M403" s="1">
        <v>57.1</v>
      </c>
      <c r="N403" s="1">
        <v>4.555E-2</v>
      </c>
      <c r="O403" s="1">
        <v>3.4870000000000002E-4</v>
      </c>
      <c r="P4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1.6399425119935447</v>
      </c>
      <c r="Q403" s="1">
        <f>LN(Table13[[#This Row],[qe_mg_g]]-Table13[[#This Row],[qt]])</f>
        <v>1.3034716959444201</v>
      </c>
      <c r="R403" s="1">
        <v>3</v>
      </c>
    </row>
    <row r="404" spans="1:18" x14ac:dyDescent="0.3">
      <c r="A404" s="1">
        <v>403</v>
      </c>
      <c r="B404" s="1" t="s">
        <v>16</v>
      </c>
      <c r="C404" s="1">
        <v>2</v>
      </c>
      <c r="D404" s="1">
        <v>240</v>
      </c>
      <c r="E404" s="1">
        <v>25</v>
      </c>
      <c r="F404" s="1">
        <v>11</v>
      </c>
      <c r="G404" s="1">
        <v>25</v>
      </c>
      <c r="H404" s="1">
        <v>150</v>
      </c>
      <c r="I404" s="1">
        <v>100</v>
      </c>
      <c r="J404" s="1">
        <v>4.4139999999999997</v>
      </c>
      <c r="K404" s="1">
        <v>16.172000000000001</v>
      </c>
      <c r="L404" s="1">
        <v>35.31</v>
      </c>
      <c r="M404" s="1">
        <v>64.099999999999994</v>
      </c>
      <c r="N404" s="1">
        <v>4.369E-2</v>
      </c>
      <c r="O404" s="1">
        <v>2.5310000000000003E-4</v>
      </c>
      <c r="P4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0.93326787576902104</v>
      </c>
      <c r="Q404" s="1">
        <f>LN(Table13[[#This Row],[qe_mg_g]]-Table13[[#This Row],[qt]])</f>
        <v>1.2472426521856466</v>
      </c>
      <c r="R404" s="1">
        <v>1</v>
      </c>
    </row>
    <row r="405" spans="1:18" x14ac:dyDescent="0.3">
      <c r="A405" s="1">
        <v>404</v>
      </c>
      <c r="B405" s="1" t="s">
        <v>16</v>
      </c>
      <c r="C405" s="1">
        <v>2</v>
      </c>
      <c r="D405" s="1">
        <v>240</v>
      </c>
      <c r="E405" s="1">
        <v>25</v>
      </c>
      <c r="F405" s="1">
        <v>11</v>
      </c>
      <c r="G405" s="1">
        <v>25</v>
      </c>
      <c r="H405" s="1">
        <v>150</v>
      </c>
      <c r="I405" s="1">
        <v>100</v>
      </c>
      <c r="J405" s="1">
        <v>4.6070000000000002</v>
      </c>
      <c r="K405" s="1">
        <v>15.786</v>
      </c>
      <c r="L405" s="1">
        <v>36.86</v>
      </c>
      <c r="M405" s="1">
        <v>65.900000000000006</v>
      </c>
      <c r="N405" s="1">
        <v>4.419E-2</v>
      </c>
      <c r="O405" s="1">
        <v>3.9580000000000003E-4</v>
      </c>
      <c r="P4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1.4024161030948767</v>
      </c>
      <c r="Q405" s="1">
        <f>LN(Table13[[#This Row],[qe_mg_g]]-Table13[[#This Row],[qt]])</f>
        <v>1.1645822525852969</v>
      </c>
      <c r="R405" s="1">
        <v>2</v>
      </c>
    </row>
    <row r="406" spans="1:18" x14ac:dyDescent="0.3">
      <c r="A406" s="1">
        <v>405</v>
      </c>
      <c r="B406" s="1" t="s">
        <v>16</v>
      </c>
      <c r="C406" s="1">
        <v>2</v>
      </c>
      <c r="D406" s="1">
        <v>240</v>
      </c>
      <c r="E406" s="1">
        <v>25</v>
      </c>
      <c r="F406" s="1">
        <v>11</v>
      </c>
      <c r="G406" s="1">
        <v>25</v>
      </c>
      <c r="H406" s="1">
        <v>150</v>
      </c>
      <c r="I406" s="1">
        <v>100</v>
      </c>
      <c r="J406" s="1">
        <v>4.4059999999999997</v>
      </c>
      <c r="K406" s="1">
        <v>16.187999999999999</v>
      </c>
      <c r="L406" s="1">
        <v>35.25</v>
      </c>
      <c r="M406" s="1">
        <v>59.1</v>
      </c>
      <c r="N406" s="1">
        <v>4.308E-2</v>
      </c>
      <c r="O406" s="1">
        <v>3.345E-4</v>
      </c>
      <c r="P4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1.1512497045017673</v>
      </c>
      <c r="Q406" s="1">
        <f>LN(Table13[[#This Row],[qe_mg_g]]-Table13[[#This Row],[qt]])</f>
        <v>1.1801155585852054</v>
      </c>
      <c r="R406" s="1">
        <v>3</v>
      </c>
    </row>
    <row r="407" spans="1:18" x14ac:dyDescent="0.3">
      <c r="A407" s="1">
        <v>406</v>
      </c>
      <c r="B407" s="1" t="s">
        <v>16</v>
      </c>
      <c r="C407" s="1">
        <v>2</v>
      </c>
      <c r="D407" s="1">
        <v>240</v>
      </c>
      <c r="E407" s="1">
        <v>50</v>
      </c>
      <c r="F407" s="1">
        <v>3</v>
      </c>
      <c r="G407" s="1">
        <v>25</v>
      </c>
      <c r="H407" s="1">
        <v>150</v>
      </c>
      <c r="I407" s="1">
        <v>100</v>
      </c>
      <c r="J407" s="1">
        <v>10.164999999999999</v>
      </c>
      <c r="K407" s="1">
        <v>29.670999999999999</v>
      </c>
      <c r="L407" s="1">
        <v>40.659999999999997</v>
      </c>
      <c r="M407" s="1">
        <v>52.3</v>
      </c>
      <c r="N407" s="1">
        <v>4.9140000000000003E-2</v>
      </c>
      <c r="O407" s="1">
        <v>2.7999999999999998E-4</v>
      </c>
      <c r="P4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4.1255059272004786</v>
      </c>
      <c r="Q407" s="1">
        <f>LN(Table13[[#This Row],[qe_mg_g]]-Table13[[#This Row],[qt]])</f>
        <v>1.7983202456568896</v>
      </c>
      <c r="R407" s="1">
        <v>1</v>
      </c>
    </row>
    <row r="408" spans="1:18" x14ac:dyDescent="0.3">
      <c r="A408" s="1">
        <v>407</v>
      </c>
      <c r="B408" s="1" t="s">
        <v>16</v>
      </c>
      <c r="C408" s="1">
        <v>2</v>
      </c>
      <c r="D408" s="1">
        <v>240</v>
      </c>
      <c r="E408" s="1">
        <v>50</v>
      </c>
      <c r="F408" s="1">
        <v>3</v>
      </c>
      <c r="G408" s="1">
        <v>25</v>
      </c>
      <c r="H408" s="1">
        <v>150</v>
      </c>
      <c r="I408" s="1">
        <v>100</v>
      </c>
      <c r="J408" s="1">
        <v>11.583</v>
      </c>
      <c r="K408" s="1">
        <v>26.834</v>
      </c>
      <c r="L408" s="1">
        <v>46.33</v>
      </c>
      <c r="M408" s="1">
        <v>77.5</v>
      </c>
      <c r="N408" s="1">
        <v>4.299E-2</v>
      </c>
      <c r="O408" s="1">
        <v>3.3839999999999999E-4</v>
      </c>
      <c r="P4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5.6146116761911351</v>
      </c>
      <c r="Q408" s="1">
        <f>LN(Table13[[#This Row],[qe_mg_g]]-Table13[[#This Row],[qt]])</f>
        <v>1.7864769284469946</v>
      </c>
      <c r="R408" s="1">
        <v>2</v>
      </c>
    </row>
    <row r="409" spans="1:18" x14ac:dyDescent="0.3">
      <c r="A409" s="1">
        <v>408</v>
      </c>
      <c r="B409" s="1" t="s">
        <v>16</v>
      </c>
      <c r="C409" s="1">
        <v>2</v>
      </c>
      <c r="D409" s="1">
        <v>240</v>
      </c>
      <c r="E409" s="1">
        <v>50</v>
      </c>
      <c r="F409" s="1">
        <v>3</v>
      </c>
      <c r="G409" s="1">
        <v>25</v>
      </c>
      <c r="H409" s="1">
        <v>150</v>
      </c>
      <c r="I409" s="1">
        <v>100</v>
      </c>
      <c r="J409" s="1">
        <v>10.128</v>
      </c>
      <c r="K409" s="1">
        <v>29.744</v>
      </c>
      <c r="L409" s="1">
        <v>40.51</v>
      </c>
      <c r="M409" s="1">
        <v>75.2</v>
      </c>
      <c r="N409" s="1">
        <v>4.718E-2</v>
      </c>
      <c r="O409" s="1">
        <v>2.7460000000000001E-4</v>
      </c>
      <c r="P4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4.0541484127692051</v>
      </c>
      <c r="Q409" s="1">
        <f>LN(Table13[[#This Row],[qe_mg_g]]-Table13[[#This Row],[qt]])</f>
        <v>1.8039929322174981</v>
      </c>
      <c r="R409" s="1">
        <v>3</v>
      </c>
    </row>
    <row r="410" spans="1:18" x14ac:dyDescent="0.3">
      <c r="A410" s="1">
        <v>409</v>
      </c>
      <c r="B410" s="1" t="s">
        <v>16</v>
      </c>
      <c r="C410" s="1">
        <v>2</v>
      </c>
      <c r="D410" s="1">
        <v>240</v>
      </c>
      <c r="E410" s="1">
        <v>50</v>
      </c>
      <c r="F410" s="1">
        <v>7</v>
      </c>
      <c r="G410" s="1">
        <v>25</v>
      </c>
      <c r="H410" s="1">
        <v>150</v>
      </c>
      <c r="I410" s="1">
        <v>100</v>
      </c>
      <c r="J410" s="1">
        <v>14.27</v>
      </c>
      <c r="K410" s="1">
        <v>21.459</v>
      </c>
      <c r="L410" s="1">
        <v>57.08</v>
      </c>
      <c r="M410" s="1">
        <v>77</v>
      </c>
      <c r="N410" s="1">
        <v>4.3490000000000001E-2</v>
      </c>
      <c r="O410" s="1">
        <v>2.879E-4</v>
      </c>
      <c r="P4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7.0847026310051415</v>
      </c>
      <c r="Q410" s="1">
        <f>LN(Table13[[#This Row],[qe_mg_g]]-Table13[[#This Row],[qt]])</f>
        <v>1.9720369061477387</v>
      </c>
      <c r="R410" s="1">
        <v>1</v>
      </c>
    </row>
    <row r="411" spans="1:18" x14ac:dyDescent="0.3">
      <c r="A411" s="1">
        <v>410</v>
      </c>
      <c r="B411" s="1" t="s">
        <v>16</v>
      </c>
      <c r="C411" s="1">
        <v>2</v>
      </c>
      <c r="D411" s="1">
        <v>240</v>
      </c>
      <c r="E411" s="1">
        <v>50</v>
      </c>
      <c r="F411" s="1">
        <v>7</v>
      </c>
      <c r="G411" s="1">
        <v>25</v>
      </c>
      <c r="H411" s="1">
        <v>150</v>
      </c>
      <c r="I411" s="1">
        <v>100</v>
      </c>
      <c r="J411" s="1">
        <v>13.895</v>
      </c>
      <c r="K411" s="1">
        <v>22.209</v>
      </c>
      <c r="L411" s="1">
        <v>55.58</v>
      </c>
      <c r="M411" s="1">
        <v>70.900000000000006</v>
      </c>
      <c r="N411" s="1">
        <v>5.4280000000000002E-2</v>
      </c>
      <c r="O411" s="1">
        <v>2.6800000000000001E-4</v>
      </c>
      <c r="P4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6.5576148317940754</v>
      </c>
      <c r="Q411" s="1">
        <f>LN(Table13[[#This Row],[qe_mg_g]]-Table13[[#This Row],[qt]])</f>
        <v>1.9929825350427812</v>
      </c>
      <c r="R411" s="1">
        <v>2</v>
      </c>
    </row>
    <row r="412" spans="1:18" x14ac:dyDescent="0.3">
      <c r="A412" s="1">
        <v>411</v>
      </c>
      <c r="B412" s="1" t="s">
        <v>16</v>
      </c>
      <c r="C412" s="1">
        <v>2</v>
      </c>
      <c r="D412" s="1">
        <v>240</v>
      </c>
      <c r="E412" s="1">
        <v>50</v>
      </c>
      <c r="F412" s="1">
        <v>7</v>
      </c>
      <c r="G412" s="1">
        <v>25</v>
      </c>
      <c r="H412" s="1">
        <v>150</v>
      </c>
      <c r="I412" s="1">
        <v>100</v>
      </c>
      <c r="J412" s="1">
        <v>15.074</v>
      </c>
      <c r="K412" s="1">
        <v>19.852</v>
      </c>
      <c r="L412" s="1">
        <v>60.3</v>
      </c>
      <c r="M412" s="1">
        <v>80.8</v>
      </c>
      <c r="N412" s="1">
        <v>4.4639999999999999E-2</v>
      </c>
      <c r="O412" s="1">
        <v>3.1359999999999998E-4</v>
      </c>
      <c r="P4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8.012022292140351</v>
      </c>
      <c r="Q412" s="1">
        <f>LN(Table13[[#This Row],[qe_mg_g]]-Table13[[#This Row],[qt]])</f>
        <v>1.9547251408684807</v>
      </c>
      <c r="R412" s="1">
        <v>3</v>
      </c>
    </row>
    <row r="413" spans="1:18" x14ac:dyDescent="0.3">
      <c r="A413" s="1">
        <v>412</v>
      </c>
      <c r="B413" s="1" t="s">
        <v>16</v>
      </c>
      <c r="C413" s="1">
        <v>2</v>
      </c>
      <c r="D413" s="1">
        <v>240</v>
      </c>
      <c r="E413" s="1">
        <v>50</v>
      </c>
      <c r="F413" s="1">
        <v>11</v>
      </c>
      <c r="G413" s="1">
        <v>25</v>
      </c>
      <c r="H413" s="1">
        <v>150</v>
      </c>
      <c r="I413" s="1">
        <v>100</v>
      </c>
      <c r="J413" s="1">
        <v>11.000999999999999</v>
      </c>
      <c r="K413" s="1">
        <v>27.997</v>
      </c>
      <c r="L413" s="1">
        <v>44.01</v>
      </c>
      <c r="M413" s="1">
        <v>70.900000000000006</v>
      </c>
      <c r="N413" s="1">
        <v>4.4159999999999998E-2</v>
      </c>
      <c r="O413" s="1">
        <v>3.2959999999999999E-4</v>
      </c>
      <c r="P4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5.1188140851370845</v>
      </c>
      <c r="Q413" s="1">
        <f>LN(Table13[[#This Row],[qe_mg_g]]-Table13[[#This Row],[qt]])</f>
        <v>1.7719284470554402</v>
      </c>
      <c r="R413" s="1">
        <v>1</v>
      </c>
    </row>
    <row r="414" spans="1:18" x14ac:dyDescent="0.3">
      <c r="A414" s="1">
        <v>413</v>
      </c>
      <c r="B414" s="1" t="s">
        <v>16</v>
      </c>
      <c r="C414" s="1">
        <v>2</v>
      </c>
      <c r="D414" s="1">
        <v>240</v>
      </c>
      <c r="E414" s="1">
        <v>50</v>
      </c>
      <c r="F414" s="1">
        <v>11</v>
      </c>
      <c r="G414" s="1">
        <v>25</v>
      </c>
      <c r="H414" s="1">
        <v>150</v>
      </c>
      <c r="I414" s="1">
        <v>100</v>
      </c>
      <c r="J414" s="1">
        <v>13.164999999999999</v>
      </c>
      <c r="K414" s="1">
        <v>23.669</v>
      </c>
      <c r="L414" s="1">
        <v>52.66</v>
      </c>
      <c r="M414" s="1">
        <v>92.6</v>
      </c>
      <c r="N414" s="1">
        <v>4.761E-2</v>
      </c>
      <c r="O414" s="1">
        <v>3.098E-4</v>
      </c>
      <c r="P4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6.5121261667063726</v>
      </c>
      <c r="Q414" s="1">
        <f>LN(Table13[[#This Row],[qe_mg_g]]-Table13[[#This Row],[qt]])</f>
        <v>1.8950489166980198</v>
      </c>
      <c r="R414" s="1">
        <v>2</v>
      </c>
    </row>
    <row r="415" spans="1:18" x14ac:dyDescent="0.3">
      <c r="A415" s="1">
        <v>414</v>
      </c>
      <c r="B415" s="1" t="s">
        <v>16</v>
      </c>
      <c r="C415" s="1">
        <v>2</v>
      </c>
      <c r="D415" s="1">
        <v>240</v>
      </c>
      <c r="E415" s="1">
        <v>50</v>
      </c>
      <c r="F415" s="1">
        <v>11</v>
      </c>
      <c r="G415" s="1">
        <v>25</v>
      </c>
      <c r="H415" s="1">
        <v>150</v>
      </c>
      <c r="I415" s="1">
        <v>100</v>
      </c>
      <c r="J415" s="1">
        <v>12.21</v>
      </c>
      <c r="K415" s="1">
        <v>25.579000000000001</v>
      </c>
      <c r="L415" s="1">
        <v>48.84</v>
      </c>
      <c r="M415" s="1">
        <v>63.1</v>
      </c>
      <c r="N415" s="1">
        <v>4.6519999999999999E-2</v>
      </c>
      <c r="O415" s="1">
        <v>2.9109999999999997E-4</v>
      </c>
      <c r="P4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5.6208256217147774</v>
      </c>
      <c r="Q415" s="1">
        <f>LN(Table13[[#This Row],[qe_mg_g]]-Table13[[#This Row],[qt]])</f>
        <v>1.8854280566422303</v>
      </c>
      <c r="R415" s="1">
        <v>3</v>
      </c>
    </row>
    <row r="416" spans="1:18" x14ac:dyDescent="0.3">
      <c r="A416" s="1">
        <v>415</v>
      </c>
      <c r="B416" s="1" t="s">
        <v>16</v>
      </c>
      <c r="C416" s="1">
        <v>2</v>
      </c>
      <c r="D416" s="1">
        <v>240</v>
      </c>
      <c r="E416" s="1">
        <v>100</v>
      </c>
      <c r="F416" s="1">
        <v>3</v>
      </c>
      <c r="G416" s="1">
        <v>25</v>
      </c>
      <c r="H416" s="1">
        <v>150</v>
      </c>
      <c r="I416" s="1">
        <v>100</v>
      </c>
      <c r="J416" s="1">
        <v>25.937000000000001</v>
      </c>
      <c r="K416" s="1">
        <v>48.125999999999998</v>
      </c>
      <c r="L416" s="1">
        <v>51.87</v>
      </c>
      <c r="M416" s="1">
        <v>79.8</v>
      </c>
      <c r="N416" s="1">
        <v>4.0469999999999999E-2</v>
      </c>
      <c r="O416" s="1">
        <v>3.3419999999999999E-4</v>
      </c>
      <c r="P4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17.516866322000585</v>
      </c>
      <c r="Q416" s="1">
        <f>LN(Table13[[#This Row],[qe_mg_g]]-Table13[[#This Row],[qt]])</f>
        <v>2.1306257043751708</v>
      </c>
      <c r="R416" s="1">
        <v>1</v>
      </c>
    </row>
    <row r="417" spans="1:18" x14ac:dyDescent="0.3">
      <c r="A417" s="1">
        <v>416</v>
      </c>
      <c r="B417" s="1" t="s">
        <v>16</v>
      </c>
      <c r="C417" s="1">
        <v>2</v>
      </c>
      <c r="D417" s="1">
        <v>240</v>
      </c>
      <c r="E417" s="1">
        <v>100</v>
      </c>
      <c r="F417" s="1">
        <v>3</v>
      </c>
      <c r="G417" s="1">
        <v>25</v>
      </c>
      <c r="H417" s="1">
        <v>150</v>
      </c>
      <c r="I417" s="1">
        <v>100</v>
      </c>
      <c r="J417" s="1">
        <v>28.289000000000001</v>
      </c>
      <c r="K417" s="1">
        <v>43.423000000000002</v>
      </c>
      <c r="L417" s="1">
        <v>56.58</v>
      </c>
      <c r="M417" s="1">
        <v>65.5</v>
      </c>
      <c r="N417" s="1">
        <v>3.5450000000000002E-2</v>
      </c>
      <c r="O417" s="1">
        <v>2.8180000000000002E-4</v>
      </c>
      <c r="P4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18.57851133544964</v>
      </c>
      <c r="Q417" s="1">
        <f>LN(Table13[[#This Row],[qe_mg_g]]-Table13[[#This Row],[qt]])</f>
        <v>2.2732066069432468</v>
      </c>
      <c r="R417" s="1">
        <v>2</v>
      </c>
    </row>
    <row r="418" spans="1:18" x14ac:dyDescent="0.3">
      <c r="A418" s="1">
        <v>417</v>
      </c>
      <c r="B418" s="1" t="s">
        <v>16</v>
      </c>
      <c r="C418" s="1">
        <v>2</v>
      </c>
      <c r="D418" s="1">
        <v>240</v>
      </c>
      <c r="E418" s="1">
        <v>100</v>
      </c>
      <c r="F418" s="1">
        <v>3</v>
      </c>
      <c r="G418" s="1">
        <v>25</v>
      </c>
      <c r="H418" s="1">
        <v>150</v>
      </c>
      <c r="I418" s="1">
        <v>100</v>
      </c>
      <c r="J418" s="1">
        <v>28.247</v>
      </c>
      <c r="K418" s="1">
        <v>43.505000000000003</v>
      </c>
      <c r="L418" s="1">
        <v>56.49</v>
      </c>
      <c r="M418" s="1">
        <v>66.400000000000006</v>
      </c>
      <c r="N418" s="1">
        <v>4.0500000000000001E-2</v>
      </c>
      <c r="O418" s="1">
        <v>2.8489999999999999E-4</v>
      </c>
      <c r="P4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18.611045363248493</v>
      </c>
      <c r="Q418" s="1">
        <f>LN(Table13[[#This Row],[qe_mg_g]]-Table13[[#This Row],[qt]])</f>
        <v>2.2655013770569763</v>
      </c>
      <c r="R418" s="1">
        <v>3</v>
      </c>
    </row>
    <row r="419" spans="1:18" x14ac:dyDescent="0.3">
      <c r="A419" s="1">
        <v>418</v>
      </c>
      <c r="B419" s="1" t="s">
        <v>16</v>
      </c>
      <c r="C419" s="1">
        <v>2</v>
      </c>
      <c r="D419" s="1">
        <v>240</v>
      </c>
      <c r="E419" s="1">
        <v>100</v>
      </c>
      <c r="F419" s="1">
        <v>7</v>
      </c>
      <c r="G419" s="1">
        <v>25</v>
      </c>
      <c r="H419" s="1">
        <v>150</v>
      </c>
      <c r="I419" s="1">
        <v>100</v>
      </c>
      <c r="J419" s="1">
        <v>39.090000000000003</v>
      </c>
      <c r="K419" s="1">
        <v>21.818999999999999</v>
      </c>
      <c r="L419" s="1">
        <v>78.180000000000007</v>
      </c>
      <c r="M419" s="1">
        <v>72.099999999999994</v>
      </c>
      <c r="N419" s="1">
        <v>4.3920000000000001E-2</v>
      </c>
      <c r="O419" s="1">
        <v>2.8899999999999998E-4</v>
      </c>
      <c r="P4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28.557252613274596</v>
      </c>
      <c r="Q419" s="1">
        <f>LN(Table13[[#This Row],[qe_mg_g]]-Table13[[#This Row],[qt]])</f>
        <v>2.3544892025349462</v>
      </c>
      <c r="R419" s="1">
        <v>1</v>
      </c>
    </row>
    <row r="420" spans="1:18" x14ac:dyDescent="0.3">
      <c r="A420" s="1">
        <v>419</v>
      </c>
      <c r="B420" s="1" t="s">
        <v>16</v>
      </c>
      <c r="C420" s="1">
        <v>2</v>
      </c>
      <c r="D420" s="1">
        <v>240</v>
      </c>
      <c r="E420" s="1">
        <v>100</v>
      </c>
      <c r="F420" s="1">
        <v>7</v>
      </c>
      <c r="G420" s="1">
        <v>25</v>
      </c>
      <c r="H420" s="1">
        <v>150</v>
      </c>
      <c r="I420" s="1">
        <v>100</v>
      </c>
      <c r="J420" s="1">
        <v>35.478999999999999</v>
      </c>
      <c r="K420" s="1">
        <v>29.041</v>
      </c>
      <c r="L420" s="1">
        <v>70.959999999999994</v>
      </c>
      <c r="M420" s="1">
        <v>57.4</v>
      </c>
      <c r="N420" s="1">
        <v>5.2269999999999997E-2</v>
      </c>
      <c r="O420" s="1">
        <v>2.9030000000000001E-4</v>
      </c>
      <c r="P4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25.260078753141531</v>
      </c>
      <c r="Q420" s="1">
        <f>LN(Table13[[#This Row],[qe_mg_g]]-Table13[[#This Row],[qt]])</f>
        <v>2.324241026059469</v>
      </c>
      <c r="R420" s="1">
        <v>2</v>
      </c>
    </row>
    <row r="421" spans="1:18" x14ac:dyDescent="0.3">
      <c r="A421" s="1">
        <v>420</v>
      </c>
      <c r="B421" s="1" t="s">
        <v>16</v>
      </c>
      <c r="C421" s="1">
        <v>2</v>
      </c>
      <c r="D421" s="1">
        <v>240</v>
      </c>
      <c r="E421" s="1">
        <v>100</v>
      </c>
      <c r="F421" s="1">
        <v>7</v>
      </c>
      <c r="G421" s="1">
        <v>25</v>
      </c>
      <c r="H421" s="1">
        <v>150</v>
      </c>
      <c r="I421" s="1">
        <v>100</v>
      </c>
      <c r="J421" s="1">
        <v>40.194000000000003</v>
      </c>
      <c r="K421" s="1">
        <v>19.613</v>
      </c>
      <c r="L421" s="1">
        <v>80.39</v>
      </c>
      <c r="M421" s="1">
        <v>81.900000000000006</v>
      </c>
      <c r="N421" s="1">
        <v>4.9489999999999999E-2</v>
      </c>
      <c r="O421" s="1">
        <v>2.8709999999999999E-4</v>
      </c>
      <c r="P4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29.531124792909317</v>
      </c>
      <c r="Q421" s="1">
        <f>LN(Table13[[#This Row],[qe_mg_g]]-Table13[[#This Row],[qt]])</f>
        <v>2.3667681016092801</v>
      </c>
      <c r="R421" s="1">
        <v>3</v>
      </c>
    </row>
    <row r="422" spans="1:18" x14ac:dyDescent="0.3">
      <c r="A422" s="1">
        <v>421</v>
      </c>
      <c r="B422" s="1" t="s">
        <v>16</v>
      </c>
      <c r="C422" s="1">
        <v>2</v>
      </c>
      <c r="D422" s="1">
        <v>240</v>
      </c>
      <c r="E422" s="1">
        <v>100</v>
      </c>
      <c r="F422" s="1">
        <v>11</v>
      </c>
      <c r="G422" s="1">
        <v>25</v>
      </c>
      <c r="H422" s="1">
        <v>150</v>
      </c>
      <c r="I422" s="1">
        <v>100</v>
      </c>
      <c r="J422" s="1">
        <v>30.937000000000001</v>
      </c>
      <c r="K422" s="1">
        <v>38.127000000000002</v>
      </c>
      <c r="L422" s="1">
        <v>61.87</v>
      </c>
      <c r="M422" s="1">
        <v>66.400000000000006</v>
      </c>
      <c r="N422" s="1">
        <v>4.0930000000000001E-2</v>
      </c>
      <c r="O422" s="1">
        <v>3.0969999999999999E-4</v>
      </c>
      <c r="P4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21.560689197083917</v>
      </c>
      <c r="Q422" s="1">
        <f>LN(Table13[[#This Row],[qe_mg_g]]-Table13[[#This Row],[qt]])</f>
        <v>2.2381863810604279</v>
      </c>
      <c r="R422" s="1">
        <v>1</v>
      </c>
    </row>
    <row r="423" spans="1:18" x14ac:dyDescent="0.3">
      <c r="A423" s="1">
        <v>422</v>
      </c>
      <c r="B423" s="1" t="s">
        <v>16</v>
      </c>
      <c r="C423" s="1">
        <v>2</v>
      </c>
      <c r="D423" s="1">
        <v>240</v>
      </c>
      <c r="E423" s="1">
        <v>100</v>
      </c>
      <c r="F423" s="1">
        <v>11</v>
      </c>
      <c r="G423" s="1">
        <v>25</v>
      </c>
      <c r="H423" s="1">
        <v>150</v>
      </c>
      <c r="I423" s="1">
        <v>100</v>
      </c>
      <c r="J423" s="1">
        <v>27.141999999999999</v>
      </c>
      <c r="K423" s="1">
        <v>45.716000000000001</v>
      </c>
      <c r="L423" s="1">
        <v>54.28</v>
      </c>
      <c r="M423" s="1">
        <v>78.5</v>
      </c>
      <c r="N423" s="1">
        <v>4.2909999999999997E-2</v>
      </c>
      <c r="O423" s="1">
        <v>3.0600000000000001E-4</v>
      </c>
      <c r="P4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18.074441416796439</v>
      </c>
      <c r="Q423" s="1">
        <f>LN(Table13[[#This Row],[qe_mg_g]]-Table13[[#This Row],[qt]])</f>
        <v>2.2047030529429725</v>
      </c>
      <c r="R423" s="1">
        <v>2</v>
      </c>
    </row>
    <row r="424" spans="1:18" x14ac:dyDescent="0.3">
      <c r="A424" s="1">
        <v>423</v>
      </c>
      <c r="B424" s="1" t="s">
        <v>16</v>
      </c>
      <c r="C424" s="1">
        <v>2</v>
      </c>
      <c r="D424" s="1">
        <v>240</v>
      </c>
      <c r="E424" s="1">
        <v>100</v>
      </c>
      <c r="F424" s="1">
        <v>11</v>
      </c>
      <c r="G424" s="1">
        <v>25</v>
      </c>
      <c r="H424" s="1">
        <v>150</v>
      </c>
      <c r="I424" s="1">
        <v>100</v>
      </c>
      <c r="J424" s="1">
        <v>30.648</v>
      </c>
      <c r="K424" s="1">
        <v>38.704000000000001</v>
      </c>
      <c r="L424" s="1">
        <v>61.3</v>
      </c>
      <c r="M424" s="1">
        <v>64.099999999999994</v>
      </c>
      <c r="N424" s="1">
        <v>4.7640000000000002E-2</v>
      </c>
      <c r="O424" s="1">
        <v>2.8580000000000001E-4</v>
      </c>
      <c r="P4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20.768583857144396</v>
      </c>
      <c r="Q424" s="1">
        <f>LN(Table13[[#This Row],[qe_mg_g]]-Table13[[#This Row],[qt]])</f>
        <v>2.2904534151609353</v>
      </c>
      <c r="R424" s="1">
        <v>3</v>
      </c>
    </row>
    <row r="425" spans="1:18" x14ac:dyDescent="0.3">
      <c r="A425" s="1">
        <v>424</v>
      </c>
      <c r="B425" s="1" t="s">
        <v>16</v>
      </c>
      <c r="C425" s="1">
        <v>2</v>
      </c>
      <c r="D425" s="1">
        <v>240</v>
      </c>
      <c r="E425" s="1">
        <v>200</v>
      </c>
      <c r="F425" s="1">
        <v>3</v>
      </c>
      <c r="G425" s="1">
        <v>25</v>
      </c>
      <c r="H425" s="1">
        <v>150</v>
      </c>
      <c r="I425" s="1">
        <v>100</v>
      </c>
      <c r="J425" s="1">
        <v>63.043999999999997</v>
      </c>
      <c r="K425" s="1">
        <v>73.911000000000001</v>
      </c>
      <c r="L425" s="1">
        <v>63.04</v>
      </c>
      <c r="M425" s="1">
        <v>53.2</v>
      </c>
      <c r="N425" s="1">
        <v>4.5569999999999999E-2</v>
      </c>
      <c r="O425" s="1">
        <v>3.5819999999999998E-4</v>
      </c>
      <c r="P4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53.223705274867406</v>
      </c>
      <c r="Q425" s="1">
        <f>LN(Table13[[#This Row],[qe_mg_g]]-Table13[[#This Row],[qt]])</f>
        <v>2.2844511346586276</v>
      </c>
      <c r="R425" s="1">
        <v>1</v>
      </c>
    </row>
    <row r="426" spans="1:18" x14ac:dyDescent="0.3">
      <c r="A426" s="1">
        <v>425</v>
      </c>
      <c r="B426" s="1" t="s">
        <v>16</v>
      </c>
      <c r="C426" s="1">
        <v>2</v>
      </c>
      <c r="D426" s="1">
        <v>240</v>
      </c>
      <c r="E426" s="1">
        <v>200</v>
      </c>
      <c r="F426" s="1">
        <v>3</v>
      </c>
      <c r="G426" s="1">
        <v>25</v>
      </c>
      <c r="H426" s="1">
        <v>150</v>
      </c>
      <c r="I426" s="1">
        <v>100</v>
      </c>
      <c r="J426" s="1">
        <v>54.22</v>
      </c>
      <c r="K426" s="1">
        <v>91.561000000000007</v>
      </c>
      <c r="L426" s="1">
        <v>54.22</v>
      </c>
      <c r="M426" s="1">
        <v>59.9</v>
      </c>
      <c r="N426" s="1">
        <v>4.7309999999999998E-2</v>
      </c>
      <c r="O426" s="1">
        <v>3.054E-4</v>
      </c>
      <c r="P4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43.319555580316667</v>
      </c>
      <c r="Q426" s="1">
        <f>LN(Table13[[#This Row],[qe_mg_g]]-Table13[[#This Row],[qt]])</f>
        <v>2.3888035608519362</v>
      </c>
      <c r="R426" s="1">
        <v>2</v>
      </c>
    </row>
    <row r="427" spans="1:18" x14ac:dyDescent="0.3">
      <c r="A427" s="1">
        <v>426</v>
      </c>
      <c r="B427" s="1" t="s">
        <v>16</v>
      </c>
      <c r="C427" s="1">
        <v>2</v>
      </c>
      <c r="D427" s="1">
        <v>240</v>
      </c>
      <c r="E427" s="1">
        <v>200</v>
      </c>
      <c r="F427" s="1">
        <v>3</v>
      </c>
      <c r="G427" s="1">
        <v>25</v>
      </c>
      <c r="H427" s="1">
        <v>150</v>
      </c>
      <c r="I427" s="1">
        <v>100</v>
      </c>
      <c r="J427" s="1">
        <v>60.588999999999999</v>
      </c>
      <c r="K427" s="1">
        <v>78.820999999999998</v>
      </c>
      <c r="L427" s="1">
        <v>60.59</v>
      </c>
      <c r="M427" s="1">
        <v>71.599999999999994</v>
      </c>
      <c r="N427" s="1">
        <v>4.786E-2</v>
      </c>
      <c r="O427" s="1">
        <v>3.3330000000000002E-4</v>
      </c>
      <c r="P4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50.225945522434642</v>
      </c>
      <c r="Q427" s="1">
        <f>LN(Table13[[#This Row],[qe_mg_g]]-Table13[[#This Row],[qt]])</f>
        <v>2.3382470271182401</v>
      </c>
      <c r="R427" s="1">
        <v>3</v>
      </c>
    </row>
    <row r="428" spans="1:18" x14ac:dyDescent="0.3">
      <c r="A428" s="1">
        <v>427</v>
      </c>
      <c r="B428" s="1" t="s">
        <v>16</v>
      </c>
      <c r="C428" s="1">
        <v>2</v>
      </c>
      <c r="D428" s="1">
        <v>240</v>
      </c>
      <c r="E428" s="1">
        <v>200</v>
      </c>
      <c r="F428" s="1">
        <v>7</v>
      </c>
      <c r="G428" s="1">
        <v>25</v>
      </c>
      <c r="H428" s="1">
        <v>150</v>
      </c>
      <c r="I428" s="1">
        <v>100</v>
      </c>
      <c r="J428" s="1">
        <v>84.52</v>
      </c>
      <c r="K428" s="1">
        <v>30.959</v>
      </c>
      <c r="L428" s="1">
        <v>84.52</v>
      </c>
      <c r="M428" s="1">
        <v>64.3</v>
      </c>
      <c r="N428" s="1">
        <v>4.8030000000000003E-2</v>
      </c>
      <c r="O428" s="1">
        <v>3.57E-4</v>
      </c>
      <c r="P4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74.264801347143873</v>
      </c>
      <c r="Q428" s="1">
        <f>LN(Table13[[#This Row],[qe_mg_g]]-Table13[[#This Row],[qt]])</f>
        <v>2.3277847626537507</v>
      </c>
      <c r="R428" s="1">
        <v>1</v>
      </c>
    </row>
    <row r="429" spans="1:18" x14ac:dyDescent="0.3">
      <c r="A429" s="1">
        <v>428</v>
      </c>
      <c r="B429" s="1" t="s">
        <v>16</v>
      </c>
      <c r="C429" s="1">
        <v>2</v>
      </c>
      <c r="D429" s="1">
        <v>240</v>
      </c>
      <c r="E429" s="1">
        <v>200</v>
      </c>
      <c r="F429" s="1">
        <v>7</v>
      </c>
      <c r="G429" s="1">
        <v>25</v>
      </c>
      <c r="H429" s="1">
        <v>150</v>
      </c>
      <c r="I429" s="1">
        <v>100</v>
      </c>
      <c r="J429" s="1">
        <v>80.968999999999994</v>
      </c>
      <c r="K429" s="1">
        <v>38.061999999999998</v>
      </c>
      <c r="L429" s="1">
        <v>80.97</v>
      </c>
      <c r="M429" s="1">
        <v>56.9</v>
      </c>
      <c r="N429" s="1">
        <v>4.9979999999999997E-2</v>
      </c>
      <c r="O429" s="1">
        <v>2.9639999999999999E-4</v>
      </c>
      <c r="P4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68.991002007563893</v>
      </c>
      <c r="Q429" s="1">
        <f>LN(Table13[[#This Row],[qe_mg_g]]-Table13[[#This Row],[qt]])</f>
        <v>2.4830714662379907</v>
      </c>
      <c r="R429" s="1">
        <v>2</v>
      </c>
    </row>
    <row r="430" spans="1:18" x14ac:dyDescent="0.3">
      <c r="A430" s="1">
        <v>429</v>
      </c>
      <c r="B430" s="1" t="s">
        <v>16</v>
      </c>
      <c r="C430" s="1">
        <v>2</v>
      </c>
      <c r="D430" s="1">
        <v>240</v>
      </c>
      <c r="E430" s="1">
        <v>200</v>
      </c>
      <c r="F430" s="1">
        <v>7</v>
      </c>
      <c r="G430" s="1">
        <v>25</v>
      </c>
      <c r="H430" s="1">
        <v>150</v>
      </c>
      <c r="I430" s="1">
        <v>100</v>
      </c>
      <c r="J430" s="1">
        <v>67.613</v>
      </c>
      <c r="K430" s="1">
        <v>64.774000000000001</v>
      </c>
      <c r="L430" s="1">
        <v>67.61</v>
      </c>
      <c r="M430" s="1">
        <v>75.099999999999994</v>
      </c>
      <c r="N430" s="1">
        <v>4.2590000000000003E-2</v>
      </c>
      <c r="O430" s="1">
        <v>2.9730000000000002E-4</v>
      </c>
      <c r="P4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56.004268375679736</v>
      </c>
      <c r="Q430" s="1">
        <f>LN(Table13[[#This Row],[qe_mg_g]]-Table13[[#This Row],[qt]])</f>
        <v>2.4517575411905161</v>
      </c>
      <c r="R430" s="1">
        <v>3</v>
      </c>
    </row>
    <row r="431" spans="1:18" x14ac:dyDescent="0.3">
      <c r="A431" s="1">
        <v>430</v>
      </c>
      <c r="B431" s="1" t="s">
        <v>16</v>
      </c>
      <c r="C431" s="1">
        <v>2</v>
      </c>
      <c r="D431" s="1">
        <v>240</v>
      </c>
      <c r="E431" s="1">
        <v>200</v>
      </c>
      <c r="F431" s="1">
        <v>11</v>
      </c>
      <c r="G431" s="1">
        <v>25</v>
      </c>
      <c r="H431" s="1">
        <v>150</v>
      </c>
      <c r="I431" s="1">
        <v>100</v>
      </c>
      <c r="J431" s="1">
        <v>69.876000000000005</v>
      </c>
      <c r="K431" s="1">
        <v>60.247</v>
      </c>
      <c r="L431" s="1">
        <v>69.88</v>
      </c>
      <c r="M431" s="1">
        <v>68.599999999999994</v>
      </c>
      <c r="N431" s="1">
        <v>4.8189999999999997E-2</v>
      </c>
      <c r="O431" s="1">
        <v>2.8689999999999998E-4</v>
      </c>
      <c r="P4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57.852009539305001</v>
      </c>
      <c r="Q431" s="1">
        <f>LN(Table13[[#This Row],[qe_mg_g]]-Table13[[#This Row],[qt]])</f>
        <v>2.4869038590949866</v>
      </c>
      <c r="R431" s="1">
        <v>1</v>
      </c>
    </row>
    <row r="432" spans="1:18" x14ac:dyDescent="0.3">
      <c r="A432" s="1">
        <v>431</v>
      </c>
      <c r="B432" s="1" t="s">
        <v>16</v>
      </c>
      <c r="C432" s="1">
        <v>2</v>
      </c>
      <c r="D432" s="1">
        <v>240</v>
      </c>
      <c r="E432" s="1">
        <v>200</v>
      </c>
      <c r="F432" s="1">
        <v>11</v>
      </c>
      <c r="G432" s="1">
        <v>25</v>
      </c>
      <c r="H432" s="1">
        <v>150</v>
      </c>
      <c r="I432" s="1">
        <v>100</v>
      </c>
      <c r="J432" s="1">
        <v>70.863</v>
      </c>
      <c r="K432" s="1">
        <v>58.274000000000001</v>
      </c>
      <c r="L432" s="1">
        <v>70.86</v>
      </c>
      <c r="M432" s="1">
        <v>64.099999999999994</v>
      </c>
      <c r="N432" s="1">
        <v>4.8320000000000002E-2</v>
      </c>
      <c r="O432" s="1">
        <v>3.1849999999999999E-4</v>
      </c>
      <c r="P4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59.819589502354617</v>
      </c>
      <c r="Q432" s="1">
        <f>LN(Table13[[#This Row],[qe_mg_g]]-Table13[[#This Row],[qt]])</f>
        <v>2.4018339150305761</v>
      </c>
      <c r="R432" s="1">
        <v>2</v>
      </c>
    </row>
    <row r="433" spans="1:18" x14ac:dyDescent="0.3">
      <c r="A433" s="1">
        <v>432</v>
      </c>
      <c r="B433" s="1" t="s">
        <v>16</v>
      </c>
      <c r="C433" s="1">
        <v>2</v>
      </c>
      <c r="D433" s="1">
        <v>240</v>
      </c>
      <c r="E433" s="1">
        <v>200</v>
      </c>
      <c r="F433" s="1">
        <v>11</v>
      </c>
      <c r="G433" s="1">
        <v>25</v>
      </c>
      <c r="H433" s="1">
        <v>150</v>
      </c>
      <c r="I433" s="1">
        <v>100</v>
      </c>
      <c r="J433" s="1">
        <v>62.975000000000001</v>
      </c>
      <c r="K433" s="1">
        <v>74.051000000000002</v>
      </c>
      <c r="L433" s="1">
        <v>62.97</v>
      </c>
      <c r="M433" s="1">
        <v>77.5</v>
      </c>
      <c r="N433" s="1">
        <v>4.2590000000000003E-2</v>
      </c>
      <c r="O433" s="1">
        <v>3.2420000000000002E-4</v>
      </c>
      <c r="P4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52.301196650729153</v>
      </c>
      <c r="Q433" s="1">
        <f>LN(Table13[[#This Row],[qe_mg_g]]-Table13[[#This Row],[qt]])</f>
        <v>2.3677924544022293</v>
      </c>
      <c r="R433" s="1">
        <v>3</v>
      </c>
    </row>
    <row r="434" spans="1:18" x14ac:dyDescent="0.3">
      <c r="A434" s="1">
        <v>433</v>
      </c>
      <c r="B434" s="1" t="s">
        <v>16</v>
      </c>
      <c r="C434" s="1">
        <v>4</v>
      </c>
      <c r="D434" s="1">
        <v>30</v>
      </c>
      <c r="E434" s="1">
        <v>25</v>
      </c>
      <c r="F434" s="1">
        <v>3</v>
      </c>
      <c r="G434" s="1">
        <v>25</v>
      </c>
      <c r="H434" s="1">
        <v>150</v>
      </c>
      <c r="I434" s="1">
        <v>100</v>
      </c>
      <c r="J434" s="1">
        <v>0.17199999999999999</v>
      </c>
      <c r="K434" s="1">
        <v>24.31</v>
      </c>
      <c r="L434" s="1">
        <v>2.76</v>
      </c>
      <c r="M434" s="1">
        <v>85</v>
      </c>
      <c r="N434" s="1">
        <v>4.3990000000000001E-2</v>
      </c>
      <c r="O434" s="1">
        <v>2.8949999999999999E-4</v>
      </c>
      <c r="P4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2.5655379481023647E-4</v>
      </c>
      <c r="Q434" s="1">
        <f>LN(Table13[[#This Row],[qe_mg_g]]-Table13[[#This Row],[qt]])</f>
        <v>-1.7617535075294968</v>
      </c>
      <c r="R434" s="1">
        <v>1</v>
      </c>
    </row>
    <row r="435" spans="1:18" x14ac:dyDescent="0.3">
      <c r="A435" s="1">
        <v>434</v>
      </c>
      <c r="B435" s="1" t="s">
        <v>16</v>
      </c>
      <c r="C435" s="1">
        <v>4</v>
      </c>
      <c r="D435" s="1">
        <v>30</v>
      </c>
      <c r="E435" s="1">
        <v>25</v>
      </c>
      <c r="F435" s="1">
        <v>3</v>
      </c>
      <c r="G435" s="1">
        <v>25</v>
      </c>
      <c r="H435" s="1">
        <v>150</v>
      </c>
      <c r="I435" s="1">
        <v>100</v>
      </c>
      <c r="J435" s="1">
        <v>0.16700000000000001</v>
      </c>
      <c r="K435" s="1">
        <v>24.331</v>
      </c>
      <c r="L435" s="1">
        <v>2.68</v>
      </c>
      <c r="M435" s="1">
        <v>63.6</v>
      </c>
      <c r="N435" s="1">
        <v>4.8599999999999997E-2</v>
      </c>
      <c r="O435" s="1">
        <v>2.5149999999999999E-4</v>
      </c>
      <c r="P4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2.1015770314167597E-4</v>
      </c>
      <c r="Q435" s="1">
        <f>LN(Table13[[#This Row],[qe_mg_g]]-Table13[[#This Row],[qt]])</f>
        <v>-1.791020688412668</v>
      </c>
      <c r="R435" s="1">
        <v>2</v>
      </c>
    </row>
    <row r="436" spans="1:18" x14ac:dyDescent="0.3">
      <c r="A436" s="1">
        <v>435</v>
      </c>
      <c r="B436" s="1" t="s">
        <v>16</v>
      </c>
      <c r="C436" s="1">
        <v>4</v>
      </c>
      <c r="D436" s="1">
        <v>30</v>
      </c>
      <c r="E436" s="1">
        <v>25</v>
      </c>
      <c r="F436" s="1">
        <v>3</v>
      </c>
      <c r="G436" s="1">
        <v>25</v>
      </c>
      <c r="H436" s="1">
        <v>150</v>
      </c>
      <c r="I436" s="1">
        <v>100</v>
      </c>
      <c r="J436" s="1">
        <v>0.153</v>
      </c>
      <c r="K436" s="1">
        <v>24.385999999999999</v>
      </c>
      <c r="L436" s="1">
        <v>2.46</v>
      </c>
      <c r="M436" s="1">
        <v>56</v>
      </c>
      <c r="N436" s="1">
        <v>4.9279999999999997E-2</v>
      </c>
      <c r="O436" s="1">
        <v>3.5129999999999997E-4</v>
      </c>
      <c r="P4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2.4631028379561891E-4</v>
      </c>
      <c r="Q436" s="1">
        <f>LN(Table13[[#This Row],[qe_mg_g]]-Table13[[#This Row],[qt]])</f>
        <v>-1.878928525960599</v>
      </c>
      <c r="R436" s="1">
        <v>3</v>
      </c>
    </row>
    <row r="437" spans="1:18" x14ac:dyDescent="0.3">
      <c r="A437" s="1">
        <v>436</v>
      </c>
      <c r="B437" s="1" t="s">
        <v>16</v>
      </c>
      <c r="C437" s="1">
        <v>4</v>
      </c>
      <c r="D437" s="1">
        <v>30</v>
      </c>
      <c r="E437" s="1">
        <v>25</v>
      </c>
      <c r="F437" s="1">
        <v>7</v>
      </c>
      <c r="G437" s="1">
        <v>25</v>
      </c>
      <c r="H437" s="1">
        <v>150</v>
      </c>
      <c r="I437" s="1">
        <v>100</v>
      </c>
      <c r="J437" s="1">
        <v>0.29199999999999998</v>
      </c>
      <c r="K437" s="1">
        <v>23.834</v>
      </c>
      <c r="L437" s="1">
        <v>4.66</v>
      </c>
      <c r="M437" s="1">
        <v>65</v>
      </c>
      <c r="N437" s="1">
        <v>4.5319999999999999E-2</v>
      </c>
      <c r="O437" s="1">
        <v>3.3490000000000001E-4</v>
      </c>
      <c r="P4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8.5414159231123824E-4</v>
      </c>
      <c r="Q437" s="1">
        <f>LN(Table13[[#This Row],[qe_mg_g]]-Table13[[#This Row],[qt]])</f>
        <v>-1.2339309057437222</v>
      </c>
      <c r="R437" s="1">
        <v>1</v>
      </c>
    </row>
    <row r="438" spans="1:18" x14ac:dyDescent="0.3">
      <c r="A438" s="1">
        <v>437</v>
      </c>
      <c r="B438" s="1" t="s">
        <v>16</v>
      </c>
      <c r="C438" s="1">
        <v>4</v>
      </c>
      <c r="D438" s="1">
        <v>30</v>
      </c>
      <c r="E438" s="1">
        <v>25</v>
      </c>
      <c r="F438" s="1">
        <v>7</v>
      </c>
      <c r="G438" s="1">
        <v>25</v>
      </c>
      <c r="H438" s="1">
        <v>150</v>
      </c>
      <c r="I438" s="1">
        <v>100</v>
      </c>
      <c r="J438" s="1">
        <v>0.27200000000000002</v>
      </c>
      <c r="K438" s="1">
        <v>23.911000000000001</v>
      </c>
      <c r="L438" s="1">
        <v>4.3499999999999996</v>
      </c>
      <c r="M438" s="1">
        <v>69.099999999999994</v>
      </c>
      <c r="N438" s="1">
        <v>4.9390000000000003E-2</v>
      </c>
      <c r="O438" s="1">
        <v>3.1500000000000001E-4</v>
      </c>
      <c r="P4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6.9735631532708334E-4</v>
      </c>
      <c r="Q438" s="1">
        <f>LN(Table13[[#This Row],[qe_mg_g]]-Table13[[#This Row],[qt]])</f>
        <v>-1.3045203148580091</v>
      </c>
      <c r="R438" s="1">
        <v>2</v>
      </c>
    </row>
    <row r="439" spans="1:18" x14ac:dyDescent="0.3">
      <c r="A439" s="1">
        <v>438</v>
      </c>
      <c r="B439" s="1" t="s">
        <v>16</v>
      </c>
      <c r="C439" s="1">
        <v>4</v>
      </c>
      <c r="D439" s="1">
        <v>30</v>
      </c>
      <c r="E439" s="1">
        <v>25</v>
      </c>
      <c r="F439" s="1">
        <v>7</v>
      </c>
      <c r="G439" s="1">
        <v>25</v>
      </c>
      <c r="H439" s="1">
        <v>150</v>
      </c>
      <c r="I439" s="1">
        <v>100</v>
      </c>
      <c r="J439" s="1">
        <v>0.29799999999999999</v>
      </c>
      <c r="K439" s="1">
        <v>23.806000000000001</v>
      </c>
      <c r="L439" s="1">
        <v>4.7699999999999996</v>
      </c>
      <c r="M439" s="1">
        <v>76.7</v>
      </c>
      <c r="N439" s="1">
        <v>3.2840000000000001E-2</v>
      </c>
      <c r="O439" s="1">
        <v>3.2029999999999998E-4</v>
      </c>
      <c r="P4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8.5088115313386187E-4</v>
      </c>
      <c r="Q439" s="1">
        <f>LN(Table13[[#This Row],[qe_mg_g]]-Table13[[#This Row],[qt]])</f>
        <v>-1.2135211825217822</v>
      </c>
      <c r="R439" s="1">
        <v>3</v>
      </c>
    </row>
    <row r="440" spans="1:18" x14ac:dyDescent="0.3">
      <c r="A440" s="1">
        <v>439</v>
      </c>
      <c r="B440" s="1" t="s">
        <v>16</v>
      </c>
      <c r="C440" s="1">
        <v>4</v>
      </c>
      <c r="D440" s="1">
        <v>30</v>
      </c>
      <c r="E440" s="1">
        <v>25</v>
      </c>
      <c r="F440" s="1">
        <v>11</v>
      </c>
      <c r="G440" s="1">
        <v>25</v>
      </c>
      <c r="H440" s="1">
        <v>150</v>
      </c>
      <c r="I440" s="1">
        <v>100</v>
      </c>
      <c r="J440" s="1">
        <v>0.20300000000000001</v>
      </c>
      <c r="K440" s="1">
        <v>24.187999999999999</v>
      </c>
      <c r="L440" s="1">
        <v>3.25</v>
      </c>
      <c r="M440" s="1">
        <v>48.4</v>
      </c>
      <c r="N440" s="1">
        <v>4.7300000000000002E-2</v>
      </c>
      <c r="O440" s="1">
        <v>3.412E-4</v>
      </c>
      <c r="P4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4.2094064805987125E-4</v>
      </c>
      <c r="Q440" s="1">
        <f>LN(Table13[[#This Row],[qe_mg_g]]-Table13[[#This Row],[qt]])</f>
        <v>-1.5966250520754641</v>
      </c>
      <c r="R440" s="1">
        <v>1</v>
      </c>
    </row>
    <row r="441" spans="1:18" x14ac:dyDescent="0.3">
      <c r="A441" s="1">
        <v>440</v>
      </c>
      <c r="B441" s="1" t="s">
        <v>16</v>
      </c>
      <c r="C441" s="1">
        <v>4</v>
      </c>
      <c r="D441" s="1">
        <v>30</v>
      </c>
      <c r="E441" s="1">
        <v>25</v>
      </c>
      <c r="F441" s="1">
        <v>11</v>
      </c>
      <c r="G441" s="1">
        <v>25</v>
      </c>
      <c r="H441" s="1">
        <v>150</v>
      </c>
      <c r="I441" s="1">
        <v>100</v>
      </c>
      <c r="J441" s="1">
        <v>0.21199999999999999</v>
      </c>
      <c r="K441" s="1">
        <v>24.152999999999999</v>
      </c>
      <c r="L441" s="1">
        <v>3.39</v>
      </c>
      <c r="M441" s="1">
        <v>76.2</v>
      </c>
      <c r="N441" s="1">
        <v>5.2260000000000001E-2</v>
      </c>
      <c r="O441" s="1">
        <v>3.3940000000000001E-4</v>
      </c>
      <c r="P4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4.5663412488417102E-4</v>
      </c>
      <c r="Q441" s="1">
        <f>LN(Table13[[#This Row],[qe_mg_g]]-Table13[[#This Row],[qt]])</f>
        <v>-1.5533252619148936</v>
      </c>
      <c r="R441" s="1">
        <v>2</v>
      </c>
    </row>
    <row r="442" spans="1:18" x14ac:dyDescent="0.3">
      <c r="A442" s="1">
        <v>441</v>
      </c>
      <c r="B442" s="1" t="s">
        <v>16</v>
      </c>
      <c r="C442" s="1">
        <v>4</v>
      </c>
      <c r="D442" s="1">
        <v>30</v>
      </c>
      <c r="E442" s="1">
        <v>25</v>
      </c>
      <c r="F442" s="1">
        <v>11</v>
      </c>
      <c r="G442" s="1">
        <v>25</v>
      </c>
      <c r="H442" s="1">
        <v>150</v>
      </c>
      <c r="I442" s="1">
        <v>100</v>
      </c>
      <c r="J442" s="1">
        <v>0.24199999999999999</v>
      </c>
      <c r="K442" s="1">
        <v>24.030999999999999</v>
      </c>
      <c r="L442" s="1">
        <v>3.87</v>
      </c>
      <c r="M442" s="1">
        <v>74.099999999999994</v>
      </c>
      <c r="N442" s="1">
        <v>4.5339999999999998E-2</v>
      </c>
      <c r="O442" s="1">
        <v>2.519E-4</v>
      </c>
      <c r="P4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4.4176025948800988E-4</v>
      </c>
      <c r="Q442" s="1">
        <f>LN(Table13[[#This Row],[qe_mg_g]]-Table13[[#This Row],[qt]])</f>
        <v>-1.4206446766177041</v>
      </c>
      <c r="R442" s="1">
        <v>3</v>
      </c>
    </row>
    <row r="443" spans="1:18" x14ac:dyDescent="0.3">
      <c r="A443" s="1">
        <v>442</v>
      </c>
      <c r="B443" s="1" t="s">
        <v>16</v>
      </c>
      <c r="C443" s="1">
        <v>4</v>
      </c>
      <c r="D443" s="1">
        <v>30</v>
      </c>
      <c r="E443" s="1">
        <v>50</v>
      </c>
      <c r="F443" s="1">
        <v>3</v>
      </c>
      <c r="G443" s="1">
        <v>25</v>
      </c>
      <c r="H443" s="1">
        <v>150</v>
      </c>
      <c r="I443" s="1">
        <v>100</v>
      </c>
      <c r="J443" s="1">
        <v>0.63100000000000001</v>
      </c>
      <c r="K443" s="1">
        <v>47.473999999999997</v>
      </c>
      <c r="L443" s="1">
        <v>5.05</v>
      </c>
      <c r="M443" s="1">
        <v>58.2</v>
      </c>
      <c r="N443" s="1">
        <v>5.4769999999999999E-2</v>
      </c>
      <c r="O443" s="1">
        <v>2.9470000000000001E-4</v>
      </c>
      <c r="P4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3.5006126348119406E-3</v>
      </c>
      <c r="Q443" s="1">
        <f>LN(Table13[[#This Row],[qe_mg_g]]-Table13[[#This Row],[qt]])</f>
        <v>-0.46601258428713194</v>
      </c>
      <c r="R443" s="1">
        <v>1</v>
      </c>
    </row>
    <row r="444" spans="1:18" x14ac:dyDescent="0.3">
      <c r="A444" s="1">
        <v>443</v>
      </c>
      <c r="B444" s="1" t="s">
        <v>16</v>
      </c>
      <c r="C444" s="1">
        <v>4</v>
      </c>
      <c r="D444" s="1">
        <v>30</v>
      </c>
      <c r="E444" s="1">
        <v>50</v>
      </c>
      <c r="F444" s="1">
        <v>3</v>
      </c>
      <c r="G444" s="1">
        <v>25</v>
      </c>
      <c r="H444" s="1">
        <v>150</v>
      </c>
      <c r="I444" s="1">
        <v>100</v>
      </c>
      <c r="J444" s="1">
        <v>0.65100000000000002</v>
      </c>
      <c r="K444" s="1">
        <v>47.398000000000003</v>
      </c>
      <c r="L444" s="1">
        <v>5.2</v>
      </c>
      <c r="M444" s="1">
        <v>72.2</v>
      </c>
      <c r="N444" s="1">
        <v>4.5199999999999997E-2</v>
      </c>
      <c r="O444" s="1">
        <v>3.5090000000000002E-4</v>
      </c>
      <c r="P4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4.4309872303245693E-3</v>
      </c>
      <c r="Q444" s="1">
        <f>LN(Table13[[#This Row],[qe_mg_g]]-Table13[[#This Row],[qt]])</f>
        <v>-0.43607533817712352</v>
      </c>
      <c r="R444" s="1">
        <v>2</v>
      </c>
    </row>
    <row r="445" spans="1:18" x14ac:dyDescent="0.3">
      <c r="A445" s="1">
        <v>444</v>
      </c>
      <c r="B445" s="1" t="s">
        <v>16</v>
      </c>
      <c r="C445" s="1">
        <v>4</v>
      </c>
      <c r="D445" s="1">
        <v>30</v>
      </c>
      <c r="E445" s="1">
        <v>50</v>
      </c>
      <c r="F445" s="1">
        <v>3</v>
      </c>
      <c r="G445" s="1">
        <v>25</v>
      </c>
      <c r="H445" s="1">
        <v>150</v>
      </c>
      <c r="I445" s="1">
        <v>100</v>
      </c>
      <c r="J445" s="1">
        <v>0.61199999999999999</v>
      </c>
      <c r="K445" s="1">
        <v>47.552</v>
      </c>
      <c r="L445" s="1">
        <v>4.9000000000000004</v>
      </c>
      <c r="M445" s="1">
        <v>68.599999999999994</v>
      </c>
      <c r="N445" s="1">
        <v>4.1660000000000003E-2</v>
      </c>
      <c r="O445" s="1">
        <v>2.6039999999999999E-4</v>
      </c>
      <c r="P4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2.9120155447534043E-3</v>
      </c>
      <c r="Q445" s="1">
        <f>LN(Table13[[#This Row],[qe_mg_g]]-Table13[[#This Row],[qt]])</f>
        <v>-0.495792548053618</v>
      </c>
      <c r="R445" s="1">
        <v>3</v>
      </c>
    </row>
    <row r="446" spans="1:18" x14ac:dyDescent="0.3">
      <c r="A446" s="1">
        <v>445</v>
      </c>
      <c r="B446" s="1" t="s">
        <v>16</v>
      </c>
      <c r="C446" s="1">
        <v>4</v>
      </c>
      <c r="D446" s="1">
        <v>30</v>
      </c>
      <c r="E446" s="1">
        <v>50</v>
      </c>
      <c r="F446" s="1">
        <v>7</v>
      </c>
      <c r="G446" s="1">
        <v>25</v>
      </c>
      <c r="H446" s="1">
        <v>150</v>
      </c>
      <c r="I446" s="1">
        <v>100</v>
      </c>
      <c r="J446" s="1">
        <v>1.0620000000000001</v>
      </c>
      <c r="K446" s="1">
        <v>45.753</v>
      </c>
      <c r="L446" s="1">
        <v>8.49</v>
      </c>
      <c r="M446" s="1">
        <v>66.3</v>
      </c>
      <c r="N446" s="1">
        <v>4.3069999999999997E-2</v>
      </c>
      <c r="O446" s="1">
        <v>2.7920000000000001E-4</v>
      </c>
      <c r="P4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9.3635298247872131E-3</v>
      </c>
      <c r="Q446" s="1">
        <f>LN(Table13[[#This Row],[qe_mg_g]]-Table13[[#This Row],[qt]])</f>
        <v>5.1297941043207056E-2</v>
      </c>
      <c r="R446" s="1">
        <v>1</v>
      </c>
    </row>
    <row r="447" spans="1:18" x14ac:dyDescent="0.3">
      <c r="A447" s="1">
        <v>446</v>
      </c>
      <c r="B447" s="1" t="s">
        <v>16</v>
      </c>
      <c r="C447" s="1">
        <v>4</v>
      </c>
      <c r="D447" s="1">
        <v>30</v>
      </c>
      <c r="E447" s="1">
        <v>50</v>
      </c>
      <c r="F447" s="1">
        <v>7</v>
      </c>
      <c r="G447" s="1">
        <v>25</v>
      </c>
      <c r="H447" s="1">
        <v>150</v>
      </c>
      <c r="I447" s="1">
        <v>100</v>
      </c>
      <c r="J447" s="1">
        <v>0.99099999999999999</v>
      </c>
      <c r="K447" s="1">
        <v>46.036999999999999</v>
      </c>
      <c r="L447" s="1">
        <v>7.93</v>
      </c>
      <c r="M447" s="1">
        <v>65.8</v>
      </c>
      <c r="N447" s="1">
        <v>3.823E-2</v>
      </c>
      <c r="O447" s="1">
        <v>3.2279999999999999E-4</v>
      </c>
      <c r="P4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9.4200694668574048E-3</v>
      </c>
      <c r="Q447" s="1">
        <f>LN(Table13[[#This Row],[qe_mg_g]]-Table13[[#This Row],[qt]])</f>
        <v>-1.8591831461583483E-2</v>
      </c>
      <c r="R447" s="1">
        <v>2</v>
      </c>
    </row>
    <row r="448" spans="1:18" x14ac:dyDescent="0.3">
      <c r="A448" s="1">
        <v>447</v>
      </c>
      <c r="B448" s="1" t="s">
        <v>16</v>
      </c>
      <c r="C448" s="1">
        <v>4</v>
      </c>
      <c r="D448" s="1">
        <v>30</v>
      </c>
      <c r="E448" s="1">
        <v>50</v>
      </c>
      <c r="F448" s="1">
        <v>7</v>
      </c>
      <c r="G448" s="1">
        <v>25</v>
      </c>
      <c r="H448" s="1">
        <v>150</v>
      </c>
      <c r="I448" s="1">
        <v>100</v>
      </c>
      <c r="J448" s="1">
        <v>1.1240000000000001</v>
      </c>
      <c r="K448" s="1">
        <v>45.505000000000003</v>
      </c>
      <c r="L448" s="1">
        <v>8.99</v>
      </c>
      <c r="M448" s="1">
        <v>52.1</v>
      </c>
      <c r="N448" s="1">
        <v>4.3610000000000003E-2</v>
      </c>
      <c r="O448" s="1">
        <v>2.7740000000000002E-4</v>
      </c>
      <c r="P4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1.0416380994160064E-2</v>
      </c>
      <c r="Q448" s="1">
        <f>LN(Table13[[#This Row],[qe_mg_g]]-Table13[[#This Row],[qt]])</f>
        <v>0.10758330054535759</v>
      </c>
      <c r="R448" s="1">
        <v>3</v>
      </c>
    </row>
    <row r="449" spans="1:18" x14ac:dyDescent="0.3">
      <c r="A449" s="1">
        <v>448</v>
      </c>
      <c r="B449" s="1" t="s">
        <v>16</v>
      </c>
      <c r="C449" s="1">
        <v>4</v>
      </c>
      <c r="D449" s="1">
        <v>30</v>
      </c>
      <c r="E449" s="1">
        <v>50</v>
      </c>
      <c r="F449" s="1">
        <v>11</v>
      </c>
      <c r="G449" s="1">
        <v>25</v>
      </c>
      <c r="H449" s="1">
        <v>150</v>
      </c>
      <c r="I449" s="1">
        <v>100</v>
      </c>
      <c r="J449" s="1">
        <v>0.84</v>
      </c>
      <c r="K449" s="1">
        <v>46.640999999999998</v>
      </c>
      <c r="L449" s="1">
        <v>6.72</v>
      </c>
      <c r="M449" s="1">
        <v>80.099999999999994</v>
      </c>
      <c r="N449" s="1">
        <v>3.6560000000000002E-2</v>
      </c>
      <c r="O449" s="1">
        <v>3.035E-4</v>
      </c>
      <c r="P4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6.3757251786883545E-3</v>
      </c>
      <c r="Q449" s="1">
        <f>LN(Table13[[#This Row],[qe_mg_g]]-Table13[[#This Row],[qt]])</f>
        <v>-0.18197248794000265</v>
      </c>
      <c r="R449" s="1">
        <v>1</v>
      </c>
    </row>
    <row r="450" spans="1:18" x14ac:dyDescent="0.3">
      <c r="A450" s="1">
        <v>449</v>
      </c>
      <c r="B450" s="1" t="s">
        <v>16</v>
      </c>
      <c r="C450" s="1">
        <v>4</v>
      </c>
      <c r="D450" s="1">
        <v>30</v>
      </c>
      <c r="E450" s="1">
        <v>50</v>
      </c>
      <c r="F450" s="1">
        <v>11</v>
      </c>
      <c r="G450" s="1">
        <v>25</v>
      </c>
      <c r="H450" s="1">
        <v>150</v>
      </c>
      <c r="I450" s="1">
        <v>100</v>
      </c>
      <c r="J450" s="1">
        <v>0.80800000000000005</v>
      </c>
      <c r="K450" s="1">
        <v>46.765999999999998</v>
      </c>
      <c r="L450" s="1">
        <v>6.47</v>
      </c>
      <c r="M450" s="1">
        <v>73.400000000000006</v>
      </c>
      <c r="N450" s="1">
        <v>4.5960000000000001E-2</v>
      </c>
      <c r="O450" s="1">
        <v>2.7740000000000002E-4</v>
      </c>
      <c r="P4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5.3968448732277206E-3</v>
      </c>
      <c r="Q450" s="1">
        <f>LN(Table13[[#This Row],[qe_mg_g]]-Table13[[#This Row],[qt]])</f>
        <v>-0.21989489002476204</v>
      </c>
      <c r="R450" s="1">
        <v>2</v>
      </c>
    </row>
    <row r="451" spans="1:18" x14ac:dyDescent="0.3">
      <c r="A451" s="1">
        <v>450</v>
      </c>
      <c r="B451" s="1" t="s">
        <v>16</v>
      </c>
      <c r="C451" s="1">
        <v>4</v>
      </c>
      <c r="D451" s="1">
        <v>30</v>
      </c>
      <c r="E451" s="1">
        <v>50</v>
      </c>
      <c r="F451" s="1">
        <v>11</v>
      </c>
      <c r="G451" s="1">
        <v>25</v>
      </c>
      <c r="H451" s="1">
        <v>150</v>
      </c>
      <c r="I451" s="1">
        <v>100</v>
      </c>
      <c r="J451" s="1">
        <v>0.79800000000000004</v>
      </c>
      <c r="K451" s="1">
        <v>46.808</v>
      </c>
      <c r="L451" s="1">
        <v>6.38</v>
      </c>
      <c r="M451" s="1">
        <v>58.7</v>
      </c>
      <c r="N451" s="1">
        <v>4.9840000000000002E-2</v>
      </c>
      <c r="O451" s="1">
        <v>3.0059999999999999E-4</v>
      </c>
      <c r="P4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5.7016671994260699E-3</v>
      </c>
      <c r="Q451" s="1">
        <f>LN(Table13[[#This Row],[qe_mg_g]]-Table13[[#This Row],[qt]])</f>
        <v>-0.23281727526586973</v>
      </c>
      <c r="R451" s="1">
        <v>3</v>
      </c>
    </row>
    <row r="452" spans="1:18" x14ac:dyDescent="0.3">
      <c r="A452" s="1">
        <v>451</v>
      </c>
      <c r="B452" s="1" t="s">
        <v>16</v>
      </c>
      <c r="C452" s="1">
        <v>4</v>
      </c>
      <c r="D452" s="1">
        <v>30</v>
      </c>
      <c r="E452" s="1">
        <v>100</v>
      </c>
      <c r="F452" s="1">
        <v>3</v>
      </c>
      <c r="G452" s="1">
        <v>25</v>
      </c>
      <c r="H452" s="1">
        <v>150</v>
      </c>
      <c r="I452" s="1">
        <v>100</v>
      </c>
      <c r="J452" s="1">
        <v>2.754</v>
      </c>
      <c r="K452" s="1">
        <v>88.986000000000004</v>
      </c>
      <c r="L452" s="1">
        <v>11.01</v>
      </c>
      <c r="M452" s="1">
        <v>66.099999999999994</v>
      </c>
      <c r="N452" s="1">
        <v>4.181E-2</v>
      </c>
      <c r="O452" s="1">
        <v>2.5460000000000001E-4</v>
      </c>
      <c r="P4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5.6737066072830578E-2</v>
      </c>
      <c r="Q452" s="1">
        <f>LN(Table13[[#This Row],[qe_mg_g]]-Table13[[#This Row],[qt]])</f>
        <v>0.99223753066523945</v>
      </c>
      <c r="R452" s="1">
        <v>1</v>
      </c>
    </row>
    <row r="453" spans="1:18" x14ac:dyDescent="0.3">
      <c r="A453" s="1">
        <v>452</v>
      </c>
      <c r="B453" s="1" t="s">
        <v>16</v>
      </c>
      <c r="C453" s="1">
        <v>4</v>
      </c>
      <c r="D453" s="1">
        <v>30</v>
      </c>
      <c r="E453" s="1">
        <v>100</v>
      </c>
      <c r="F453" s="1">
        <v>3</v>
      </c>
      <c r="G453" s="1">
        <v>25</v>
      </c>
      <c r="H453" s="1">
        <v>150</v>
      </c>
      <c r="I453" s="1">
        <v>100</v>
      </c>
      <c r="J453" s="1">
        <v>2.0449999999999999</v>
      </c>
      <c r="K453" s="1">
        <v>91.819000000000003</v>
      </c>
      <c r="L453" s="1">
        <v>8.18</v>
      </c>
      <c r="M453" s="1">
        <v>50.8</v>
      </c>
      <c r="N453" s="1">
        <v>4.6199999999999998E-2</v>
      </c>
      <c r="O453" s="1">
        <v>3.1530000000000002E-4</v>
      </c>
      <c r="P4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3.8807103258027338E-2</v>
      </c>
      <c r="Q453" s="1">
        <f>LN(Table13[[#This Row],[qe_mg_g]]-Table13[[#This Row],[qt]])</f>
        <v>0.69623884480799014</v>
      </c>
      <c r="R453" s="1">
        <v>2</v>
      </c>
    </row>
    <row r="454" spans="1:18" x14ac:dyDescent="0.3">
      <c r="A454" s="1">
        <v>453</v>
      </c>
      <c r="B454" s="1" t="s">
        <v>16</v>
      </c>
      <c r="C454" s="1">
        <v>4</v>
      </c>
      <c r="D454" s="1">
        <v>30</v>
      </c>
      <c r="E454" s="1">
        <v>100</v>
      </c>
      <c r="F454" s="1">
        <v>3</v>
      </c>
      <c r="G454" s="1">
        <v>25</v>
      </c>
      <c r="H454" s="1">
        <v>150</v>
      </c>
      <c r="I454" s="1">
        <v>100</v>
      </c>
      <c r="J454" s="1">
        <v>2.0880000000000001</v>
      </c>
      <c r="K454" s="1">
        <v>91.649000000000001</v>
      </c>
      <c r="L454" s="1">
        <v>8.35</v>
      </c>
      <c r="M454" s="1">
        <v>75.599999999999994</v>
      </c>
      <c r="N454" s="1">
        <v>4.283E-2</v>
      </c>
      <c r="O454" s="1">
        <v>3.0440000000000003E-4</v>
      </c>
      <c r="P4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3.9068243934855848E-2</v>
      </c>
      <c r="Q454" s="1">
        <f>LN(Table13[[#This Row],[qe_mg_g]]-Table13[[#This Row],[qt]])</f>
        <v>0.7173185627309715</v>
      </c>
      <c r="R454" s="1">
        <v>3</v>
      </c>
    </row>
    <row r="455" spans="1:18" x14ac:dyDescent="0.3">
      <c r="A455" s="1">
        <v>454</v>
      </c>
      <c r="B455" s="1" t="s">
        <v>16</v>
      </c>
      <c r="C455" s="1">
        <v>4</v>
      </c>
      <c r="D455" s="1">
        <v>30</v>
      </c>
      <c r="E455" s="1">
        <v>100</v>
      </c>
      <c r="F455" s="1">
        <v>7</v>
      </c>
      <c r="G455" s="1">
        <v>25</v>
      </c>
      <c r="H455" s="1">
        <v>150</v>
      </c>
      <c r="I455" s="1">
        <v>100</v>
      </c>
      <c r="J455" s="1">
        <v>4.5780000000000003</v>
      </c>
      <c r="K455" s="1">
        <v>81.688000000000002</v>
      </c>
      <c r="L455" s="1">
        <v>18.309999999999999</v>
      </c>
      <c r="M455" s="1">
        <v>75.599999999999994</v>
      </c>
      <c r="N455" s="1">
        <v>4.3790000000000003E-2</v>
      </c>
      <c r="O455" s="1">
        <v>2.7329999999999998E-4</v>
      </c>
      <c r="P4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0.16561882449496729</v>
      </c>
      <c r="Q455" s="1">
        <f>LN(Table13[[#This Row],[qe_mg_g]]-Table13[[#This Row],[qt]])</f>
        <v>1.484414492832806</v>
      </c>
      <c r="R455" s="1">
        <v>1</v>
      </c>
    </row>
    <row r="456" spans="1:18" x14ac:dyDescent="0.3">
      <c r="A456" s="1">
        <v>455</v>
      </c>
      <c r="B456" s="1" t="s">
        <v>16</v>
      </c>
      <c r="C456" s="1">
        <v>4</v>
      </c>
      <c r="D456" s="1">
        <v>30</v>
      </c>
      <c r="E456" s="1">
        <v>100</v>
      </c>
      <c r="F456" s="1">
        <v>7</v>
      </c>
      <c r="G456" s="1">
        <v>25</v>
      </c>
      <c r="H456" s="1">
        <v>150</v>
      </c>
      <c r="I456" s="1">
        <v>100</v>
      </c>
      <c r="J456" s="1">
        <v>3.3570000000000002</v>
      </c>
      <c r="K456" s="1">
        <v>86.572000000000003</v>
      </c>
      <c r="L456" s="1">
        <v>13.43</v>
      </c>
      <c r="M456" s="1">
        <v>59.5</v>
      </c>
      <c r="N456" s="1">
        <v>4.4049999999999999E-2</v>
      </c>
      <c r="O456" s="1">
        <v>2.7040000000000001E-4</v>
      </c>
      <c r="P4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8.8994279492761619E-2</v>
      </c>
      <c r="Q456" s="1">
        <f>LN(Table13[[#This Row],[qe_mg_g]]-Table13[[#This Row],[qt]])</f>
        <v>1.1841799274574356</v>
      </c>
      <c r="R456" s="1">
        <v>2</v>
      </c>
    </row>
    <row r="457" spans="1:18" x14ac:dyDescent="0.3">
      <c r="A457" s="1">
        <v>456</v>
      </c>
      <c r="B457" s="1" t="s">
        <v>16</v>
      </c>
      <c r="C457" s="1">
        <v>4</v>
      </c>
      <c r="D457" s="1">
        <v>30</v>
      </c>
      <c r="E457" s="1">
        <v>100</v>
      </c>
      <c r="F457" s="1">
        <v>7</v>
      </c>
      <c r="G457" s="1">
        <v>25</v>
      </c>
      <c r="H457" s="1">
        <v>150</v>
      </c>
      <c r="I457" s="1">
        <v>100</v>
      </c>
      <c r="J457" s="1">
        <v>4.0119999999999996</v>
      </c>
      <c r="K457" s="1">
        <v>83.95</v>
      </c>
      <c r="L457" s="1">
        <v>16.05</v>
      </c>
      <c r="M457" s="1">
        <v>67.400000000000006</v>
      </c>
      <c r="N457" s="1">
        <v>4.3990000000000001E-2</v>
      </c>
      <c r="O457" s="1">
        <v>2.8049999999999999E-4</v>
      </c>
      <c r="P4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0.13102550239418007</v>
      </c>
      <c r="Q457" s="1">
        <f>LN(Table13[[#This Row],[qe_mg_g]]-Table13[[#This Row],[qt]])</f>
        <v>1.3560862812767538</v>
      </c>
      <c r="R457" s="1">
        <v>3</v>
      </c>
    </row>
    <row r="458" spans="1:18" x14ac:dyDescent="0.3">
      <c r="A458" s="1">
        <v>457</v>
      </c>
      <c r="B458" s="1" t="s">
        <v>16</v>
      </c>
      <c r="C458" s="1">
        <v>4</v>
      </c>
      <c r="D458" s="1">
        <v>30</v>
      </c>
      <c r="E458" s="1">
        <v>100</v>
      </c>
      <c r="F458" s="1">
        <v>11</v>
      </c>
      <c r="G458" s="1">
        <v>25</v>
      </c>
      <c r="H458" s="1">
        <v>150</v>
      </c>
      <c r="I458" s="1">
        <v>100</v>
      </c>
      <c r="J458" s="1">
        <v>3.0529999999999999</v>
      </c>
      <c r="K458" s="1">
        <v>87.789000000000001</v>
      </c>
      <c r="L458" s="1">
        <v>12.21</v>
      </c>
      <c r="M458" s="1">
        <v>71.099999999999994</v>
      </c>
      <c r="N458" s="1">
        <v>4.0090000000000001E-2</v>
      </c>
      <c r="O458" s="1">
        <v>3.4230000000000003E-4</v>
      </c>
      <c r="P4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9.2805808856448582E-2</v>
      </c>
      <c r="Q458" s="1">
        <f>LN(Table13[[#This Row],[qe_mg_g]]-Table13[[#This Row],[qt]])</f>
        <v>1.085254871300112</v>
      </c>
      <c r="R458" s="1">
        <v>1</v>
      </c>
    </row>
    <row r="459" spans="1:18" x14ac:dyDescent="0.3">
      <c r="A459" s="1">
        <v>458</v>
      </c>
      <c r="B459" s="1" t="s">
        <v>16</v>
      </c>
      <c r="C459" s="1">
        <v>4</v>
      </c>
      <c r="D459" s="1">
        <v>30</v>
      </c>
      <c r="E459" s="1">
        <v>100</v>
      </c>
      <c r="F459" s="1">
        <v>11</v>
      </c>
      <c r="G459" s="1">
        <v>25</v>
      </c>
      <c r="H459" s="1">
        <v>150</v>
      </c>
      <c r="I459" s="1">
        <v>100</v>
      </c>
      <c r="J459" s="1">
        <v>2.988</v>
      </c>
      <c r="K459" s="1">
        <v>88.046000000000006</v>
      </c>
      <c r="L459" s="1">
        <v>11.95</v>
      </c>
      <c r="M459" s="1">
        <v>66.900000000000006</v>
      </c>
      <c r="N459" s="1">
        <v>4.8189999999999997E-2</v>
      </c>
      <c r="O459" s="1">
        <v>3.0699999999999998E-4</v>
      </c>
      <c r="P4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8.0025934145793509E-2</v>
      </c>
      <c r="Q459" s="1">
        <f>LN(Table13[[#This Row],[qe_mg_g]]-Table13[[#This Row],[qt]])</f>
        <v>1.0674566414245614</v>
      </c>
      <c r="R459" s="1">
        <v>2</v>
      </c>
    </row>
    <row r="460" spans="1:18" x14ac:dyDescent="0.3">
      <c r="A460" s="1">
        <v>459</v>
      </c>
      <c r="B460" s="1" t="s">
        <v>16</v>
      </c>
      <c r="C460" s="1">
        <v>4</v>
      </c>
      <c r="D460" s="1">
        <v>30</v>
      </c>
      <c r="E460" s="1">
        <v>100</v>
      </c>
      <c r="F460" s="1">
        <v>11</v>
      </c>
      <c r="G460" s="1">
        <v>25</v>
      </c>
      <c r="H460" s="1">
        <v>150</v>
      </c>
      <c r="I460" s="1">
        <v>100</v>
      </c>
      <c r="J460" s="1">
        <v>3.242</v>
      </c>
      <c r="K460" s="1">
        <v>87.031999999999996</v>
      </c>
      <c r="L460" s="1">
        <v>12.97</v>
      </c>
      <c r="M460" s="1">
        <v>69.5</v>
      </c>
      <c r="N460" s="1">
        <v>4.224E-2</v>
      </c>
      <c r="O460" s="1">
        <v>3.1080000000000002E-4</v>
      </c>
      <c r="P4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9.5125020796359191E-2</v>
      </c>
      <c r="Q460" s="1">
        <f>LN(Table13[[#This Row],[qe_mg_g]]-Table13[[#This Row],[qt]])</f>
        <v>1.1464098903162152</v>
      </c>
      <c r="R460" s="1">
        <v>3</v>
      </c>
    </row>
    <row r="461" spans="1:18" x14ac:dyDescent="0.3">
      <c r="A461" s="1">
        <v>460</v>
      </c>
      <c r="B461" s="1" t="s">
        <v>16</v>
      </c>
      <c r="C461" s="1">
        <v>4</v>
      </c>
      <c r="D461" s="1">
        <v>30</v>
      </c>
      <c r="E461" s="1">
        <v>200</v>
      </c>
      <c r="F461" s="1">
        <v>3</v>
      </c>
      <c r="G461" s="1">
        <v>25</v>
      </c>
      <c r="H461" s="1">
        <v>150</v>
      </c>
      <c r="I461" s="1">
        <v>100</v>
      </c>
      <c r="J461" s="1">
        <v>7.5839999999999996</v>
      </c>
      <c r="K461" s="1">
        <v>169.666</v>
      </c>
      <c r="L461" s="1">
        <v>15.17</v>
      </c>
      <c r="M461" s="1">
        <v>67.8</v>
      </c>
      <c r="N461" s="1">
        <v>4.4850000000000001E-2</v>
      </c>
      <c r="O461" s="1">
        <v>2.9379999999999999E-4</v>
      </c>
      <c r="P4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0.47519100985820817</v>
      </c>
      <c r="Q461" s="1">
        <f>LN(Table13[[#This Row],[qe_mg_g]]-Table13[[#This Row],[qt]])</f>
        <v>1.961334717848408</v>
      </c>
      <c r="R461" s="1">
        <v>1</v>
      </c>
    </row>
    <row r="462" spans="1:18" x14ac:dyDescent="0.3">
      <c r="A462" s="1">
        <v>461</v>
      </c>
      <c r="B462" s="1" t="s">
        <v>16</v>
      </c>
      <c r="C462" s="1">
        <v>4</v>
      </c>
      <c r="D462" s="1">
        <v>30</v>
      </c>
      <c r="E462" s="1">
        <v>200</v>
      </c>
      <c r="F462" s="1">
        <v>3</v>
      </c>
      <c r="G462" s="1">
        <v>25</v>
      </c>
      <c r="H462" s="1">
        <v>150</v>
      </c>
      <c r="I462" s="1">
        <v>100</v>
      </c>
      <c r="J462" s="1">
        <v>8.2609999999999992</v>
      </c>
      <c r="K462" s="1">
        <v>166.95400000000001</v>
      </c>
      <c r="L462" s="1">
        <v>16.52</v>
      </c>
      <c r="M462" s="1">
        <v>47.8</v>
      </c>
      <c r="N462" s="1">
        <v>4.2529999999999998E-2</v>
      </c>
      <c r="O462" s="1">
        <v>3.0279999999999999E-4</v>
      </c>
      <c r="P4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0.57665566771731991</v>
      </c>
      <c r="Q462" s="1">
        <f>LN(Table13[[#This Row],[qe_mg_g]]-Table13[[#This Row],[qt]])</f>
        <v>2.0391850554955697</v>
      </c>
      <c r="R462" s="1">
        <v>2</v>
      </c>
    </row>
    <row r="463" spans="1:18" x14ac:dyDescent="0.3">
      <c r="A463" s="1">
        <v>462</v>
      </c>
      <c r="B463" s="1" t="s">
        <v>16</v>
      </c>
      <c r="C463" s="1">
        <v>4</v>
      </c>
      <c r="D463" s="1">
        <v>30</v>
      </c>
      <c r="E463" s="1">
        <v>200</v>
      </c>
      <c r="F463" s="1">
        <v>3</v>
      </c>
      <c r="G463" s="1">
        <v>25</v>
      </c>
      <c r="H463" s="1">
        <v>150</v>
      </c>
      <c r="I463" s="1">
        <v>100</v>
      </c>
      <c r="J463" s="1">
        <v>8.4540000000000006</v>
      </c>
      <c r="K463" s="1">
        <v>166.184</v>
      </c>
      <c r="L463" s="1">
        <v>16.91</v>
      </c>
      <c r="M463" s="1">
        <v>56.4</v>
      </c>
      <c r="N463" s="1">
        <v>5.0700000000000002E-2</v>
      </c>
      <c r="O463" s="1">
        <v>2.7399999999999999E-4</v>
      </c>
      <c r="P4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0.5493116539790841</v>
      </c>
      <c r="Q463" s="1">
        <f>LN(Table13[[#This Row],[qe_mg_g]]-Table13[[#This Row],[qt]])</f>
        <v>2.0674560449659629</v>
      </c>
      <c r="R463" s="1">
        <v>3</v>
      </c>
    </row>
    <row r="464" spans="1:18" x14ac:dyDescent="0.3">
      <c r="A464" s="1">
        <v>463</v>
      </c>
      <c r="B464" s="1" t="s">
        <v>16</v>
      </c>
      <c r="C464" s="1">
        <v>4</v>
      </c>
      <c r="D464" s="1">
        <v>30</v>
      </c>
      <c r="E464" s="1">
        <v>200</v>
      </c>
      <c r="F464" s="1">
        <v>7</v>
      </c>
      <c r="G464" s="1">
        <v>25</v>
      </c>
      <c r="H464" s="1">
        <v>150</v>
      </c>
      <c r="I464" s="1">
        <v>100</v>
      </c>
      <c r="J464" s="1">
        <v>14.757</v>
      </c>
      <c r="K464" s="1">
        <v>140.97200000000001</v>
      </c>
      <c r="L464" s="1">
        <v>29.51</v>
      </c>
      <c r="M464" s="1">
        <v>70.900000000000006</v>
      </c>
      <c r="N464" s="1">
        <v>4.2090000000000002E-2</v>
      </c>
      <c r="O464" s="1">
        <v>3.5330000000000002E-4</v>
      </c>
      <c r="P4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1.9959488953697517</v>
      </c>
      <c r="Q464" s="1">
        <f>LN(Table13[[#This Row],[qe_mg_g]]-Table13[[#This Row],[qt]])</f>
        <v>2.5463976494950349</v>
      </c>
      <c r="R464" s="1">
        <v>1</v>
      </c>
    </row>
    <row r="465" spans="1:18" x14ac:dyDescent="0.3">
      <c r="A465" s="1">
        <v>464</v>
      </c>
      <c r="B465" s="1" t="s">
        <v>16</v>
      </c>
      <c r="C465" s="1">
        <v>4</v>
      </c>
      <c r="D465" s="1">
        <v>30</v>
      </c>
      <c r="E465" s="1">
        <v>200</v>
      </c>
      <c r="F465" s="1">
        <v>7</v>
      </c>
      <c r="G465" s="1">
        <v>25</v>
      </c>
      <c r="H465" s="1">
        <v>150</v>
      </c>
      <c r="I465" s="1">
        <v>100</v>
      </c>
      <c r="J465" s="1">
        <v>12.387</v>
      </c>
      <c r="K465" s="1">
        <v>150.452</v>
      </c>
      <c r="L465" s="1">
        <v>24.77</v>
      </c>
      <c r="M465" s="1">
        <v>75.900000000000006</v>
      </c>
      <c r="N465" s="1">
        <v>4.9500000000000002E-2</v>
      </c>
      <c r="O465" s="1">
        <v>2.7989999999999997E-4</v>
      </c>
      <c r="P4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1.1670299177282175</v>
      </c>
      <c r="Q465" s="1">
        <f>LN(Table13[[#This Row],[qe_mg_g]]-Table13[[#This Row],[qt]])</f>
        <v>2.4176952336268047</v>
      </c>
      <c r="R465" s="1">
        <v>2</v>
      </c>
    </row>
    <row r="466" spans="1:18" x14ac:dyDescent="0.3">
      <c r="A466" s="1">
        <v>465</v>
      </c>
      <c r="B466" s="1" t="s">
        <v>16</v>
      </c>
      <c r="C466" s="1">
        <v>4</v>
      </c>
      <c r="D466" s="1">
        <v>30</v>
      </c>
      <c r="E466" s="1">
        <v>200</v>
      </c>
      <c r="F466" s="1">
        <v>7</v>
      </c>
      <c r="G466" s="1">
        <v>25</v>
      </c>
      <c r="H466" s="1">
        <v>150</v>
      </c>
      <c r="I466" s="1">
        <v>100</v>
      </c>
      <c r="J466" s="1">
        <v>15.22</v>
      </c>
      <c r="K466" s="1">
        <v>139.11799999999999</v>
      </c>
      <c r="L466" s="1">
        <v>30.44</v>
      </c>
      <c r="M466" s="1">
        <v>64.2</v>
      </c>
      <c r="N466" s="1">
        <v>4.6300000000000001E-2</v>
      </c>
      <c r="O466" s="1">
        <v>3.078E-4</v>
      </c>
      <c r="P4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1.8754612288191395</v>
      </c>
      <c r="Q466" s="1">
        <f>LN(Table13[[#This Row],[qe_mg_g]]-Table13[[#This Row],[qt]])</f>
        <v>2.5911072203394547</v>
      </c>
      <c r="R466" s="1">
        <v>3</v>
      </c>
    </row>
    <row r="467" spans="1:18" x14ac:dyDescent="0.3">
      <c r="A467" s="1">
        <v>466</v>
      </c>
      <c r="B467" s="1" t="s">
        <v>16</v>
      </c>
      <c r="C467" s="1">
        <v>4</v>
      </c>
      <c r="D467" s="1">
        <v>30</v>
      </c>
      <c r="E467" s="1">
        <v>200</v>
      </c>
      <c r="F467" s="1">
        <v>11</v>
      </c>
      <c r="G467" s="1">
        <v>25</v>
      </c>
      <c r="H467" s="1">
        <v>150</v>
      </c>
      <c r="I467" s="1">
        <v>100</v>
      </c>
      <c r="J467" s="1">
        <v>10.263</v>
      </c>
      <c r="K467" s="1">
        <v>158.947</v>
      </c>
      <c r="L467" s="1">
        <v>20.53</v>
      </c>
      <c r="M467" s="1">
        <v>74.8</v>
      </c>
      <c r="N467" s="1">
        <v>4.8570000000000002E-2</v>
      </c>
      <c r="O467" s="1">
        <v>2.475E-4</v>
      </c>
      <c r="P4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0.7266930526405676</v>
      </c>
      <c r="Q467" s="1">
        <f>LN(Table13[[#This Row],[qe_mg_g]]-Table13[[#This Row],[qt]])</f>
        <v>2.2551062980767149</v>
      </c>
      <c r="R467" s="1">
        <v>1</v>
      </c>
    </row>
    <row r="468" spans="1:18" x14ac:dyDescent="0.3">
      <c r="A468" s="1">
        <v>467</v>
      </c>
      <c r="B468" s="1" t="s">
        <v>16</v>
      </c>
      <c r="C468" s="1">
        <v>4</v>
      </c>
      <c r="D468" s="1">
        <v>30</v>
      </c>
      <c r="E468" s="1">
        <v>200</v>
      </c>
      <c r="F468" s="1">
        <v>11</v>
      </c>
      <c r="G468" s="1">
        <v>25</v>
      </c>
      <c r="H468" s="1">
        <v>150</v>
      </c>
      <c r="I468" s="1">
        <v>100</v>
      </c>
      <c r="J468" s="1">
        <v>11.457000000000001</v>
      </c>
      <c r="K468" s="1">
        <v>154.17099999999999</v>
      </c>
      <c r="L468" s="1">
        <v>22.91</v>
      </c>
      <c r="M468" s="1">
        <v>50</v>
      </c>
      <c r="N468" s="1">
        <v>4.965E-2</v>
      </c>
      <c r="O468" s="1">
        <v>3.3379999999999998E-4</v>
      </c>
      <c r="P4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1.1791785459913511</v>
      </c>
      <c r="Q468" s="1">
        <f>LN(Table13[[#This Row],[qe_mg_g]]-Table13[[#This Row],[qt]])</f>
        <v>2.3299883167523507</v>
      </c>
      <c r="R468" s="1">
        <v>2</v>
      </c>
    </row>
    <row r="469" spans="1:18" x14ac:dyDescent="0.3">
      <c r="A469" s="1">
        <v>468</v>
      </c>
      <c r="B469" s="1" t="s">
        <v>16</v>
      </c>
      <c r="C469" s="1">
        <v>4</v>
      </c>
      <c r="D469" s="1">
        <v>30</v>
      </c>
      <c r="E469" s="1">
        <v>200</v>
      </c>
      <c r="F469" s="1">
        <v>11</v>
      </c>
      <c r="G469" s="1">
        <v>25</v>
      </c>
      <c r="H469" s="1">
        <v>150</v>
      </c>
      <c r="I469" s="1">
        <v>100</v>
      </c>
      <c r="J469" s="1">
        <v>9.4689999999999994</v>
      </c>
      <c r="K469" s="1">
        <v>162.12299999999999</v>
      </c>
      <c r="L469" s="1">
        <v>18.940000000000001</v>
      </c>
      <c r="M469" s="1">
        <v>62.6</v>
      </c>
      <c r="N469" s="1">
        <v>4.002E-2</v>
      </c>
      <c r="O469" s="1">
        <v>2.9359999999999998E-4</v>
      </c>
      <c r="P4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0.72894628081833035</v>
      </c>
      <c r="Q469" s="1">
        <f>LN(Table13[[#This Row],[qe_mg_g]]-Table13[[#This Row],[qt]])</f>
        <v>2.1679163360080138</v>
      </c>
      <c r="R469" s="1">
        <v>3</v>
      </c>
    </row>
    <row r="470" spans="1:18" x14ac:dyDescent="0.3">
      <c r="A470" s="1">
        <v>469</v>
      </c>
      <c r="B470" s="1" t="s">
        <v>16</v>
      </c>
      <c r="C470" s="1">
        <v>4</v>
      </c>
      <c r="D470" s="1">
        <v>60</v>
      </c>
      <c r="E470" s="1">
        <v>25</v>
      </c>
      <c r="F470" s="1">
        <v>3</v>
      </c>
      <c r="G470" s="1">
        <v>25</v>
      </c>
      <c r="H470" s="1">
        <v>150</v>
      </c>
      <c r="I470" s="1">
        <v>100</v>
      </c>
      <c r="J470" s="1">
        <v>0.314</v>
      </c>
      <c r="K470" s="1">
        <v>23.742999999999999</v>
      </c>
      <c r="L470" s="1">
        <v>5.03</v>
      </c>
      <c r="M470" s="1">
        <v>74.5</v>
      </c>
      <c r="N470" s="1">
        <v>5.0900000000000001E-2</v>
      </c>
      <c r="O470" s="1">
        <v>3.4190000000000002E-4</v>
      </c>
      <c r="P4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2.00965337081584E-3</v>
      </c>
      <c r="Q470" s="1">
        <f>LN(Table13[[#This Row],[qe_mg_g]]-Table13[[#This Row],[qt]])</f>
        <v>-1.1647830319423917</v>
      </c>
      <c r="R470" s="1">
        <v>1</v>
      </c>
    </row>
    <row r="471" spans="1:18" x14ac:dyDescent="0.3">
      <c r="A471" s="1">
        <v>470</v>
      </c>
      <c r="B471" s="1" t="s">
        <v>16</v>
      </c>
      <c r="C471" s="1">
        <v>4</v>
      </c>
      <c r="D471" s="1">
        <v>60</v>
      </c>
      <c r="E471" s="1">
        <v>25</v>
      </c>
      <c r="F471" s="1">
        <v>3</v>
      </c>
      <c r="G471" s="1">
        <v>25</v>
      </c>
      <c r="H471" s="1">
        <v>150</v>
      </c>
      <c r="I471" s="1">
        <v>100</v>
      </c>
      <c r="J471" s="1">
        <v>0.308</v>
      </c>
      <c r="K471" s="1">
        <v>23.768999999999998</v>
      </c>
      <c r="L471" s="1">
        <v>4.92</v>
      </c>
      <c r="M471" s="1">
        <v>64.599999999999994</v>
      </c>
      <c r="N471" s="1">
        <v>3.7420000000000002E-2</v>
      </c>
      <c r="O471" s="1">
        <v>2.7579999999999998E-4</v>
      </c>
      <c r="P4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1.5618490646767407E-3</v>
      </c>
      <c r="Q471" s="1">
        <f>LN(Table13[[#This Row],[qe_mg_g]]-Table13[[#This Row],[qt]])</f>
        <v>-1.182739335370377</v>
      </c>
      <c r="R471" s="1">
        <v>2</v>
      </c>
    </row>
    <row r="472" spans="1:18" x14ac:dyDescent="0.3">
      <c r="A472" s="1">
        <v>471</v>
      </c>
      <c r="B472" s="1" t="s">
        <v>16</v>
      </c>
      <c r="C472" s="1">
        <v>4</v>
      </c>
      <c r="D472" s="1">
        <v>60</v>
      </c>
      <c r="E472" s="1">
        <v>25</v>
      </c>
      <c r="F472" s="1">
        <v>3</v>
      </c>
      <c r="G472" s="1">
        <v>25</v>
      </c>
      <c r="H472" s="1">
        <v>150</v>
      </c>
      <c r="I472" s="1">
        <v>100</v>
      </c>
      <c r="J472" s="1">
        <v>0.34699999999999998</v>
      </c>
      <c r="K472" s="1">
        <v>23.611999999999998</v>
      </c>
      <c r="L472" s="1">
        <v>5.55</v>
      </c>
      <c r="M472" s="1">
        <v>82.8</v>
      </c>
      <c r="N472" s="1">
        <v>3.9449999999999999E-2</v>
      </c>
      <c r="O472" s="1">
        <v>2.8219999999999997E-4</v>
      </c>
      <c r="P4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2.0268565867030582E-3</v>
      </c>
      <c r="Q472" s="1">
        <f>LN(Table13[[#This Row],[qe_mg_g]]-Table13[[#This Row],[qt]])</f>
        <v>-1.06428871015972</v>
      </c>
      <c r="R472" s="1">
        <v>3</v>
      </c>
    </row>
    <row r="473" spans="1:18" x14ac:dyDescent="0.3">
      <c r="A473" s="1">
        <v>472</v>
      </c>
      <c r="B473" s="1" t="s">
        <v>16</v>
      </c>
      <c r="C473" s="1">
        <v>4</v>
      </c>
      <c r="D473" s="1">
        <v>60</v>
      </c>
      <c r="E473" s="1">
        <v>25</v>
      </c>
      <c r="F473" s="1">
        <v>7</v>
      </c>
      <c r="G473" s="1">
        <v>25</v>
      </c>
      <c r="H473" s="1">
        <v>150</v>
      </c>
      <c r="I473" s="1">
        <v>100</v>
      </c>
      <c r="J473" s="1">
        <v>0.55700000000000005</v>
      </c>
      <c r="K473" s="1">
        <v>22.771000000000001</v>
      </c>
      <c r="L473" s="1">
        <v>8.92</v>
      </c>
      <c r="M473" s="1">
        <v>69.5</v>
      </c>
      <c r="N473" s="1">
        <v>4.1360000000000001E-2</v>
      </c>
      <c r="O473" s="1">
        <v>3.1270000000000001E-4</v>
      </c>
      <c r="P4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5.7606900270775691E-3</v>
      </c>
      <c r="Q473" s="1">
        <f>LN(Table13[[#This Row],[qe_mg_g]]-Table13[[#This Row],[qt]])</f>
        <v>-0.59558624474848476</v>
      </c>
      <c r="R473" s="1">
        <v>1</v>
      </c>
    </row>
    <row r="474" spans="1:18" x14ac:dyDescent="0.3">
      <c r="A474" s="1">
        <v>473</v>
      </c>
      <c r="B474" s="1" t="s">
        <v>16</v>
      </c>
      <c r="C474" s="1">
        <v>4</v>
      </c>
      <c r="D474" s="1">
        <v>60</v>
      </c>
      <c r="E474" s="1">
        <v>25</v>
      </c>
      <c r="F474" s="1">
        <v>7</v>
      </c>
      <c r="G474" s="1">
        <v>25</v>
      </c>
      <c r="H474" s="1">
        <v>150</v>
      </c>
      <c r="I474" s="1">
        <v>100</v>
      </c>
      <c r="J474" s="1">
        <v>0.53700000000000003</v>
      </c>
      <c r="K474" s="1">
        <v>22.850999999999999</v>
      </c>
      <c r="L474" s="1">
        <v>8.6</v>
      </c>
      <c r="M474" s="1">
        <v>66.5</v>
      </c>
      <c r="N474" s="1">
        <v>4.7460000000000002E-2</v>
      </c>
      <c r="O474" s="1">
        <v>3.0019999999999998E-4</v>
      </c>
      <c r="P4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5.1443440482763147E-3</v>
      </c>
      <c r="Q474" s="1">
        <f>LN(Table13[[#This Row],[qe_mg_g]]-Table13[[#This Row],[qt]])</f>
        <v>-0.63138314985436106</v>
      </c>
      <c r="R474" s="1">
        <v>2</v>
      </c>
    </row>
    <row r="475" spans="1:18" x14ac:dyDescent="0.3">
      <c r="A475" s="1">
        <v>474</v>
      </c>
      <c r="B475" s="1" t="s">
        <v>16</v>
      </c>
      <c r="C475" s="1">
        <v>4</v>
      </c>
      <c r="D475" s="1">
        <v>60</v>
      </c>
      <c r="E475" s="1">
        <v>25</v>
      </c>
      <c r="F475" s="1">
        <v>7</v>
      </c>
      <c r="G475" s="1">
        <v>25</v>
      </c>
      <c r="H475" s="1">
        <v>150</v>
      </c>
      <c r="I475" s="1">
        <v>100</v>
      </c>
      <c r="J475" s="1">
        <v>0.53900000000000003</v>
      </c>
      <c r="K475" s="1">
        <v>22.844000000000001</v>
      </c>
      <c r="L475" s="1">
        <v>8.6199999999999992</v>
      </c>
      <c r="M475" s="1">
        <v>65.599999999999994</v>
      </c>
      <c r="N475" s="1">
        <v>4.4600000000000001E-2</v>
      </c>
      <c r="O475" s="1">
        <v>2.8889999999999997E-4</v>
      </c>
      <c r="P4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4.9892760778831591E-3</v>
      </c>
      <c r="Q475" s="1">
        <f>LN(Table13[[#This Row],[qe_mg_g]]-Table13[[#This Row],[qt]])</f>
        <v>-0.62733935797243268</v>
      </c>
      <c r="R475" s="1">
        <v>3</v>
      </c>
    </row>
    <row r="476" spans="1:18" x14ac:dyDescent="0.3">
      <c r="A476" s="1">
        <v>475</v>
      </c>
      <c r="B476" s="1" t="s">
        <v>16</v>
      </c>
      <c r="C476" s="1">
        <v>4</v>
      </c>
      <c r="D476" s="1">
        <v>60</v>
      </c>
      <c r="E476" s="1">
        <v>25</v>
      </c>
      <c r="F476" s="1">
        <v>11</v>
      </c>
      <c r="G476" s="1">
        <v>25</v>
      </c>
      <c r="H476" s="1">
        <v>150</v>
      </c>
      <c r="I476" s="1">
        <v>100</v>
      </c>
      <c r="J476" s="1">
        <v>0.40100000000000002</v>
      </c>
      <c r="K476" s="1">
        <v>23.395</v>
      </c>
      <c r="L476" s="1">
        <v>6.42</v>
      </c>
      <c r="M476" s="1">
        <v>82.7</v>
      </c>
      <c r="N476" s="1">
        <v>4.752E-2</v>
      </c>
      <c r="O476" s="1">
        <v>2.9109999999999997E-4</v>
      </c>
      <c r="P4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2.7890163690791631E-3</v>
      </c>
      <c r="Q476" s="1">
        <f>LN(Table13[[#This Row],[qe_mg_g]]-Table13[[#This Row],[qt]])</f>
        <v>-0.92077330453074091</v>
      </c>
      <c r="R476" s="1">
        <v>1</v>
      </c>
    </row>
    <row r="477" spans="1:18" x14ac:dyDescent="0.3">
      <c r="A477" s="1">
        <v>476</v>
      </c>
      <c r="B477" s="1" t="s">
        <v>16</v>
      </c>
      <c r="C477" s="1">
        <v>4</v>
      </c>
      <c r="D477" s="1">
        <v>60</v>
      </c>
      <c r="E477" s="1">
        <v>25</v>
      </c>
      <c r="F477" s="1">
        <v>11</v>
      </c>
      <c r="G477" s="1">
        <v>25</v>
      </c>
      <c r="H477" s="1">
        <v>150</v>
      </c>
      <c r="I477" s="1">
        <v>100</v>
      </c>
      <c r="J477" s="1">
        <v>0.432</v>
      </c>
      <c r="K477" s="1">
        <v>23.27</v>
      </c>
      <c r="L477" s="1">
        <v>6.92</v>
      </c>
      <c r="M477" s="1">
        <v>63.3</v>
      </c>
      <c r="N477" s="1">
        <v>5.0279999999999998E-2</v>
      </c>
      <c r="O477" s="1">
        <v>3.1110000000000003E-4</v>
      </c>
      <c r="P4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3.455658151892685E-3</v>
      </c>
      <c r="Q477" s="1">
        <f>LN(Table13[[#This Row],[qe_mg_g]]-Table13[[#This Row],[qt]])</f>
        <v>-0.84736106473897288</v>
      </c>
      <c r="R477" s="1">
        <v>2</v>
      </c>
    </row>
    <row r="478" spans="1:18" x14ac:dyDescent="0.3">
      <c r="A478" s="1">
        <v>477</v>
      </c>
      <c r="B478" s="1" t="s">
        <v>16</v>
      </c>
      <c r="C478" s="1">
        <v>4</v>
      </c>
      <c r="D478" s="1">
        <v>60</v>
      </c>
      <c r="E478" s="1">
        <v>25</v>
      </c>
      <c r="F478" s="1">
        <v>11</v>
      </c>
      <c r="G478" s="1">
        <v>25</v>
      </c>
      <c r="H478" s="1">
        <v>150</v>
      </c>
      <c r="I478" s="1">
        <v>100</v>
      </c>
      <c r="J478" s="1">
        <v>0.40600000000000003</v>
      </c>
      <c r="K478" s="1">
        <v>23.376000000000001</v>
      </c>
      <c r="L478" s="1">
        <v>6.5</v>
      </c>
      <c r="M478" s="1">
        <v>71.099999999999994</v>
      </c>
      <c r="N478" s="1">
        <v>3.7929999999999998E-2</v>
      </c>
      <c r="O478" s="1">
        <v>2.6620000000000002E-4</v>
      </c>
      <c r="P4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2.6157981039098472E-3</v>
      </c>
      <c r="Q478" s="1">
        <f>LN(Table13[[#This Row],[qe_mg_g]]-Table13[[#This Row],[qt]])</f>
        <v>-0.90786581660844001</v>
      </c>
      <c r="R478" s="1">
        <v>3</v>
      </c>
    </row>
    <row r="479" spans="1:18" x14ac:dyDescent="0.3">
      <c r="A479" s="1">
        <v>478</v>
      </c>
      <c r="B479" s="1" t="s">
        <v>16</v>
      </c>
      <c r="C479" s="1">
        <v>4</v>
      </c>
      <c r="D479" s="1">
        <v>60</v>
      </c>
      <c r="E479" s="1">
        <v>50</v>
      </c>
      <c r="F479" s="1">
        <v>3</v>
      </c>
      <c r="G479" s="1">
        <v>25</v>
      </c>
      <c r="H479" s="1">
        <v>150</v>
      </c>
      <c r="I479" s="1">
        <v>100</v>
      </c>
      <c r="J479" s="1">
        <v>1.0820000000000001</v>
      </c>
      <c r="K479" s="1">
        <v>45.673000000000002</v>
      </c>
      <c r="L479" s="1">
        <v>8.65</v>
      </c>
      <c r="M479" s="1">
        <v>68.099999999999994</v>
      </c>
      <c r="N479" s="1">
        <v>5.28E-2</v>
      </c>
      <c r="O479" s="1">
        <v>3.6689999999999997E-4</v>
      </c>
      <c r="P4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2.517272526729496E-2</v>
      </c>
      <c r="Q479" s="1">
        <f>LN(Table13[[#This Row],[qe_mg_g]]-Table13[[#This Row],[qt]])</f>
        <v>5.5271282686186023E-2</v>
      </c>
      <c r="R479" s="1">
        <v>1</v>
      </c>
    </row>
    <row r="480" spans="1:18" x14ac:dyDescent="0.3">
      <c r="A480" s="1">
        <v>479</v>
      </c>
      <c r="B480" s="1" t="s">
        <v>16</v>
      </c>
      <c r="C480" s="1">
        <v>4</v>
      </c>
      <c r="D480" s="1">
        <v>60</v>
      </c>
      <c r="E480" s="1">
        <v>50</v>
      </c>
      <c r="F480" s="1">
        <v>3</v>
      </c>
      <c r="G480" s="1">
        <v>25</v>
      </c>
      <c r="H480" s="1">
        <v>150</v>
      </c>
      <c r="I480" s="1">
        <v>100</v>
      </c>
      <c r="J480" s="1">
        <v>1.2569999999999999</v>
      </c>
      <c r="K480" s="1">
        <v>44.972000000000001</v>
      </c>
      <c r="L480" s="1">
        <v>10.06</v>
      </c>
      <c r="M480" s="1">
        <v>71.7</v>
      </c>
      <c r="N480" s="1">
        <v>3.6900000000000002E-2</v>
      </c>
      <c r="O480" s="1">
        <v>2.8370000000000001E-4</v>
      </c>
      <c r="P4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2.6332173668937829E-2</v>
      </c>
      <c r="Q480" s="1">
        <f>LN(Table13[[#This Row],[qe_mg_g]]-Table13[[#This Row],[qt]])</f>
        <v>0.20755697027789874</v>
      </c>
      <c r="R480" s="1">
        <v>2</v>
      </c>
    </row>
    <row r="481" spans="1:18" x14ac:dyDescent="0.3">
      <c r="A481" s="1">
        <v>480</v>
      </c>
      <c r="B481" s="1" t="s">
        <v>16</v>
      </c>
      <c r="C481" s="1">
        <v>4</v>
      </c>
      <c r="D481" s="1">
        <v>60</v>
      </c>
      <c r="E481" s="1">
        <v>50</v>
      </c>
      <c r="F481" s="1">
        <v>3</v>
      </c>
      <c r="G481" s="1">
        <v>25</v>
      </c>
      <c r="H481" s="1">
        <v>150</v>
      </c>
      <c r="I481" s="1">
        <v>100</v>
      </c>
      <c r="J481" s="1">
        <v>1.1200000000000001</v>
      </c>
      <c r="K481" s="1">
        <v>45.518000000000001</v>
      </c>
      <c r="L481" s="1">
        <v>8.9600000000000009</v>
      </c>
      <c r="M481" s="1">
        <v>60.5</v>
      </c>
      <c r="N481" s="1">
        <v>4.4240000000000002E-2</v>
      </c>
      <c r="O481" s="1">
        <v>2.8580000000000001E-4</v>
      </c>
      <c r="P4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2.1105111493875391E-2</v>
      </c>
      <c r="Q481" s="1">
        <f>LN(Table13[[#This Row],[qe_mg_g]]-Table13[[#This Row],[qt]])</f>
        <v>9.4305027995845253E-2</v>
      </c>
      <c r="R481" s="1">
        <v>3</v>
      </c>
    </row>
    <row r="482" spans="1:18" x14ac:dyDescent="0.3">
      <c r="A482" s="1">
        <v>481</v>
      </c>
      <c r="B482" s="1" t="s">
        <v>16</v>
      </c>
      <c r="C482" s="1">
        <v>4</v>
      </c>
      <c r="D482" s="1">
        <v>60</v>
      </c>
      <c r="E482" s="1">
        <v>50</v>
      </c>
      <c r="F482" s="1">
        <v>7</v>
      </c>
      <c r="G482" s="1">
        <v>25</v>
      </c>
      <c r="H482" s="1">
        <v>150</v>
      </c>
      <c r="I482" s="1">
        <v>100</v>
      </c>
      <c r="J482" s="1">
        <v>1.708</v>
      </c>
      <c r="K482" s="1">
        <v>43.168999999999997</v>
      </c>
      <c r="L482" s="1">
        <v>13.66</v>
      </c>
      <c r="M482" s="1">
        <v>74.099999999999994</v>
      </c>
      <c r="N482" s="1">
        <v>4.0169999999999997E-2</v>
      </c>
      <c r="O482" s="1">
        <v>3.0719999999999999E-4</v>
      </c>
      <c r="P4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5.2129865140352012E-2</v>
      </c>
      <c r="Q482" s="1">
        <f>LN(Table13[[#This Row],[qe_mg_g]]-Table13[[#This Row],[qt]])</f>
        <v>0.50432663190950877</v>
      </c>
      <c r="R482" s="1">
        <v>1</v>
      </c>
    </row>
    <row r="483" spans="1:18" x14ac:dyDescent="0.3">
      <c r="A483" s="1">
        <v>482</v>
      </c>
      <c r="B483" s="1" t="s">
        <v>16</v>
      </c>
      <c r="C483" s="1">
        <v>4</v>
      </c>
      <c r="D483" s="1">
        <v>60</v>
      </c>
      <c r="E483" s="1">
        <v>50</v>
      </c>
      <c r="F483" s="1">
        <v>7</v>
      </c>
      <c r="G483" s="1">
        <v>25</v>
      </c>
      <c r="H483" s="1">
        <v>150</v>
      </c>
      <c r="I483" s="1">
        <v>100</v>
      </c>
      <c r="J483" s="1">
        <v>2.3660000000000001</v>
      </c>
      <c r="K483" s="1">
        <v>40.537999999999997</v>
      </c>
      <c r="L483" s="1">
        <v>18.920000000000002</v>
      </c>
      <c r="M483" s="1">
        <v>57.5</v>
      </c>
      <c r="N483" s="1">
        <v>3.3610000000000001E-2</v>
      </c>
      <c r="O483" s="1">
        <v>2.9139999999999998E-4</v>
      </c>
      <c r="P4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9.3986701297347638E-2</v>
      </c>
      <c r="Q483" s="1">
        <f>LN(Table13[[#This Row],[qe_mg_g]]-Table13[[#This Row],[qt]])</f>
        <v>0.82066635414399824</v>
      </c>
      <c r="R483" s="1">
        <v>2</v>
      </c>
    </row>
    <row r="484" spans="1:18" x14ac:dyDescent="0.3">
      <c r="A484" s="1">
        <v>483</v>
      </c>
      <c r="B484" s="1" t="s">
        <v>16</v>
      </c>
      <c r="C484" s="1">
        <v>4</v>
      </c>
      <c r="D484" s="1">
        <v>60</v>
      </c>
      <c r="E484" s="1">
        <v>50</v>
      </c>
      <c r="F484" s="1">
        <v>7</v>
      </c>
      <c r="G484" s="1">
        <v>25</v>
      </c>
      <c r="H484" s="1">
        <v>150</v>
      </c>
      <c r="I484" s="1">
        <v>100</v>
      </c>
      <c r="J484" s="1">
        <v>2.2080000000000002</v>
      </c>
      <c r="K484" s="1">
        <v>41.17</v>
      </c>
      <c r="L484" s="1">
        <v>17.66</v>
      </c>
      <c r="M484" s="1">
        <v>86.3</v>
      </c>
      <c r="N484" s="1">
        <v>3.9469999999999998E-2</v>
      </c>
      <c r="O484" s="1">
        <v>3.1490000000000001E-4</v>
      </c>
      <c r="P4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8.8424355017739029E-2</v>
      </c>
      <c r="Q484" s="1">
        <f>LN(Table13[[#This Row],[qe_mg_g]]-Table13[[#This Row],[qt]])</f>
        <v>0.75121590118654347</v>
      </c>
      <c r="R484" s="1">
        <v>3</v>
      </c>
    </row>
    <row r="485" spans="1:18" x14ac:dyDescent="0.3">
      <c r="A485" s="1">
        <v>484</v>
      </c>
      <c r="B485" s="1" t="s">
        <v>16</v>
      </c>
      <c r="C485" s="1">
        <v>4</v>
      </c>
      <c r="D485" s="1">
        <v>60</v>
      </c>
      <c r="E485" s="1">
        <v>50</v>
      </c>
      <c r="F485" s="1">
        <v>11</v>
      </c>
      <c r="G485" s="1">
        <v>25</v>
      </c>
      <c r="H485" s="1">
        <v>150</v>
      </c>
      <c r="I485" s="1">
        <v>100</v>
      </c>
      <c r="J485" s="1">
        <v>1.4510000000000001</v>
      </c>
      <c r="K485" s="1">
        <v>44.195999999999998</v>
      </c>
      <c r="L485" s="1">
        <v>11.61</v>
      </c>
      <c r="M485" s="1">
        <v>65.599999999999994</v>
      </c>
      <c r="N485" s="1">
        <v>5.6899999999999999E-2</v>
      </c>
      <c r="O485" s="1">
        <v>2.5490000000000002E-4</v>
      </c>
      <c r="P4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3.1500946674777687E-2</v>
      </c>
      <c r="Q485" s="1">
        <f>LN(Table13[[#This Row],[qe_mg_g]]-Table13[[#This Row],[qt]])</f>
        <v>0.35030403002346128</v>
      </c>
      <c r="R485" s="1">
        <v>1</v>
      </c>
    </row>
    <row r="486" spans="1:18" x14ac:dyDescent="0.3">
      <c r="A486" s="1">
        <v>485</v>
      </c>
      <c r="B486" s="1" t="s">
        <v>16</v>
      </c>
      <c r="C486" s="1">
        <v>4</v>
      </c>
      <c r="D486" s="1">
        <v>60</v>
      </c>
      <c r="E486" s="1">
        <v>50</v>
      </c>
      <c r="F486" s="1">
        <v>11</v>
      </c>
      <c r="G486" s="1">
        <v>25</v>
      </c>
      <c r="H486" s="1">
        <v>150</v>
      </c>
      <c r="I486" s="1">
        <v>100</v>
      </c>
      <c r="J486" s="1">
        <v>1.538</v>
      </c>
      <c r="K486" s="1">
        <v>43.848999999999997</v>
      </c>
      <c r="L486" s="1">
        <v>12.3</v>
      </c>
      <c r="M486" s="1">
        <v>71.3</v>
      </c>
      <c r="N486" s="1">
        <v>4.9889999999999997E-2</v>
      </c>
      <c r="O486" s="1">
        <v>3.0289999999999999E-4</v>
      </c>
      <c r="P4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4.1820625362276292E-2</v>
      </c>
      <c r="Q486" s="1">
        <f>LN(Table13[[#This Row],[qe_mg_g]]-Table13[[#This Row],[qt]])</f>
        <v>0.40291477519721841</v>
      </c>
      <c r="R486" s="1">
        <v>2</v>
      </c>
    </row>
    <row r="487" spans="1:18" x14ac:dyDescent="0.3">
      <c r="A487" s="1">
        <v>486</v>
      </c>
      <c r="B487" s="1" t="s">
        <v>16</v>
      </c>
      <c r="C487" s="1">
        <v>4</v>
      </c>
      <c r="D487" s="1">
        <v>60</v>
      </c>
      <c r="E487" s="1">
        <v>50</v>
      </c>
      <c r="F487" s="1">
        <v>11</v>
      </c>
      <c r="G487" s="1">
        <v>25</v>
      </c>
      <c r="H487" s="1">
        <v>150</v>
      </c>
      <c r="I487" s="1">
        <v>100</v>
      </c>
      <c r="J487" s="1">
        <v>1.544</v>
      </c>
      <c r="K487" s="1">
        <v>43.823</v>
      </c>
      <c r="L487" s="1">
        <v>12.35</v>
      </c>
      <c r="M487" s="1">
        <v>62.8</v>
      </c>
      <c r="N487" s="1">
        <v>4.6210000000000001E-2</v>
      </c>
      <c r="O487" s="1">
        <v>2.8969999999999999E-4</v>
      </c>
      <c r="P4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4.0354547942395201E-2</v>
      </c>
      <c r="Q487" s="1">
        <f>LN(Table13[[#This Row],[qe_mg_g]]-Table13[[#This Row],[qt]])</f>
        <v>0.40789246107356664</v>
      </c>
      <c r="R487" s="1">
        <v>3</v>
      </c>
    </row>
    <row r="488" spans="1:18" x14ac:dyDescent="0.3">
      <c r="A488" s="1">
        <v>487</v>
      </c>
      <c r="B488" s="1" t="s">
        <v>16</v>
      </c>
      <c r="C488" s="1">
        <v>4</v>
      </c>
      <c r="D488" s="1">
        <v>60</v>
      </c>
      <c r="E488" s="1">
        <v>100</v>
      </c>
      <c r="F488" s="1">
        <v>3</v>
      </c>
      <c r="G488" s="1">
        <v>25</v>
      </c>
      <c r="H488" s="1">
        <v>150</v>
      </c>
      <c r="I488" s="1">
        <v>100</v>
      </c>
      <c r="J488" s="1">
        <v>4.3879999999999999</v>
      </c>
      <c r="K488" s="1">
        <v>82.447000000000003</v>
      </c>
      <c r="L488" s="1">
        <v>17.55</v>
      </c>
      <c r="M488" s="1">
        <v>63</v>
      </c>
      <c r="N488" s="1">
        <v>4.6699999999999998E-2</v>
      </c>
      <c r="O488" s="1">
        <v>2.9910000000000001E-4</v>
      </c>
      <c r="P4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0.32031795337436697</v>
      </c>
      <c r="Q488" s="1">
        <f>LN(Table13[[#This Row],[qe_mg_g]]-Table13[[#This Row],[qt]])</f>
        <v>1.4030733155018067</v>
      </c>
      <c r="R488" s="1">
        <v>1</v>
      </c>
    </row>
    <row r="489" spans="1:18" x14ac:dyDescent="0.3">
      <c r="A489" s="1">
        <v>488</v>
      </c>
      <c r="B489" s="1" t="s">
        <v>16</v>
      </c>
      <c r="C489" s="1">
        <v>4</v>
      </c>
      <c r="D489" s="1">
        <v>60</v>
      </c>
      <c r="E489" s="1">
        <v>100</v>
      </c>
      <c r="F489" s="1">
        <v>3</v>
      </c>
      <c r="G489" s="1">
        <v>25</v>
      </c>
      <c r="H489" s="1">
        <v>150</v>
      </c>
      <c r="I489" s="1">
        <v>100</v>
      </c>
      <c r="J489" s="1">
        <v>4.5570000000000004</v>
      </c>
      <c r="K489" s="1">
        <v>81.772999999999996</v>
      </c>
      <c r="L489" s="1">
        <v>18.23</v>
      </c>
      <c r="M489" s="1">
        <v>66.2</v>
      </c>
      <c r="N489" s="1">
        <v>3.7019999999999997E-2</v>
      </c>
      <c r="O489" s="1">
        <v>3.3789999999999997E-4</v>
      </c>
      <c r="P4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0.38540765190030563</v>
      </c>
      <c r="Q489" s="1">
        <f>LN(Table13[[#This Row],[qe_mg_g]]-Table13[[#This Row],[qt]])</f>
        <v>1.4282978209789576</v>
      </c>
      <c r="R489" s="1">
        <v>2</v>
      </c>
    </row>
    <row r="490" spans="1:18" x14ac:dyDescent="0.3">
      <c r="A490" s="1">
        <v>489</v>
      </c>
      <c r="B490" s="1" t="s">
        <v>16</v>
      </c>
      <c r="C490" s="1">
        <v>4</v>
      </c>
      <c r="D490" s="1">
        <v>60</v>
      </c>
      <c r="E490" s="1">
        <v>100</v>
      </c>
      <c r="F490" s="1">
        <v>3</v>
      </c>
      <c r="G490" s="1">
        <v>25</v>
      </c>
      <c r="H490" s="1">
        <v>150</v>
      </c>
      <c r="I490" s="1">
        <v>100</v>
      </c>
      <c r="J490" s="1">
        <v>3.8769999999999998</v>
      </c>
      <c r="K490" s="1">
        <v>84.49</v>
      </c>
      <c r="L490" s="1">
        <v>15.51</v>
      </c>
      <c r="M490" s="1">
        <v>60.1</v>
      </c>
      <c r="N490" s="1">
        <v>4.2320000000000003E-2</v>
      </c>
      <c r="O490" s="1">
        <v>3.412E-4</v>
      </c>
      <c r="P4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0.28508971794011712</v>
      </c>
      <c r="Q490" s="1">
        <f>LN(Table13[[#This Row],[qe_mg_g]]-Table13[[#This Row],[qt]])</f>
        <v>1.2786841729731977</v>
      </c>
      <c r="R490" s="1">
        <v>3</v>
      </c>
    </row>
    <row r="491" spans="1:18" x14ac:dyDescent="0.3">
      <c r="A491" s="1">
        <v>490</v>
      </c>
      <c r="B491" s="1" t="s">
        <v>16</v>
      </c>
      <c r="C491" s="1">
        <v>4</v>
      </c>
      <c r="D491" s="1">
        <v>60</v>
      </c>
      <c r="E491" s="1">
        <v>100</v>
      </c>
      <c r="F491" s="1">
        <v>7</v>
      </c>
      <c r="G491" s="1">
        <v>25</v>
      </c>
      <c r="H491" s="1">
        <v>150</v>
      </c>
      <c r="I491" s="1">
        <v>100</v>
      </c>
      <c r="J491" s="1">
        <v>5.6859999999999999</v>
      </c>
      <c r="K491" s="1">
        <v>77.254999999999995</v>
      </c>
      <c r="L491" s="1">
        <v>22.74</v>
      </c>
      <c r="M491" s="1">
        <v>98</v>
      </c>
      <c r="N491" s="1">
        <v>4.9750000000000003E-2</v>
      </c>
      <c r="O491" s="1">
        <v>3.0669999999999997E-4</v>
      </c>
      <c r="P4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0.53859264733035883</v>
      </c>
      <c r="Q491" s="1">
        <f>LN(Table13[[#This Row],[qe_mg_g]]-Table13[[#This Row],[qt]])</f>
        <v>1.6384931612478064</v>
      </c>
      <c r="R491" s="1">
        <v>1</v>
      </c>
    </row>
    <row r="492" spans="1:18" x14ac:dyDescent="0.3">
      <c r="A492" s="1">
        <v>491</v>
      </c>
      <c r="B492" s="1" t="s">
        <v>16</v>
      </c>
      <c r="C492" s="1">
        <v>4</v>
      </c>
      <c r="D492" s="1">
        <v>60</v>
      </c>
      <c r="E492" s="1">
        <v>100</v>
      </c>
      <c r="F492" s="1">
        <v>7</v>
      </c>
      <c r="G492" s="1">
        <v>25</v>
      </c>
      <c r="H492" s="1">
        <v>150</v>
      </c>
      <c r="I492" s="1">
        <v>100</v>
      </c>
      <c r="J492" s="1">
        <v>6.8280000000000003</v>
      </c>
      <c r="K492" s="1">
        <v>72.688999999999993</v>
      </c>
      <c r="L492" s="1">
        <v>27.31</v>
      </c>
      <c r="M492" s="1">
        <v>69.5</v>
      </c>
      <c r="N492" s="1">
        <v>4.7350000000000003E-2</v>
      </c>
      <c r="O492" s="1">
        <v>3.1940000000000001E-4</v>
      </c>
      <c r="P4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0.7900735022012505</v>
      </c>
      <c r="Q492" s="1">
        <f>LN(Table13[[#This Row],[qe_mg_g]]-Table13[[#This Row],[qt]])</f>
        <v>1.7980606579410505</v>
      </c>
      <c r="R492" s="1">
        <v>2</v>
      </c>
    </row>
    <row r="493" spans="1:18" x14ac:dyDescent="0.3">
      <c r="A493" s="1">
        <v>492</v>
      </c>
      <c r="B493" s="1" t="s">
        <v>16</v>
      </c>
      <c r="C493" s="1">
        <v>4</v>
      </c>
      <c r="D493" s="1">
        <v>60</v>
      </c>
      <c r="E493" s="1">
        <v>100</v>
      </c>
      <c r="F493" s="1">
        <v>7</v>
      </c>
      <c r="G493" s="1">
        <v>25</v>
      </c>
      <c r="H493" s="1">
        <v>150</v>
      </c>
      <c r="I493" s="1">
        <v>100</v>
      </c>
      <c r="J493" s="1">
        <v>7.1630000000000003</v>
      </c>
      <c r="K493" s="1">
        <v>71.349000000000004</v>
      </c>
      <c r="L493" s="1">
        <v>28.65</v>
      </c>
      <c r="M493" s="1">
        <v>67.599999999999994</v>
      </c>
      <c r="N493" s="1">
        <v>4.4110000000000003E-2</v>
      </c>
      <c r="O493" s="1">
        <v>2.9550000000000003E-4</v>
      </c>
      <c r="P4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0.80718805363077262</v>
      </c>
      <c r="Q493" s="1">
        <f>LN(Table13[[#This Row],[qe_mg_g]]-Table13[[#This Row],[qt]])</f>
        <v>1.8493696614477895</v>
      </c>
      <c r="R493" s="1">
        <v>3</v>
      </c>
    </row>
    <row r="494" spans="1:18" x14ac:dyDescent="0.3">
      <c r="A494" s="1">
        <v>493</v>
      </c>
      <c r="B494" s="1" t="s">
        <v>16</v>
      </c>
      <c r="C494" s="1">
        <v>4</v>
      </c>
      <c r="D494" s="1">
        <v>60</v>
      </c>
      <c r="E494" s="1">
        <v>100</v>
      </c>
      <c r="F494" s="1">
        <v>11</v>
      </c>
      <c r="G494" s="1">
        <v>25</v>
      </c>
      <c r="H494" s="1">
        <v>150</v>
      </c>
      <c r="I494" s="1">
        <v>100</v>
      </c>
      <c r="J494" s="1">
        <v>5.1139999999999999</v>
      </c>
      <c r="K494" s="1">
        <v>79.542000000000002</v>
      </c>
      <c r="L494" s="1">
        <v>20.46</v>
      </c>
      <c r="M494" s="1">
        <v>78</v>
      </c>
      <c r="N494" s="1">
        <v>4.7669999999999997E-2</v>
      </c>
      <c r="O494" s="1">
        <v>2.118E-4</v>
      </c>
      <c r="P4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0.31207116979095267</v>
      </c>
      <c r="Q494" s="1">
        <f>LN(Table13[[#This Row],[qe_mg_g]]-Table13[[#This Row],[qt]])</f>
        <v>1.5690176768248099</v>
      </c>
      <c r="R494" s="1">
        <v>1</v>
      </c>
    </row>
    <row r="495" spans="1:18" x14ac:dyDescent="0.3">
      <c r="A495" s="1">
        <v>494</v>
      </c>
      <c r="B495" s="1" t="s">
        <v>16</v>
      </c>
      <c r="C495" s="1">
        <v>4</v>
      </c>
      <c r="D495" s="1">
        <v>60</v>
      </c>
      <c r="E495" s="1">
        <v>100</v>
      </c>
      <c r="F495" s="1">
        <v>11</v>
      </c>
      <c r="G495" s="1">
        <v>25</v>
      </c>
      <c r="H495" s="1">
        <v>150</v>
      </c>
      <c r="I495" s="1">
        <v>100</v>
      </c>
      <c r="J495" s="1">
        <v>5.468</v>
      </c>
      <c r="K495" s="1">
        <v>78.128</v>
      </c>
      <c r="L495" s="1">
        <v>21.87</v>
      </c>
      <c r="M495" s="1">
        <v>68.599999999999994</v>
      </c>
      <c r="N495" s="1">
        <v>4.4920000000000002E-2</v>
      </c>
      <c r="O495" s="1">
        <v>2.8830000000000001E-4</v>
      </c>
      <c r="P4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0.47250153977195519</v>
      </c>
      <c r="Q495" s="1">
        <f>LN(Table13[[#This Row],[qe_mg_g]]-Table13[[#This Row],[qt]])</f>
        <v>1.6085371989590891</v>
      </c>
      <c r="R495" s="1">
        <v>2</v>
      </c>
    </row>
    <row r="496" spans="1:18" x14ac:dyDescent="0.3">
      <c r="A496" s="1">
        <v>495</v>
      </c>
      <c r="B496" s="1" t="s">
        <v>16</v>
      </c>
      <c r="C496" s="1">
        <v>4</v>
      </c>
      <c r="D496" s="1">
        <v>60</v>
      </c>
      <c r="E496" s="1">
        <v>100</v>
      </c>
      <c r="F496" s="1">
        <v>11</v>
      </c>
      <c r="G496" s="1">
        <v>25</v>
      </c>
      <c r="H496" s="1">
        <v>150</v>
      </c>
      <c r="I496" s="1">
        <v>100</v>
      </c>
      <c r="J496" s="1">
        <v>5.6630000000000003</v>
      </c>
      <c r="K496" s="1">
        <v>77.349000000000004</v>
      </c>
      <c r="L496" s="1">
        <v>22.65</v>
      </c>
      <c r="M496" s="1">
        <v>76.099999999999994</v>
      </c>
      <c r="N496" s="1">
        <v>4.1520000000000001E-2</v>
      </c>
      <c r="O496" s="1">
        <v>3.122E-4</v>
      </c>
      <c r="P4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0.54311400441015023</v>
      </c>
      <c r="Q496" s="1">
        <f>LN(Table13[[#This Row],[qe_mg_g]]-Table13[[#This Row],[qt]])</f>
        <v>1.633132172317157</v>
      </c>
      <c r="R496" s="1">
        <v>3</v>
      </c>
    </row>
    <row r="497" spans="1:18" x14ac:dyDescent="0.3">
      <c r="A497" s="1">
        <v>496</v>
      </c>
      <c r="B497" s="1" t="s">
        <v>16</v>
      </c>
      <c r="C497" s="1">
        <v>4</v>
      </c>
      <c r="D497" s="1">
        <v>60</v>
      </c>
      <c r="E497" s="1">
        <v>200</v>
      </c>
      <c r="F497" s="1">
        <v>3</v>
      </c>
      <c r="G497" s="1">
        <v>25</v>
      </c>
      <c r="H497" s="1">
        <v>150</v>
      </c>
      <c r="I497" s="1">
        <v>100</v>
      </c>
      <c r="J497" s="1">
        <v>12.31</v>
      </c>
      <c r="K497" s="1">
        <v>150.761</v>
      </c>
      <c r="L497" s="1">
        <v>24.62</v>
      </c>
      <c r="M497" s="1">
        <v>52.9</v>
      </c>
      <c r="N497" s="1">
        <v>4.2180000000000002E-2</v>
      </c>
      <c r="O497" s="1">
        <v>3.2590000000000001E-4</v>
      </c>
      <c r="P4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2.3882595613378519</v>
      </c>
      <c r="Q497" s="1">
        <f>LN(Table13[[#This Row],[qe_mg_g]]-Table13[[#This Row],[qt]])</f>
        <v>2.2947283533534595</v>
      </c>
      <c r="R497" s="1">
        <v>1</v>
      </c>
    </row>
    <row r="498" spans="1:18" x14ac:dyDescent="0.3">
      <c r="A498" s="1">
        <v>497</v>
      </c>
      <c r="B498" s="1" t="s">
        <v>16</v>
      </c>
      <c r="C498" s="1">
        <v>4</v>
      </c>
      <c r="D498" s="1">
        <v>60</v>
      </c>
      <c r="E498" s="1">
        <v>200</v>
      </c>
      <c r="F498" s="1">
        <v>3</v>
      </c>
      <c r="G498" s="1">
        <v>25</v>
      </c>
      <c r="H498" s="1">
        <v>150</v>
      </c>
      <c r="I498" s="1">
        <v>100</v>
      </c>
      <c r="J498" s="1">
        <v>14.365</v>
      </c>
      <c r="K498" s="1">
        <v>142.54</v>
      </c>
      <c r="L498" s="1">
        <v>28.73</v>
      </c>
      <c r="M498" s="1">
        <v>71.8</v>
      </c>
      <c r="N498" s="1">
        <v>4.8259999999999997E-2</v>
      </c>
      <c r="O498" s="1">
        <v>3.1550000000000003E-4</v>
      </c>
      <c r="P4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3.0711346051858461</v>
      </c>
      <c r="Q498" s="1">
        <f>LN(Table13[[#This Row],[qe_mg_g]]-Table13[[#This Row],[qt]])</f>
        <v>2.424259692887976</v>
      </c>
      <c r="R498" s="1">
        <v>2</v>
      </c>
    </row>
    <row r="499" spans="1:18" x14ac:dyDescent="0.3">
      <c r="A499" s="1">
        <v>498</v>
      </c>
      <c r="B499" s="1" t="s">
        <v>16</v>
      </c>
      <c r="C499" s="1">
        <v>4</v>
      </c>
      <c r="D499" s="1">
        <v>60</v>
      </c>
      <c r="E499" s="1">
        <v>200</v>
      </c>
      <c r="F499" s="1">
        <v>3</v>
      </c>
      <c r="G499" s="1">
        <v>25</v>
      </c>
      <c r="H499" s="1">
        <v>150</v>
      </c>
      <c r="I499" s="1">
        <v>100</v>
      </c>
      <c r="J499" s="1">
        <v>12.662000000000001</v>
      </c>
      <c r="K499" s="1">
        <v>149.35</v>
      </c>
      <c r="L499" s="1">
        <v>25.32</v>
      </c>
      <c r="M499" s="1">
        <v>71</v>
      </c>
      <c r="N499" s="1">
        <v>4.8599999999999997E-2</v>
      </c>
      <c r="O499" s="1">
        <v>3.2259999999999998E-4</v>
      </c>
      <c r="P4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2.4924186733906932</v>
      </c>
      <c r="Q499" s="1">
        <f>LN(Table13[[#This Row],[qe_mg_g]]-Table13[[#This Row],[qt]])</f>
        <v>2.319401041721354</v>
      </c>
      <c r="R499" s="1">
        <v>3</v>
      </c>
    </row>
    <row r="500" spans="1:18" x14ac:dyDescent="0.3">
      <c r="A500" s="1">
        <v>499</v>
      </c>
      <c r="B500" s="1" t="s">
        <v>16</v>
      </c>
      <c r="C500" s="1">
        <v>4</v>
      </c>
      <c r="D500" s="1">
        <v>60</v>
      </c>
      <c r="E500" s="1">
        <v>200</v>
      </c>
      <c r="F500" s="1">
        <v>7</v>
      </c>
      <c r="G500" s="1">
        <v>25</v>
      </c>
      <c r="H500" s="1">
        <v>150</v>
      </c>
      <c r="I500" s="1">
        <v>100</v>
      </c>
      <c r="J500" s="1">
        <v>22.922000000000001</v>
      </c>
      <c r="K500" s="1">
        <v>108.313</v>
      </c>
      <c r="L500" s="1">
        <v>45.84</v>
      </c>
      <c r="M500" s="1">
        <v>73.7</v>
      </c>
      <c r="N500" s="1">
        <v>4.6580000000000003E-2</v>
      </c>
      <c r="O500" s="1">
        <v>3.321E-4</v>
      </c>
      <c r="P5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7.1869061279116968</v>
      </c>
      <c r="Q500" s="1">
        <f>LN(Table13[[#This Row],[qe_mg_g]]-Table13[[#This Row],[qt]])</f>
        <v>2.7558934963128934</v>
      </c>
      <c r="R500" s="1">
        <v>1</v>
      </c>
    </row>
    <row r="501" spans="1:18" x14ac:dyDescent="0.3">
      <c r="A501" s="1">
        <v>500</v>
      </c>
      <c r="B501" s="1" t="s">
        <v>16</v>
      </c>
      <c r="C501" s="1">
        <v>4</v>
      </c>
      <c r="D501" s="1">
        <v>60</v>
      </c>
      <c r="E501" s="1">
        <v>200</v>
      </c>
      <c r="F501" s="1">
        <v>7</v>
      </c>
      <c r="G501" s="1">
        <v>25</v>
      </c>
      <c r="H501" s="1">
        <v>150</v>
      </c>
      <c r="I501" s="1">
        <v>100</v>
      </c>
      <c r="J501" s="1">
        <v>20.887</v>
      </c>
      <c r="K501" s="1">
        <v>116.45399999999999</v>
      </c>
      <c r="L501" s="1">
        <v>41.77</v>
      </c>
      <c r="M501" s="1">
        <v>57.8</v>
      </c>
      <c r="N501" s="1">
        <v>4.4269999999999997E-2</v>
      </c>
      <c r="O501" s="1">
        <v>2.7769999999999997E-4</v>
      </c>
      <c r="P5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5.3924135037783447</v>
      </c>
      <c r="Q501" s="1">
        <f>LN(Table13[[#This Row],[qe_mg_g]]-Table13[[#This Row],[qt]])</f>
        <v>2.740490704612033</v>
      </c>
      <c r="R501" s="1">
        <v>2</v>
      </c>
    </row>
    <row r="502" spans="1:18" x14ac:dyDescent="0.3">
      <c r="A502" s="1">
        <v>501</v>
      </c>
      <c r="B502" s="1" t="s">
        <v>16</v>
      </c>
      <c r="C502" s="1">
        <v>4</v>
      </c>
      <c r="D502" s="1">
        <v>60</v>
      </c>
      <c r="E502" s="1">
        <v>200</v>
      </c>
      <c r="F502" s="1">
        <v>7</v>
      </c>
      <c r="G502" s="1">
        <v>25</v>
      </c>
      <c r="H502" s="1">
        <v>150</v>
      </c>
      <c r="I502" s="1">
        <v>100</v>
      </c>
      <c r="J502" s="1">
        <v>19.8</v>
      </c>
      <c r="K502" s="1">
        <v>120.79900000000001</v>
      </c>
      <c r="L502" s="1">
        <v>39.6</v>
      </c>
      <c r="M502" s="1">
        <v>65.2</v>
      </c>
      <c r="N502" s="1">
        <v>4.1430000000000002E-2</v>
      </c>
      <c r="O502" s="1">
        <v>2.9080000000000002E-4</v>
      </c>
      <c r="P5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5.0839571944503579</v>
      </c>
      <c r="Q502" s="1">
        <f>LN(Table13[[#This Row],[qe_mg_g]]-Table13[[#This Row],[qt]])</f>
        <v>2.6889382460144353</v>
      </c>
      <c r="R502" s="1">
        <v>3</v>
      </c>
    </row>
    <row r="503" spans="1:18" x14ac:dyDescent="0.3">
      <c r="A503" s="1">
        <v>502</v>
      </c>
      <c r="B503" s="1" t="s">
        <v>16</v>
      </c>
      <c r="C503" s="1">
        <v>4</v>
      </c>
      <c r="D503" s="1">
        <v>60</v>
      </c>
      <c r="E503" s="1">
        <v>200</v>
      </c>
      <c r="F503" s="1">
        <v>11</v>
      </c>
      <c r="G503" s="1">
        <v>25</v>
      </c>
      <c r="H503" s="1">
        <v>150</v>
      </c>
      <c r="I503" s="1">
        <v>100</v>
      </c>
      <c r="J503" s="1">
        <v>13.808999999999999</v>
      </c>
      <c r="K503" s="1">
        <v>144.76599999999999</v>
      </c>
      <c r="L503" s="1">
        <v>27.62</v>
      </c>
      <c r="M503" s="1">
        <v>68.8</v>
      </c>
      <c r="N503" s="1">
        <v>4.5010000000000001E-2</v>
      </c>
      <c r="O503" s="1">
        <v>2.7549999999999997E-4</v>
      </c>
      <c r="P5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2.5662917316381733</v>
      </c>
      <c r="Q503" s="1">
        <f>LN(Table13[[#This Row],[qe_mg_g]]-Table13[[#This Row],[qt]])</f>
        <v>2.4197197645844737</v>
      </c>
      <c r="R503" s="1">
        <v>1</v>
      </c>
    </row>
    <row r="504" spans="1:18" x14ac:dyDescent="0.3">
      <c r="A504" s="1">
        <v>503</v>
      </c>
      <c r="B504" s="1" t="s">
        <v>16</v>
      </c>
      <c r="C504" s="1">
        <v>4</v>
      </c>
      <c r="D504" s="1">
        <v>60</v>
      </c>
      <c r="E504" s="1">
        <v>200</v>
      </c>
      <c r="F504" s="1">
        <v>11</v>
      </c>
      <c r="G504" s="1">
        <v>25</v>
      </c>
      <c r="H504" s="1">
        <v>150</v>
      </c>
      <c r="I504" s="1">
        <v>100</v>
      </c>
      <c r="J504" s="1">
        <v>17.132000000000001</v>
      </c>
      <c r="K504" s="1">
        <v>131.471</v>
      </c>
      <c r="L504" s="1">
        <v>34.26</v>
      </c>
      <c r="M504" s="1">
        <v>76</v>
      </c>
      <c r="N504" s="1">
        <v>3.7769999999999998E-2</v>
      </c>
      <c r="O504" s="1">
        <v>2.7710000000000001E-4</v>
      </c>
      <c r="P5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3.7980090681474294</v>
      </c>
      <c r="Q504" s="1">
        <f>LN(Table13[[#This Row],[qe_mg_g]]-Table13[[#This Row],[qt]])</f>
        <v>2.590316484118584</v>
      </c>
      <c r="R504" s="1">
        <v>2</v>
      </c>
    </row>
    <row r="505" spans="1:18" x14ac:dyDescent="0.3">
      <c r="A505" s="1">
        <v>504</v>
      </c>
      <c r="B505" s="1" t="s">
        <v>16</v>
      </c>
      <c r="C505" s="1">
        <v>4</v>
      </c>
      <c r="D505" s="1">
        <v>60</v>
      </c>
      <c r="E505" s="1">
        <v>200</v>
      </c>
      <c r="F505" s="1">
        <v>11</v>
      </c>
      <c r="G505" s="1">
        <v>25</v>
      </c>
      <c r="H505" s="1">
        <v>150</v>
      </c>
      <c r="I505" s="1">
        <v>100</v>
      </c>
      <c r="J505" s="1">
        <v>15.273</v>
      </c>
      <c r="K505" s="1">
        <v>138.91</v>
      </c>
      <c r="L505" s="1">
        <v>30.55</v>
      </c>
      <c r="M505" s="1">
        <v>57.3</v>
      </c>
      <c r="N505" s="1">
        <v>4.8730000000000002E-2</v>
      </c>
      <c r="O505" s="1">
        <v>2.942E-4</v>
      </c>
      <c r="P5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3.2432173299450215</v>
      </c>
      <c r="Q505" s="1">
        <f>LN(Table13[[#This Row],[qe_mg_g]]-Table13[[#This Row],[qt]])</f>
        <v>2.4873854641588111</v>
      </c>
      <c r="R505" s="1">
        <v>3</v>
      </c>
    </row>
    <row r="506" spans="1:18" x14ac:dyDescent="0.3">
      <c r="A506" s="1">
        <v>505</v>
      </c>
      <c r="B506" s="1" t="s">
        <v>16</v>
      </c>
      <c r="C506" s="1">
        <v>4</v>
      </c>
      <c r="D506" s="1">
        <v>120</v>
      </c>
      <c r="E506" s="1">
        <v>25</v>
      </c>
      <c r="F506" s="1">
        <v>3</v>
      </c>
      <c r="G506" s="1">
        <v>25</v>
      </c>
      <c r="H506" s="1">
        <v>150</v>
      </c>
      <c r="I506" s="1">
        <v>100</v>
      </c>
      <c r="J506" s="1">
        <v>0.58499999999999996</v>
      </c>
      <c r="K506" s="1">
        <v>22.658000000000001</v>
      </c>
      <c r="L506" s="1">
        <v>9.3699999999999992</v>
      </c>
      <c r="M506" s="1">
        <v>46.6</v>
      </c>
      <c r="N506" s="1">
        <v>4.786E-2</v>
      </c>
      <c r="O506" s="1">
        <v>2.6279999999999999E-4</v>
      </c>
      <c r="P5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1.0596909872404355E-2</v>
      </c>
      <c r="Q506" s="1">
        <f>LN(Table13[[#This Row],[qe_mg_g]]-Table13[[#This Row],[qt]])</f>
        <v>-0.5544238815139938</v>
      </c>
      <c r="R506" s="1">
        <v>1</v>
      </c>
    </row>
    <row r="507" spans="1:18" x14ac:dyDescent="0.3">
      <c r="A507" s="1">
        <v>506</v>
      </c>
      <c r="B507" s="1" t="s">
        <v>16</v>
      </c>
      <c r="C507" s="1">
        <v>4</v>
      </c>
      <c r="D507" s="1">
        <v>120</v>
      </c>
      <c r="E507" s="1">
        <v>25</v>
      </c>
      <c r="F507" s="1">
        <v>3</v>
      </c>
      <c r="G507" s="1">
        <v>25</v>
      </c>
      <c r="H507" s="1">
        <v>150</v>
      </c>
      <c r="I507" s="1">
        <v>100</v>
      </c>
      <c r="J507" s="1">
        <v>0.60099999999999998</v>
      </c>
      <c r="K507" s="1">
        <v>22.596</v>
      </c>
      <c r="L507" s="1">
        <v>9.6199999999999992</v>
      </c>
      <c r="M507" s="1">
        <v>69.400000000000006</v>
      </c>
      <c r="N507" s="1">
        <v>5.1119999999999999E-2</v>
      </c>
      <c r="O507" s="1">
        <v>2.6069999999999999E-4</v>
      </c>
      <c r="P5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1.1091277391331833E-2</v>
      </c>
      <c r="Q507" s="1">
        <f>LN(Table13[[#This Row],[qe_mg_g]]-Table13[[#This Row],[qt]])</f>
        <v>-0.52778746149373823</v>
      </c>
      <c r="R507" s="1">
        <v>2</v>
      </c>
    </row>
    <row r="508" spans="1:18" x14ac:dyDescent="0.3">
      <c r="A508" s="1">
        <v>507</v>
      </c>
      <c r="B508" s="1" t="s">
        <v>16</v>
      </c>
      <c r="C508" s="1">
        <v>4</v>
      </c>
      <c r="D508" s="1">
        <v>120</v>
      </c>
      <c r="E508" s="1">
        <v>25</v>
      </c>
      <c r="F508" s="1">
        <v>3</v>
      </c>
      <c r="G508" s="1">
        <v>25</v>
      </c>
      <c r="H508" s="1">
        <v>150</v>
      </c>
      <c r="I508" s="1">
        <v>100</v>
      </c>
      <c r="J508" s="1">
        <v>0.45400000000000001</v>
      </c>
      <c r="K508" s="1">
        <v>23.184999999999999</v>
      </c>
      <c r="L508" s="1">
        <v>7.26</v>
      </c>
      <c r="M508" s="1">
        <v>68.5</v>
      </c>
      <c r="N508" s="1">
        <v>5.3100000000000001E-2</v>
      </c>
      <c r="O508" s="1">
        <v>3.3720000000000001E-4</v>
      </c>
      <c r="P5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8.1898253596183745E-3</v>
      </c>
      <c r="Q508" s="1">
        <f>LN(Table13[[#This Row],[qe_mg_g]]-Table13[[#This Row],[qt]])</f>
        <v>-0.80786203496111375</v>
      </c>
      <c r="R508" s="1">
        <v>3</v>
      </c>
    </row>
    <row r="509" spans="1:18" x14ac:dyDescent="0.3">
      <c r="A509" s="1">
        <v>508</v>
      </c>
      <c r="B509" s="1" t="s">
        <v>16</v>
      </c>
      <c r="C509" s="1">
        <v>4</v>
      </c>
      <c r="D509" s="1">
        <v>120</v>
      </c>
      <c r="E509" s="1">
        <v>25</v>
      </c>
      <c r="F509" s="1">
        <v>7</v>
      </c>
      <c r="G509" s="1">
        <v>25</v>
      </c>
      <c r="H509" s="1">
        <v>150</v>
      </c>
      <c r="I509" s="1">
        <v>100</v>
      </c>
      <c r="J509" s="1">
        <v>1.032</v>
      </c>
      <c r="K509" s="1">
        <v>20.873000000000001</v>
      </c>
      <c r="L509" s="1">
        <v>16.510000000000002</v>
      </c>
      <c r="M509" s="1">
        <v>61.8</v>
      </c>
      <c r="N509" s="1">
        <v>4.863E-2</v>
      </c>
      <c r="O509" s="1">
        <v>2.7080000000000002E-4</v>
      </c>
      <c r="P5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3.3486036471117281E-2</v>
      </c>
      <c r="Q509" s="1">
        <f>LN(Table13[[#This Row],[qe_mg_g]]-Table13[[#This Row],[qt]])</f>
        <v>-1.487141718408196E-3</v>
      </c>
      <c r="R509" s="1">
        <v>1</v>
      </c>
    </row>
    <row r="510" spans="1:18" x14ac:dyDescent="0.3">
      <c r="A510" s="1">
        <v>509</v>
      </c>
      <c r="B510" s="1" t="s">
        <v>16</v>
      </c>
      <c r="C510" s="1">
        <v>4</v>
      </c>
      <c r="D510" s="1">
        <v>120</v>
      </c>
      <c r="E510" s="1">
        <v>25</v>
      </c>
      <c r="F510" s="1">
        <v>7</v>
      </c>
      <c r="G510" s="1">
        <v>25</v>
      </c>
      <c r="H510" s="1">
        <v>150</v>
      </c>
      <c r="I510" s="1">
        <v>100</v>
      </c>
      <c r="J510" s="1">
        <v>1.0529999999999999</v>
      </c>
      <c r="K510" s="1">
        <v>20.786000000000001</v>
      </c>
      <c r="L510" s="1">
        <v>16.86</v>
      </c>
      <c r="M510" s="1">
        <v>71.7</v>
      </c>
      <c r="N510" s="1">
        <v>4.9770000000000002E-2</v>
      </c>
      <c r="O510" s="1">
        <v>3.8279999999999998E-4</v>
      </c>
      <c r="P5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4.8584202795582378E-2</v>
      </c>
      <c r="Q510" s="1">
        <f>LN(Table13[[#This Row],[qe_mg_g]]-Table13[[#This Row],[qt]])</f>
        <v>4.4060761788214942E-3</v>
      </c>
      <c r="R510" s="1">
        <v>2</v>
      </c>
    </row>
    <row r="511" spans="1:18" x14ac:dyDescent="0.3">
      <c r="A511" s="1">
        <v>510</v>
      </c>
      <c r="B511" s="1" t="s">
        <v>16</v>
      </c>
      <c r="C511" s="1">
        <v>4</v>
      </c>
      <c r="D511" s="1">
        <v>120</v>
      </c>
      <c r="E511" s="1">
        <v>25</v>
      </c>
      <c r="F511" s="1">
        <v>7</v>
      </c>
      <c r="G511" s="1">
        <v>25</v>
      </c>
      <c r="H511" s="1">
        <v>150</v>
      </c>
      <c r="I511" s="1">
        <v>100</v>
      </c>
      <c r="J511" s="1">
        <v>1.0469999999999999</v>
      </c>
      <c r="K511" s="1">
        <v>20.812999999999999</v>
      </c>
      <c r="L511" s="1">
        <v>16.75</v>
      </c>
      <c r="M511" s="1">
        <v>61.6</v>
      </c>
      <c r="N511" s="1">
        <v>4.4880000000000003E-2</v>
      </c>
      <c r="O511" s="1">
        <v>2.4689999999999998E-4</v>
      </c>
      <c r="P5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3.1501293861741157E-2</v>
      </c>
      <c r="Q511" s="1">
        <f>LN(Table13[[#This Row],[qe_mg_g]]-Table13[[#This Row],[qt]])</f>
        <v>1.5379827924500751E-2</v>
      </c>
      <c r="R511" s="1">
        <v>3</v>
      </c>
    </row>
    <row r="512" spans="1:18" x14ac:dyDescent="0.3">
      <c r="A512" s="1">
        <v>511</v>
      </c>
      <c r="B512" s="1" t="s">
        <v>16</v>
      </c>
      <c r="C512" s="1">
        <v>4</v>
      </c>
      <c r="D512" s="1">
        <v>120</v>
      </c>
      <c r="E512" s="1">
        <v>25</v>
      </c>
      <c r="F512" s="1">
        <v>11</v>
      </c>
      <c r="G512" s="1">
        <v>25</v>
      </c>
      <c r="H512" s="1">
        <v>150</v>
      </c>
      <c r="I512" s="1">
        <v>100</v>
      </c>
      <c r="J512" s="1">
        <v>0.71199999999999997</v>
      </c>
      <c r="K512" s="1">
        <v>22.152000000000001</v>
      </c>
      <c r="L512" s="1">
        <v>11.39</v>
      </c>
      <c r="M512" s="1">
        <v>62.6</v>
      </c>
      <c r="N512" s="1">
        <v>4.2639999999999997E-2</v>
      </c>
      <c r="O512" s="1">
        <v>3.0459999999999998E-4</v>
      </c>
      <c r="P5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1.8059810096795453E-2</v>
      </c>
      <c r="Q512" s="1">
        <f>LN(Table13[[#This Row],[qe_mg_g]]-Table13[[#This Row],[qt]])</f>
        <v>-0.365369503884859</v>
      </c>
      <c r="R512" s="1">
        <v>1</v>
      </c>
    </row>
    <row r="513" spans="1:18" x14ac:dyDescent="0.3">
      <c r="A513" s="1">
        <v>512</v>
      </c>
      <c r="B513" s="1" t="s">
        <v>16</v>
      </c>
      <c r="C513" s="1">
        <v>4</v>
      </c>
      <c r="D513" s="1">
        <v>120</v>
      </c>
      <c r="E513" s="1">
        <v>25</v>
      </c>
      <c r="F513" s="1">
        <v>11</v>
      </c>
      <c r="G513" s="1">
        <v>25</v>
      </c>
      <c r="H513" s="1">
        <v>150</v>
      </c>
      <c r="I513" s="1">
        <v>100</v>
      </c>
      <c r="J513" s="1">
        <v>0.70399999999999996</v>
      </c>
      <c r="K513" s="1">
        <v>22.183</v>
      </c>
      <c r="L513" s="1">
        <v>11.27</v>
      </c>
      <c r="M513" s="1">
        <v>77.900000000000006</v>
      </c>
      <c r="N513" s="1">
        <v>4.4999999999999998E-2</v>
      </c>
      <c r="O513" s="1">
        <v>2.9970000000000002E-4</v>
      </c>
      <c r="P5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1.7384189509958549E-2</v>
      </c>
      <c r="Q513" s="1">
        <f>LN(Table13[[#This Row],[qe_mg_g]]-Table13[[#This Row],[qt]])</f>
        <v>-0.37598037100251808</v>
      </c>
      <c r="R513" s="1">
        <v>2</v>
      </c>
    </row>
    <row r="514" spans="1:18" x14ac:dyDescent="0.3">
      <c r="A514" s="1">
        <v>513</v>
      </c>
      <c r="B514" s="1" t="s">
        <v>16</v>
      </c>
      <c r="C514" s="1">
        <v>4</v>
      </c>
      <c r="D514" s="1">
        <v>120</v>
      </c>
      <c r="E514" s="1">
        <v>25</v>
      </c>
      <c r="F514" s="1">
        <v>11</v>
      </c>
      <c r="G514" s="1">
        <v>25</v>
      </c>
      <c r="H514" s="1">
        <v>150</v>
      </c>
      <c r="I514" s="1">
        <v>100</v>
      </c>
      <c r="J514" s="1">
        <v>0.73399999999999999</v>
      </c>
      <c r="K514" s="1">
        <v>22.064</v>
      </c>
      <c r="L514" s="1">
        <v>11.74</v>
      </c>
      <c r="M514" s="1">
        <v>68.2</v>
      </c>
      <c r="N514" s="1">
        <v>4.8710000000000003E-2</v>
      </c>
      <c r="O514" s="1">
        <v>2.7399999999999999E-4</v>
      </c>
      <c r="P5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1.7296856333007701E-2</v>
      </c>
      <c r="Q514" s="1">
        <f>LN(Table13[[#This Row],[qe_mg_g]]-Table13[[#This Row],[qt]])</f>
        <v>-0.33309354968381538</v>
      </c>
      <c r="R514" s="1">
        <v>3</v>
      </c>
    </row>
    <row r="515" spans="1:18" x14ac:dyDescent="0.3">
      <c r="A515" s="1">
        <v>514</v>
      </c>
      <c r="B515" s="1" t="s">
        <v>16</v>
      </c>
      <c r="C515" s="1">
        <v>4</v>
      </c>
      <c r="D515" s="1">
        <v>120</v>
      </c>
      <c r="E515" s="1">
        <v>50</v>
      </c>
      <c r="F515" s="1">
        <v>3</v>
      </c>
      <c r="G515" s="1">
        <v>25</v>
      </c>
      <c r="H515" s="1">
        <v>150</v>
      </c>
      <c r="I515" s="1">
        <v>100</v>
      </c>
      <c r="J515" s="1">
        <v>1.9810000000000001</v>
      </c>
      <c r="K515" s="1">
        <v>42.073999999999998</v>
      </c>
      <c r="L515" s="1">
        <v>15.85</v>
      </c>
      <c r="M515" s="1">
        <v>63.6</v>
      </c>
      <c r="N515" s="1">
        <v>3.8940000000000002E-2</v>
      </c>
      <c r="O515" s="1">
        <v>2.7540000000000003E-4</v>
      </c>
      <c r="P5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0.1217232911888019</v>
      </c>
      <c r="Q515" s="1">
        <f>LN(Table13[[#This Row],[qe_mg_g]]-Table13[[#This Row],[qt]])</f>
        <v>0.62018754586649183</v>
      </c>
      <c r="R515" s="1">
        <v>1</v>
      </c>
    </row>
    <row r="516" spans="1:18" x14ac:dyDescent="0.3">
      <c r="A516" s="1">
        <v>515</v>
      </c>
      <c r="B516" s="1" t="s">
        <v>16</v>
      </c>
      <c r="C516" s="1">
        <v>4</v>
      </c>
      <c r="D516" s="1">
        <v>120</v>
      </c>
      <c r="E516" s="1">
        <v>50</v>
      </c>
      <c r="F516" s="1">
        <v>3</v>
      </c>
      <c r="G516" s="1">
        <v>25</v>
      </c>
      <c r="H516" s="1">
        <v>150</v>
      </c>
      <c r="I516" s="1">
        <v>100</v>
      </c>
      <c r="J516" s="1">
        <v>2.012</v>
      </c>
      <c r="K516" s="1">
        <v>41.953000000000003</v>
      </c>
      <c r="L516" s="1">
        <v>16.09</v>
      </c>
      <c r="M516" s="1">
        <v>75.400000000000006</v>
      </c>
      <c r="N516" s="1">
        <v>4.6179999999999999E-2</v>
      </c>
      <c r="O516" s="1">
        <v>3.0580000000000001E-4</v>
      </c>
      <c r="P5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0.13833694984820127</v>
      </c>
      <c r="Q516" s="1">
        <f>LN(Table13[[#This Row],[qe_mg_g]]-Table13[[#This Row],[qt]])</f>
        <v>0.62789536516946309</v>
      </c>
      <c r="R516" s="1">
        <v>2</v>
      </c>
    </row>
    <row r="517" spans="1:18" x14ac:dyDescent="0.3">
      <c r="A517" s="1">
        <v>516</v>
      </c>
      <c r="B517" s="1" t="s">
        <v>16</v>
      </c>
      <c r="C517" s="1">
        <v>4</v>
      </c>
      <c r="D517" s="1">
        <v>120</v>
      </c>
      <c r="E517" s="1">
        <v>50</v>
      </c>
      <c r="F517" s="1">
        <v>3</v>
      </c>
      <c r="G517" s="1">
        <v>25</v>
      </c>
      <c r="H517" s="1">
        <v>150</v>
      </c>
      <c r="I517" s="1">
        <v>100</v>
      </c>
      <c r="J517" s="1">
        <v>2.234</v>
      </c>
      <c r="K517" s="1">
        <v>41.064</v>
      </c>
      <c r="L517" s="1">
        <v>17.87</v>
      </c>
      <c r="M517" s="1">
        <v>65.3</v>
      </c>
      <c r="N517" s="1">
        <v>4.6760000000000003E-2</v>
      </c>
      <c r="O517" s="1">
        <v>2.9690000000000001E-4</v>
      </c>
      <c r="P5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0.16470157056749662</v>
      </c>
      <c r="Q517" s="1">
        <f>LN(Table13[[#This Row],[qe_mg_g]]-Table13[[#This Row],[qt]])</f>
        <v>0.72720962685043711</v>
      </c>
      <c r="R517" s="1">
        <v>3</v>
      </c>
    </row>
    <row r="518" spans="1:18" x14ac:dyDescent="0.3">
      <c r="A518" s="1">
        <v>517</v>
      </c>
      <c r="B518" s="1" t="s">
        <v>16</v>
      </c>
      <c r="C518" s="1">
        <v>4</v>
      </c>
      <c r="D518" s="1">
        <v>120</v>
      </c>
      <c r="E518" s="1">
        <v>50</v>
      </c>
      <c r="F518" s="1">
        <v>7</v>
      </c>
      <c r="G518" s="1">
        <v>25</v>
      </c>
      <c r="H518" s="1">
        <v>150</v>
      </c>
      <c r="I518" s="1">
        <v>100</v>
      </c>
      <c r="J518" s="1">
        <v>3.504</v>
      </c>
      <c r="K518" s="1">
        <v>35.984000000000002</v>
      </c>
      <c r="L518" s="1">
        <v>28.03</v>
      </c>
      <c r="M518" s="1">
        <v>60.8</v>
      </c>
      <c r="N518" s="1">
        <v>3.4029999999999998E-2</v>
      </c>
      <c r="O518" s="1">
        <v>2.9599999999999998E-4</v>
      </c>
      <c r="P5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0.38784333956374939</v>
      </c>
      <c r="Q518" s="1">
        <f>LN(Table13[[#This Row],[qe_mg_g]]-Table13[[#This Row],[qt]])</f>
        <v>1.136600402879568</v>
      </c>
      <c r="R518" s="1">
        <v>1</v>
      </c>
    </row>
    <row r="519" spans="1:18" x14ac:dyDescent="0.3">
      <c r="A519" s="1">
        <v>518</v>
      </c>
      <c r="B519" s="1" t="s">
        <v>16</v>
      </c>
      <c r="C519" s="1">
        <v>4</v>
      </c>
      <c r="D519" s="1">
        <v>120</v>
      </c>
      <c r="E519" s="1">
        <v>50</v>
      </c>
      <c r="F519" s="1">
        <v>7</v>
      </c>
      <c r="G519" s="1">
        <v>25</v>
      </c>
      <c r="H519" s="1">
        <v>150</v>
      </c>
      <c r="I519" s="1">
        <v>100</v>
      </c>
      <c r="J519" s="1">
        <v>3.8220000000000001</v>
      </c>
      <c r="K519" s="1">
        <v>34.713000000000001</v>
      </c>
      <c r="L519" s="1">
        <v>30.57</v>
      </c>
      <c r="M519" s="1">
        <v>75.900000000000006</v>
      </c>
      <c r="N519" s="1">
        <v>4.9340000000000002E-2</v>
      </c>
      <c r="O519" s="1">
        <v>3.3710000000000001E-4</v>
      </c>
      <c r="P5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0.5117843168778049</v>
      </c>
      <c r="Q519" s="1">
        <f>LN(Table13[[#This Row],[qe_mg_g]]-Table13[[#This Row],[qt]])</f>
        <v>1.197013348330189</v>
      </c>
      <c r="R519" s="1">
        <v>2</v>
      </c>
    </row>
    <row r="520" spans="1:18" x14ac:dyDescent="0.3">
      <c r="A520" s="1">
        <v>519</v>
      </c>
      <c r="B520" s="1" t="s">
        <v>16</v>
      </c>
      <c r="C520" s="1">
        <v>4</v>
      </c>
      <c r="D520" s="1">
        <v>120</v>
      </c>
      <c r="E520" s="1">
        <v>50</v>
      </c>
      <c r="F520" s="1">
        <v>7</v>
      </c>
      <c r="G520" s="1">
        <v>25</v>
      </c>
      <c r="H520" s="1">
        <v>150</v>
      </c>
      <c r="I520" s="1">
        <v>100</v>
      </c>
      <c r="J520" s="1">
        <v>3.456</v>
      </c>
      <c r="K520" s="1">
        <v>36.177999999999997</v>
      </c>
      <c r="L520" s="1">
        <v>27.64</v>
      </c>
      <c r="M520" s="1">
        <v>68.599999999999994</v>
      </c>
      <c r="N520" s="1">
        <v>4.2220000000000001E-2</v>
      </c>
      <c r="O520" s="1">
        <v>2.9050000000000001E-4</v>
      </c>
      <c r="P5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0.37159702617858464</v>
      </c>
      <c r="Q520" s="1">
        <f>LN(Table13[[#This Row],[qe_mg_g]]-Table13[[#This Row],[qt]])</f>
        <v>1.1263581131252816</v>
      </c>
      <c r="R520" s="1">
        <v>3</v>
      </c>
    </row>
    <row r="521" spans="1:18" x14ac:dyDescent="0.3">
      <c r="A521" s="1">
        <v>520</v>
      </c>
      <c r="B521" s="1" t="s">
        <v>16</v>
      </c>
      <c r="C521" s="1">
        <v>4</v>
      </c>
      <c r="D521" s="1">
        <v>120</v>
      </c>
      <c r="E521" s="1">
        <v>50</v>
      </c>
      <c r="F521" s="1">
        <v>11</v>
      </c>
      <c r="G521" s="1">
        <v>25</v>
      </c>
      <c r="H521" s="1">
        <v>150</v>
      </c>
      <c r="I521" s="1">
        <v>100</v>
      </c>
      <c r="J521" s="1">
        <v>2.7280000000000002</v>
      </c>
      <c r="K521" s="1">
        <v>39.090000000000003</v>
      </c>
      <c r="L521" s="1">
        <v>21.82</v>
      </c>
      <c r="M521" s="1">
        <v>78.7</v>
      </c>
      <c r="N521" s="1">
        <v>4.437E-2</v>
      </c>
      <c r="O521" s="1">
        <v>2.8650000000000003E-4</v>
      </c>
      <c r="P5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0.2339166824040155</v>
      </c>
      <c r="Q521" s="1">
        <f>LN(Table13[[#This Row],[qe_mg_g]]-Table13[[#This Row],[qt]])</f>
        <v>0.91392125391554779</v>
      </c>
      <c r="R521" s="1">
        <v>1</v>
      </c>
    </row>
    <row r="522" spans="1:18" x14ac:dyDescent="0.3">
      <c r="A522" s="1">
        <v>521</v>
      </c>
      <c r="B522" s="1" t="s">
        <v>16</v>
      </c>
      <c r="C522" s="1">
        <v>4</v>
      </c>
      <c r="D522" s="1">
        <v>120</v>
      </c>
      <c r="E522" s="1">
        <v>50</v>
      </c>
      <c r="F522" s="1">
        <v>11</v>
      </c>
      <c r="G522" s="1">
        <v>25</v>
      </c>
      <c r="H522" s="1">
        <v>150</v>
      </c>
      <c r="I522" s="1">
        <v>100</v>
      </c>
      <c r="J522" s="1">
        <v>2.6</v>
      </c>
      <c r="K522" s="1">
        <v>39.601999999999997</v>
      </c>
      <c r="L522" s="1">
        <v>20.8</v>
      </c>
      <c r="M522" s="1">
        <v>72.7</v>
      </c>
      <c r="N522" s="1">
        <v>3.85E-2</v>
      </c>
      <c r="O522" s="1">
        <v>2.3110000000000001E-4</v>
      </c>
      <c r="P5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0.1748603306099637</v>
      </c>
      <c r="Q522" s="1">
        <f>LN(Table13[[#This Row],[qe_mg_g]]-Table13[[#This Row],[qt]])</f>
        <v>0.88588911835563955</v>
      </c>
      <c r="R522" s="1">
        <v>2</v>
      </c>
    </row>
    <row r="523" spans="1:18" x14ac:dyDescent="0.3">
      <c r="A523" s="1">
        <v>522</v>
      </c>
      <c r="B523" s="1" t="s">
        <v>16</v>
      </c>
      <c r="C523" s="1">
        <v>4</v>
      </c>
      <c r="D523" s="1">
        <v>120</v>
      </c>
      <c r="E523" s="1">
        <v>50</v>
      </c>
      <c r="F523" s="1">
        <v>11</v>
      </c>
      <c r="G523" s="1">
        <v>25</v>
      </c>
      <c r="H523" s="1">
        <v>150</v>
      </c>
      <c r="I523" s="1">
        <v>100</v>
      </c>
      <c r="J523" s="1">
        <v>2.4849999999999999</v>
      </c>
      <c r="K523" s="1">
        <v>40.06</v>
      </c>
      <c r="L523" s="1">
        <v>19.88</v>
      </c>
      <c r="M523" s="1">
        <v>54.5</v>
      </c>
      <c r="N523" s="1">
        <v>4.2709999999999998E-2</v>
      </c>
      <c r="O523" s="1">
        <v>2.9559999999999998E-4</v>
      </c>
      <c r="P5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0.20130312908193582</v>
      </c>
      <c r="Q523" s="1">
        <f>LN(Table13[[#This Row],[qe_mg_g]]-Table13[[#This Row],[qt]])</f>
        <v>0.82579556447365143</v>
      </c>
      <c r="R523" s="1">
        <v>3</v>
      </c>
    </row>
    <row r="524" spans="1:18" x14ac:dyDescent="0.3">
      <c r="A524" s="1">
        <v>523</v>
      </c>
      <c r="B524" s="1" t="s">
        <v>16</v>
      </c>
      <c r="C524" s="1">
        <v>4</v>
      </c>
      <c r="D524" s="1">
        <v>120</v>
      </c>
      <c r="E524" s="1">
        <v>100</v>
      </c>
      <c r="F524" s="1">
        <v>3</v>
      </c>
      <c r="G524" s="1">
        <v>25</v>
      </c>
      <c r="H524" s="1">
        <v>150</v>
      </c>
      <c r="I524" s="1">
        <v>100</v>
      </c>
      <c r="J524" s="1">
        <v>6.4409999999999998</v>
      </c>
      <c r="K524" s="1">
        <v>74.236000000000004</v>
      </c>
      <c r="L524" s="1">
        <v>25.76</v>
      </c>
      <c r="M524" s="1">
        <v>81.2</v>
      </c>
      <c r="N524" s="1">
        <v>4.6469999999999997E-2</v>
      </c>
      <c r="O524" s="1">
        <v>3.0899999999999998E-4</v>
      </c>
      <c r="P5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1.2417489762859584</v>
      </c>
      <c r="Q524" s="1">
        <f>LN(Table13[[#This Row],[qe_mg_g]]-Table13[[#This Row],[qt]])</f>
        <v>1.6485145813123574</v>
      </c>
      <c r="R524" s="1">
        <v>1</v>
      </c>
    </row>
    <row r="525" spans="1:18" x14ac:dyDescent="0.3">
      <c r="A525" s="1">
        <v>524</v>
      </c>
      <c r="B525" s="1" t="s">
        <v>16</v>
      </c>
      <c r="C525" s="1">
        <v>4</v>
      </c>
      <c r="D525" s="1">
        <v>120</v>
      </c>
      <c r="E525" s="1">
        <v>100</v>
      </c>
      <c r="F525" s="1">
        <v>3</v>
      </c>
      <c r="G525" s="1">
        <v>25</v>
      </c>
      <c r="H525" s="1">
        <v>150</v>
      </c>
      <c r="I525" s="1">
        <v>100</v>
      </c>
      <c r="J525" s="1">
        <v>7.016</v>
      </c>
      <c r="K525" s="1">
        <v>71.936000000000007</v>
      </c>
      <c r="L525" s="1">
        <v>28.06</v>
      </c>
      <c r="M525" s="1">
        <v>55.3</v>
      </c>
      <c r="N525" s="1">
        <v>4.9680000000000002E-2</v>
      </c>
      <c r="O525" s="1">
        <v>2.9770000000000003E-4</v>
      </c>
      <c r="P5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1.4060704169619505</v>
      </c>
      <c r="Q525" s="1">
        <f>LN(Table13[[#This Row],[qe_mg_g]]-Table13[[#This Row],[qt]])</f>
        <v>1.7245381674126989</v>
      </c>
      <c r="R525" s="1">
        <v>2</v>
      </c>
    </row>
    <row r="526" spans="1:18" x14ac:dyDescent="0.3">
      <c r="A526" s="1">
        <v>525</v>
      </c>
      <c r="B526" s="1" t="s">
        <v>16</v>
      </c>
      <c r="C526" s="1">
        <v>4</v>
      </c>
      <c r="D526" s="1">
        <v>120</v>
      </c>
      <c r="E526" s="1">
        <v>100</v>
      </c>
      <c r="F526" s="1">
        <v>3</v>
      </c>
      <c r="G526" s="1">
        <v>25</v>
      </c>
      <c r="H526" s="1">
        <v>150</v>
      </c>
      <c r="I526" s="1">
        <v>100</v>
      </c>
      <c r="J526" s="1">
        <v>7.0419999999999998</v>
      </c>
      <c r="K526" s="1">
        <v>71.832999999999998</v>
      </c>
      <c r="L526" s="1">
        <v>28.17</v>
      </c>
      <c r="M526" s="1">
        <v>55.9</v>
      </c>
      <c r="N526" s="1">
        <v>3.8010000000000002E-2</v>
      </c>
      <c r="O526" s="1">
        <v>3.2449999999999997E-4</v>
      </c>
      <c r="P5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1.5154622122154719</v>
      </c>
      <c r="Q526" s="1">
        <f>LN(Table13[[#This Row],[qe_mg_g]]-Table13[[#This Row],[qt]])</f>
        <v>1.7095615413071594</v>
      </c>
      <c r="R526" s="1">
        <v>3</v>
      </c>
    </row>
    <row r="527" spans="1:18" x14ac:dyDescent="0.3">
      <c r="A527" s="1">
        <v>526</v>
      </c>
      <c r="B527" s="1" t="s">
        <v>16</v>
      </c>
      <c r="C527" s="1">
        <v>4</v>
      </c>
      <c r="D527" s="1">
        <v>120</v>
      </c>
      <c r="E527" s="1">
        <v>100</v>
      </c>
      <c r="F527" s="1">
        <v>7</v>
      </c>
      <c r="G527" s="1">
        <v>25</v>
      </c>
      <c r="H527" s="1">
        <v>150</v>
      </c>
      <c r="I527" s="1">
        <v>100</v>
      </c>
      <c r="J527" s="1">
        <v>10.795999999999999</v>
      </c>
      <c r="K527" s="1">
        <v>56.817999999999998</v>
      </c>
      <c r="L527" s="1">
        <v>43.18</v>
      </c>
      <c r="M527" s="1">
        <v>57.6</v>
      </c>
      <c r="N527" s="1">
        <v>4.1090000000000002E-2</v>
      </c>
      <c r="O527" s="1">
        <v>3.3379999999999998E-4</v>
      </c>
      <c r="P5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3.2592337048969351</v>
      </c>
      <c r="Q527" s="1">
        <f>LN(Table13[[#This Row],[qe_mg_g]]-Table13[[#This Row],[qt]])</f>
        <v>2.0197932166988894</v>
      </c>
      <c r="R527" s="1">
        <v>1</v>
      </c>
    </row>
    <row r="528" spans="1:18" x14ac:dyDescent="0.3">
      <c r="A528" s="1">
        <v>527</v>
      </c>
      <c r="B528" s="1" t="s">
        <v>16</v>
      </c>
      <c r="C528" s="1">
        <v>4</v>
      </c>
      <c r="D528" s="1">
        <v>120</v>
      </c>
      <c r="E528" s="1">
        <v>100</v>
      </c>
      <c r="F528" s="1">
        <v>7</v>
      </c>
      <c r="G528" s="1">
        <v>25</v>
      </c>
      <c r="H528" s="1">
        <v>150</v>
      </c>
      <c r="I528" s="1">
        <v>100</v>
      </c>
      <c r="J528" s="1">
        <v>9.4830000000000005</v>
      </c>
      <c r="K528" s="1">
        <v>62.069000000000003</v>
      </c>
      <c r="L528" s="1">
        <v>37.93</v>
      </c>
      <c r="M528" s="1">
        <v>83.1</v>
      </c>
      <c r="N528" s="1">
        <v>4.095E-2</v>
      </c>
      <c r="O528" s="1">
        <v>3.1920000000000001E-4</v>
      </c>
      <c r="P5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2.5267618927244477</v>
      </c>
      <c r="Q528" s="1">
        <f>LN(Table13[[#This Row],[qe_mg_g]]-Table13[[#This Row],[qt]])</f>
        <v>1.939638826394334</v>
      </c>
      <c r="R528" s="1">
        <v>2</v>
      </c>
    </row>
    <row r="529" spans="1:18" x14ac:dyDescent="0.3">
      <c r="A529" s="1">
        <v>528</v>
      </c>
      <c r="B529" s="1" t="s">
        <v>16</v>
      </c>
      <c r="C529" s="1">
        <v>4</v>
      </c>
      <c r="D529" s="1">
        <v>120</v>
      </c>
      <c r="E529" s="1">
        <v>100</v>
      </c>
      <c r="F529" s="1">
        <v>7</v>
      </c>
      <c r="G529" s="1">
        <v>25</v>
      </c>
      <c r="H529" s="1">
        <v>150</v>
      </c>
      <c r="I529" s="1">
        <v>100</v>
      </c>
      <c r="J529" s="1">
        <v>10.204000000000001</v>
      </c>
      <c r="K529" s="1">
        <v>59.182000000000002</v>
      </c>
      <c r="L529" s="1">
        <v>40.82</v>
      </c>
      <c r="M529" s="1">
        <v>72.7</v>
      </c>
      <c r="N529" s="1">
        <v>4.2549999999999998E-2</v>
      </c>
      <c r="O529" s="1">
        <v>2.9510000000000002E-4</v>
      </c>
      <c r="P5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2.7084664388909867</v>
      </c>
      <c r="Q529" s="1">
        <f>LN(Table13[[#This Row],[qe_mg_g]]-Table13[[#This Row],[qt]])</f>
        <v>2.0143073179612441</v>
      </c>
      <c r="R529" s="1">
        <v>3</v>
      </c>
    </row>
    <row r="530" spans="1:18" x14ac:dyDescent="0.3">
      <c r="A530" s="1">
        <v>529</v>
      </c>
      <c r="B530" s="1" t="s">
        <v>16</v>
      </c>
      <c r="C530" s="1">
        <v>4</v>
      </c>
      <c r="D530" s="1">
        <v>120</v>
      </c>
      <c r="E530" s="1">
        <v>100</v>
      </c>
      <c r="F530" s="1">
        <v>11</v>
      </c>
      <c r="G530" s="1">
        <v>25</v>
      </c>
      <c r="H530" s="1">
        <v>150</v>
      </c>
      <c r="I530" s="1">
        <v>100</v>
      </c>
      <c r="J530" s="1">
        <v>8.1750000000000007</v>
      </c>
      <c r="K530" s="1">
        <v>67.299000000000007</v>
      </c>
      <c r="L530" s="1">
        <v>32.700000000000003</v>
      </c>
      <c r="M530" s="1">
        <v>56.6</v>
      </c>
      <c r="N530" s="1">
        <v>4.8329999999999998E-2</v>
      </c>
      <c r="O530" s="1">
        <v>2.8459999999999998E-4</v>
      </c>
      <c r="P5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1.78425008478004</v>
      </c>
      <c r="Q530" s="1">
        <f>LN(Table13[[#This Row],[qe_mg_g]]-Table13[[#This Row],[qt]])</f>
        <v>1.8548516191279831</v>
      </c>
      <c r="R530" s="1">
        <v>1</v>
      </c>
    </row>
    <row r="531" spans="1:18" x14ac:dyDescent="0.3">
      <c r="A531" s="1">
        <v>530</v>
      </c>
      <c r="B531" s="1" t="s">
        <v>16</v>
      </c>
      <c r="C531" s="1">
        <v>4</v>
      </c>
      <c r="D531" s="1">
        <v>120</v>
      </c>
      <c r="E531" s="1">
        <v>100</v>
      </c>
      <c r="F531" s="1">
        <v>11</v>
      </c>
      <c r="G531" s="1">
        <v>25</v>
      </c>
      <c r="H531" s="1">
        <v>150</v>
      </c>
      <c r="I531" s="1">
        <v>100</v>
      </c>
      <c r="J531" s="1">
        <v>8</v>
      </c>
      <c r="K531" s="1">
        <v>68.001999999999995</v>
      </c>
      <c r="L531" s="1">
        <v>32</v>
      </c>
      <c r="M531" s="1">
        <v>56.7</v>
      </c>
      <c r="N531" s="1">
        <v>3.347E-2</v>
      </c>
      <c r="O531" s="1">
        <v>2.943E-4</v>
      </c>
      <c r="P5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1.7623194191471843</v>
      </c>
      <c r="Q531" s="1">
        <f>LN(Table13[[#This Row],[qe_mg_g]]-Table13[[#This Row],[qt]])</f>
        <v>1.8306084114966965</v>
      </c>
      <c r="R531" s="1">
        <v>2</v>
      </c>
    </row>
    <row r="532" spans="1:18" x14ac:dyDescent="0.3">
      <c r="A532" s="1">
        <v>531</v>
      </c>
      <c r="B532" s="1" t="s">
        <v>16</v>
      </c>
      <c r="C532" s="1">
        <v>4</v>
      </c>
      <c r="D532" s="1">
        <v>120</v>
      </c>
      <c r="E532" s="1">
        <v>100</v>
      </c>
      <c r="F532" s="1">
        <v>11</v>
      </c>
      <c r="G532" s="1">
        <v>25</v>
      </c>
      <c r="H532" s="1">
        <v>150</v>
      </c>
      <c r="I532" s="1">
        <v>100</v>
      </c>
      <c r="J532" s="1">
        <v>9.7210000000000001</v>
      </c>
      <c r="K532" s="1">
        <v>61.115000000000002</v>
      </c>
      <c r="L532" s="1">
        <v>38.89</v>
      </c>
      <c r="M532" s="1">
        <v>74.5</v>
      </c>
      <c r="N532" s="1">
        <v>4.4909999999999999E-2</v>
      </c>
      <c r="O532" s="1">
        <v>2.921E-4</v>
      </c>
      <c r="P5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2.4705290415977084</v>
      </c>
      <c r="Q532" s="1">
        <f>LN(Table13[[#This Row],[qe_mg_g]]-Table13[[#This Row],[qt]])</f>
        <v>1.9810664265364146</v>
      </c>
      <c r="R532" s="1">
        <v>3</v>
      </c>
    </row>
    <row r="533" spans="1:18" x14ac:dyDescent="0.3">
      <c r="A533" s="1">
        <v>532</v>
      </c>
      <c r="B533" s="1" t="s">
        <v>16</v>
      </c>
      <c r="C533" s="1">
        <v>4</v>
      </c>
      <c r="D533" s="1">
        <v>120</v>
      </c>
      <c r="E533" s="1">
        <v>200</v>
      </c>
      <c r="F533" s="1">
        <v>3</v>
      </c>
      <c r="G533" s="1">
        <v>25</v>
      </c>
      <c r="H533" s="1">
        <v>150</v>
      </c>
      <c r="I533" s="1">
        <v>100</v>
      </c>
      <c r="J533" s="1">
        <v>19.088000000000001</v>
      </c>
      <c r="K533" s="1">
        <v>123.646</v>
      </c>
      <c r="L533" s="1">
        <v>38.18</v>
      </c>
      <c r="M533" s="1">
        <v>72.099999999999994</v>
      </c>
      <c r="N533" s="1">
        <v>3.9690000000000003E-2</v>
      </c>
      <c r="O533" s="1">
        <v>3.3340000000000003E-4</v>
      </c>
      <c r="P5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8.2651302256317063</v>
      </c>
      <c r="Q533" s="1">
        <f>LN(Table13[[#This Row],[qe_mg_g]]-Table13[[#This Row],[qt]])</f>
        <v>2.3816614669361114</v>
      </c>
      <c r="R533" s="1">
        <v>1</v>
      </c>
    </row>
    <row r="534" spans="1:18" x14ac:dyDescent="0.3">
      <c r="A534" s="1">
        <v>533</v>
      </c>
      <c r="B534" s="1" t="s">
        <v>16</v>
      </c>
      <c r="C534" s="1">
        <v>4</v>
      </c>
      <c r="D534" s="1">
        <v>120</v>
      </c>
      <c r="E534" s="1">
        <v>200</v>
      </c>
      <c r="F534" s="1">
        <v>3</v>
      </c>
      <c r="G534" s="1">
        <v>25</v>
      </c>
      <c r="H534" s="1">
        <v>150</v>
      </c>
      <c r="I534" s="1">
        <v>100</v>
      </c>
      <c r="J534" s="1">
        <v>20.145</v>
      </c>
      <c r="K534" s="1">
        <v>119.422</v>
      </c>
      <c r="L534" s="1">
        <v>40.29</v>
      </c>
      <c r="M534" s="1">
        <v>73.8</v>
      </c>
      <c r="N534" s="1">
        <v>4.6969999999999998E-2</v>
      </c>
      <c r="O534" s="1">
        <v>3.0059999999999999E-4</v>
      </c>
      <c r="P5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8.4780370791544915</v>
      </c>
      <c r="Q534" s="1">
        <f>LN(Table13[[#This Row],[qe_mg_g]]-Table13[[#This Row],[qt]])</f>
        <v>2.456761165714231</v>
      </c>
      <c r="R534" s="1">
        <v>2</v>
      </c>
    </row>
    <row r="535" spans="1:18" x14ac:dyDescent="0.3">
      <c r="A535" s="1">
        <v>534</v>
      </c>
      <c r="B535" s="1" t="s">
        <v>16</v>
      </c>
      <c r="C535" s="1">
        <v>4</v>
      </c>
      <c r="D535" s="1">
        <v>120</v>
      </c>
      <c r="E535" s="1">
        <v>200</v>
      </c>
      <c r="F535" s="1">
        <v>3</v>
      </c>
      <c r="G535" s="1">
        <v>25</v>
      </c>
      <c r="H535" s="1">
        <v>150</v>
      </c>
      <c r="I535" s="1">
        <v>100</v>
      </c>
      <c r="J535" s="1">
        <v>20.079999999999998</v>
      </c>
      <c r="K535" s="1">
        <v>119.681</v>
      </c>
      <c r="L535" s="1">
        <v>40.159999999999997</v>
      </c>
      <c r="M535" s="1">
        <v>72.599999999999994</v>
      </c>
      <c r="N535" s="1">
        <v>4.3409999999999997E-2</v>
      </c>
      <c r="O535" s="1">
        <v>2.8279999999999999E-4</v>
      </c>
      <c r="P5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8.1378188077078537</v>
      </c>
      <c r="Q535" s="1">
        <f>LN(Table13[[#This Row],[qe_mg_g]]-Table13[[#This Row],[qt]])</f>
        <v>2.480076770702055</v>
      </c>
      <c r="R535" s="1">
        <v>3</v>
      </c>
    </row>
    <row r="536" spans="1:18" x14ac:dyDescent="0.3">
      <c r="A536" s="1">
        <v>535</v>
      </c>
      <c r="B536" s="1" t="s">
        <v>16</v>
      </c>
      <c r="C536" s="1">
        <v>4</v>
      </c>
      <c r="D536" s="1">
        <v>120</v>
      </c>
      <c r="E536" s="1">
        <v>200</v>
      </c>
      <c r="F536" s="1">
        <v>7</v>
      </c>
      <c r="G536" s="1">
        <v>25</v>
      </c>
      <c r="H536" s="1">
        <v>150</v>
      </c>
      <c r="I536" s="1">
        <v>100</v>
      </c>
      <c r="J536" s="1">
        <v>28.678000000000001</v>
      </c>
      <c r="K536" s="1">
        <v>85.287999999999997</v>
      </c>
      <c r="L536" s="1">
        <v>57.36</v>
      </c>
      <c r="M536" s="1">
        <v>82.2</v>
      </c>
      <c r="N536" s="1">
        <v>3.9419999999999997E-2</v>
      </c>
      <c r="O536" s="1">
        <v>2.5599999999999999E-4</v>
      </c>
      <c r="P5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13.431758364964933</v>
      </c>
      <c r="Q536" s="1">
        <f>LN(Table13[[#This Row],[qe_mg_g]]-Table13[[#This Row],[qt]])</f>
        <v>2.7243330225179543</v>
      </c>
      <c r="R536" s="1">
        <v>1</v>
      </c>
    </row>
    <row r="537" spans="1:18" x14ac:dyDescent="0.3">
      <c r="A537" s="1">
        <v>536</v>
      </c>
      <c r="B537" s="1" t="s">
        <v>16</v>
      </c>
      <c r="C537" s="1">
        <v>4</v>
      </c>
      <c r="D537" s="1">
        <v>120</v>
      </c>
      <c r="E537" s="1">
        <v>200</v>
      </c>
      <c r="F537" s="1">
        <v>7</v>
      </c>
      <c r="G537" s="1">
        <v>25</v>
      </c>
      <c r="H537" s="1">
        <v>150</v>
      </c>
      <c r="I537" s="1">
        <v>100</v>
      </c>
      <c r="J537" s="1">
        <v>28.821000000000002</v>
      </c>
      <c r="K537" s="1">
        <v>84.715999999999994</v>
      </c>
      <c r="L537" s="1">
        <v>57.64</v>
      </c>
      <c r="M537" s="1">
        <v>67.2</v>
      </c>
      <c r="N537" s="1">
        <v>4.5780000000000001E-2</v>
      </c>
      <c r="O537" s="1">
        <v>3.0729999999999999E-4</v>
      </c>
      <c r="P5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14.849235725110832</v>
      </c>
      <c r="Q537" s="1">
        <f>LN(Table13[[#This Row],[qe_mg_g]]-Table13[[#This Row],[qt]])</f>
        <v>2.6370384555518469</v>
      </c>
      <c r="R537" s="1">
        <v>2</v>
      </c>
    </row>
    <row r="538" spans="1:18" x14ac:dyDescent="0.3">
      <c r="A538" s="1">
        <v>537</v>
      </c>
      <c r="B538" s="1" t="s">
        <v>16</v>
      </c>
      <c r="C538" s="1">
        <v>4</v>
      </c>
      <c r="D538" s="1">
        <v>120</v>
      </c>
      <c r="E538" s="1">
        <v>200</v>
      </c>
      <c r="F538" s="1">
        <v>7</v>
      </c>
      <c r="G538" s="1">
        <v>25</v>
      </c>
      <c r="H538" s="1">
        <v>150</v>
      </c>
      <c r="I538" s="1">
        <v>100</v>
      </c>
      <c r="J538" s="1">
        <v>27.937999999999999</v>
      </c>
      <c r="K538" s="1">
        <v>88.247</v>
      </c>
      <c r="L538" s="1">
        <v>55.88</v>
      </c>
      <c r="M538" s="1">
        <v>81.599999999999994</v>
      </c>
      <c r="N538" s="1">
        <v>3.78E-2</v>
      </c>
      <c r="O538" s="1">
        <v>2.7510000000000002E-4</v>
      </c>
      <c r="P5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13.404287181912022</v>
      </c>
      <c r="Q538" s="1">
        <f>LN(Table13[[#This Row],[qe_mg_g]]-Table13[[#This Row],[qt]])</f>
        <v>2.6764709726823126</v>
      </c>
      <c r="R538" s="1">
        <v>3</v>
      </c>
    </row>
    <row r="539" spans="1:18" x14ac:dyDescent="0.3">
      <c r="A539" s="1">
        <v>538</v>
      </c>
      <c r="B539" s="1" t="s">
        <v>16</v>
      </c>
      <c r="C539" s="1">
        <v>4</v>
      </c>
      <c r="D539" s="1">
        <v>120</v>
      </c>
      <c r="E539" s="1">
        <v>200</v>
      </c>
      <c r="F539" s="1">
        <v>11</v>
      </c>
      <c r="G539" s="1">
        <v>25</v>
      </c>
      <c r="H539" s="1">
        <v>150</v>
      </c>
      <c r="I539" s="1">
        <v>100</v>
      </c>
      <c r="J539" s="1">
        <v>22.550999999999998</v>
      </c>
      <c r="K539" s="1">
        <v>109.797</v>
      </c>
      <c r="L539" s="1">
        <v>45.1</v>
      </c>
      <c r="M539" s="1">
        <v>50.2</v>
      </c>
      <c r="N539" s="1">
        <v>4.4209999999999999E-2</v>
      </c>
      <c r="O539" s="1">
        <v>3.4979999999999999E-4</v>
      </c>
      <c r="P5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10.966190069769088</v>
      </c>
      <c r="Q539" s="1">
        <f>LN(Table13[[#This Row],[qe_mg_g]]-Table13[[#This Row],[qt]])</f>
        <v>2.4496947512094756</v>
      </c>
      <c r="R539" s="1">
        <v>1</v>
      </c>
    </row>
    <row r="540" spans="1:18" x14ac:dyDescent="0.3">
      <c r="A540" s="1">
        <v>539</v>
      </c>
      <c r="B540" s="1" t="s">
        <v>16</v>
      </c>
      <c r="C540" s="1">
        <v>4</v>
      </c>
      <c r="D540" s="1">
        <v>120</v>
      </c>
      <c r="E540" s="1">
        <v>200</v>
      </c>
      <c r="F540" s="1">
        <v>11</v>
      </c>
      <c r="G540" s="1">
        <v>25</v>
      </c>
      <c r="H540" s="1">
        <v>150</v>
      </c>
      <c r="I540" s="1">
        <v>100</v>
      </c>
      <c r="J540" s="1">
        <v>22.776</v>
      </c>
      <c r="K540" s="1">
        <v>108.89400000000001</v>
      </c>
      <c r="L540" s="1">
        <v>45.55</v>
      </c>
      <c r="M540" s="1">
        <v>69</v>
      </c>
      <c r="N540" s="1">
        <v>3.9329999999999997E-2</v>
      </c>
      <c r="O540" s="1">
        <v>2.8150000000000001E-4</v>
      </c>
      <c r="P5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9.9036455582057865</v>
      </c>
      <c r="Q540" s="1">
        <f>LN(Table13[[#This Row],[qe_mg_g]]-Table13[[#This Row],[qt]])</f>
        <v>2.5550819451868478</v>
      </c>
      <c r="R540" s="1">
        <v>2</v>
      </c>
    </row>
    <row r="541" spans="1:18" x14ac:dyDescent="0.3">
      <c r="A541" s="1">
        <v>540</v>
      </c>
      <c r="B541" s="1" t="s">
        <v>16</v>
      </c>
      <c r="C541" s="1">
        <v>4</v>
      </c>
      <c r="D541" s="1">
        <v>120</v>
      </c>
      <c r="E541" s="1">
        <v>200</v>
      </c>
      <c r="F541" s="1">
        <v>11</v>
      </c>
      <c r="G541" s="1">
        <v>25</v>
      </c>
      <c r="H541" s="1">
        <v>150</v>
      </c>
      <c r="I541" s="1">
        <v>100</v>
      </c>
      <c r="J541" s="1">
        <v>22.056000000000001</v>
      </c>
      <c r="K541" s="1">
        <v>111.776</v>
      </c>
      <c r="L541" s="1">
        <v>44.11</v>
      </c>
      <c r="M541" s="1">
        <v>63.5</v>
      </c>
      <c r="N541" s="1">
        <v>5.0770000000000003E-2</v>
      </c>
      <c r="O541" s="1">
        <v>3.167E-4</v>
      </c>
      <c r="P5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10.057411524915365</v>
      </c>
      <c r="Q541" s="1">
        <f>LN(Table13[[#This Row],[qe_mg_g]]-Table13[[#This Row],[qt]])</f>
        <v>2.4847890157931127</v>
      </c>
      <c r="R541" s="1">
        <v>3</v>
      </c>
    </row>
    <row r="542" spans="1:18" x14ac:dyDescent="0.3">
      <c r="A542" s="1">
        <v>541</v>
      </c>
      <c r="B542" s="1" t="s">
        <v>16</v>
      </c>
      <c r="C542" s="1">
        <v>4</v>
      </c>
      <c r="D542" s="1">
        <v>240</v>
      </c>
      <c r="E542" s="1">
        <v>25</v>
      </c>
      <c r="F542" s="1">
        <v>3</v>
      </c>
      <c r="G542" s="1">
        <v>25</v>
      </c>
      <c r="H542" s="1">
        <v>150</v>
      </c>
      <c r="I542" s="1">
        <v>100</v>
      </c>
      <c r="J542" s="1">
        <v>0.95299999999999996</v>
      </c>
      <c r="K542" s="1">
        <v>21.187999999999999</v>
      </c>
      <c r="L542" s="1">
        <v>15.25</v>
      </c>
      <c r="M542" s="1">
        <v>69.099999999999994</v>
      </c>
      <c r="N542" s="1">
        <v>4.7239999999999997E-2</v>
      </c>
      <c r="O542" s="1">
        <v>3.3419999999999999E-4</v>
      </c>
      <c r="P5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6.7672836069782666E-2</v>
      </c>
      <c r="Q542" s="1">
        <f>LN(Table13[[#This Row],[qe_mg_g]]-Table13[[#This Row],[qt]])</f>
        <v>-0.12179802553051688</v>
      </c>
      <c r="R542" s="1">
        <v>1</v>
      </c>
    </row>
    <row r="543" spans="1:18" x14ac:dyDescent="0.3">
      <c r="A543" s="1">
        <v>542</v>
      </c>
      <c r="B543" s="1" t="s">
        <v>16</v>
      </c>
      <c r="C543" s="1">
        <v>4</v>
      </c>
      <c r="D543" s="1">
        <v>240</v>
      </c>
      <c r="E543" s="1">
        <v>25</v>
      </c>
      <c r="F543" s="1">
        <v>3</v>
      </c>
      <c r="G543" s="1">
        <v>25</v>
      </c>
      <c r="H543" s="1">
        <v>150</v>
      </c>
      <c r="I543" s="1">
        <v>100</v>
      </c>
      <c r="J543" s="1">
        <v>1.1779999999999999</v>
      </c>
      <c r="K543" s="1">
        <v>20.286999999999999</v>
      </c>
      <c r="L543" s="1">
        <v>18.850000000000001</v>
      </c>
      <c r="M543" s="1">
        <v>56.5</v>
      </c>
      <c r="N543" s="1">
        <v>4.1349999999999998E-2</v>
      </c>
      <c r="O543" s="1">
        <v>2.6229999999999998E-4</v>
      </c>
      <c r="P5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8.1326515661219775E-2</v>
      </c>
      <c r="Q543" s="1">
        <f>LN(Table13[[#This Row],[qe_mg_g]]-Table13[[#This Row],[qt]])</f>
        <v>9.2281492812139071E-2</v>
      </c>
      <c r="R543" s="1">
        <v>2</v>
      </c>
    </row>
    <row r="544" spans="1:18" x14ac:dyDescent="0.3">
      <c r="A544" s="1">
        <v>543</v>
      </c>
      <c r="B544" s="1" t="s">
        <v>16</v>
      </c>
      <c r="C544" s="1">
        <v>4</v>
      </c>
      <c r="D544" s="1">
        <v>240</v>
      </c>
      <c r="E544" s="1">
        <v>25</v>
      </c>
      <c r="F544" s="1">
        <v>3</v>
      </c>
      <c r="G544" s="1">
        <v>25</v>
      </c>
      <c r="H544" s="1">
        <v>150</v>
      </c>
      <c r="I544" s="1">
        <v>100</v>
      </c>
      <c r="J544" s="1">
        <v>1.0269999999999999</v>
      </c>
      <c r="K544" s="1">
        <v>20.893999999999998</v>
      </c>
      <c r="L544" s="1">
        <v>16.420000000000002</v>
      </c>
      <c r="M544" s="1">
        <v>71.3</v>
      </c>
      <c r="N544" s="1">
        <v>4.9439999999999998E-2</v>
      </c>
      <c r="O544" s="1">
        <v>2.9770000000000003E-4</v>
      </c>
      <c r="P5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7.0206712881080519E-2</v>
      </c>
      <c r="Q544" s="1">
        <f>LN(Table13[[#This Row],[qe_mg_g]]-Table13[[#This Row],[qt]])</f>
        <v>-4.4167911781410836E-2</v>
      </c>
      <c r="R544" s="1">
        <v>3</v>
      </c>
    </row>
    <row r="545" spans="1:18" x14ac:dyDescent="0.3">
      <c r="A545" s="1">
        <v>544</v>
      </c>
      <c r="B545" s="1" t="s">
        <v>16</v>
      </c>
      <c r="C545" s="1">
        <v>4</v>
      </c>
      <c r="D545" s="1">
        <v>240</v>
      </c>
      <c r="E545" s="1">
        <v>25</v>
      </c>
      <c r="F545" s="1">
        <v>7</v>
      </c>
      <c r="G545" s="1">
        <v>25</v>
      </c>
      <c r="H545" s="1">
        <v>150</v>
      </c>
      <c r="I545" s="1">
        <v>100</v>
      </c>
      <c r="J545" s="1">
        <v>1.6719999999999999</v>
      </c>
      <c r="K545" s="1">
        <v>18.311</v>
      </c>
      <c r="L545" s="1">
        <v>26.76</v>
      </c>
      <c r="M545" s="1">
        <v>68.2</v>
      </c>
      <c r="N545" s="1">
        <v>4.1239999999999999E-2</v>
      </c>
      <c r="O545" s="1">
        <v>3.6269999999999998E-4</v>
      </c>
      <c r="P5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0.21243177184766923</v>
      </c>
      <c r="Q545" s="1">
        <f>LN(Table13[[#This Row],[qe_mg_g]]-Table13[[#This Row],[qt]])</f>
        <v>0.37814065784004103</v>
      </c>
      <c r="R545" s="1">
        <v>1</v>
      </c>
    </row>
    <row r="546" spans="1:18" x14ac:dyDescent="0.3">
      <c r="A546" s="1">
        <v>545</v>
      </c>
      <c r="B546" s="1" t="s">
        <v>16</v>
      </c>
      <c r="C546" s="1">
        <v>4</v>
      </c>
      <c r="D546" s="1">
        <v>240</v>
      </c>
      <c r="E546" s="1">
        <v>25</v>
      </c>
      <c r="F546" s="1">
        <v>7</v>
      </c>
      <c r="G546" s="1">
        <v>25</v>
      </c>
      <c r="H546" s="1">
        <v>150</v>
      </c>
      <c r="I546" s="1">
        <v>100</v>
      </c>
      <c r="J546" s="1">
        <v>1.4950000000000001</v>
      </c>
      <c r="K546" s="1">
        <v>19.018000000000001</v>
      </c>
      <c r="L546" s="1">
        <v>23.93</v>
      </c>
      <c r="M546" s="1">
        <v>68.5</v>
      </c>
      <c r="N546" s="1">
        <v>5.4109999999999998E-2</v>
      </c>
      <c r="O546" s="1">
        <v>3.0019999999999998E-4</v>
      </c>
      <c r="P5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0.14537092320839856</v>
      </c>
      <c r="Q546" s="1">
        <f>LN(Table13[[#This Row],[qe_mg_g]]-Table13[[#This Row],[qt]])</f>
        <v>0.29982979676531496</v>
      </c>
      <c r="R546" s="1">
        <v>2</v>
      </c>
    </row>
    <row r="547" spans="1:18" x14ac:dyDescent="0.3">
      <c r="A547" s="1">
        <v>546</v>
      </c>
      <c r="B547" s="1" t="s">
        <v>16</v>
      </c>
      <c r="C547" s="1">
        <v>4</v>
      </c>
      <c r="D547" s="1">
        <v>240</v>
      </c>
      <c r="E547" s="1">
        <v>25</v>
      </c>
      <c r="F547" s="1">
        <v>7</v>
      </c>
      <c r="G547" s="1">
        <v>25</v>
      </c>
      <c r="H547" s="1">
        <v>150</v>
      </c>
      <c r="I547" s="1">
        <v>100</v>
      </c>
      <c r="J547" s="1">
        <v>1.69</v>
      </c>
      <c r="K547" s="1">
        <v>18.239999999999998</v>
      </c>
      <c r="L547" s="1">
        <v>27.04</v>
      </c>
      <c r="M547" s="1">
        <v>63.1</v>
      </c>
      <c r="N547" s="1">
        <v>4.419E-2</v>
      </c>
      <c r="O547" s="1">
        <v>3.412E-4</v>
      </c>
      <c r="P5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0.20544819339356524</v>
      </c>
      <c r="Q547" s="1">
        <f>LN(Table13[[#This Row],[qe_mg_g]]-Table13[[#This Row],[qt]])</f>
        <v>0.39511291296669132</v>
      </c>
      <c r="R547" s="1">
        <v>3</v>
      </c>
    </row>
    <row r="548" spans="1:18" x14ac:dyDescent="0.3">
      <c r="A548" s="1">
        <v>547</v>
      </c>
      <c r="B548" s="1" t="s">
        <v>16</v>
      </c>
      <c r="C548" s="1">
        <v>4</v>
      </c>
      <c r="D548" s="1">
        <v>240</v>
      </c>
      <c r="E548" s="1">
        <v>25</v>
      </c>
      <c r="F548" s="1">
        <v>11</v>
      </c>
      <c r="G548" s="1">
        <v>25</v>
      </c>
      <c r="H548" s="1">
        <v>150</v>
      </c>
      <c r="I548" s="1">
        <v>100</v>
      </c>
      <c r="J548" s="1">
        <v>1.07</v>
      </c>
      <c r="K548" s="1">
        <v>20.72</v>
      </c>
      <c r="L548" s="1">
        <v>17.12</v>
      </c>
      <c r="M548" s="1">
        <v>82</v>
      </c>
      <c r="N548" s="1">
        <v>3.8589999999999999E-2</v>
      </c>
      <c r="O548" s="1">
        <v>2.92E-4</v>
      </c>
      <c r="P5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7.4637829567205369E-2</v>
      </c>
      <c r="Q548" s="1">
        <f>LN(Table13[[#This Row],[qe_mg_g]]-Table13[[#This Row],[qt]])</f>
        <v>-4.6486176672555189E-3</v>
      </c>
      <c r="R548" s="1">
        <v>1</v>
      </c>
    </row>
    <row r="549" spans="1:18" x14ac:dyDescent="0.3">
      <c r="A549" s="1">
        <v>548</v>
      </c>
      <c r="B549" s="1" t="s">
        <v>16</v>
      </c>
      <c r="C549" s="1">
        <v>4</v>
      </c>
      <c r="D549" s="1">
        <v>240</v>
      </c>
      <c r="E549" s="1">
        <v>25</v>
      </c>
      <c r="F549" s="1">
        <v>11</v>
      </c>
      <c r="G549" s="1">
        <v>25</v>
      </c>
      <c r="H549" s="1">
        <v>150</v>
      </c>
      <c r="I549" s="1">
        <v>100</v>
      </c>
      <c r="J549" s="1">
        <v>1.2549999999999999</v>
      </c>
      <c r="K549" s="1">
        <v>19.978000000000002</v>
      </c>
      <c r="L549" s="1">
        <v>20.09</v>
      </c>
      <c r="M549" s="1">
        <v>72.599999999999994</v>
      </c>
      <c r="N549" s="1">
        <v>3.7810000000000003E-2</v>
      </c>
      <c r="O549" s="1">
        <v>3.1389999999999999E-4</v>
      </c>
      <c r="P5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0.108406599342113</v>
      </c>
      <c r="Q549" s="1">
        <f>LN(Table13[[#This Row],[qe_mg_g]]-Table13[[#This Row],[qt]])</f>
        <v>0.1367952859007405</v>
      </c>
      <c r="R549" s="1">
        <v>2</v>
      </c>
    </row>
    <row r="550" spans="1:18" x14ac:dyDescent="0.3">
      <c r="A550" s="1">
        <v>549</v>
      </c>
      <c r="B550" s="1" t="s">
        <v>16</v>
      </c>
      <c r="C550" s="1">
        <v>4</v>
      </c>
      <c r="D550" s="1">
        <v>240</v>
      </c>
      <c r="E550" s="1">
        <v>25</v>
      </c>
      <c r="F550" s="1">
        <v>11</v>
      </c>
      <c r="G550" s="1">
        <v>25</v>
      </c>
      <c r="H550" s="1">
        <v>150</v>
      </c>
      <c r="I550" s="1">
        <v>100</v>
      </c>
      <c r="J550" s="1">
        <v>1.5109999999999999</v>
      </c>
      <c r="K550" s="1">
        <v>18.957000000000001</v>
      </c>
      <c r="L550" s="1">
        <v>24.17</v>
      </c>
      <c r="M550" s="1">
        <v>53</v>
      </c>
      <c r="N550" s="1">
        <v>4.5850000000000002E-2</v>
      </c>
      <c r="O550" s="1">
        <v>2.8009999999999998E-4</v>
      </c>
      <c r="P5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0.13932819958306547</v>
      </c>
      <c r="Q550" s="1">
        <f>LN(Table13[[#This Row],[qe_mg_g]]-Table13[[#This Row],[qt]])</f>
        <v>0.3160302881637137</v>
      </c>
      <c r="R550" s="1">
        <v>3</v>
      </c>
    </row>
    <row r="551" spans="1:18" x14ac:dyDescent="0.3">
      <c r="A551" s="1">
        <v>550</v>
      </c>
      <c r="B551" s="1" t="s">
        <v>16</v>
      </c>
      <c r="C551" s="1">
        <v>4</v>
      </c>
      <c r="D551" s="1">
        <v>240</v>
      </c>
      <c r="E551" s="1">
        <v>50</v>
      </c>
      <c r="F551" s="1">
        <v>3</v>
      </c>
      <c r="G551" s="1">
        <v>25</v>
      </c>
      <c r="H551" s="1">
        <v>150</v>
      </c>
      <c r="I551" s="1">
        <v>100</v>
      </c>
      <c r="J551" s="1">
        <v>3.4580000000000002</v>
      </c>
      <c r="K551" s="1">
        <v>36.168999999999997</v>
      </c>
      <c r="L551" s="1">
        <v>27.66</v>
      </c>
      <c r="M551" s="1">
        <v>66.900000000000006</v>
      </c>
      <c r="N551" s="1">
        <v>4.2110000000000002E-2</v>
      </c>
      <c r="O551" s="1">
        <v>3.146E-4</v>
      </c>
      <c r="P5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0.715933823542659</v>
      </c>
      <c r="Q551" s="1">
        <f>LN(Table13[[#This Row],[qe_mg_g]]-Table13[[#This Row],[qt]])</f>
        <v>1.0087117152242913</v>
      </c>
      <c r="R551" s="1">
        <v>1</v>
      </c>
    </row>
    <row r="552" spans="1:18" x14ac:dyDescent="0.3">
      <c r="A552" s="1">
        <v>551</v>
      </c>
      <c r="B552" s="1" t="s">
        <v>16</v>
      </c>
      <c r="C552" s="1">
        <v>4</v>
      </c>
      <c r="D552" s="1">
        <v>240</v>
      </c>
      <c r="E552" s="1">
        <v>50</v>
      </c>
      <c r="F552" s="1">
        <v>3</v>
      </c>
      <c r="G552" s="1">
        <v>25</v>
      </c>
      <c r="H552" s="1">
        <v>150</v>
      </c>
      <c r="I552" s="1">
        <v>100</v>
      </c>
      <c r="J552" s="1">
        <v>3.8260000000000001</v>
      </c>
      <c r="K552" s="1">
        <v>34.694000000000003</v>
      </c>
      <c r="L552" s="1">
        <v>30.61</v>
      </c>
      <c r="M552" s="1">
        <v>64.8</v>
      </c>
      <c r="N552" s="1">
        <v>4.8239999999999998E-2</v>
      </c>
      <c r="O552" s="1">
        <v>2.6120000000000001E-4</v>
      </c>
      <c r="P5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0.74012862322272532</v>
      </c>
      <c r="Q552" s="1">
        <f>LN(Table13[[#This Row],[qe_mg_g]]-Table13[[#This Row],[qt]])</f>
        <v>1.1268340734797633</v>
      </c>
      <c r="R552" s="1">
        <v>2</v>
      </c>
    </row>
    <row r="553" spans="1:18" x14ac:dyDescent="0.3">
      <c r="A553" s="1">
        <v>552</v>
      </c>
      <c r="B553" s="1" t="s">
        <v>16</v>
      </c>
      <c r="C553" s="1">
        <v>4</v>
      </c>
      <c r="D553" s="1">
        <v>240</v>
      </c>
      <c r="E553" s="1">
        <v>50</v>
      </c>
      <c r="F553" s="1">
        <v>3</v>
      </c>
      <c r="G553" s="1">
        <v>25</v>
      </c>
      <c r="H553" s="1">
        <v>150</v>
      </c>
      <c r="I553" s="1">
        <v>100</v>
      </c>
      <c r="J553" s="1">
        <v>3.0880000000000001</v>
      </c>
      <c r="K553" s="1">
        <v>37.648000000000003</v>
      </c>
      <c r="L553" s="1">
        <v>24.7</v>
      </c>
      <c r="M553" s="1">
        <v>71.400000000000006</v>
      </c>
      <c r="N553" s="1">
        <v>5.1679999999999997E-2</v>
      </c>
      <c r="O553" s="1">
        <v>3.1070000000000002E-4</v>
      </c>
      <c r="P5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0.57797368035821439</v>
      </c>
      <c r="Q553" s="1">
        <f>LN(Table13[[#This Row],[qe_mg_g]]-Table13[[#This Row],[qt]])</f>
        <v>0.92029323900177784</v>
      </c>
      <c r="R553" s="1">
        <v>3</v>
      </c>
    </row>
    <row r="554" spans="1:18" x14ac:dyDescent="0.3">
      <c r="A554" s="1">
        <v>553</v>
      </c>
      <c r="B554" s="1" t="s">
        <v>16</v>
      </c>
      <c r="C554" s="1">
        <v>4</v>
      </c>
      <c r="D554" s="1">
        <v>240</v>
      </c>
      <c r="E554" s="1">
        <v>50</v>
      </c>
      <c r="F554" s="1">
        <v>7</v>
      </c>
      <c r="G554" s="1">
        <v>25</v>
      </c>
      <c r="H554" s="1">
        <v>150</v>
      </c>
      <c r="I554" s="1">
        <v>100</v>
      </c>
      <c r="J554" s="1">
        <v>5.1120000000000001</v>
      </c>
      <c r="K554" s="1">
        <v>29.553000000000001</v>
      </c>
      <c r="L554" s="1">
        <v>40.89</v>
      </c>
      <c r="M554" s="1">
        <v>66.7</v>
      </c>
      <c r="N554" s="1">
        <v>3.9370000000000002E-2</v>
      </c>
      <c r="O554" s="1">
        <v>3.1809999999999998E-4</v>
      </c>
      <c r="P5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1.4350177889522231</v>
      </c>
      <c r="Q554" s="1">
        <f>LN(Table13[[#This Row],[qe_mg_g]]-Table13[[#This Row],[qt]])</f>
        <v>1.3020923644090852</v>
      </c>
      <c r="R554" s="1">
        <v>1</v>
      </c>
    </row>
    <row r="555" spans="1:18" x14ac:dyDescent="0.3">
      <c r="A555" s="1">
        <v>554</v>
      </c>
      <c r="B555" s="1" t="s">
        <v>16</v>
      </c>
      <c r="C555" s="1">
        <v>4</v>
      </c>
      <c r="D555" s="1">
        <v>240</v>
      </c>
      <c r="E555" s="1">
        <v>50</v>
      </c>
      <c r="F555" s="1">
        <v>7</v>
      </c>
      <c r="G555" s="1">
        <v>25</v>
      </c>
      <c r="H555" s="1">
        <v>150</v>
      </c>
      <c r="I555" s="1">
        <v>100</v>
      </c>
      <c r="J555" s="1">
        <v>5.6130000000000004</v>
      </c>
      <c r="K555" s="1">
        <v>27.547000000000001</v>
      </c>
      <c r="L555" s="1">
        <v>44.91</v>
      </c>
      <c r="M555" s="1">
        <v>62.1</v>
      </c>
      <c r="N555" s="1">
        <v>4.2880000000000001E-2</v>
      </c>
      <c r="O555" s="1">
        <v>3.0800000000000001E-4</v>
      </c>
      <c r="P5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1.6459715263898635</v>
      </c>
      <c r="Q555" s="1">
        <f>LN(Table13[[#This Row],[qe_mg_g]]-Table13[[#This Row],[qt]])</f>
        <v>1.3780173191243159</v>
      </c>
      <c r="R555" s="1">
        <v>2</v>
      </c>
    </row>
    <row r="556" spans="1:18" x14ac:dyDescent="0.3">
      <c r="A556" s="1">
        <v>555</v>
      </c>
      <c r="B556" s="1" t="s">
        <v>16</v>
      </c>
      <c r="C556" s="1">
        <v>4</v>
      </c>
      <c r="D556" s="1">
        <v>240</v>
      </c>
      <c r="E556" s="1">
        <v>50</v>
      </c>
      <c r="F556" s="1">
        <v>7</v>
      </c>
      <c r="G556" s="1">
        <v>25</v>
      </c>
      <c r="H556" s="1">
        <v>150</v>
      </c>
      <c r="I556" s="1">
        <v>100</v>
      </c>
      <c r="J556" s="1">
        <v>5.0599999999999996</v>
      </c>
      <c r="K556" s="1">
        <v>29.76</v>
      </c>
      <c r="L556" s="1">
        <v>40.479999999999997</v>
      </c>
      <c r="M556" s="1">
        <v>66</v>
      </c>
      <c r="N556" s="1">
        <v>5.4449999999999998E-2</v>
      </c>
      <c r="O556" s="1">
        <v>2.9260000000000001E-4</v>
      </c>
      <c r="P5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1.3266013759684112</v>
      </c>
      <c r="Q556" s="1">
        <f>LN(Table13[[#This Row],[qe_mg_g]]-Table13[[#This Row],[qt]])</f>
        <v>1.3173189780599055</v>
      </c>
      <c r="R556" s="1">
        <v>3</v>
      </c>
    </row>
    <row r="557" spans="1:18" x14ac:dyDescent="0.3">
      <c r="A557" s="1">
        <v>556</v>
      </c>
      <c r="B557" s="1" t="s">
        <v>16</v>
      </c>
      <c r="C557" s="1">
        <v>4</v>
      </c>
      <c r="D557" s="1">
        <v>240</v>
      </c>
      <c r="E557" s="1">
        <v>50</v>
      </c>
      <c r="F557" s="1">
        <v>11</v>
      </c>
      <c r="G557" s="1">
        <v>25</v>
      </c>
      <c r="H557" s="1">
        <v>150</v>
      </c>
      <c r="I557" s="1">
        <v>100</v>
      </c>
      <c r="J557" s="1">
        <v>3.96</v>
      </c>
      <c r="K557" s="1">
        <v>34.161000000000001</v>
      </c>
      <c r="L557" s="1">
        <v>31.68</v>
      </c>
      <c r="M557" s="1">
        <v>60.2</v>
      </c>
      <c r="N557" s="1">
        <v>4.8349999999999997E-2</v>
      </c>
      <c r="O557" s="1">
        <v>2.9460000000000001E-4</v>
      </c>
      <c r="P5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0.86622060909578635</v>
      </c>
      <c r="Q557" s="1">
        <f>LN(Table13[[#This Row],[qe_mg_g]]-Table13[[#This Row],[qt]])</f>
        <v>1.1293934473799887</v>
      </c>
      <c r="R557" s="1">
        <v>1</v>
      </c>
    </row>
    <row r="558" spans="1:18" x14ac:dyDescent="0.3">
      <c r="A558" s="1">
        <v>557</v>
      </c>
      <c r="B558" s="1" t="s">
        <v>16</v>
      </c>
      <c r="C558" s="1">
        <v>4</v>
      </c>
      <c r="D558" s="1">
        <v>240</v>
      </c>
      <c r="E558" s="1">
        <v>50</v>
      </c>
      <c r="F558" s="1">
        <v>11</v>
      </c>
      <c r="G558" s="1">
        <v>25</v>
      </c>
      <c r="H558" s="1">
        <v>150</v>
      </c>
      <c r="I558" s="1">
        <v>100</v>
      </c>
      <c r="J558" s="1">
        <v>3.8650000000000002</v>
      </c>
      <c r="K558" s="1">
        <v>34.54</v>
      </c>
      <c r="L558" s="1">
        <v>30.92</v>
      </c>
      <c r="M558" s="1">
        <v>79.900000000000006</v>
      </c>
      <c r="N558" s="1">
        <v>5.1389999999999998E-2</v>
      </c>
      <c r="O558" s="1">
        <v>2.8200000000000002E-4</v>
      </c>
      <c r="P5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0.80138913390730016</v>
      </c>
      <c r="Q558" s="1">
        <f>LN(Table13[[#This Row],[qe_mg_g]]-Table13[[#This Row],[qt]])</f>
        <v>1.1195942418849472</v>
      </c>
      <c r="R558" s="1">
        <v>2</v>
      </c>
    </row>
    <row r="559" spans="1:18" x14ac:dyDescent="0.3">
      <c r="A559" s="1">
        <v>558</v>
      </c>
      <c r="B559" s="1" t="s">
        <v>16</v>
      </c>
      <c r="C559" s="1">
        <v>4</v>
      </c>
      <c r="D559" s="1">
        <v>240</v>
      </c>
      <c r="E559" s="1">
        <v>50</v>
      </c>
      <c r="F559" s="1">
        <v>11</v>
      </c>
      <c r="G559" s="1">
        <v>25</v>
      </c>
      <c r="H559" s="1">
        <v>150</v>
      </c>
      <c r="I559" s="1">
        <v>100</v>
      </c>
      <c r="J559" s="1">
        <v>3.468</v>
      </c>
      <c r="K559" s="1">
        <v>36.128</v>
      </c>
      <c r="L559" s="1">
        <v>27.74</v>
      </c>
      <c r="M559" s="1">
        <v>76.7</v>
      </c>
      <c r="N559" s="1">
        <v>4.1919999999999999E-2</v>
      </c>
      <c r="O559" s="1">
        <v>3.2370000000000001E-4</v>
      </c>
      <c r="P5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0.73604794330708545</v>
      </c>
      <c r="Q559" s="1">
        <f>LN(Table13[[#This Row],[qe_mg_g]]-Table13[[#This Row],[qt]])</f>
        <v>1.0050163927598745</v>
      </c>
      <c r="R559" s="1">
        <v>3</v>
      </c>
    </row>
    <row r="560" spans="1:18" x14ac:dyDescent="0.3">
      <c r="A560" s="1">
        <v>559</v>
      </c>
      <c r="B560" s="1" t="s">
        <v>16</v>
      </c>
      <c r="C560" s="1">
        <v>4</v>
      </c>
      <c r="D560" s="1">
        <v>240</v>
      </c>
      <c r="E560" s="1">
        <v>100</v>
      </c>
      <c r="F560" s="1">
        <v>3</v>
      </c>
      <c r="G560" s="1">
        <v>25</v>
      </c>
      <c r="H560" s="1">
        <v>150</v>
      </c>
      <c r="I560" s="1">
        <v>100</v>
      </c>
      <c r="J560" s="1">
        <v>8.0359999999999996</v>
      </c>
      <c r="K560" s="1">
        <v>67.855999999999995</v>
      </c>
      <c r="L560" s="1">
        <v>32.14</v>
      </c>
      <c r="M560" s="1">
        <v>75.599999999999994</v>
      </c>
      <c r="N560" s="1">
        <v>3.9550000000000002E-2</v>
      </c>
      <c r="O560" s="1">
        <v>3.2190000000000002E-4</v>
      </c>
      <c r="P5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3.0780439607870442</v>
      </c>
      <c r="Q560" s="1">
        <f>LN(Table13[[#This Row],[qe_mg_g]]-Table13[[#This Row],[qt]])</f>
        <v>1.6009935669365289</v>
      </c>
      <c r="R560" s="1">
        <v>1</v>
      </c>
    </row>
    <row r="561" spans="1:18" x14ac:dyDescent="0.3">
      <c r="A561" s="1">
        <v>560</v>
      </c>
      <c r="B561" s="1" t="s">
        <v>16</v>
      </c>
      <c r="C561" s="1">
        <v>4</v>
      </c>
      <c r="D561" s="1">
        <v>240</v>
      </c>
      <c r="E561" s="1">
        <v>100</v>
      </c>
      <c r="F561" s="1">
        <v>3</v>
      </c>
      <c r="G561" s="1">
        <v>25</v>
      </c>
      <c r="H561" s="1">
        <v>150</v>
      </c>
      <c r="I561" s="1">
        <v>100</v>
      </c>
      <c r="J561" s="1">
        <v>9.5500000000000007</v>
      </c>
      <c r="K561" s="1">
        <v>61.798999999999999</v>
      </c>
      <c r="L561" s="1">
        <v>38.200000000000003</v>
      </c>
      <c r="M561" s="1">
        <v>57.1</v>
      </c>
      <c r="N561" s="1">
        <v>4.317E-2</v>
      </c>
      <c r="O561" s="1">
        <v>3.2059999999999999E-4</v>
      </c>
      <c r="P5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4.0450908892197868</v>
      </c>
      <c r="Q561" s="1">
        <f>LN(Table13[[#This Row],[qe_mg_g]]-Table13[[#This Row],[qt]])</f>
        <v>1.7056402597350251</v>
      </c>
      <c r="R561" s="1">
        <v>2</v>
      </c>
    </row>
    <row r="562" spans="1:18" x14ac:dyDescent="0.3">
      <c r="A562" s="1">
        <v>561</v>
      </c>
      <c r="B562" s="1" t="s">
        <v>16</v>
      </c>
      <c r="C562" s="1">
        <v>4</v>
      </c>
      <c r="D562" s="1">
        <v>240</v>
      </c>
      <c r="E562" s="1">
        <v>100</v>
      </c>
      <c r="F562" s="1">
        <v>3</v>
      </c>
      <c r="G562" s="1">
        <v>25</v>
      </c>
      <c r="H562" s="1">
        <v>150</v>
      </c>
      <c r="I562" s="1">
        <v>100</v>
      </c>
      <c r="J562" s="1">
        <v>9.6199999999999992</v>
      </c>
      <c r="K562" s="1">
        <v>61.518999999999998</v>
      </c>
      <c r="L562" s="1">
        <v>38.479999999999997</v>
      </c>
      <c r="M562" s="1">
        <v>72.5</v>
      </c>
      <c r="N562" s="1">
        <v>5.389E-2</v>
      </c>
      <c r="O562" s="1">
        <v>2.5310000000000003E-4</v>
      </c>
      <c r="P5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3.5481372191504681</v>
      </c>
      <c r="Q562" s="1">
        <f>LN(Table13[[#This Row],[qe_mg_g]]-Table13[[#This Row],[qt]])</f>
        <v>1.8036654411636552</v>
      </c>
      <c r="R562" s="1">
        <v>3</v>
      </c>
    </row>
    <row r="563" spans="1:18" x14ac:dyDescent="0.3">
      <c r="A563" s="1">
        <v>562</v>
      </c>
      <c r="B563" s="1" t="s">
        <v>16</v>
      </c>
      <c r="C563" s="1">
        <v>4</v>
      </c>
      <c r="D563" s="1">
        <v>240</v>
      </c>
      <c r="E563" s="1">
        <v>100</v>
      </c>
      <c r="F563" s="1">
        <v>7</v>
      </c>
      <c r="G563" s="1">
        <v>25</v>
      </c>
      <c r="H563" s="1">
        <v>150</v>
      </c>
      <c r="I563" s="1">
        <v>100</v>
      </c>
      <c r="J563" s="1">
        <v>16.082999999999998</v>
      </c>
      <c r="K563" s="1">
        <v>35.667999999999999</v>
      </c>
      <c r="L563" s="1">
        <v>64.33</v>
      </c>
      <c r="M563" s="1">
        <v>67.7</v>
      </c>
      <c r="N563" s="1">
        <v>4.0960000000000003E-2</v>
      </c>
      <c r="O563" s="1">
        <v>2.6009999999999998E-4</v>
      </c>
      <c r="P5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8.0574114996584214</v>
      </c>
      <c r="Q563" s="1">
        <f>LN(Table13[[#This Row],[qe_mg_g]]-Table13[[#This Row],[qt]])</f>
        <v>2.0826349997032163</v>
      </c>
      <c r="R563" s="1">
        <v>1</v>
      </c>
    </row>
    <row r="564" spans="1:18" x14ac:dyDescent="0.3">
      <c r="A564" s="1">
        <v>563</v>
      </c>
      <c r="B564" s="1" t="s">
        <v>16</v>
      </c>
      <c r="C564" s="1">
        <v>4</v>
      </c>
      <c r="D564" s="1">
        <v>240</v>
      </c>
      <c r="E564" s="1">
        <v>100</v>
      </c>
      <c r="F564" s="1">
        <v>7</v>
      </c>
      <c r="G564" s="1">
        <v>25</v>
      </c>
      <c r="H564" s="1">
        <v>150</v>
      </c>
      <c r="I564" s="1">
        <v>100</v>
      </c>
      <c r="J564" s="1">
        <v>14.025</v>
      </c>
      <c r="K564" s="1">
        <v>43.899000000000001</v>
      </c>
      <c r="L564" s="1">
        <v>56.1</v>
      </c>
      <c r="M564" s="1">
        <v>75.900000000000006</v>
      </c>
      <c r="N564" s="1">
        <v>4.4429999999999997E-2</v>
      </c>
      <c r="O564" s="1">
        <v>3.4529999999999999E-4</v>
      </c>
      <c r="P5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7.5387903984488975</v>
      </c>
      <c r="Q564" s="1">
        <f>LN(Table13[[#This Row],[qe_mg_g]]-Table13[[#This Row],[qt]])</f>
        <v>1.869678323359137</v>
      </c>
      <c r="R564" s="1">
        <v>2</v>
      </c>
    </row>
    <row r="565" spans="1:18" x14ac:dyDescent="0.3">
      <c r="A565" s="1">
        <v>564</v>
      </c>
      <c r="B565" s="1" t="s">
        <v>16</v>
      </c>
      <c r="C565" s="1">
        <v>4</v>
      </c>
      <c r="D565" s="1">
        <v>240</v>
      </c>
      <c r="E565" s="1">
        <v>100</v>
      </c>
      <c r="F565" s="1">
        <v>7</v>
      </c>
      <c r="G565" s="1">
        <v>25</v>
      </c>
      <c r="H565" s="1">
        <v>150</v>
      </c>
      <c r="I565" s="1">
        <v>100</v>
      </c>
      <c r="J565" s="1">
        <v>12.587</v>
      </c>
      <c r="K565" s="1">
        <v>49.651000000000003</v>
      </c>
      <c r="L565" s="1">
        <v>50.35</v>
      </c>
      <c r="M565" s="1">
        <v>66.5</v>
      </c>
      <c r="N565" s="1">
        <v>3.9359999999999999E-2</v>
      </c>
      <c r="O565" s="1">
        <v>3.1090000000000002E-4</v>
      </c>
      <c r="P5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6.096150899825064</v>
      </c>
      <c r="Q565" s="1">
        <f>LN(Table13[[#This Row],[qe_mg_g]]-Table13[[#This Row],[qt]])</f>
        <v>1.8703933542344902</v>
      </c>
      <c r="R565" s="1">
        <v>3</v>
      </c>
    </row>
    <row r="566" spans="1:18" x14ac:dyDescent="0.3">
      <c r="A566" s="1">
        <v>565</v>
      </c>
      <c r="B566" s="1" t="s">
        <v>16</v>
      </c>
      <c r="C566" s="1">
        <v>4</v>
      </c>
      <c r="D566" s="1">
        <v>240</v>
      </c>
      <c r="E566" s="1">
        <v>100</v>
      </c>
      <c r="F566" s="1">
        <v>11</v>
      </c>
      <c r="G566" s="1">
        <v>25</v>
      </c>
      <c r="H566" s="1">
        <v>150</v>
      </c>
      <c r="I566" s="1">
        <v>100</v>
      </c>
      <c r="J566" s="1">
        <v>12.191000000000001</v>
      </c>
      <c r="K566" s="1">
        <v>51.234999999999999</v>
      </c>
      <c r="L566" s="1">
        <v>48.77</v>
      </c>
      <c r="M566" s="1">
        <v>62.5</v>
      </c>
      <c r="N566" s="1">
        <v>3.3279999999999997E-2</v>
      </c>
      <c r="O566" s="1">
        <v>3.0600000000000001E-4</v>
      </c>
      <c r="P5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5.7587968040471171</v>
      </c>
      <c r="Q566" s="1">
        <f>LN(Table13[[#This Row],[qe_mg_g]]-Table13[[#This Row],[qt]])</f>
        <v>1.8613171227882523</v>
      </c>
      <c r="R566" s="1">
        <v>1</v>
      </c>
    </row>
    <row r="567" spans="1:18" x14ac:dyDescent="0.3">
      <c r="A567" s="1">
        <v>566</v>
      </c>
      <c r="B567" s="1" t="s">
        <v>16</v>
      </c>
      <c r="C567" s="1">
        <v>4</v>
      </c>
      <c r="D567" s="1">
        <v>240</v>
      </c>
      <c r="E567" s="1">
        <v>100</v>
      </c>
      <c r="F567" s="1">
        <v>11</v>
      </c>
      <c r="G567" s="1">
        <v>25</v>
      </c>
      <c r="H567" s="1">
        <v>150</v>
      </c>
      <c r="I567" s="1">
        <v>100</v>
      </c>
      <c r="J567" s="1">
        <v>11.781000000000001</v>
      </c>
      <c r="K567" s="1">
        <v>52.874000000000002</v>
      </c>
      <c r="L567" s="1">
        <v>47.13</v>
      </c>
      <c r="M567" s="1">
        <v>70.7</v>
      </c>
      <c r="N567" s="1">
        <v>5.0560000000000001E-2</v>
      </c>
      <c r="O567" s="1">
        <v>2.6790000000000001E-4</v>
      </c>
      <c r="P5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5.0776183679817013</v>
      </c>
      <c r="Q567" s="1">
        <f>LN(Table13[[#This Row],[qe_mg_g]]-Table13[[#This Row],[qt]])</f>
        <v>1.9026121202647801</v>
      </c>
      <c r="R567" s="1">
        <v>2</v>
      </c>
    </row>
    <row r="568" spans="1:18" x14ac:dyDescent="0.3">
      <c r="A568" s="1">
        <v>567</v>
      </c>
      <c r="B568" s="1" t="s">
        <v>16</v>
      </c>
      <c r="C568" s="1">
        <v>4</v>
      </c>
      <c r="D568" s="1">
        <v>240</v>
      </c>
      <c r="E568" s="1">
        <v>100</v>
      </c>
      <c r="F568" s="1">
        <v>11</v>
      </c>
      <c r="G568" s="1">
        <v>25</v>
      </c>
      <c r="H568" s="1">
        <v>150</v>
      </c>
      <c r="I568" s="1">
        <v>100</v>
      </c>
      <c r="J568" s="1">
        <v>12.003</v>
      </c>
      <c r="K568" s="1">
        <v>51.988</v>
      </c>
      <c r="L568" s="1">
        <v>48.01</v>
      </c>
      <c r="M568" s="1">
        <v>78.599999999999994</v>
      </c>
      <c r="N568" s="1">
        <v>3.6999999999999998E-2</v>
      </c>
      <c r="O568" s="1">
        <v>3.0959999999999999E-4</v>
      </c>
      <c r="P5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5.6584867861935813</v>
      </c>
      <c r="Q568" s="1">
        <f>LN(Table13[[#This Row],[qe_mg_g]]-Table13[[#This Row],[qt]])</f>
        <v>1.8475903785709893</v>
      </c>
      <c r="R568" s="1">
        <v>3</v>
      </c>
    </row>
    <row r="569" spans="1:18" x14ac:dyDescent="0.3">
      <c r="A569" s="1">
        <v>568</v>
      </c>
      <c r="B569" s="1" t="s">
        <v>16</v>
      </c>
      <c r="C569" s="1">
        <v>4</v>
      </c>
      <c r="D569" s="1">
        <v>240</v>
      </c>
      <c r="E569" s="1">
        <v>200</v>
      </c>
      <c r="F569" s="1">
        <v>3</v>
      </c>
      <c r="G569" s="1">
        <v>25</v>
      </c>
      <c r="H569" s="1">
        <v>150</v>
      </c>
      <c r="I569" s="1">
        <v>100</v>
      </c>
      <c r="J569" s="1">
        <v>23.257999999999999</v>
      </c>
      <c r="K569" s="1">
        <v>106.97</v>
      </c>
      <c r="L569" s="1">
        <v>46.52</v>
      </c>
      <c r="M569" s="1">
        <v>65.900000000000006</v>
      </c>
      <c r="N569" s="1">
        <v>4.6559999999999997E-2</v>
      </c>
      <c r="O569" s="1">
        <v>2.854E-4</v>
      </c>
      <c r="P5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14.288743252419431</v>
      </c>
      <c r="Q569" s="1">
        <f>LN(Table13[[#This Row],[qe_mg_g]]-Table13[[#This Row],[qt]])</f>
        <v>2.1938028128361444</v>
      </c>
      <c r="R569" s="1">
        <v>1</v>
      </c>
    </row>
    <row r="570" spans="1:18" x14ac:dyDescent="0.3">
      <c r="A570" s="1">
        <v>569</v>
      </c>
      <c r="B570" s="1" t="s">
        <v>16</v>
      </c>
      <c r="C570" s="1">
        <v>4</v>
      </c>
      <c r="D570" s="1">
        <v>240</v>
      </c>
      <c r="E570" s="1">
        <v>200</v>
      </c>
      <c r="F570" s="1">
        <v>3</v>
      </c>
      <c r="G570" s="1">
        <v>25</v>
      </c>
      <c r="H570" s="1">
        <v>150</v>
      </c>
      <c r="I570" s="1">
        <v>100</v>
      </c>
      <c r="J570" s="1">
        <v>22.925000000000001</v>
      </c>
      <c r="K570" s="1">
        <v>108.3</v>
      </c>
      <c r="L570" s="1">
        <v>45.85</v>
      </c>
      <c r="M570" s="1">
        <v>67</v>
      </c>
      <c r="N570" s="1">
        <v>4.011E-2</v>
      </c>
      <c r="O570" s="1">
        <v>2.6739999999999999E-4</v>
      </c>
      <c r="P5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13.648261100078392</v>
      </c>
      <c r="Q570" s="1">
        <f>LN(Table13[[#This Row],[qe_mg_g]]-Table13[[#This Row],[qt]])</f>
        <v>2.2275100733921893</v>
      </c>
      <c r="R570" s="1">
        <v>2</v>
      </c>
    </row>
    <row r="571" spans="1:18" x14ac:dyDescent="0.3">
      <c r="A571" s="1">
        <v>570</v>
      </c>
      <c r="B571" s="1" t="s">
        <v>16</v>
      </c>
      <c r="C571" s="1">
        <v>4</v>
      </c>
      <c r="D571" s="1">
        <v>240</v>
      </c>
      <c r="E571" s="1">
        <v>200</v>
      </c>
      <c r="F571" s="1">
        <v>3</v>
      </c>
      <c r="G571" s="1">
        <v>25</v>
      </c>
      <c r="H571" s="1">
        <v>150</v>
      </c>
      <c r="I571" s="1">
        <v>100</v>
      </c>
      <c r="J571" s="1">
        <v>25.552</v>
      </c>
      <c r="K571" s="1">
        <v>97.790999999999997</v>
      </c>
      <c r="L571" s="1">
        <v>51.1</v>
      </c>
      <c r="M571" s="1">
        <v>55.2</v>
      </c>
      <c r="N571" s="1">
        <v>4.8000000000000001E-2</v>
      </c>
      <c r="O571" s="1">
        <v>3.1389999999999999E-4</v>
      </c>
      <c r="P5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16.816230115123119</v>
      </c>
      <c r="Q571" s="1">
        <f>LN(Table13[[#This Row],[qe_mg_g]]-Table13[[#This Row],[qt]])</f>
        <v>2.1674260776387779</v>
      </c>
      <c r="R571" s="1">
        <v>3</v>
      </c>
    </row>
    <row r="572" spans="1:18" x14ac:dyDescent="0.3">
      <c r="A572" s="1">
        <v>571</v>
      </c>
      <c r="B572" s="1" t="s">
        <v>16</v>
      </c>
      <c r="C572" s="1">
        <v>4</v>
      </c>
      <c r="D572" s="1">
        <v>240</v>
      </c>
      <c r="E572" s="1">
        <v>200</v>
      </c>
      <c r="F572" s="1">
        <v>7</v>
      </c>
      <c r="G572" s="1">
        <v>25</v>
      </c>
      <c r="H572" s="1">
        <v>150</v>
      </c>
      <c r="I572" s="1">
        <v>100</v>
      </c>
      <c r="J572" s="1">
        <v>29.882999999999999</v>
      </c>
      <c r="K572" s="1">
        <v>80.465999999999994</v>
      </c>
      <c r="L572" s="1">
        <v>59.77</v>
      </c>
      <c r="M572" s="1">
        <v>59.9</v>
      </c>
      <c r="N572" s="1">
        <v>5.0369999999999998E-2</v>
      </c>
      <c r="O572" s="1">
        <v>2.7060000000000002E-4</v>
      </c>
      <c r="P5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19.721208252094989</v>
      </c>
      <c r="Q572" s="1">
        <f>LN(Table13[[#This Row],[qe_mg_g]]-Table13[[#This Row],[qt]])</f>
        <v>2.3186347797422058</v>
      </c>
      <c r="R572" s="1">
        <v>1</v>
      </c>
    </row>
    <row r="573" spans="1:18" x14ac:dyDescent="0.3">
      <c r="A573" s="1">
        <v>572</v>
      </c>
      <c r="B573" s="1" t="s">
        <v>16</v>
      </c>
      <c r="C573" s="1">
        <v>4</v>
      </c>
      <c r="D573" s="1">
        <v>240</v>
      </c>
      <c r="E573" s="1">
        <v>200</v>
      </c>
      <c r="F573" s="1">
        <v>7</v>
      </c>
      <c r="G573" s="1">
        <v>25</v>
      </c>
      <c r="H573" s="1">
        <v>150</v>
      </c>
      <c r="I573" s="1">
        <v>100</v>
      </c>
      <c r="J573" s="1">
        <v>33.381999999999998</v>
      </c>
      <c r="K573" s="1">
        <v>66.471000000000004</v>
      </c>
      <c r="L573" s="1">
        <v>66.760000000000005</v>
      </c>
      <c r="M573" s="1">
        <v>71.3</v>
      </c>
      <c r="N573" s="1">
        <v>4.8529999999999997E-2</v>
      </c>
      <c r="O573" s="1">
        <v>2.9250000000000001E-4</v>
      </c>
      <c r="P5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23.397602005182481</v>
      </c>
      <c r="Q573" s="1">
        <f>LN(Table13[[#This Row],[qe_mg_g]]-Table13[[#This Row],[qt]])</f>
        <v>2.3010236740955254</v>
      </c>
      <c r="R573" s="1">
        <v>2</v>
      </c>
    </row>
    <row r="574" spans="1:18" x14ac:dyDescent="0.3">
      <c r="A574" s="1">
        <v>573</v>
      </c>
      <c r="B574" s="1" t="s">
        <v>16</v>
      </c>
      <c r="C574" s="1">
        <v>4</v>
      </c>
      <c r="D574" s="1">
        <v>240</v>
      </c>
      <c r="E574" s="1">
        <v>200</v>
      </c>
      <c r="F574" s="1">
        <v>7</v>
      </c>
      <c r="G574" s="1">
        <v>25</v>
      </c>
      <c r="H574" s="1">
        <v>150</v>
      </c>
      <c r="I574" s="1">
        <v>100</v>
      </c>
      <c r="J574" s="1">
        <v>33.012999999999998</v>
      </c>
      <c r="K574" s="1">
        <v>67.947999999999993</v>
      </c>
      <c r="L574" s="1">
        <v>66.03</v>
      </c>
      <c r="M574" s="1">
        <v>80.900000000000006</v>
      </c>
      <c r="N574" s="1">
        <v>5.2830000000000002E-2</v>
      </c>
      <c r="O574" s="1">
        <v>3.2939999999999998E-4</v>
      </c>
      <c r="P5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23.867809836268137</v>
      </c>
      <c r="Q574" s="1">
        <f>LN(Table13[[#This Row],[qe_mg_g]]-Table13[[#This Row],[qt]])</f>
        <v>2.2132280759111427</v>
      </c>
      <c r="R574" s="1">
        <v>3</v>
      </c>
    </row>
    <row r="575" spans="1:18" x14ac:dyDescent="0.3">
      <c r="A575" s="1">
        <v>574</v>
      </c>
      <c r="B575" s="1" t="s">
        <v>16</v>
      </c>
      <c r="C575" s="1">
        <v>4</v>
      </c>
      <c r="D575" s="1">
        <v>240</v>
      </c>
      <c r="E575" s="1">
        <v>200</v>
      </c>
      <c r="F575" s="1">
        <v>11</v>
      </c>
      <c r="G575" s="1">
        <v>25</v>
      </c>
      <c r="H575" s="1">
        <v>150</v>
      </c>
      <c r="I575" s="1">
        <v>100</v>
      </c>
      <c r="J575" s="1">
        <v>28.568000000000001</v>
      </c>
      <c r="K575" s="1">
        <v>85.728999999999999</v>
      </c>
      <c r="L575" s="1">
        <v>57.14</v>
      </c>
      <c r="M575" s="1">
        <v>58.6</v>
      </c>
      <c r="N575" s="1">
        <v>4.1259999999999998E-2</v>
      </c>
      <c r="O575" s="1">
        <v>3.1569999999999998E-4</v>
      </c>
      <c r="P5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19.540464251413479</v>
      </c>
      <c r="Q575" s="1">
        <f>LN(Table13[[#This Row],[qe_mg_g]]-Table13[[#This Row],[qt]])</f>
        <v>2.2002794341269105</v>
      </c>
      <c r="R575" s="1">
        <v>1</v>
      </c>
    </row>
    <row r="576" spans="1:18" x14ac:dyDescent="0.3">
      <c r="A576" s="1">
        <v>575</v>
      </c>
      <c r="B576" s="1" t="s">
        <v>16</v>
      </c>
      <c r="C576" s="1">
        <v>4</v>
      </c>
      <c r="D576" s="1">
        <v>240</v>
      </c>
      <c r="E576" s="1">
        <v>200</v>
      </c>
      <c r="F576" s="1">
        <v>11</v>
      </c>
      <c r="G576" s="1">
        <v>25</v>
      </c>
      <c r="H576" s="1">
        <v>150</v>
      </c>
      <c r="I576" s="1">
        <v>100</v>
      </c>
      <c r="J576" s="1">
        <v>29.324000000000002</v>
      </c>
      <c r="K576" s="1">
        <v>82.704999999999998</v>
      </c>
      <c r="L576" s="1">
        <v>58.65</v>
      </c>
      <c r="M576" s="1">
        <v>80.7</v>
      </c>
      <c r="N576" s="1">
        <v>4.793E-2</v>
      </c>
      <c r="O576" s="1">
        <v>2.5490000000000002E-4</v>
      </c>
      <c r="P5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18.828371181007043</v>
      </c>
      <c r="Q576" s="1">
        <f>LN(Table13[[#This Row],[qe_mg_g]]-Table13[[#This Row],[qt]])</f>
        <v>2.3509588675322948</v>
      </c>
      <c r="R576" s="1">
        <v>2</v>
      </c>
    </row>
    <row r="577" spans="1:18" x14ac:dyDescent="0.3">
      <c r="A577" s="1">
        <v>576</v>
      </c>
      <c r="B577" s="1" t="s">
        <v>16</v>
      </c>
      <c r="C577" s="1">
        <v>4</v>
      </c>
      <c r="D577" s="1">
        <v>240</v>
      </c>
      <c r="E577" s="1">
        <v>200</v>
      </c>
      <c r="F577" s="1">
        <v>11</v>
      </c>
      <c r="G577" s="1">
        <v>25</v>
      </c>
      <c r="H577" s="1">
        <v>150</v>
      </c>
      <c r="I577" s="1">
        <v>100</v>
      </c>
      <c r="J577" s="1">
        <v>30.762</v>
      </c>
      <c r="K577" s="1">
        <v>76.951999999999998</v>
      </c>
      <c r="L577" s="1">
        <v>61.52</v>
      </c>
      <c r="M577" s="1">
        <v>56.7</v>
      </c>
      <c r="N577" s="1">
        <v>4.3270000000000003E-2</v>
      </c>
      <c r="O577" s="1">
        <v>3.0749999999999999E-4</v>
      </c>
      <c r="P5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21.355338290366607</v>
      </c>
      <c r="Q577" s="1">
        <f>LN(Table13[[#This Row],[qe_mg_g]]-Table13[[#This Row],[qt]])</f>
        <v>2.241418130786192</v>
      </c>
      <c r="R577" s="1">
        <v>3</v>
      </c>
    </row>
    <row r="578" spans="1:18" hidden="1" x14ac:dyDescent="0.3">
      <c r="A578" s="1">
        <v>577</v>
      </c>
      <c r="B578" s="1" t="s">
        <v>17</v>
      </c>
      <c r="C578" s="1">
        <v>0.5</v>
      </c>
      <c r="D578" s="1">
        <v>30</v>
      </c>
      <c r="E578" s="1">
        <v>25</v>
      </c>
      <c r="F578" s="1">
        <v>3</v>
      </c>
      <c r="G578" s="1">
        <v>25</v>
      </c>
      <c r="H578" s="1">
        <v>150</v>
      </c>
      <c r="I578" s="1">
        <v>100</v>
      </c>
      <c r="J578" s="1">
        <v>6.4349999999999996</v>
      </c>
      <c r="K578" s="1">
        <v>21.782</v>
      </c>
      <c r="L578" s="1">
        <v>12.87</v>
      </c>
      <c r="M578" s="1">
        <v>125.7</v>
      </c>
      <c r="N578" s="1">
        <v>3.712E-2</v>
      </c>
      <c r="O578" s="1">
        <v>1.963E-4</v>
      </c>
      <c r="P5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0.23495513325729453</v>
      </c>
      <c r="Q578" s="1">
        <f>LN(Table13[[#This Row],[qe_mg_g]]-Table13[[#This Row],[qt]])</f>
        <v>1.8245565285962662</v>
      </c>
      <c r="R578" s="1">
        <v>1</v>
      </c>
    </row>
    <row r="579" spans="1:18" hidden="1" x14ac:dyDescent="0.3">
      <c r="A579" s="1">
        <v>578</v>
      </c>
      <c r="B579" s="1" t="s">
        <v>17</v>
      </c>
      <c r="C579" s="1">
        <v>0.5</v>
      </c>
      <c r="D579" s="1">
        <v>30</v>
      </c>
      <c r="E579" s="1">
        <v>25</v>
      </c>
      <c r="F579" s="1">
        <v>3</v>
      </c>
      <c r="G579" s="1">
        <v>25</v>
      </c>
      <c r="H579" s="1">
        <v>150</v>
      </c>
      <c r="I579" s="1">
        <v>100</v>
      </c>
      <c r="J579" s="1">
        <v>5.6520000000000001</v>
      </c>
      <c r="K579" s="1">
        <v>22.173999999999999</v>
      </c>
      <c r="L579" s="1">
        <v>11.3</v>
      </c>
      <c r="M579" s="1">
        <v>97.1</v>
      </c>
      <c r="N579" s="1">
        <v>3.388E-2</v>
      </c>
      <c r="O579" s="1">
        <v>2.3589999999999999E-4</v>
      </c>
      <c r="P5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0.21738045581042581</v>
      </c>
      <c r="Q579" s="1">
        <f>LN(Table13[[#This Row],[qe_mg_g]]-Table13[[#This Row],[qt]])</f>
        <v>1.692789517053908</v>
      </c>
      <c r="R579" s="1">
        <v>2</v>
      </c>
    </row>
    <row r="580" spans="1:18" hidden="1" x14ac:dyDescent="0.3">
      <c r="A580" s="1">
        <v>579</v>
      </c>
      <c r="B580" s="1" t="s">
        <v>17</v>
      </c>
      <c r="C580" s="1">
        <v>0.5</v>
      </c>
      <c r="D580" s="1">
        <v>30</v>
      </c>
      <c r="E580" s="1">
        <v>25</v>
      </c>
      <c r="F580" s="1">
        <v>3</v>
      </c>
      <c r="G580" s="1">
        <v>25</v>
      </c>
      <c r="H580" s="1">
        <v>150</v>
      </c>
      <c r="I580" s="1">
        <v>100</v>
      </c>
      <c r="J580" s="1">
        <v>5.4880000000000004</v>
      </c>
      <c r="K580" s="1">
        <v>22.256</v>
      </c>
      <c r="L580" s="1">
        <v>10.98</v>
      </c>
      <c r="M580" s="1">
        <v>92.1</v>
      </c>
      <c r="N580" s="1">
        <v>3.7330000000000002E-2</v>
      </c>
      <c r="O580" s="1">
        <v>2.084E-4</v>
      </c>
      <c r="P5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0.18205224604326353</v>
      </c>
      <c r="Q580" s="1">
        <f>LN(Table13[[#This Row],[qe_mg_g]]-Table13[[#This Row],[qt]])</f>
        <v>1.6688284090701488</v>
      </c>
      <c r="R580" s="1">
        <v>3</v>
      </c>
    </row>
    <row r="581" spans="1:18" hidden="1" x14ac:dyDescent="0.3">
      <c r="A581" s="1">
        <v>580</v>
      </c>
      <c r="B581" s="1" t="s">
        <v>17</v>
      </c>
      <c r="C581" s="1">
        <v>0.5</v>
      </c>
      <c r="D581" s="1">
        <v>30</v>
      </c>
      <c r="E581" s="1">
        <v>25</v>
      </c>
      <c r="F581" s="1">
        <v>7</v>
      </c>
      <c r="G581" s="1">
        <v>25</v>
      </c>
      <c r="H581" s="1">
        <v>150</v>
      </c>
      <c r="I581" s="1">
        <v>100</v>
      </c>
      <c r="J581" s="1">
        <v>9.8019999999999996</v>
      </c>
      <c r="K581" s="1">
        <v>20.099</v>
      </c>
      <c r="L581" s="1">
        <v>19.600000000000001</v>
      </c>
      <c r="M581" s="1">
        <v>77.8</v>
      </c>
      <c r="N581" s="1">
        <v>3.3050000000000003E-2</v>
      </c>
      <c r="O581" s="1">
        <v>1.7799999999999999E-4</v>
      </c>
      <c r="P5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0.48754361018598985</v>
      </c>
      <c r="Q581" s="1">
        <f>LN(Table13[[#This Row],[qe_mg_g]]-Table13[[#This Row],[qt]])</f>
        <v>2.2315676437691967</v>
      </c>
      <c r="R581" s="1">
        <v>1</v>
      </c>
    </row>
    <row r="582" spans="1:18" hidden="1" x14ac:dyDescent="0.3">
      <c r="A582" s="1">
        <v>581</v>
      </c>
      <c r="B582" s="1" t="s">
        <v>17</v>
      </c>
      <c r="C582" s="1">
        <v>0.5</v>
      </c>
      <c r="D582" s="1">
        <v>30</v>
      </c>
      <c r="E582" s="1">
        <v>25</v>
      </c>
      <c r="F582" s="1">
        <v>7</v>
      </c>
      <c r="G582" s="1">
        <v>25</v>
      </c>
      <c r="H582" s="1">
        <v>150</v>
      </c>
      <c r="I582" s="1">
        <v>100</v>
      </c>
      <c r="J582" s="1">
        <v>9.44</v>
      </c>
      <c r="K582" s="1">
        <v>20.28</v>
      </c>
      <c r="L582" s="1">
        <v>18.88</v>
      </c>
      <c r="M582" s="1">
        <v>95.7</v>
      </c>
      <c r="N582" s="1">
        <v>3.6600000000000001E-2</v>
      </c>
      <c r="O582" s="1">
        <v>2.3350000000000001E-4</v>
      </c>
      <c r="P5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0.58552184767446136</v>
      </c>
      <c r="Q582" s="1">
        <f>LN(Table13[[#This Row],[qe_mg_g]]-Table13[[#This Row],[qt]])</f>
        <v>2.1809233369545065</v>
      </c>
      <c r="R582" s="1">
        <v>2</v>
      </c>
    </row>
    <row r="583" spans="1:18" hidden="1" x14ac:dyDescent="0.3">
      <c r="A583" s="1">
        <v>582</v>
      </c>
      <c r="B583" s="1" t="s">
        <v>17</v>
      </c>
      <c r="C583" s="1">
        <v>0.5</v>
      </c>
      <c r="D583" s="1">
        <v>30</v>
      </c>
      <c r="E583" s="1">
        <v>25</v>
      </c>
      <c r="F583" s="1">
        <v>7</v>
      </c>
      <c r="G583" s="1">
        <v>25</v>
      </c>
      <c r="H583" s="1">
        <v>150</v>
      </c>
      <c r="I583" s="1">
        <v>100</v>
      </c>
      <c r="J583" s="1">
        <v>9.0380000000000003</v>
      </c>
      <c r="K583" s="1">
        <v>20.481000000000002</v>
      </c>
      <c r="L583" s="1">
        <v>18.079999999999998</v>
      </c>
      <c r="M583" s="1">
        <v>94.3</v>
      </c>
      <c r="N583" s="1">
        <v>3.1179999999999999E-2</v>
      </c>
      <c r="O583" s="1">
        <v>1.9230000000000001E-4</v>
      </c>
      <c r="P5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0.44789023039174342</v>
      </c>
      <c r="Q583" s="1">
        <f>LN(Table13[[#This Row],[qe_mg_g]]-Table13[[#This Row],[qt]])</f>
        <v>2.1506115146814846</v>
      </c>
      <c r="R583" s="1">
        <v>3</v>
      </c>
    </row>
    <row r="584" spans="1:18" hidden="1" x14ac:dyDescent="0.3">
      <c r="A584" s="1">
        <v>583</v>
      </c>
      <c r="B584" s="1" t="s">
        <v>17</v>
      </c>
      <c r="C584" s="1">
        <v>0.5</v>
      </c>
      <c r="D584" s="1">
        <v>30</v>
      </c>
      <c r="E584" s="1">
        <v>25</v>
      </c>
      <c r="F584" s="1">
        <v>11</v>
      </c>
      <c r="G584" s="1">
        <v>25</v>
      </c>
      <c r="H584" s="1">
        <v>150</v>
      </c>
      <c r="I584" s="1">
        <v>100</v>
      </c>
      <c r="J584" s="1">
        <v>7.2119999999999997</v>
      </c>
      <c r="K584" s="1">
        <v>21.393999999999998</v>
      </c>
      <c r="L584" s="1">
        <v>14.42</v>
      </c>
      <c r="M584" s="1">
        <v>96.6</v>
      </c>
      <c r="N584" s="1">
        <v>3.397E-2</v>
      </c>
      <c r="O584" s="1">
        <v>1.986E-4</v>
      </c>
      <c r="P5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0.29712588948273111</v>
      </c>
      <c r="Q584" s="1">
        <f>LN(Table13[[#This Row],[qe_mg_g]]-Table13[[#This Row],[qt]])</f>
        <v>1.9336747596751205</v>
      </c>
      <c r="R584" s="1">
        <v>1</v>
      </c>
    </row>
    <row r="585" spans="1:18" hidden="1" x14ac:dyDescent="0.3">
      <c r="A585" s="1">
        <v>584</v>
      </c>
      <c r="B585" s="1" t="s">
        <v>17</v>
      </c>
      <c r="C585" s="1">
        <v>0.5</v>
      </c>
      <c r="D585" s="1">
        <v>30</v>
      </c>
      <c r="E585" s="1">
        <v>25</v>
      </c>
      <c r="F585" s="1">
        <v>11</v>
      </c>
      <c r="G585" s="1">
        <v>25</v>
      </c>
      <c r="H585" s="1">
        <v>150</v>
      </c>
      <c r="I585" s="1">
        <v>100</v>
      </c>
      <c r="J585" s="1">
        <v>5.72</v>
      </c>
      <c r="K585" s="1">
        <v>22.14</v>
      </c>
      <c r="L585" s="1">
        <v>11.44</v>
      </c>
      <c r="M585" s="1">
        <v>81.099999999999994</v>
      </c>
      <c r="N585" s="1">
        <v>3.8120000000000001E-2</v>
      </c>
      <c r="O585" s="1">
        <v>2.1149999999999999E-4</v>
      </c>
      <c r="P5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0.20032767554053704</v>
      </c>
      <c r="Q585" s="1">
        <f>LN(Table13[[#This Row],[qe_mg_g]]-Table13[[#This Row],[qt]])</f>
        <v>1.7083184970160727</v>
      </c>
      <c r="R585" s="1">
        <v>2</v>
      </c>
    </row>
    <row r="586" spans="1:18" hidden="1" x14ac:dyDescent="0.3">
      <c r="A586" s="1">
        <v>585</v>
      </c>
      <c r="B586" s="1" t="s">
        <v>17</v>
      </c>
      <c r="C586" s="1">
        <v>0.5</v>
      </c>
      <c r="D586" s="1">
        <v>30</v>
      </c>
      <c r="E586" s="1">
        <v>25</v>
      </c>
      <c r="F586" s="1">
        <v>11</v>
      </c>
      <c r="G586" s="1">
        <v>25</v>
      </c>
      <c r="H586" s="1">
        <v>150</v>
      </c>
      <c r="I586" s="1">
        <v>100</v>
      </c>
      <c r="J586" s="1">
        <v>7.0810000000000004</v>
      </c>
      <c r="K586" s="1">
        <v>21.46</v>
      </c>
      <c r="L586" s="1">
        <v>14.16</v>
      </c>
      <c r="M586" s="1">
        <v>86.4</v>
      </c>
      <c r="N586" s="1">
        <v>3.5020000000000003E-2</v>
      </c>
      <c r="O586" s="1">
        <v>1.8679999999999999E-4</v>
      </c>
      <c r="P5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0.27026314236853083</v>
      </c>
      <c r="Q586" s="1">
        <f>LN(Table13[[#This Row],[qe_mg_g]]-Table13[[#This Row],[qt]])</f>
        <v>1.9185003166033447</v>
      </c>
      <c r="R586" s="1">
        <v>3</v>
      </c>
    </row>
    <row r="587" spans="1:18" hidden="1" x14ac:dyDescent="0.3">
      <c r="A587" s="1">
        <v>586</v>
      </c>
      <c r="B587" s="1" t="s">
        <v>17</v>
      </c>
      <c r="C587" s="1">
        <v>0.5</v>
      </c>
      <c r="D587" s="1">
        <v>30</v>
      </c>
      <c r="E587" s="1">
        <v>50</v>
      </c>
      <c r="F587" s="1">
        <v>3</v>
      </c>
      <c r="G587" s="1">
        <v>25</v>
      </c>
      <c r="H587" s="1">
        <v>150</v>
      </c>
      <c r="I587" s="1">
        <v>100</v>
      </c>
      <c r="J587" s="1">
        <v>18.079999999999998</v>
      </c>
      <c r="K587" s="1">
        <v>40.96</v>
      </c>
      <c r="L587" s="1">
        <v>18.079999999999998</v>
      </c>
      <c r="M587" s="1">
        <v>91.1</v>
      </c>
      <c r="N587" s="1">
        <v>3.6720000000000003E-2</v>
      </c>
      <c r="O587" s="1">
        <v>1.895E-4</v>
      </c>
      <c r="P5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1.6851421818654007</v>
      </c>
      <c r="Q587" s="1">
        <f>LN(Table13[[#This Row],[qe_mg_g]]-Table13[[#This Row],[qt]])</f>
        <v>2.7969677379890832</v>
      </c>
      <c r="R587" s="1">
        <v>1</v>
      </c>
    </row>
    <row r="588" spans="1:18" hidden="1" x14ac:dyDescent="0.3">
      <c r="A588" s="1">
        <v>587</v>
      </c>
      <c r="B588" s="1" t="s">
        <v>17</v>
      </c>
      <c r="C588" s="1">
        <v>0.5</v>
      </c>
      <c r="D588" s="1">
        <v>30</v>
      </c>
      <c r="E588" s="1">
        <v>50</v>
      </c>
      <c r="F588" s="1">
        <v>3</v>
      </c>
      <c r="G588" s="1">
        <v>25</v>
      </c>
      <c r="H588" s="1">
        <v>150</v>
      </c>
      <c r="I588" s="1">
        <v>100</v>
      </c>
      <c r="J588" s="1">
        <v>13.26</v>
      </c>
      <c r="K588" s="1">
        <v>43.37</v>
      </c>
      <c r="L588" s="1">
        <v>13.26</v>
      </c>
      <c r="M588" s="1">
        <v>99.8</v>
      </c>
      <c r="N588" s="1">
        <v>3.3320000000000002E-2</v>
      </c>
      <c r="O588" s="1">
        <v>1.827E-4</v>
      </c>
      <c r="P5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0.8984159474651694</v>
      </c>
      <c r="Q588" s="1">
        <f>LN(Table13[[#This Row],[qe_mg_g]]-Table13[[#This Row],[qt]])</f>
        <v>2.5145936034080028</v>
      </c>
      <c r="R588" s="1">
        <v>2</v>
      </c>
    </row>
    <row r="589" spans="1:18" hidden="1" x14ac:dyDescent="0.3">
      <c r="A589" s="1">
        <v>588</v>
      </c>
      <c r="B589" s="1" t="s">
        <v>17</v>
      </c>
      <c r="C589" s="1">
        <v>0.5</v>
      </c>
      <c r="D589" s="1">
        <v>30</v>
      </c>
      <c r="E589" s="1">
        <v>50</v>
      </c>
      <c r="F589" s="1">
        <v>3</v>
      </c>
      <c r="G589" s="1">
        <v>25</v>
      </c>
      <c r="H589" s="1">
        <v>150</v>
      </c>
      <c r="I589" s="1">
        <v>100</v>
      </c>
      <c r="J589" s="1">
        <v>18.071000000000002</v>
      </c>
      <c r="K589" s="1">
        <v>40.965000000000003</v>
      </c>
      <c r="L589" s="1">
        <v>18.07</v>
      </c>
      <c r="M589" s="1">
        <v>80.7</v>
      </c>
      <c r="N589" s="1">
        <v>3.8710000000000001E-2</v>
      </c>
      <c r="O589" s="1">
        <v>2.1230000000000001E-4</v>
      </c>
      <c r="P5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1.8651942338093004</v>
      </c>
      <c r="Q589" s="1">
        <f>LN(Table13[[#This Row],[qe_mg_g]]-Table13[[#This Row],[qt]])</f>
        <v>2.7853695586643954</v>
      </c>
      <c r="R589" s="1">
        <v>3</v>
      </c>
    </row>
    <row r="590" spans="1:18" hidden="1" x14ac:dyDescent="0.3">
      <c r="A590" s="1">
        <v>589</v>
      </c>
      <c r="B590" s="1" t="s">
        <v>17</v>
      </c>
      <c r="C590" s="1">
        <v>0.5</v>
      </c>
      <c r="D590" s="1">
        <v>30</v>
      </c>
      <c r="E590" s="1">
        <v>50</v>
      </c>
      <c r="F590" s="1">
        <v>7</v>
      </c>
      <c r="G590" s="1">
        <v>25</v>
      </c>
      <c r="H590" s="1">
        <v>150</v>
      </c>
      <c r="I590" s="1">
        <v>100</v>
      </c>
      <c r="J590" s="1">
        <v>29.43</v>
      </c>
      <c r="K590" s="1">
        <v>35.284999999999997</v>
      </c>
      <c r="L590" s="1">
        <v>29.43</v>
      </c>
      <c r="M590" s="1">
        <v>68.2</v>
      </c>
      <c r="N590" s="1">
        <v>3.9239999999999997E-2</v>
      </c>
      <c r="O590" s="1">
        <v>2.052E-4</v>
      </c>
      <c r="P5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4.5140496365691583</v>
      </c>
      <c r="Q590" s="1">
        <f>LN(Table13[[#This Row],[qe_mg_g]]-Table13[[#This Row],[qt]])</f>
        <v>3.2155081752335031</v>
      </c>
      <c r="R590" s="1">
        <v>1</v>
      </c>
    </row>
    <row r="591" spans="1:18" hidden="1" x14ac:dyDescent="0.3">
      <c r="A591" s="1">
        <v>590</v>
      </c>
      <c r="B591" s="1" t="s">
        <v>17</v>
      </c>
      <c r="C591" s="1">
        <v>0.5</v>
      </c>
      <c r="D591" s="1">
        <v>30</v>
      </c>
      <c r="E591" s="1">
        <v>50</v>
      </c>
      <c r="F591" s="1">
        <v>7</v>
      </c>
      <c r="G591" s="1">
        <v>25</v>
      </c>
      <c r="H591" s="1">
        <v>150</v>
      </c>
      <c r="I591" s="1">
        <v>100</v>
      </c>
      <c r="J591" s="1">
        <v>26.53</v>
      </c>
      <c r="K591" s="1">
        <v>36.734999999999999</v>
      </c>
      <c r="L591" s="1">
        <v>26.53</v>
      </c>
      <c r="M591" s="1">
        <v>87.6</v>
      </c>
      <c r="N591" s="1">
        <v>2.878E-2</v>
      </c>
      <c r="O591" s="1">
        <v>2.0819999999999999E-4</v>
      </c>
      <c r="P5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3.7712672220254984</v>
      </c>
      <c r="Q591" s="1">
        <f>LN(Table13[[#This Row],[qe_mg_g]]-Table13[[#This Row],[qt]])</f>
        <v>3.1249489301146878</v>
      </c>
      <c r="R591" s="1">
        <v>2</v>
      </c>
    </row>
    <row r="592" spans="1:18" hidden="1" x14ac:dyDescent="0.3">
      <c r="A592" s="1">
        <v>591</v>
      </c>
      <c r="B592" s="1" t="s">
        <v>17</v>
      </c>
      <c r="C592" s="1">
        <v>0.5</v>
      </c>
      <c r="D592" s="1">
        <v>30</v>
      </c>
      <c r="E592" s="1">
        <v>50</v>
      </c>
      <c r="F592" s="1">
        <v>7</v>
      </c>
      <c r="G592" s="1">
        <v>25</v>
      </c>
      <c r="H592" s="1">
        <v>150</v>
      </c>
      <c r="I592" s="1">
        <v>100</v>
      </c>
      <c r="J592" s="1">
        <v>24.712</v>
      </c>
      <c r="K592" s="1">
        <v>37.643999999999998</v>
      </c>
      <c r="L592" s="1">
        <v>24.71</v>
      </c>
      <c r="M592" s="1">
        <v>68.3</v>
      </c>
      <c r="N592" s="1">
        <v>2.9669999999999998E-2</v>
      </c>
      <c r="O592" s="1">
        <v>2.2230000000000001E-4</v>
      </c>
      <c r="P5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3.496419489210552</v>
      </c>
      <c r="Q592" s="1">
        <f>LN(Table13[[#This Row],[qe_mg_g]]-Table13[[#This Row],[qt]])</f>
        <v>3.0547358415035584</v>
      </c>
      <c r="R592" s="1">
        <v>3</v>
      </c>
    </row>
    <row r="593" spans="1:18" hidden="1" x14ac:dyDescent="0.3">
      <c r="A593" s="1">
        <v>592</v>
      </c>
      <c r="B593" s="1" t="s">
        <v>17</v>
      </c>
      <c r="C593" s="1">
        <v>0.5</v>
      </c>
      <c r="D593" s="1">
        <v>30</v>
      </c>
      <c r="E593" s="1">
        <v>50</v>
      </c>
      <c r="F593" s="1">
        <v>11</v>
      </c>
      <c r="G593" s="1">
        <v>25</v>
      </c>
      <c r="H593" s="1">
        <v>150</v>
      </c>
      <c r="I593" s="1">
        <v>100</v>
      </c>
      <c r="J593" s="1">
        <v>19.629000000000001</v>
      </c>
      <c r="K593" s="1">
        <v>40.186</v>
      </c>
      <c r="L593" s="1">
        <v>19.63</v>
      </c>
      <c r="M593" s="1">
        <v>105.4</v>
      </c>
      <c r="N593" s="1">
        <v>3.3119999999999997E-2</v>
      </c>
      <c r="O593" s="1">
        <v>1.6589999999999999E-4</v>
      </c>
      <c r="P5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1.746959694675545</v>
      </c>
      <c r="Q593" s="1">
        <f>LN(Table13[[#This Row],[qe_mg_g]]-Table13[[#This Row],[qt]])</f>
        <v>2.8837968742712423</v>
      </c>
      <c r="R593" s="1">
        <v>1</v>
      </c>
    </row>
    <row r="594" spans="1:18" hidden="1" x14ac:dyDescent="0.3">
      <c r="A594" s="1">
        <v>593</v>
      </c>
      <c r="B594" s="1" t="s">
        <v>17</v>
      </c>
      <c r="C594" s="1">
        <v>0.5</v>
      </c>
      <c r="D594" s="1">
        <v>30</v>
      </c>
      <c r="E594" s="1">
        <v>50</v>
      </c>
      <c r="F594" s="1">
        <v>11</v>
      </c>
      <c r="G594" s="1">
        <v>25</v>
      </c>
      <c r="H594" s="1">
        <v>150</v>
      </c>
      <c r="I594" s="1">
        <v>100</v>
      </c>
      <c r="J594" s="1">
        <v>18.608000000000001</v>
      </c>
      <c r="K594" s="1">
        <v>40.695999999999998</v>
      </c>
      <c r="L594" s="1">
        <v>18.61</v>
      </c>
      <c r="M594" s="1">
        <v>101.6</v>
      </c>
      <c r="N594" s="1">
        <v>3.4450000000000001E-2</v>
      </c>
      <c r="O594" s="1">
        <v>1.8900000000000001E-4</v>
      </c>
      <c r="P5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1.7759094384319614</v>
      </c>
      <c r="Q594" s="1">
        <f>LN(Table13[[#This Row],[qe_mg_g]]-Table13[[#This Row],[qt]])</f>
        <v>2.8232872168621204</v>
      </c>
      <c r="R594" s="1">
        <v>2</v>
      </c>
    </row>
    <row r="595" spans="1:18" hidden="1" x14ac:dyDescent="0.3">
      <c r="A595" s="1">
        <v>594</v>
      </c>
      <c r="B595" s="1" t="s">
        <v>17</v>
      </c>
      <c r="C595" s="1">
        <v>0.5</v>
      </c>
      <c r="D595" s="1">
        <v>30</v>
      </c>
      <c r="E595" s="1">
        <v>50</v>
      </c>
      <c r="F595" s="1">
        <v>11</v>
      </c>
      <c r="G595" s="1">
        <v>25</v>
      </c>
      <c r="H595" s="1">
        <v>150</v>
      </c>
      <c r="I595" s="1">
        <v>100</v>
      </c>
      <c r="J595" s="1">
        <v>21.282</v>
      </c>
      <c r="K595" s="1">
        <v>39.359000000000002</v>
      </c>
      <c r="L595" s="1">
        <v>21.28</v>
      </c>
      <c r="M595" s="1">
        <v>92.2</v>
      </c>
      <c r="N595" s="1">
        <v>3.891E-2</v>
      </c>
      <c r="O595" s="1">
        <v>2.2900000000000001E-4</v>
      </c>
      <c r="P5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2.7146786635304565</v>
      </c>
      <c r="Q595" s="1">
        <f>LN(Table13[[#This Row],[qe_mg_g]]-Table13[[#This Row],[qt]])</f>
        <v>2.9214031181355682</v>
      </c>
      <c r="R595" s="1">
        <v>3</v>
      </c>
    </row>
    <row r="596" spans="1:18" hidden="1" x14ac:dyDescent="0.3">
      <c r="A596" s="1">
        <v>595</v>
      </c>
      <c r="B596" s="1" t="s">
        <v>17</v>
      </c>
      <c r="C596" s="1">
        <v>0.5</v>
      </c>
      <c r="D596" s="1">
        <v>30</v>
      </c>
      <c r="E596" s="1">
        <v>100</v>
      </c>
      <c r="F596" s="1">
        <v>3</v>
      </c>
      <c r="G596" s="1">
        <v>25</v>
      </c>
      <c r="H596" s="1">
        <v>150</v>
      </c>
      <c r="I596" s="1">
        <v>100</v>
      </c>
      <c r="J596" s="1">
        <v>37.667000000000002</v>
      </c>
      <c r="K596" s="1">
        <v>81.165999999999997</v>
      </c>
      <c r="L596" s="1">
        <v>18.829999999999998</v>
      </c>
      <c r="M596" s="1">
        <v>68.7</v>
      </c>
      <c r="N596" s="1">
        <v>3.3550000000000003E-2</v>
      </c>
      <c r="O596" s="1">
        <v>2.052E-4</v>
      </c>
      <c r="P5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7.0901097478794934</v>
      </c>
      <c r="Q596" s="1">
        <f>LN(Table13[[#This Row],[qe_mg_g]]-Table13[[#This Row],[qt]])</f>
        <v>3.4202445031167179</v>
      </c>
      <c r="R596" s="1">
        <v>1</v>
      </c>
    </row>
    <row r="597" spans="1:18" hidden="1" x14ac:dyDescent="0.3">
      <c r="A597" s="1">
        <v>596</v>
      </c>
      <c r="B597" s="1" t="s">
        <v>17</v>
      </c>
      <c r="C597" s="1">
        <v>0.5</v>
      </c>
      <c r="D597" s="1">
        <v>30</v>
      </c>
      <c r="E597" s="1">
        <v>100</v>
      </c>
      <c r="F597" s="1">
        <v>3</v>
      </c>
      <c r="G597" s="1">
        <v>25</v>
      </c>
      <c r="H597" s="1">
        <v>150</v>
      </c>
      <c r="I597" s="1">
        <v>100</v>
      </c>
      <c r="J597" s="1">
        <v>35.307000000000002</v>
      </c>
      <c r="K597" s="1">
        <v>82.346000000000004</v>
      </c>
      <c r="L597" s="1">
        <v>17.649999999999999</v>
      </c>
      <c r="M597" s="1">
        <v>73.400000000000006</v>
      </c>
      <c r="N597" s="1">
        <v>3.6200000000000003E-2</v>
      </c>
      <c r="O597" s="1">
        <v>1.9900000000000001E-4</v>
      </c>
      <c r="P5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6.1465260557015364</v>
      </c>
      <c r="Q597" s="1">
        <f>LN(Table13[[#This Row],[qe_mg_g]]-Table13[[#This Row],[qt]])</f>
        <v>3.3728141602422044</v>
      </c>
      <c r="R597" s="1">
        <v>2</v>
      </c>
    </row>
    <row r="598" spans="1:18" hidden="1" x14ac:dyDescent="0.3">
      <c r="A598" s="1">
        <v>597</v>
      </c>
      <c r="B598" s="1" t="s">
        <v>17</v>
      </c>
      <c r="C598" s="1">
        <v>0.5</v>
      </c>
      <c r="D598" s="1">
        <v>30</v>
      </c>
      <c r="E598" s="1">
        <v>100</v>
      </c>
      <c r="F598" s="1">
        <v>3</v>
      </c>
      <c r="G598" s="1">
        <v>25</v>
      </c>
      <c r="H598" s="1">
        <v>150</v>
      </c>
      <c r="I598" s="1">
        <v>100</v>
      </c>
      <c r="J598" s="1">
        <v>39.201000000000001</v>
      </c>
      <c r="K598" s="1">
        <v>80.399000000000001</v>
      </c>
      <c r="L598" s="1">
        <v>19.600000000000001</v>
      </c>
      <c r="M598" s="1">
        <v>76</v>
      </c>
      <c r="N598" s="1">
        <v>3.4189999999999998E-2</v>
      </c>
      <c r="O598" s="1">
        <v>1.8149999999999999E-4</v>
      </c>
      <c r="P5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6.8955750302766026</v>
      </c>
      <c r="Q598" s="1">
        <f>LN(Table13[[#This Row],[qe_mg_g]]-Table13[[#This Row],[qt]])</f>
        <v>3.4752351718446186</v>
      </c>
      <c r="R598" s="1">
        <v>3</v>
      </c>
    </row>
    <row r="599" spans="1:18" hidden="1" x14ac:dyDescent="0.3">
      <c r="A599" s="1">
        <v>598</v>
      </c>
      <c r="B599" s="1" t="s">
        <v>17</v>
      </c>
      <c r="C599" s="1">
        <v>0.5</v>
      </c>
      <c r="D599" s="1">
        <v>30</v>
      </c>
      <c r="E599" s="1">
        <v>100</v>
      </c>
      <c r="F599" s="1">
        <v>7</v>
      </c>
      <c r="G599" s="1">
        <v>25</v>
      </c>
      <c r="H599" s="1">
        <v>150</v>
      </c>
      <c r="I599" s="1">
        <v>100</v>
      </c>
      <c r="J599" s="1">
        <v>67.123000000000005</v>
      </c>
      <c r="K599" s="1">
        <v>66.438000000000002</v>
      </c>
      <c r="L599" s="1">
        <v>33.56</v>
      </c>
      <c r="M599" s="1">
        <v>99</v>
      </c>
      <c r="N599" s="1">
        <v>2.8539999999999999E-2</v>
      </c>
      <c r="O599" s="1">
        <v>1.8139999999999999E-4</v>
      </c>
      <c r="P5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17.95884721561751</v>
      </c>
      <c r="Q599" s="1">
        <f>LN(Table13[[#This Row],[qe_mg_g]]-Table13[[#This Row],[qt]])</f>
        <v>3.8951647559954221</v>
      </c>
      <c r="R599" s="1">
        <v>1</v>
      </c>
    </row>
    <row r="600" spans="1:18" hidden="1" x14ac:dyDescent="0.3">
      <c r="A600" s="1">
        <v>599</v>
      </c>
      <c r="B600" s="1" t="s">
        <v>17</v>
      </c>
      <c r="C600" s="1">
        <v>0.5</v>
      </c>
      <c r="D600" s="1">
        <v>30</v>
      </c>
      <c r="E600" s="1">
        <v>100</v>
      </c>
      <c r="F600" s="1">
        <v>7</v>
      </c>
      <c r="G600" s="1">
        <v>25</v>
      </c>
      <c r="H600" s="1">
        <v>150</v>
      </c>
      <c r="I600" s="1">
        <v>100</v>
      </c>
      <c r="J600" s="1">
        <v>52.411999999999999</v>
      </c>
      <c r="K600" s="1">
        <v>73.793999999999997</v>
      </c>
      <c r="L600" s="1">
        <v>26.21</v>
      </c>
      <c r="M600" s="1">
        <v>77.400000000000006</v>
      </c>
      <c r="N600" s="1">
        <v>3.4709999999999998E-2</v>
      </c>
      <c r="O600" s="1">
        <v>1.7100000000000001E-4</v>
      </c>
      <c r="P6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11.106071929436371</v>
      </c>
      <c r="Q600" s="1">
        <f>LN(Table13[[#This Row],[qe_mg_g]]-Table13[[#This Row],[qt]])</f>
        <v>3.7210060264840847</v>
      </c>
      <c r="R600" s="1">
        <v>2</v>
      </c>
    </row>
    <row r="601" spans="1:18" hidden="1" x14ac:dyDescent="0.3">
      <c r="A601" s="1">
        <v>600</v>
      </c>
      <c r="B601" s="1" t="s">
        <v>17</v>
      </c>
      <c r="C601" s="1">
        <v>0.5</v>
      </c>
      <c r="D601" s="1">
        <v>30</v>
      </c>
      <c r="E601" s="1">
        <v>100</v>
      </c>
      <c r="F601" s="1">
        <v>7</v>
      </c>
      <c r="G601" s="1">
        <v>25</v>
      </c>
      <c r="H601" s="1">
        <v>150</v>
      </c>
      <c r="I601" s="1">
        <v>100</v>
      </c>
      <c r="J601" s="1">
        <v>55.954000000000001</v>
      </c>
      <c r="K601" s="1">
        <v>72.022999999999996</v>
      </c>
      <c r="L601" s="1">
        <v>27.98</v>
      </c>
      <c r="M601" s="1">
        <v>72.8</v>
      </c>
      <c r="N601" s="1">
        <v>3.5729999999999998E-2</v>
      </c>
      <c r="O601" s="1">
        <v>2.0139999999999999E-4</v>
      </c>
      <c r="P6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14.13718182966236</v>
      </c>
      <c r="Q601" s="1">
        <f>LN(Table13[[#This Row],[qe_mg_g]]-Table13[[#This Row],[qt]])</f>
        <v>3.7332986071828991</v>
      </c>
      <c r="R601" s="1">
        <v>3</v>
      </c>
    </row>
    <row r="602" spans="1:18" hidden="1" x14ac:dyDescent="0.3">
      <c r="A602" s="1">
        <v>601</v>
      </c>
      <c r="B602" s="1" t="s">
        <v>17</v>
      </c>
      <c r="C602" s="1">
        <v>0.5</v>
      </c>
      <c r="D602" s="1">
        <v>30</v>
      </c>
      <c r="E602" s="1">
        <v>100</v>
      </c>
      <c r="F602" s="1">
        <v>11</v>
      </c>
      <c r="G602" s="1">
        <v>25</v>
      </c>
      <c r="H602" s="1">
        <v>150</v>
      </c>
      <c r="I602" s="1">
        <v>100</v>
      </c>
      <c r="J602" s="1">
        <v>44.314</v>
      </c>
      <c r="K602" s="1">
        <v>77.843000000000004</v>
      </c>
      <c r="L602" s="1">
        <v>22.16</v>
      </c>
      <c r="M602" s="1">
        <v>88</v>
      </c>
      <c r="N602" s="1">
        <v>3.3090000000000001E-2</v>
      </c>
      <c r="O602" s="1">
        <v>1.9459999999999999E-4</v>
      </c>
      <c r="P6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9.1079784518174183</v>
      </c>
      <c r="Q602" s="1">
        <f>LN(Table13[[#This Row],[qe_mg_g]]-Table13[[#This Row],[qt]])</f>
        <v>3.5612171346835426</v>
      </c>
      <c r="R602" s="1">
        <v>1</v>
      </c>
    </row>
    <row r="603" spans="1:18" hidden="1" x14ac:dyDescent="0.3">
      <c r="A603" s="1">
        <v>602</v>
      </c>
      <c r="B603" s="1" t="s">
        <v>17</v>
      </c>
      <c r="C603" s="1">
        <v>0.5</v>
      </c>
      <c r="D603" s="1">
        <v>30</v>
      </c>
      <c r="E603" s="1">
        <v>100</v>
      </c>
      <c r="F603" s="1">
        <v>11</v>
      </c>
      <c r="G603" s="1">
        <v>25</v>
      </c>
      <c r="H603" s="1">
        <v>150</v>
      </c>
      <c r="I603" s="1">
        <v>100</v>
      </c>
      <c r="J603" s="1">
        <v>55.753999999999998</v>
      </c>
      <c r="K603" s="1">
        <v>72.123000000000005</v>
      </c>
      <c r="L603" s="1">
        <v>27.88</v>
      </c>
      <c r="M603" s="1">
        <v>102.9</v>
      </c>
      <c r="N603" s="1">
        <v>3.0450000000000001E-2</v>
      </c>
      <c r="O603" s="1">
        <v>2.1660000000000001E-4</v>
      </c>
      <c r="P6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14.827309801320849</v>
      </c>
      <c r="Q603" s="1">
        <f>LN(Table13[[#This Row],[qe_mg_g]]-Table13[[#This Row],[qt]])</f>
        <v>3.7117824223110185</v>
      </c>
      <c r="R603" s="1">
        <v>2</v>
      </c>
    </row>
    <row r="604" spans="1:18" hidden="1" x14ac:dyDescent="0.3">
      <c r="A604" s="1">
        <v>603</v>
      </c>
      <c r="B604" s="1" t="s">
        <v>17</v>
      </c>
      <c r="C604" s="1">
        <v>0.5</v>
      </c>
      <c r="D604" s="1">
        <v>30</v>
      </c>
      <c r="E604" s="1">
        <v>100</v>
      </c>
      <c r="F604" s="1">
        <v>11</v>
      </c>
      <c r="G604" s="1">
        <v>25</v>
      </c>
      <c r="H604" s="1">
        <v>150</v>
      </c>
      <c r="I604" s="1">
        <v>100</v>
      </c>
      <c r="J604" s="1">
        <v>51.637</v>
      </c>
      <c r="K604" s="1">
        <v>74.182000000000002</v>
      </c>
      <c r="L604" s="1">
        <v>25.82</v>
      </c>
      <c r="M604" s="1">
        <v>71</v>
      </c>
      <c r="N604" s="1">
        <v>3.7870000000000001E-2</v>
      </c>
      <c r="O604" s="1">
        <v>2.308E-4</v>
      </c>
      <c r="P6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13.599663451489162</v>
      </c>
      <c r="Q604" s="1">
        <f>LN(Table13[[#This Row],[qe_mg_g]]-Table13[[#This Row],[qt]])</f>
        <v>3.6385682180994521</v>
      </c>
      <c r="R604" s="1">
        <v>3</v>
      </c>
    </row>
    <row r="605" spans="1:18" hidden="1" x14ac:dyDescent="0.3">
      <c r="A605" s="1">
        <v>604</v>
      </c>
      <c r="B605" s="1" t="s">
        <v>17</v>
      </c>
      <c r="C605" s="1">
        <v>0.5</v>
      </c>
      <c r="D605" s="1">
        <v>30</v>
      </c>
      <c r="E605" s="1">
        <v>200</v>
      </c>
      <c r="F605" s="1">
        <v>3</v>
      </c>
      <c r="G605" s="1">
        <v>25</v>
      </c>
      <c r="H605" s="1">
        <v>150</v>
      </c>
      <c r="I605" s="1">
        <v>100</v>
      </c>
      <c r="J605" s="1">
        <v>47.186</v>
      </c>
      <c r="K605" s="1">
        <v>176.40700000000001</v>
      </c>
      <c r="L605" s="1">
        <v>11.8</v>
      </c>
      <c r="M605" s="1">
        <v>73.900000000000006</v>
      </c>
      <c r="N605" s="1">
        <v>3.8559999999999997E-2</v>
      </c>
      <c r="O605" s="1">
        <v>2.0540000000000001E-4</v>
      </c>
      <c r="P6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10.629246479199436</v>
      </c>
      <c r="Q605" s="1">
        <f>LN(Table13[[#This Row],[qe_mg_g]]-Table13[[#This Row],[qt]])</f>
        <v>3.598865943977922</v>
      </c>
      <c r="R605" s="1">
        <v>1</v>
      </c>
    </row>
    <row r="606" spans="1:18" hidden="1" x14ac:dyDescent="0.3">
      <c r="A606" s="1">
        <v>605</v>
      </c>
      <c r="B606" s="1" t="s">
        <v>17</v>
      </c>
      <c r="C606" s="1">
        <v>0.5</v>
      </c>
      <c r="D606" s="1">
        <v>30</v>
      </c>
      <c r="E606" s="1">
        <v>200</v>
      </c>
      <c r="F606" s="1">
        <v>3</v>
      </c>
      <c r="G606" s="1">
        <v>25</v>
      </c>
      <c r="H606" s="1">
        <v>150</v>
      </c>
      <c r="I606" s="1">
        <v>100</v>
      </c>
      <c r="J606" s="1">
        <v>56.082999999999998</v>
      </c>
      <c r="K606" s="1">
        <v>171.958</v>
      </c>
      <c r="L606" s="1">
        <v>14.02</v>
      </c>
      <c r="M606" s="1">
        <v>90.1</v>
      </c>
      <c r="N606" s="1">
        <v>3.637E-2</v>
      </c>
      <c r="O606" s="1">
        <v>1.7349999999999999E-4</v>
      </c>
      <c r="P6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12.672148990924121</v>
      </c>
      <c r="Q606" s="1">
        <f>LN(Table13[[#This Row],[qe_mg_g]]-Table13[[#This Row],[qt]])</f>
        <v>3.7707094331063513</v>
      </c>
      <c r="R606" s="1">
        <v>2</v>
      </c>
    </row>
    <row r="607" spans="1:18" hidden="1" x14ac:dyDescent="0.3">
      <c r="A607" s="1">
        <v>606</v>
      </c>
      <c r="B607" s="1" t="s">
        <v>17</v>
      </c>
      <c r="C607" s="1">
        <v>0.5</v>
      </c>
      <c r="D607" s="1">
        <v>30</v>
      </c>
      <c r="E607" s="1">
        <v>200</v>
      </c>
      <c r="F607" s="1">
        <v>3</v>
      </c>
      <c r="G607" s="1">
        <v>25</v>
      </c>
      <c r="H607" s="1">
        <v>150</v>
      </c>
      <c r="I607" s="1">
        <v>100</v>
      </c>
      <c r="J607" s="1">
        <v>58.719000000000001</v>
      </c>
      <c r="K607" s="1">
        <v>170.64099999999999</v>
      </c>
      <c r="L607" s="1">
        <v>14.68</v>
      </c>
      <c r="M607" s="1">
        <v>100.8</v>
      </c>
      <c r="N607" s="1">
        <v>3.4200000000000001E-2</v>
      </c>
      <c r="O607" s="1">
        <v>1.9909999999999999E-4</v>
      </c>
      <c r="P6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15.246906075922864</v>
      </c>
      <c r="Q607" s="1">
        <f>LN(Table13[[#This Row],[qe_mg_g]]-Table13[[#This Row],[qt]])</f>
        <v>3.7721192132465533</v>
      </c>
      <c r="R607" s="1">
        <v>3</v>
      </c>
    </row>
    <row r="608" spans="1:18" hidden="1" x14ac:dyDescent="0.3">
      <c r="A608" s="1">
        <v>607</v>
      </c>
      <c r="B608" s="1" t="s">
        <v>17</v>
      </c>
      <c r="C608" s="1">
        <v>0.5</v>
      </c>
      <c r="D608" s="1">
        <v>30</v>
      </c>
      <c r="E608" s="1">
        <v>200</v>
      </c>
      <c r="F608" s="1">
        <v>7</v>
      </c>
      <c r="G608" s="1">
        <v>25</v>
      </c>
      <c r="H608" s="1">
        <v>150</v>
      </c>
      <c r="I608" s="1">
        <v>100</v>
      </c>
      <c r="J608" s="1">
        <v>70.046999999999997</v>
      </c>
      <c r="K608" s="1">
        <v>164.977</v>
      </c>
      <c r="L608" s="1">
        <v>17.510000000000002</v>
      </c>
      <c r="M608" s="1">
        <v>92.3</v>
      </c>
      <c r="N608" s="1">
        <v>3.6999999999999998E-2</v>
      </c>
      <c r="O608" s="1">
        <v>1.9880000000000001E-4</v>
      </c>
      <c r="P6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20.640199989627583</v>
      </c>
      <c r="Q608" s="1">
        <f>LN(Table13[[#This Row],[qe_mg_g]]-Table13[[#This Row],[qt]])</f>
        <v>3.9000880667525353</v>
      </c>
      <c r="R608" s="1">
        <v>1</v>
      </c>
    </row>
    <row r="609" spans="1:18" hidden="1" x14ac:dyDescent="0.3">
      <c r="A609" s="1">
        <v>608</v>
      </c>
      <c r="B609" s="1" t="s">
        <v>17</v>
      </c>
      <c r="C609" s="1">
        <v>0.5</v>
      </c>
      <c r="D609" s="1">
        <v>30</v>
      </c>
      <c r="E609" s="1">
        <v>200</v>
      </c>
      <c r="F609" s="1">
        <v>7</v>
      </c>
      <c r="G609" s="1">
        <v>25</v>
      </c>
      <c r="H609" s="1">
        <v>150</v>
      </c>
      <c r="I609" s="1">
        <v>100</v>
      </c>
      <c r="J609" s="1">
        <v>92.01</v>
      </c>
      <c r="K609" s="1">
        <v>153.995</v>
      </c>
      <c r="L609" s="1">
        <v>23</v>
      </c>
      <c r="M609" s="1">
        <v>81.400000000000006</v>
      </c>
      <c r="N609" s="1">
        <v>3.6979999999999999E-2</v>
      </c>
      <c r="O609" s="1">
        <v>1.796E-4</v>
      </c>
      <c r="P6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30.495704575152637</v>
      </c>
      <c r="Q609" s="1">
        <f>LN(Table13[[#This Row],[qe_mg_g]]-Table13[[#This Row],[qt]])</f>
        <v>4.1192695937335797</v>
      </c>
      <c r="R609" s="1">
        <v>2</v>
      </c>
    </row>
    <row r="610" spans="1:18" hidden="1" x14ac:dyDescent="0.3">
      <c r="A610" s="1">
        <v>609</v>
      </c>
      <c r="B610" s="1" t="s">
        <v>17</v>
      </c>
      <c r="C610" s="1">
        <v>0.5</v>
      </c>
      <c r="D610" s="1">
        <v>30</v>
      </c>
      <c r="E610" s="1">
        <v>200</v>
      </c>
      <c r="F610" s="1">
        <v>7</v>
      </c>
      <c r="G610" s="1">
        <v>25</v>
      </c>
      <c r="H610" s="1">
        <v>150</v>
      </c>
      <c r="I610" s="1">
        <v>100</v>
      </c>
      <c r="J610" s="1">
        <v>82.516000000000005</v>
      </c>
      <c r="K610" s="1">
        <v>158.74199999999999</v>
      </c>
      <c r="L610" s="1">
        <v>20.63</v>
      </c>
      <c r="M610" s="1">
        <v>83.5</v>
      </c>
      <c r="N610" s="1">
        <v>3.5790000000000002E-2</v>
      </c>
      <c r="O610" s="1">
        <v>1.9259999999999999E-4</v>
      </c>
      <c r="P6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26.640282157916598</v>
      </c>
      <c r="Q610" s="1">
        <f>LN(Table13[[#This Row],[qe_mg_g]]-Table13[[#This Row],[qt]])</f>
        <v>4.0231299001368166</v>
      </c>
      <c r="R610" s="1">
        <v>3</v>
      </c>
    </row>
    <row r="611" spans="1:18" hidden="1" x14ac:dyDescent="0.3">
      <c r="A611" s="1">
        <v>610</v>
      </c>
      <c r="B611" s="1" t="s">
        <v>17</v>
      </c>
      <c r="C611" s="1">
        <v>0.5</v>
      </c>
      <c r="D611" s="1">
        <v>30</v>
      </c>
      <c r="E611" s="1">
        <v>200</v>
      </c>
      <c r="F611" s="1">
        <v>11</v>
      </c>
      <c r="G611" s="1">
        <v>25</v>
      </c>
      <c r="H611" s="1">
        <v>150</v>
      </c>
      <c r="I611" s="1">
        <v>100</v>
      </c>
      <c r="J611" s="1">
        <v>63.741999999999997</v>
      </c>
      <c r="K611" s="1">
        <v>168.12899999999999</v>
      </c>
      <c r="L611" s="1">
        <v>15.94</v>
      </c>
      <c r="M611" s="1">
        <v>96.3</v>
      </c>
      <c r="N611" s="1">
        <v>3.347E-2</v>
      </c>
      <c r="O611" s="1">
        <v>1.6789999999999999E-4</v>
      </c>
      <c r="P6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15.491661565985739</v>
      </c>
      <c r="Q611" s="1">
        <f>LN(Table13[[#This Row],[qe_mg_g]]-Table13[[#This Row],[qt]])</f>
        <v>3.8764028419368572</v>
      </c>
      <c r="R611" s="1">
        <v>1</v>
      </c>
    </row>
    <row r="612" spans="1:18" hidden="1" x14ac:dyDescent="0.3">
      <c r="A612" s="1">
        <v>611</v>
      </c>
      <c r="B612" s="1" t="s">
        <v>17</v>
      </c>
      <c r="C612" s="1">
        <v>0.5</v>
      </c>
      <c r="D612" s="1">
        <v>30</v>
      </c>
      <c r="E612" s="1">
        <v>200</v>
      </c>
      <c r="F612" s="1">
        <v>11</v>
      </c>
      <c r="G612" s="1">
        <v>25</v>
      </c>
      <c r="H612" s="1">
        <v>150</v>
      </c>
      <c r="I612" s="1">
        <v>100</v>
      </c>
      <c r="J612" s="1">
        <v>75.891000000000005</v>
      </c>
      <c r="K612" s="1">
        <v>162.054</v>
      </c>
      <c r="L612" s="1">
        <v>18.97</v>
      </c>
      <c r="M612" s="1">
        <v>103.5</v>
      </c>
      <c r="N612" s="1">
        <v>3.048E-2</v>
      </c>
      <c r="O612" s="1">
        <v>2.1379999999999999E-4</v>
      </c>
      <c r="P6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24.846614080508608</v>
      </c>
      <c r="Q612" s="1">
        <f>LN(Table13[[#This Row],[qe_mg_g]]-Table13[[#This Row],[qt]])</f>
        <v>3.9326955663691936</v>
      </c>
      <c r="R612" s="1">
        <v>2</v>
      </c>
    </row>
    <row r="613" spans="1:18" hidden="1" x14ac:dyDescent="0.3">
      <c r="A613" s="1">
        <v>612</v>
      </c>
      <c r="B613" s="1" t="s">
        <v>17</v>
      </c>
      <c r="C613" s="1">
        <v>0.5</v>
      </c>
      <c r="D613" s="1">
        <v>30</v>
      </c>
      <c r="E613" s="1">
        <v>200</v>
      </c>
      <c r="F613" s="1">
        <v>11</v>
      </c>
      <c r="G613" s="1">
        <v>25</v>
      </c>
      <c r="H613" s="1">
        <v>150</v>
      </c>
      <c r="I613" s="1">
        <v>100</v>
      </c>
      <c r="J613" s="1">
        <v>61.341999999999999</v>
      </c>
      <c r="K613" s="1">
        <v>169.32900000000001</v>
      </c>
      <c r="L613" s="1">
        <v>15.34</v>
      </c>
      <c r="M613" s="1">
        <v>89.1</v>
      </c>
      <c r="N613" s="1">
        <v>3.603E-2</v>
      </c>
      <c r="O613" s="1">
        <v>1.953E-4</v>
      </c>
      <c r="P6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16.217772660808851</v>
      </c>
      <c r="Q613" s="1">
        <f>LN(Table13[[#This Row],[qe_mg_g]]-Table13[[#This Row],[qt]])</f>
        <v>3.8094192938292459</v>
      </c>
      <c r="R613" s="1">
        <v>3</v>
      </c>
    </row>
    <row r="614" spans="1:18" hidden="1" x14ac:dyDescent="0.3">
      <c r="A614" s="1">
        <v>613</v>
      </c>
      <c r="B614" s="1" t="s">
        <v>17</v>
      </c>
      <c r="C614" s="1">
        <v>0.5</v>
      </c>
      <c r="D614" s="1">
        <v>60</v>
      </c>
      <c r="E614" s="1">
        <v>25</v>
      </c>
      <c r="F614" s="1">
        <v>3</v>
      </c>
      <c r="G614" s="1">
        <v>25</v>
      </c>
      <c r="H614" s="1">
        <v>150</v>
      </c>
      <c r="I614" s="1">
        <v>100</v>
      </c>
      <c r="J614" s="1">
        <v>8.4949999999999992</v>
      </c>
      <c r="K614" s="1">
        <v>20.751999999999999</v>
      </c>
      <c r="L614" s="1">
        <v>16.989999999999998</v>
      </c>
      <c r="M614" s="1">
        <v>76.8</v>
      </c>
      <c r="N614" s="1">
        <v>3.1789999999999999E-2</v>
      </c>
      <c r="O614" s="1">
        <v>1.8340000000000001E-4</v>
      </c>
      <c r="P6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0.72621783282930585</v>
      </c>
      <c r="Q614" s="1">
        <f>LN(Table13[[#This Row],[qe_mg_g]]-Table13[[#This Row],[qt]])</f>
        <v>2.0501134168534376</v>
      </c>
      <c r="R614" s="1">
        <v>1</v>
      </c>
    </row>
    <row r="615" spans="1:18" hidden="1" x14ac:dyDescent="0.3">
      <c r="A615" s="1">
        <v>614</v>
      </c>
      <c r="B615" s="1" t="s">
        <v>17</v>
      </c>
      <c r="C615" s="1">
        <v>0.5</v>
      </c>
      <c r="D615" s="1">
        <v>60</v>
      </c>
      <c r="E615" s="1">
        <v>25</v>
      </c>
      <c r="F615" s="1">
        <v>3</v>
      </c>
      <c r="G615" s="1">
        <v>25</v>
      </c>
      <c r="H615" s="1">
        <v>150</v>
      </c>
      <c r="I615" s="1">
        <v>100</v>
      </c>
      <c r="J615" s="1">
        <v>9.1560000000000006</v>
      </c>
      <c r="K615" s="1">
        <v>20.422000000000001</v>
      </c>
      <c r="L615" s="1">
        <v>18.309999999999999</v>
      </c>
      <c r="M615" s="1">
        <v>76.5</v>
      </c>
      <c r="N615" s="1">
        <v>3.739E-2</v>
      </c>
      <c r="O615" s="1">
        <v>2.297E-4</v>
      </c>
      <c r="P6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1.0259186414340671</v>
      </c>
      <c r="Q615" s="1">
        <f>LN(Table13[[#This Row],[qe_mg_g]]-Table13[[#This Row],[qt]])</f>
        <v>2.0955709307133294</v>
      </c>
      <c r="R615" s="1">
        <v>2</v>
      </c>
    </row>
    <row r="616" spans="1:18" hidden="1" x14ac:dyDescent="0.3">
      <c r="A616" s="1">
        <v>615</v>
      </c>
      <c r="B616" s="1" t="s">
        <v>17</v>
      </c>
      <c r="C616" s="1">
        <v>0.5</v>
      </c>
      <c r="D616" s="1">
        <v>60</v>
      </c>
      <c r="E616" s="1">
        <v>25</v>
      </c>
      <c r="F616" s="1">
        <v>3</v>
      </c>
      <c r="G616" s="1">
        <v>25</v>
      </c>
      <c r="H616" s="1">
        <v>150</v>
      </c>
      <c r="I616" s="1">
        <v>100</v>
      </c>
      <c r="J616" s="1">
        <v>8.6829999999999998</v>
      </c>
      <c r="K616" s="1">
        <v>20.658999999999999</v>
      </c>
      <c r="L616" s="1">
        <v>17.37</v>
      </c>
      <c r="M616" s="1">
        <v>88.8</v>
      </c>
      <c r="N616" s="1">
        <v>3.6749999999999998E-2</v>
      </c>
      <c r="O616" s="1">
        <v>2.0939999999999999E-4</v>
      </c>
      <c r="P6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0.85408182968484347</v>
      </c>
      <c r="Q616" s="1">
        <f>LN(Table13[[#This Row],[qe_mg_g]]-Table13[[#This Row],[qt]])</f>
        <v>2.057824335746381</v>
      </c>
      <c r="R616" s="1">
        <v>3</v>
      </c>
    </row>
    <row r="617" spans="1:18" hidden="1" x14ac:dyDescent="0.3">
      <c r="A617" s="1">
        <v>616</v>
      </c>
      <c r="B617" s="1" t="s">
        <v>17</v>
      </c>
      <c r="C617" s="1">
        <v>0.5</v>
      </c>
      <c r="D617" s="1">
        <v>60</v>
      </c>
      <c r="E617" s="1">
        <v>25</v>
      </c>
      <c r="F617" s="1">
        <v>7</v>
      </c>
      <c r="G617" s="1">
        <v>25</v>
      </c>
      <c r="H617" s="1">
        <v>150</v>
      </c>
      <c r="I617" s="1">
        <v>100</v>
      </c>
      <c r="J617" s="1">
        <v>15.093</v>
      </c>
      <c r="K617" s="1">
        <v>17.452999999999999</v>
      </c>
      <c r="L617" s="1">
        <v>30.19</v>
      </c>
      <c r="M617" s="1">
        <v>95.3</v>
      </c>
      <c r="N617" s="1">
        <v>3.669E-2</v>
      </c>
      <c r="O617" s="1">
        <v>1.752E-4</v>
      </c>
      <c r="P6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2.0667187314185838</v>
      </c>
      <c r="Q617" s="1">
        <f>LN(Table13[[#This Row],[qe_mg_g]]-Table13[[#This Row],[qt]])</f>
        <v>2.5669689527500936</v>
      </c>
      <c r="R617" s="1">
        <v>1</v>
      </c>
    </row>
    <row r="618" spans="1:18" hidden="1" x14ac:dyDescent="0.3">
      <c r="A618" s="1">
        <v>617</v>
      </c>
      <c r="B618" s="1" t="s">
        <v>17</v>
      </c>
      <c r="C618" s="1">
        <v>0.5</v>
      </c>
      <c r="D618" s="1">
        <v>60</v>
      </c>
      <c r="E618" s="1">
        <v>25</v>
      </c>
      <c r="F618" s="1">
        <v>7</v>
      </c>
      <c r="G618" s="1">
        <v>25</v>
      </c>
      <c r="H618" s="1">
        <v>150</v>
      </c>
      <c r="I618" s="1">
        <v>100</v>
      </c>
      <c r="J618" s="1">
        <v>16.280999999999999</v>
      </c>
      <c r="K618" s="1">
        <v>16.859000000000002</v>
      </c>
      <c r="L618" s="1">
        <v>32.56</v>
      </c>
      <c r="M618" s="1">
        <v>97.1</v>
      </c>
      <c r="N618" s="1">
        <v>3.2329999999999998E-2</v>
      </c>
      <c r="O618" s="1">
        <v>2.008E-4</v>
      </c>
      <c r="P6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2.6698705226097199</v>
      </c>
      <c r="Q618" s="1">
        <f>LN(Table13[[#This Row],[qe_mg_g]]-Table13[[#This Row],[qt]])</f>
        <v>2.6108878020069377</v>
      </c>
      <c r="R618" s="1">
        <v>2</v>
      </c>
    </row>
    <row r="619" spans="1:18" hidden="1" x14ac:dyDescent="0.3">
      <c r="A619" s="1">
        <v>618</v>
      </c>
      <c r="B619" s="1" t="s">
        <v>17</v>
      </c>
      <c r="C619" s="1">
        <v>0.5</v>
      </c>
      <c r="D619" s="1">
        <v>60</v>
      </c>
      <c r="E619" s="1">
        <v>25</v>
      </c>
      <c r="F619" s="1">
        <v>7</v>
      </c>
      <c r="G619" s="1">
        <v>25</v>
      </c>
      <c r="H619" s="1">
        <v>150</v>
      </c>
      <c r="I619" s="1">
        <v>100</v>
      </c>
      <c r="J619" s="1">
        <v>16.003</v>
      </c>
      <c r="K619" s="1">
        <v>16.998999999999999</v>
      </c>
      <c r="L619" s="1">
        <v>32.01</v>
      </c>
      <c r="M619" s="1">
        <v>83</v>
      </c>
      <c r="N619" s="1">
        <v>3.8760000000000003E-2</v>
      </c>
      <c r="O619" s="1">
        <v>2.4729999999999999E-4</v>
      </c>
      <c r="P6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3.0707865865970509</v>
      </c>
      <c r="Q619" s="1">
        <f>LN(Table13[[#This Row],[qe_mg_g]]-Table13[[#This Row],[qt]])</f>
        <v>2.5597213624646415</v>
      </c>
      <c r="R619" s="1">
        <v>3</v>
      </c>
    </row>
    <row r="620" spans="1:18" hidden="1" x14ac:dyDescent="0.3">
      <c r="A620" s="1">
        <v>619</v>
      </c>
      <c r="B620" s="1" t="s">
        <v>17</v>
      </c>
      <c r="C620" s="1">
        <v>0.5</v>
      </c>
      <c r="D620" s="1">
        <v>60</v>
      </c>
      <c r="E620" s="1">
        <v>25</v>
      </c>
      <c r="F620" s="1">
        <v>11</v>
      </c>
      <c r="G620" s="1">
        <v>25</v>
      </c>
      <c r="H620" s="1">
        <v>150</v>
      </c>
      <c r="I620" s="1">
        <v>100</v>
      </c>
      <c r="J620" s="1">
        <v>10.513999999999999</v>
      </c>
      <c r="K620" s="1">
        <v>19.742999999999999</v>
      </c>
      <c r="L620" s="1">
        <v>21.03</v>
      </c>
      <c r="M620" s="1">
        <v>68</v>
      </c>
      <c r="N620" s="1">
        <v>3.6060000000000002E-2</v>
      </c>
      <c r="O620" s="1">
        <v>2.1440000000000001E-4</v>
      </c>
      <c r="P6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1.2526209309407874</v>
      </c>
      <c r="Q620" s="1">
        <f>LN(Table13[[#This Row],[qe_mg_g]]-Table13[[#This Row],[qt]])</f>
        <v>2.2258529651136736</v>
      </c>
      <c r="R620" s="1">
        <v>1</v>
      </c>
    </row>
    <row r="621" spans="1:18" hidden="1" x14ac:dyDescent="0.3">
      <c r="A621" s="1">
        <v>620</v>
      </c>
      <c r="B621" s="1" t="s">
        <v>17</v>
      </c>
      <c r="C621" s="1">
        <v>0.5</v>
      </c>
      <c r="D621" s="1">
        <v>60</v>
      </c>
      <c r="E621" s="1">
        <v>25</v>
      </c>
      <c r="F621" s="1">
        <v>11</v>
      </c>
      <c r="G621" s="1">
        <v>25</v>
      </c>
      <c r="H621" s="1">
        <v>150</v>
      </c>
      <c r="I621" s="1">
        <v>100</v>
      </c>
      <c r="J621" s="1">
        <v>11.147</v>
      </c>
      <c r="K621" s="1">
        <v>19.425999999999998</v>
      </c>
      <c r="L621" s="1">
        <v>22.29</v>
      </c>
      <c r="M621" s="1">
        <v>104.4</v>
      </c>
      <c r="N621" s="1">
        <v>3.031E-2</v>
      </c>
      <c r="O621" s="1">
        <v>2.139E-4</v>
      </c>
      <c r="P6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1.3951110629622105</v>
      </c>
      <c r="Q621" s="1">
        <f>LN(Table13[[#This Row],[qe_mg_g]]-Table13[[#This Row],[qt]])</f>
        <v>2.2774610033772222</v>
      </c>
      <c r="R621" s="1">
        <v>2</v>
      </c>
    </row>
    <row r="622" spans="1:18" hidden="1" x14ac:dyDescent="0.3">
      <c r="A622" s="1">
        <v>621</v>
      </c>
      <c r="B622" s="1" t="s">
        <v>17</v>
      </c>
      <c r="C622" s="1">
        <v>0.5</v>
      </c>
      <c r="D622" s="1">
        <v>60</v>
      </c>
      <c r="E622" s="1">
        <v>25</v>
      </c>
      <c r="F622" s="1">
        <v>11</v>
      </c>
      <c r="G622" s="1">
        <v>25</v>
      </c>
      <c r="H622" s="1">
        <v>150</v>
      </c>
      <c r="I622" s="1">
        <v>100</v>
      </c>
      <c r="J622" s="1">
        <v>10.718999999999999</v>
      </c>
      <c r="K622" s="1">
        <v>19.64</v>
      </c>
      <c r="L622" s="1">
        <v>21.44</v>
      </c>
      <c r="M622" s="1">
        <v>107.8</v>
      </c>
      <c r="N622" s="1">
        <v>4.197E-2</v>
      </c>
      <c r="O622" s="1">
        <v>1.8469999999999999E-4</v>
      </c>
      <c r="P6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1.1380960196230498</v>
      </c>
      <c r="Q622" s="1">
        <f>LN(Table13[[#This Row],[qe_mg_g]]-Table13[[#This Row],[qt]])</f>
        <v>2.2597719487394801</v>
      </c>
      <c r="R622" s="1">
        <v>3</v>
      </c>
    </row>
    <row r="623" spans="1:18" hidden="1" x14ac:dyDescent="0.3">
      <c r="A623" s="1">
        <v>622</v>
      </c>
      <c r="B623" s="1" t="s">
        <v>17</v>
      </c>
      <c r="C623" s="1">
        <v>0.5</v>
      </c>
      <c r="D623" s="1">
        <v>60</v>
      </c>
      <c r="E623" s="1">
        <v>50</v>
      </c>
      <c r="F623" s="1">
        <v>3</v>
      </c>
      <c r="G623" s="1">
        <v>25</v>
      </c>
      <c r="H623" s="1">
        <v>150</v>
      </c>
      <c r="I623" s="1">
        <v>100</v>
      </c>
      <c r="J623" s="1">
        <v>25.116</v>
      </c>
      <c r="K623" s="1">
        <v>37.442</v>
      </c>
      <c r="L623" s="1">
        <v>25.12</v>
      </c>
      <c r="M623" s="1">
        <v>96.8</v>
      </c>
      <c r="N623" s="1">
        <v>3.3649999999999999E-2</v>
      </c>
      <c r="O623" s="1">
        <v>1.9909999999999999E-4</v>
      </c>
      <c r="P6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5.7965310773395542</v>
      </c>
      <c r="Q623" s="1">
        <f>LN(Table13[[#This Row],[qe_mg_g]]-Table13[[#This Row],[qt]])</f>
        <v>2.9611133399314244</v>
      </c>
      <c r="R623" s="1">
        <v>1</v>
      </c>
    </row>
    <row r="624" spans="1:18" hidden="1" x14ac:dyDescent="0.3">
      <c r="A624" s="1">
        <v>623</v>
      </c>
      <c r="B624" s="1" t="s">
        <v>17</v>
      </c>
      <c r="C624" s="1">
        <v>0.5</v>
      </c>
      <c r="D624" s="1">
        <v>60</v>
      </c>
      <c r="E624" s="1">
        <v>50</v>
      </c>
      <c r="F624" s="1">
        <v>3</v>
      </c>
      <c r="G624" s="1">
        <v>25</v>
      </c>
      <c r="H624" s="1">
        <v>150</v>
      </c>
      <c r="I624" s="1">
        <v>100</v>
      </c>
      <c r="J624" s="1">
        <v>26.643999999999998</v>
      </c>
      <c r="K624" s="1">
        <v>36.677999999999997</v>
      </c>
      <c r="L624" s="1">
        <v>26.64</v>
      </c>
      <c r="M624" s="1">
        <v>61</v>
      </c>
      <c r="N624" s="1">
        <v>3.4950000000000002E-2</v>
      </c>
      <c r="O624" s="1">
        <v>1.862E-4</v>
      </c>
      <c r="P6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6.111764254251133</v>
      </c>
      <c r="Q624" s="1">
        <f>LN(Table13[[#This Row],[qe_mg_g]]-Table13[[#This Row],[qt]])</f>
        <v>3.0219961265018496</v>
      </c>
      <c r="R624" s="1">
        <v>2</v>
      </c>
    </row>
    <row r="625" spans="1:18" hidden="1" x14ac:dyDescent="0.3">
      <c r="A625" s="1">
        <v>624</v>
      </c>
      <c r="B625" s="1" t="s">
        <v>17</v>
      </c>
      <c r="C625" s="1">
        <v>0.5</v>
      </c>
      <c r="D625" s="1">
        <v>60</v>
      </c>
      <c r="E625" s="1">
        <v>50</v>
      </c>
      <c r="F625" s="1">
        <v>3</v>
      </c>
      <c r="G625" s="1">
        <v>25</v>
      </c>
      <c r="H625" s="1">
        <v>150</v>
      </c>
      <c r="I625" s="1">
        <v>100</v>
      </c>
      <c r="J625" s="1">
        <v>25.265999999999998</v>
      </c>
      <c r="K625" s="1">
        <v>37.366999999999997</v>
      </c>
      <c r="L625" s="1">
        <v>25.27</v>
      </c>
      <c r="M625" s="1">
        <v>104.3</v>
      </c>
      <c r="N625" s="1">
        <v>3.0599999999999999E-2</v>
      </c>
      <c r="O625" s="1">
        <v>2.163E-4</v>
      </c>
      <c r="P6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6.2389956096132462</v>
      </c>
      <c r="Q625" s="1">
        <f>LN(Table13[[#This Row],[qe_mg_g]]-Table13[[#This Row],[qt]])</f>
        <v>2.9458592538033228</v>
      </c>
      <c r="R625" s="1">
        <v>3</v>
      </c>
    </row>
    <row r="626" spans="1:18" hidden="1" x14ac:dyDescent="0.3">
      <c r="A626" s="1">
        <v>625</v>
      </c>
      <c r="B626" s="1" t="s">
        <v>17</v>
      </c>
      <c r="C626" s="1">
        <v>0.5</v>
      </c>
      <c r="D626" s="1">
        <v>60</v>
      </c>
      <c r="E626" s="1">
        <v>50</v>
      </c>
      <c r="F626" s="1">
        <v>7</v>
      </c>
      <c r="G626" s="1">
        <v>25</v>
      </c>
      <c r="H626" s="1">
        <v>150</v>
      </c>
      <c r="I626" s="1">
        <v>100</v>
      </c>
      <c r="J626" s="1">
        <v>40.201999999999998</v>
      </c>
      <c r="K626" s="1">
        <v>29.899000000000001</v>
      </c>
      <c r="L626" s="1">
        <v>40.200000000000003</v>
      </c>
      <c r="M626" s="1">
        <v>82.1</v>
      </c>
      <c r="N626" s="1">
        <v>3.7769999999999998E-2</v>
      </c>
      <c r="O626" s="1">
        <v>2.0680000000000001E-4</v>
      </c>
      <c r="P6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13.379681170519214</v>
      </c>
      <c r="Q626" s="1">
        <f>LN(Table13[[#This Row],[qe_mg_g]]-Table13[[#This Row],[qt]])</f>
        <v>3.2892343330826437</v>
      </c>
      <c r="R626" s="1">
        <v>1</v>
      </c>
    </row>
    <row r="627" spans="1:18" hidden="1" x14ac:dyDescent="0.3">
      <c r="A627" s="1">
        <v>626</v>
      </c>
      <c r="B627" s="1" t="s">
        <v>17</v>
      </c>
      <c r="C627" s="1">
        <v>0.5</v>
      </c>
      <c r="D627" s="1">
        <v>60</v>
      </c>
      <c r="E627" s="1">
        <v>50</v>
      </c>
      <c r="F627" s="1">
        <v>7</v>
      </c>
      <c r="G627" s="1">
        <v>25</v>
      </c>
      <c r="H627" s="1">
        <v>150</v>
      </c>
      <c r="I627" s="1">
        <v>100</v>
      </c>
      <c r="J627" s="1">
        <v>43.715000000000003</v>
      </c>
      <c r="K627" s="1">
        <v>28.141999999999999</v>
      </c>
      <c r="L627" s="1">
        <v>43.72</v>
      </c>
      <c r="M627" s="1">
        <v>98.2</v>
      </c>
      <c r="N627" s="1">
        <v>3.3840000000000002E-2</v>
      </c>
      <c r="O627" s="1">
        <v>1.8780000000000001E-4</v>
      </c>
      <c r="P6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14.426799808843828</v>
      </c>
      <c r="Q627" s="1">
        <f>LN(Table13[[#This Row],[qe_mg_g]]-Table13[[#This Row],[qt]])</f>
        <v>3.3771847110566675</v>
      </c>
      <c r="R627" s="1">
        <v>2</v>
      </c>
    </row>
    <row r="628" spans="1:18" hidden="1" x14ac:dyDescent="0.3">
      <c r="A628" s="1">
        <v>627</v>
      </c>
      <c r="B628" s="1" t="s">
        <v>17</v>
      </c>
      <c r="C628" s="1">
        <v>0.5</v>
      </c>
      <c r="D628" s="1">
        <v>60</v>
      </c>
      <c r="E628" s="1">
        <v>50</v>
      </c>
      <c r="F628" s="1">
        <v>7</v>
      </c>
      <c r="G628" s="1">
        <v>25</v>
      </c>
      <c r="H628" s="1">
        <v>150</v>
      </c>
      <c r="I628" s="1">
        <v>100</v>
      </c>
      <c r="J628" s="1">
        <v>36.868000000000002</v>
      </c>
      <c r="K628" s="1">
        <v>31.565999999999999</v>
      </c>
      <c r="L628" s="1">
        <v>36.869999999999997</v>
      </c>
      <c r="M628" s="1">
        <v>75.099999999999994</v>
      </c>
      <c r="N628" s="1">
        <v>4.5319999999999999E-2</v>
      </c>
      <c r="O628" s="1">
        <v>2.2489999999999999E-4</v>
      </c>
      <c r="P6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12.248247759489024</v>
      </c>
      <c r="Q628" s="1">
        <f>LN(Table13[[#This Row],[qe_mg_g]]-Table13[[#This Row],[qt]])</f>
        <v>3.2035490573633068</v>
      </c>
      <c r="R628" s="1">
        <v>3</v>
      </c>
    </row>
    <row r="629" spans="1:18" hidden="1" x14ac:dyDescent="0.3">
      <c r="A629" s="1">
        <v>628</v>
      </c>
      <c r="B629" s="1" t="s">
        <v>17</v>
      </c>
      <c r="C629" s="1">
        <v>0.5</v>
      </c>
      <c r="D629" s="1">
        <v>60</v>
      </c>
      <c r="E629" s="1">
        <v>50</v>
      </c>
      <c r="F629" s="1">
        <v>11</v>
      </c>
      <c r="G629" s="1">
        <v>25</v>
      </c>
      <c r="H629" s="1">
        <v>150</v>
      </c>
      <c r="I629" s="1">
        <v>100</v>
      </c>
      <c r="J629" s="1">
        <v>27.931999999999999</v>
      </c>
      <c r="K629" s="1">
        <v>36.033999999999999</v>
      </c>
      <c r="L629" s="1">
        <v>27.93</v>
      </c>
      <c r="M629" s="1">
        <v>68.7</v>
      </c>
      <c r="N629" s="1">
        <v>3.669E-2</v>
      </c>
      <c r="O629" s="1">
        <v>2.109E-4</v>
      </c>
      <c r="P6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7.2943935381895697</v>
      </c>
      <c r="Q629" s="1">
        <f>LN(Table13[[#This Row],[qe_mg_g]]-Table13[[#This Row],[qt]])</f>
        <v>3.027114967891229</v>
      </c>
      <c r="R629" s="1">
        <v>1</v>
      </c>
    </row>
    <row r="630" spans="1:18" hidden="1" x14ac:dyDescent="0.3">
      <c r="A630" s="1">
        <v>629</v>
      </c>
      <c r="B630" s="1" t="s">
        <v>17</v>
      </c>
      <c r="C630" s="1">
        <v>0.5</v>
      </c>
      <c r="D630" s="1">
        <v>60</v>
      </c>
      <c r="E630" s="1">
        <v>50</v>
      </c>
      <c r="F630" s="1">
        <v>11</v>
      </c>
      <c r="G630" s="1">
        <v>25</v>
      </c>
      <c r="H630" s="1">
        <v>150</v>
      </c>
      <c r="I630" s="1">
        <v>100</v>
      </c>
      <c r="J630" s="1">
        <v>34.067999999999998</v>
      </c>
      <c r="K630" s="1">
        <v>32.966000000000001</v>
      </c>
      <c r="L630" s="1">
        <v>34.07</v>
      </c>
      <c r="M630" s="1">
        <v>82.4</v>
      </c>
      <c r="N630" s="1">
        <v>3.456E-2</v>
      </c>
      <c r="O630" s="1">
        <v>2.0660000000000001E-4</v>
      </c>
      <c r="P6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10.115364089054061</v>
      </c>
      <c r="Q630" s="1">
        <f>LN(Table13[[#This Row],[qe_mg_g]]-Table13[[#This Row],[qt]])</f>
        <v>3.1760783767130341</v>
      </c>
      <c r="R630" s="1">
        <v>2</v>
      </c>
    </row>
    <row r="631" spans="1:18" hidden="1" x14ac:dyDescent="0.3">
      <c r="A631" s="1">
        <v>630</v>
      </c>
      <c r="B631" s="1" t="s">
        <v>17</v>
      </c>
      <c r="C631" s="1">
        <v>0.5</v>
      </c>
      <c r="D631" s="1">
        <v>60</v>
      </c>
      <c r="E631" s="1">
        <v>50</v>
      </c>
      <c r="F631" s="1">
        <v>11</v>
      </c>
      <c r="G631" s="1">
        <v>25</v>
      </c>
      <c r="H631" s="1">
        <v>150</v>
      </c>
      <c r="I631" s="1">
        <v>100</v>
      </c>
      <c r="J631" s="1">
        <v>32.573</v>
      </c>
      <c r="K631" s="1">
        <v>33.713999999999999</v>
      </c>
      <c r="L631" s="1">
        <v>32.57</v>
      </c>
      <c r="M631" s="1">
        <v>57.2</v>
      </c>
      <c r="N631" s="1">
        <v>3.4200000000000001E-2</v>
      </c>
      <c r="O631" s="1">
        <v>1.83E-4</v>
      </c>
      <c r="P6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8.5808348233597549</v>
      </c>
      <c r="Q631" s="1">
        <f>LN(Table13[[#This Row],[qe_mg_g]]-Table13[[#This Row],[qt]])</f>
        <v>3.1777273260779042</v>
      </c>
      <c r="R631" s="1">
        <v>3</v>
      </c>
    </row>
    <row r="632" spans="1:18" hidden="1" x14ac:dyDescent="0.3">
      <c r="A632" s="1">
        <v>631</v>
      </c>
      <c r="B632" s="1" t="s">
        <v>17</v>
      </c>
      <c r="C632" s="1">
        <v>0.5</v>
      </c>
      <c r="D632" s="1">
        <v>60</v>
      </c>
      <c r="E632" s="1">
        <v>100</v>
      </c>
      <c r="F632" s="1">
        <v>3</v>
      </c>
      <c r="G632" s="1">
        <v>25</v>
      </c>
      <c r="H632" s="1">
        <v>150</v>
      </c>
      <c r="I632" s="1">
        <v>100</v>
      </c>
      <c r="J632" s="1">
        <v>57.58</v>
      </c>
      <c r="K632" s="1">
        <v>71.209999999999994</v>
      </c>
      <c r="L632" s="1">
        <v>28.79</v>
      </c>
      <c r="M632" s="1">
        <v>124.1</v>
      </c>
      <c r="N632" s="1">
        <v>3.6290000000000003E-2</v>
      </c>
      <c r="O632" s="1">
        <v>1.9369999999999999E-4</v>
      </c>
      <c r="P6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23.084324971640822</v>
      </c>
      <c r="Q632" s="1">
        <f>LN(Table13[[#This Row],[qe_mg_g]]-Table13[[#This Row],[qt]])</f>
        <v>3.5408339546820695</v>
      </c>
      <c r="R632" s="1">
        <v>1</v>
      </c>
    </row>
    <row r="633" spans="1:18" hidden="1" x14ac:dyDescent="0.3">
      <c r="A633" s="1">
        <v>632</v>
      </c>
      <c r="B633" s="1" t="s">
        <v>17</v>
      </c>
      <c r="C633" s="1">
        <v>0.5</v>
      </c>
      <c r="D633" s="1">
        <v>60</v>
      </c>
      <c r="E633" s="1">
        <v>100</v>
      </c>
      <c r="F633" s="1">
        <v>3</v>
      </c>
      <c r="G633" s="1">
        <v>25</v>
      </c>
      <c r="H633" s="1">
        <v>150</v>
      </c>
      <c r="I633" s="1">
        <v>100</v>
      </c>
      <c r="J633" s="1">
        <v>61.805</v>
      </c>
      <c r="K633" s="1">
        <v>69.097999999999999</v>
      </c>
      <c r="L633" s="1">
        <v>30.9</v>
      </c>
      <c r="M633" s="1">
        <v>91.9</v>
      </c>
      <c r="N633" s="1">
        <v>3.6470000000000002E-2</v>
      </c>
      <c r="O633" s="1">
        <v>2.1210000000000001E-4</v>
      </c>
      <c r="P6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27.210011321301703</v>
      </c>
      <c r="Q633" s="1">
        <f>LN(Table13[[#This Row],[qe_mg_g]]-Table13[[#This Row],[qt]])</f>
        <v>3.5437088356981787</v>
      </c>
      <c r="R633" s="1">
        <v>2</v>
      </c>
    </row>
    <row r="634" spans="1:18" hidden="1" x14ac:dyDescent="0.3">
      <c r="A634" s="1">
        <v>633</v>
      </c>
      <c r="B634" s="1" t="s">
        <v>17</v>
      </c>
      <c r="C634" s="1">
        <v>0.5</v>
      </c>
      <c r="D634" s="1">
        <v>60</v>
      </c>
      <c r="E634" s="1">
        <v>100</v>
      </c>
      <c r="F634" s="1">
        <v>3</v>
      </c>
      <c r="G634" s="1">
        <v>25</v>
      </c>
      <c r="H634" s="1">
        <v>150</v>
      </c>
      <c r="I634" s="1">
        <v>100</v>
      </c>
      <c r="J634" s="1">
        <v>68.225999999999999</v>
      </c>
      <c r="K634" s="1">
        <v>65.887</v>
      </c>
      <c r="L634" s="1">
        <v>34.11</v>
      </c>
      <c r="M634" s="1">
        <v>71.2</v>
      </c>
      <c r="N634" s="1">
        <v>3.6659999999999998E-2</v>
      </c>
      <c r="O634" s="1">
        <v>1.8149999999999999E-4</v>
      </c>
      <c r="P6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29.082719310227304</v>
      </c>
      <c r="Q634" s="1">
        <f>LN(Table13[[#This Row],[qe_mg_g]]-Table13[[#This Row],[qt]])</f>
        <v>3.6672287778158537</v>
      </c>
      <c r="R634" s="1">
        <v>3</v>
      </c>
    </row>
    <row r="635" spans="1:18" hidden="1" x14ac:dyDescent="0.3">
      <c r="A635" s="1">
        <v>634</v>
      </c>
      <c r="B635" s="1" t="s">
        <v>17</v>
      </c>
      <c r="C635" s="1">
        <v>0.5</v>
      </c>
      <c r="D635" s="1">
        <v>60</v>
      </c>
      <c r="E635" s="1">
        <v>100</v>
      </c>
      <c r="F635" s="1">
        <v>7</v>
      </c>
      <c r="G635" s="1">
        <v>25</v>
      </c>
      <c r="H635" s="1">
        <v>150</v>
      </c>
      <c r="I635" s="1">
        <v>100</v>
      </c>
      <c r="J635" s="1">
        <v>89.694999999999993</v>
      </c>
      <c r="K635" s="1">
        <v>55.152999999999999</v>
      </c>
      <c r="L635" s="1">
        <v>44.85</v>
      </c>
      <c r="M635" s="1">
        <v>73.900000000000006</v>
      </c>
      <c r="N635" s="1">
        <v>3.354E-2</v>
      </c>
      <c r="O635" s="1">
        <v>1.941E-4</v>
      </c>
      <c r="P6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45.825525408500752</v>
      </c>
      <c r="Q635" s="1">
        <f>LN(Table13[[#This Row],[qe_mg_g]]-Table13[[#This Row],[qt]])</f>
        <v>3.7812187386190375</v>
      </c>
      <c r="R635" s="1">
        <v>1</v>
      </c>
    </row>
    <row r="636" spans="1:18" hidden="1" x14ac:dyDescent="0.3">
      <c r="A636" s="1">
        <v>635</v>
      </c>
      <c r="B636" s="1" t="s">
        <v>17</v>
      </c>
      <c r="C636" s="1">
        <v>0.5</v>
      </c>
      <c r="D636" s="1">
        <v>60</v>
      </c>
      <c r="E636" s="1">
        <v>100</v>
      </c>
      <c r="F636" s="1">
        <v>7</v>
      </c>
      <c r="G636" s="1">
        <v>25</v>
      </c>
      <c r="H636" s="1">
        <v>150</v>
      </c>
      <c r="I636" s="1">
        <v>100</v>
      </c>
      <c r="J636" s="1">
        <v>93.266000000000005</v>
      </c>
      <c r="K636" s="1">
        <v>53.366999999999997</v>
      </c>
      <c r="L636" s="1">
        <v>46.63</v>
      </c>
      <c r="M636" s="1">
        <v>97.5</v>
      </c>
      <c r="N636" s="1">
        <v>3.0640000000000001E-2</v>
      </c>
      <c r="O636" s="1">
        <v>2.0110000000000001E-4</v>
      </c>
      <c r="P6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49.383294916446133</v>
      </c>
      <c r="Q636" s="1">
        <f>LN(Table13[[#This Row],[qe_mg_g]]-Table13[[#This Row],[qt]])</f>
        <v>3.7815202808075936</v>
      </c>
      <c r="R636" s="1">
        <v>2</v>
      </c>
    </row>
    <row r="637" spans="1:18" hidden="1" x14ac:dyDescent="0.3">
      <c r="A637" s="1">
        <v>636</v>
      </c>
      <c r="B637" s="1" t="s">
        <v>17</v>
      </c>
      <c r="C637" s="1">
        <v>0.5</v>
      </c>
      <c r="D637" s="1">
        <v>60</v>
      </c>
      <c r="E637" s="1">
        <v>100</v>
      </c>
      <c r="F637" s="1">
        <v>7</v>
      </c>
      <c r="G637" s="1">
        <v>25</v>
      </c>
      <c r="H637" s="1">
        <v>150</v>
      </c>
      <c r="I637" s="1">
        <v>100</v>
      </c>
      <c r="J637" s="1">
        <v>78.944999999999993</v>
      </c>
      <c r="K637" s="1">
        <v>60.527999999999999</v>
      </c>
      <c r="L637" s="1">
        <v>39.47</v>
      </c>
      <c r="M637" s="1">
        <v>69.5</v>
      </c>
      <c r="N637" s="1">
        <v>3.424E-2</v>
      </c>
      <c r="O637" s="1">
        <v>1.9379999999999999E-4</v>
      </c>
      <c r="P6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37.784346421063823</v>
      </c>
      <c r="Q637" s="1">
        <f>LN(Table13[[#This Row],[qe_mg_g]]-Table13[[#This Row],[qt]])</f>
        <v>3.7174827898226792</v>
      </c>
      <c r="R637" s="1">
        <v>3</v>
      </c>
    </row>
    <row r="638" spans="1:18" hidden="1" x14ac:dyDescent="0.3">
      <c r="A638" s="1">
        <v>637</v>
      </c>
      <c r="B638" s="1" t="s">
        <v>17</v>
      </c>
      <c r="C638" s="1">
        <v>0.5</v>
      </c>
      <c r="D638" s="1">
        <v>60</v>
      </c>
      <c r="E638" s="1">
        <v>100</v>
      </c>
      <c r="F638" s="1">
        <v>11</v>
      </c>
      <c r="G638" s="1">
        <v>25</v>
      </c>
      <c r="H638" s="1">
        <v>150</v>
      </c>
      <c r="I638" s="1">
        <v>100</v>
      </c>
      <c r="J638" s="1">
        <v>84.134</v>
      </c>
      <c r="K638" s="1">
        <v>57.933</v>
      </c>
      <c r="L638" s="1">
        <v>42.07</v>
      </c>
      <c r="M638" s="1">
        <v>91.3</v>
      </c>
      <c r="N638" s="1">
        <v>3.0179999999999998E-2</v>
      </c>
      <c r="O638" s="1">
        <v>1.8870000000000001E-4</v>
      </c>
      <c r="P6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41.045040798726788</v>
      </c>
      <c r="Q638" s="1">
        <f>LN(Table13[[#This Row],[qe_mg_g]]-Table13[[#This Row],[qt]])</f>
        <v>3.7632667972695022</v>
      </c>
      <c r="R638" s="1">
        <v>1</v>
      </c>
    </row>
    <row r="639" spans="1:18" hidden="1" x14ac:dyDescent="0.3">
      <c r="A639" s="1">
        <v>638</v>
      </c>
      <c r="B639" s="1" t="s">
        <v>17</v>
      </c>
      <c r="C639" s="1">
        <v>0.5</v>
      </c>
      <c r="D639" s="1">
        <v>60</v>
      </c>
      <c r="E639" s="1">
        <v>100</v>
      </c>
      <c r="F639" s="1">
        <v>11</v>
      </c>
      <c r="G639" s="1">
        <v>25</v>
      </c>
      <c r="H639" s="1">
        <v>150</v>
      </c>
      <c r="I639" s="1">
        <v>100</v>
      </c>
      <c r="J639" s="1">
        <v>74.619</v>
      </c>
      <c r="K639" s="1">
        <v>62.69</v>
      </c>
      <c r="L639" s="1">
        <v>37.31</v>
      </c>
      <c r="M639" s="1">
        <v>112.6</v>
      </c>
      <c r="N639" s="1">
        <v>2.945E-2</v>
      </c>
      <c r="O639" s="1">
        <v>1.6239999999999999E-4</v>
      </c>
      <c r="P6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31.413894037148559</v>
      </c>
      <c r="Q639" s="1">
        <f>LN(Table13[[#This Row],[qe_mg_g]]-Table13[[#This Row],[qt]])</f>
        <v>3.7659586818502775</v>
      </c>
      <c r="R639" s="1">
        <v>2</v>
      </c>
    </row>
    <row r="640" spans="1:18" hidden="1" x14ac:dyDescent="0.3">
      <c r="A640" s="1">
        <v>639</v>
      </c>
      <c r="B640" s="1" t="s">
        <v>17</v>
      </c>
      <c r="C640" s="1">
        <v>0.5</v>
      </c>
      <c r="D640" s="1">
        <v>60</v>
      </c>
      <c r="E640" s="1">
        <v>100</v>
      </c>
      <c r="F640" s="1">
        <v>11</v>
      </c>
      <c r="G640" s="1">
        <v>25</v>
      </c>
      <c r="H640" s="1">
        <v>150</v>
      </c>
      <c r="I640" s="1">
        <v>100</v>
      </c>
      <c r="J640" s="1">
        <v>80.370999999999995</v>
      </c>
      <c r="K640" s="1">
        <v>59.814</v>
      </c>
      <c r="L640" s="1">
        <v>40.19</v>
      </c>
      <c r="M640" s="1">
        <v>90.7</v>
      </c>
      <c r="N640" s="1">
        <v>3.1960000000000002E-2</v>
      </c>
      <c r="O640" s="1">
        <v>2.107E-4</v>
      </c>
      <c r="P6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40.505424868200031</v>
      </c>
      <c r="Q640" s="1">
        <f>LN(Table13[[#This Row],[qe_mg_g]]-Table13[[#This Row],[qt]])</f>
        <v>3.6855131728364681</v>
      </c>
      <c r="R640" s="1">
        <v>3</v>
      </c>
    </row>
    <row r="641" spans="1:18" hidden="1" x14ac:dyDescent="0.3">
      <c r="A641" s="1">
        <v>640</v>
      </c>
      <c r="B641" s="1" t="s">
        <v>17</v>
      </c>
      <c r="C641" s="1">
        <v>0.5</v>
      </c>
      <c r="D641" s="1">
        <v>60</v>
      </c>
      <c r="E641" s="1">
        <v>200</v>
      </c>
      <c r="F641" s="1">
        <v>3</v>
      </c>
      <c r="G641" s="1">
        <v>25</v>
      </c>
      <c r="H641" s="1">
        <v>150</v>
      </c>
      <c r="I641" s="1">
        <v>100</v>
      </c>
      <c r="J641" s="1">
        <v>54.847000000000001</v>
      </c>
      <c r="K641" s="1">
        <v>172.577</v>
      </c>
      <c r="L641" s="1">
        <v>13.71</v>
      </c>
      <c r="M641" s="1">
        <v>85.8</v>
      </c>
      <c r="N641" s="1">
        <v>3.6150000000000002E-2</v>
      </c>
      <c r="O641" s="1">
        <v>2.185E-4</v>
      </c>
      <c r="P6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22.941478921969761</v>
      </c>
      <c r="Q641" s="1">
        <f>LN(Table13[[#This Row],[qe_mg_g]]-Table13[[#This Row],[qt]])</f>
        <v>3.4627790693615301</v>
      </c>
      <c r="R641" s="1">
        <v>1</v>
      </c>
    </row>
    <row r="642" spans="1:18" hidden="1" x14ac:dyDescent="0.3">
      <c r="A642" s="1">
        <v>641</v>
      </c>
      <c r="B642" s="1" t="s">
        <v>17</v>
      </c>
      <c r="C642" s="1">
        <v>0.5</v>
      </c>
      <c r="D642" s="1">
        <v>60</v>
      </c>
      <c r="E642" s="1">
        <v>200</v>
      </c>
      <c r="F642" s="1">
        <v>3</v>
      </c>
      <c r="G642" s="1">
        <v>25</v>
      </c>
      <c r="H642" s="1">
        <v>150</v>
      </c>
      <c r="I642" s="1">
        <v>100</v>
      </c>
      <c r="J642" s="1">
        <v>66.926000000000002</v>
      </c>
      <c r="K642" s="1">
        <v>166.53700000000001</v>
      </c>
      <c r="L642" s="1">
        <v>16.73</v>
      </c>
      <c r="M642" s="1">
        <v>86.8</v>
      </c>
      <c r="N642" s="1">
        <v>3.1759999999999997E-2</v>
      </c>
      <c r="O642" s="1">
        <v>2.051E-4</v>
      </c>
      <c r="P6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30.225891842654686</v>
      </c>
      <c r="Q642" s="1">
        <f>LN(Table13[[#This Row],[qe_mg_g]]-Table13[[#This Row],[qt]])</f>
        <v>3.6027797021228118</v>
      </c>
      <c r="R642" s="1">
        <v>2</v>
      </c>
    </row>
    <row r="643" spans="1:18" hidden="1" x14ac:dyDescent="0.3">
      <c r="A643" s="1">
        <v>642</v>
      </c>
      <c r="B643" s="1" t="s">
        <v>17</v>
      </c>
      <c r="C643" s="1">
        <v>0.5</v>
      </c>
      <c r="D643" s="1">
        <v>60</v>
      </c>
      <c r="E643" s="1">
        <v>200</v>
      </c>
      <c r="F643" s="1">
        <v>3</v>
      </c>
      <c r="G643" s="1">
        <v>25</v>
      </c>
      <c r="H643" s="1">
        <v>150</v>
      </c>
      <c r="I643" s="1">
        <v>100</v>
      </c>
      <c r="J643" s="1">
        <v>67.808999999999997</v>
      </c>
      <c r="K643" s="1">
        <v>166.096</v>
      </c>
      <c r="L643" s="1">
        <v>16.95</v>
      </c>
      <c r="M643" s="1">
        <v>80.5</v>
      </c>
      <c r="N643" s="1">
        <v>3.1510000000000003E-2</v>
      </c>
      <c r="O643" s="1">
        <v>2.13E-4</v>
      </c>
      <c r="P6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31.481433514938839</v>
      </c>
      <c r="Q643" s="1">
        <f>LN(Table13[[#This Row],[qe_mg_g]]-Table13[[#This Row],[qt]])</f>
        <v>3.5925768603689403</v>
      </c>
      <c r="R643" s="1">
        <v>3</v>
      </c>
    </row>
    <row r="644" spans="1:18" hidden="1" x14ac:dyDescent="0.3">
      <c r="A644" s="1">
        <v>643</v>
      </c>
      <c r="B644" s="1" t="s">
        <v>17</v>
      </c>
      <c r="C644" s="1">
        <v>0.5</v>
      </c>
      <c r="D644" s="1">
        <v>60</v>
      </c>
      <c r="E644" s="1">
        <v>200</v>
      </c>
      <c r="F644" s="1">
        <v>7</v>
      </c>
      <c r="G644" s="1">
        <v>25</v>
      </c>
      <c r="H644" s="1">
        <v>150</v>
      </c>
      <c r="I644" s="1">
        <v>100</v>
      </c>
      <c r="J644" s="1">
        <v>119.848</v>
      </c>
      <c r="K644" s="1">
        <v>140.07599999999999</v>
      </c>
      <c r="L644" s="1">
        <v>29.96</v>
      </c>
      <c r="M644" s="1">
        <v>82.7</v>
      </c>
      <c r="N644" s="1">
        <v>3.5130000000000002E-2</v>
      </c>
      <c r="O644" s="1">
        <v>1.7100000000000001E-4</v>
      </c>
      <c r="P6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66.095836332788508</v>
      </c>
      <c r="Q644" s="1">
        <f>LN(Table13[[#This Row],[qe_mg_g]]-Table13[[#This Row],[qt]])</f>
        <v>3.9843839204712928</v>
      </c>
      <c r="R644" s="1">
        <v>1</v>
      </c>
    </row>
    <row r="645" spans="1:18" hidden="1" x14ac:dyDescent="0.3">
      <c r="A645" s="1">
        <v>644</v>
      </c>
      <c r="B645" s="1" t="s">
        <v>17</v>
      </c>
      <c r="C645" s="1">
        <v>0.5</v>
      </c>
      <c r="D645" s="1">
        <v>60</v>
      </c>
      <c r="E645" s="1">
        <v>200</v>
      </c>
      <c r="F645" s="1">
        <v>7</v>
      </c>
      <c r="G645" s="1">
        <v>25</v>
      </c>
      <c r="H645" s="1">
        <v>150</v>
      </c>
      <c r="I645" s="1">
        <v>100</v>
      </c>
      <c r="J645" s="1">
        <v>107.065</v>
      </c>
      <c r="K645" s="1">
        <v>146.46700000000001</v>
      </c>
      <c r="L645" s="1">
        <v>26.77</v>
      </c>
      <c r="M645" s="1">
        <v>85.1</v>
      </c>
      <c r="N645" s="1">
        <v>4.4170000000000001E-2</v>
      </c>
      <c r="O645" s="1">
        <v>1.7780000000000001E-4</v>
      </c>
      <c r="P6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57.08529297944137</v>
      </c>
      <c r="Q645" s="1">
        <f>LN(Table13[[#This Row],[qe_mg_g]]-Table13[[#This Row],[qt]])</f>
        <v>3.9116170634560241</v>
      </c>
      <c r="R645" s="1">
        <v>2</v>
      </c>
    </row>
    <row r="646" spans="1:18" hidden="1" x14ac:dyDescent="0.3">
      <c r="A646" s="1">
        <v>645</v>
      </c>
      <c r="B646" s="1" t="s">
        <v>17</v>
      </c>
      <c r="C646" s="1">
        <v>0.5</v>
      </c>
      <c r="D646" s="1">
        <v>60</v>
      </c>
      <c r="E646" s="1">
        <v>200</v>
      </c>
      <c r="F646" s="1">
        <v>7</v>
      </c>
      <c r="G646" s="1">
        <v>25</v>
      </c>
      <c r="H646" s="1">
        <v>150</v>
      </c>
      <c r="I646" s="1">
        <v>100</v>
      </c>
      <c r="J646" s="1">
        <v>126.53400000000001</v>
      </c>
      <c r="K646" s="1">
        <v>136.733</v>
      </c>
      <c r="L646" s="1">
        <v>31.63</v>
      </c>
      <c r="M646" s="1">
        <v>98.5</v>
      </c>
      <c r="N646" s="1">
        <v>3.5979999999999998E-2</v>
      </c>
      <c r="O646" s="1">
        <v>2.352E-4</v>
      </c>
      <c r="P6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81.110454483365899</v>
      </c>
      <c r="Q646" s="1">
        <f>LN(Table13[[#This Row],[qe_mg_g]]-Table13[[#This Row],[qt]])</f>
        <v>3.8160305943229114</v>
      </c>
      <c r="R646" s="1">
        <v>3</v>
      </c>
    </row>
    <row r="647" spans="1:18" hidden="1" x14ac:dyDescent="0.3">
      <c r="A647" s="1">
        <v>646</v>
      </c>
      <c r="B647" s="1" t="s">
        <v>17</v>
      </c>
      <c r="C647" s="1">
        <v>0.5</v>
      </c>
      <c r="D647" s="1">
        <v>60</v>
      </c>
      <c r="E647" s="1">
        <v>200</v>
      </c>
      <c r="F647" s="1">
        <v>11</v>
      </c>
      <c r="G647" s="1">
        <v>25</v>
      </c>
      <c r="H647" s="1">
        <v>150</v>
      </c>
      <c r="I647" s="1">
        <v>100</v>
      </c>
      <c r="J647" s="1">
        <v>91.885000000000005</v>
      </c>
      <c r="K647" s="1">
        <v>154.05799999999999</v>
      </c>
      <c r="L647" s="1">
        <v>22.97</v>
      </c>
      <c r="M647" s="1">
        <v>90.7</v>
      </c>
      <c r="N647" s="1">
        <v>3.4810000000000001E-2</v>
      </c>
      <c r="O647" s="1">
        <v>2.2450000000000001E-4</v>
      </c>
      <c r="P6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50.822582511114867</v>
      </c>
      <c r="Q647" s="1">
        <f>LN(Table13[[#This Row],[qe_mg_g]]-Table13[[#This Row],[qt]])</f>
        <v>3.7150932868397089</v>
      </c>
      <c r="R647" s="1">
        <v>1</v>
      </c>
    </row>
    <row r="648" spans="1:18" hidden="1" x14ac:dyDescent="0.3">
      <c r="A648" s="1">
        <v>647</v>
      </c>
      <c r="B648" s="1" t="s">
        <v>17</v>
      </c>
      <c r="C648" s="1">
        <v>0.5</v>
      </c>
      <c r="D648" s="1">
        <v>60</v>
      </c>
      <c r="E648" s="1">
        <v>200</v>
      </c>
      <c r="F648" s="1">
        <v>11</v>
      </c>
      <c r="G648" s="1">
        <v>25</v>
      </c>
      <c r="H648" s="1">
        <v>150</v>
      </c>
      <c r="I648" s="1">
        <v>100</v>
      </c>
      <c r="J648" s="1">
        <v>98.302000000000007</v>
      </c>
      <c r="K648" s="1">
        <v>150.84899999999999</v>
      </c>
      <c r="L648" s="1">
        <v>24.58</v>
      </c>
      <c r="M648" s="1">
        <v>77.7</v>
      </c>
      <c r="N648" s="1">
        <v>3.0380000000000001E-2</v>
      </c>
      <c r="O648" s="1">
        <v>1.9589999999999999E-4</v>
      </c>
      <c r="P6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52.695570637912141</v>
      </c>
      <c r="Q648" s="1">
        <f>LN(Table13[[#This Row],[qe_mg_g]]-Table13[[#This Row],[qt]])</f>
        <v>3.8200487013641387</v>
      </c>
      <c r="R648" s="1">
        <v>2</v>
      </c>
    </row>
    <row r="649" spans="1:18" hidden="1" x14ac:dyDescent="0.3">
      <c r="A649" s="1">
        <v>648</v>
      </c>
      <c r="B649" s="1" t="s">
        <v>17</v>
      </c>
      <c r="C649" s="1">
        <v>0.5</v>
      </c>
      <c r="D649" s="1">
        <v>60</v>
      </c>
      <c r="E649" s="1">
        <v>200</v>
      </c>
      <c r="F649" s="1">
        <v>11</v>
      </c>
      <c r="G649" s="1">
        <v>25</v>
      </c>
      <c r="H649" s="1">
        <v>150</v>
      </c>
      <c r="I649" s="1">
        <v>100</v>
      </c>
      <c r="J649" s="1">
        <v>81.501000000000005</v>
      </c>
      <c r="K649" s="1">
        <v>159.249</v>
      </c>
      <c r="L649" s="1">
        <v>20.38</v>
      </c>
      <c r="M649" s="1">
        <v>84.9</v>
      </c>
      <c r="N649" s="1">
        <v>3.9329999999999997E-2</v>
      </c>
      <c r="O649" s="1">
        <v>1.9090000000000001E-4</v>
      </c>
      <c r="P6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39.349215649507272</v>
      </c>
      <c r="Q649" s="1">
        <f>LN(Table13[[#This Row],[qe_mg_g]]-Table13[[#This Row],[qt]])</f>
        <v>3.741277016896857</v>
      </c>
      <c r="R649" s="1">
        <v>3</v>
      </c>
    </row>
    <row r="650" spans="1:18" hidden="1" x14ac:dyDescent="0.3">
      <c r="A650" s="1">
        <v>649</v>
      </c>
      <c r="B650" s="1" t="s">
        <v>17</v>
      </c>
      <c r="C650" s="1">
        <v>0.5</v>
      </c>
      <c r="D650" s="1">
        <v>120</v>
      </c>
      <c r="E650" s="1">
        <v>25</v>
      </c>
      <c r="F650" s="1">
        <v>3</v>
      </c>
      <c r="G650" s="1">
        <v>25</v>
      </c>
      <c r="H650" s="1">
        <v>150</v>
      </c>
      <c r="I650" s="1">
        <v>100</v>
      </c>
      <c r="J650" s="1">
        <v>14.32</v>
      </c>
      <c r="K650" s="1">
        <v>17.84</v>
      </c>
      <c r="L650" s="1">
        <v>28.64</v>
      </c>
      <c r="M650" s="1">
        <v>86.5</v>
      </c>
      <c r="N650" s="1">
        <v>3.7969999999999997E-2</v>
      </c>
      <c r="O650" s="1">
        <v>1.551E-4</v>
      </c>
      <c r="P6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3.0134619406769314</v>
      </c>
      <c r="Q650" s="1">
        <f>LN(Table13[[#This Row],[qe_mg_g]]-Table13[[#This Row],[qt]])</f>
        <v>2.4253811477206555</v>
      </c>
      <c r="R650" s="1">
        <v>1</v>
      </c>
    </row>
    <row r="651" spans="1:18" hidden="1" x14ac:dyDescent="0.3">
      <c r="A651" s="1">
        <v>650</v>
      </c>
      <c r="B651" s="1" t="s">
        <v>17</v>
      </c>
      <c r="C651" s="1">
        <v>0.5</v>
      </c>
      <c r="D651" s="1">
        <v>120</v>
      </c>
      <c r="E651" s="1">
        <v>25</v>
      </c>
      <c r="F651" s="1">
        <v>3</v>
      </c>
      <c r="G651" s="1">
        <v>25</v>
      </c>
      <c r="H651" s="1">
        <v>150</v>
      </c>
      <c r="I651" s="1">
        <v>100</v>
      </c>
      <c r="J651" s="1">
        <v>13.509</v>
      </c>
      <c r="K651" s="1">
        <v>18.245000000000001</v>
      </c>
      <c r="L651" s="1">
        <v>27.02</v>
      </c>
      <c r="M651" s="1">
        <v>88.4</v>
      </c>
      <c r="N651" s="1">
        <v>3.9199999999999999E-2</v>
      </c>
      <c r="O651" s="1">
        <v>1.9019999999999999E-4</v>
      </c>
      <c r="P6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3.1836187658903792</v>
      </c>
      <c r="Q651" s="1">
        <f>LN(Table13[[#This Row],[qe_mg_g]]-Table13[[#This Row],[qt]])</f>
        <v>2.3346050615658922</v>
      </c>
      <c r="R651" s="1">
        <v>2</v>
      </c>
    </row>
    <row r="652" spans="1:18" hidden="1" x14ac:dyDescent="0.3">
      <c r="A652" s="1">
        <v>651</v>
      </c>
      <c r="B652" s="1" t="s">
        <v>17</v>
      </c>
      <c r="C652" s="1">
        <v>0.5</v>
      </c>
      <c r="D652" s="1">
        <v>120</v>
      </c>
      <c r="E652" s="1">
        <v>25</v>
      </c>
      <c r="F652" s="1">
        <v>3</v>
      </c>
      <c r="G652" s="1">
        <v>25</v>
      </c>
      <c r="H652" s="1">
        <v>150</v>
      </c>
      <c r="I652" s="1">
        <v>100</v>
      </c>
      <c r="J652" s="1">
        <v>11.683</v>
      </c>
      <c r="K652" s="1">
        <v>19.158999999999999</v>
      </c>
      <c r="L652" s="1">
        <v>23.37</v>
      </c>
      <c r="M652" s="1">
        <v>93.7</v>
      </c>
      <c r="N652" s="1">
        <v>3.2779999999999997E-2</v>
      </c>
      <c r="O652" s="1">
        <v>1.762E-4</v>
      </c>
      <c r="P6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2.3143051444683058</v>
      </c>
      <c r="Q652" s="1">
        <f>LN(Table13[[#This Row],[qe_mg_g]]-Table13[[#This Row],[qt]])</f>
        <v>2.2373737968508283</v>
      </c>
      <c r="R652" s="1">
        <v>3</v>
      </c>
    </row>
    <row r="653" spans="1:18" hidden="1" x14ac:dyDescent="0.3">
      <c r="A653" s="1">
        <v>652</v>
      </c>
      <c r="B653" s="1" t="s">
        <v>17</v>
      </c>
      <c r="C653" s="1">
        <v>0.5</v>
      </c>
      <c r="D653" s="1">
        <v>120</v>
      </c>
      <c r="E653" s="1">
        <v>25</v>
      </c>
      <c r="F653" s="1">
        <v>7</v>
      </c>
      <c r="G653" s="1">
        <v>25</v>
      </c>
      <c r="H653" s="1">
        <v>150</v>
      </c>
      <c r="I653" s="1">
        <v>100</v>
      </c>
      <c r="J653" s="1">
        <v>20.907</v>
      </c>
      <c r="K653" s="1">
        <v>14.547000000000001</v>
      </c>
      <c r="L653" s="1">
        <v>41.81</v>
      </c>
      <c r="M653" s="1">
        <v>83.3</v>
      </c>
      <c r="N653" s="1">
        <v>3.288E-2</v>
      </c>
      <c r="O653" s="1">
        <v>1.5589999999999999E-4</v>
      </c>
      <c r="P6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5.878190533505383</v>
      </c>
      <c r="Q653" s="1">
        <f>LN(Table13[[#This Row],[qe_mg_g]]-Table13[[#This Row],[qt]])</f>
        <v>2.7099689901481674</v>
      </c>
      <c r="R653" s="1">
        <v>1</v>
      </c>
    </row>
    <row r="654" spans="1:18" hidden="1" x14ac:dyDescent="0.3">
      <c r="A654" s="1">
        <v>653</v>
      </c>
      <c r="B654" s="1" t="s">
        <v>17</v>
      </c>
      <c r="C654" s="1">
        <v>0.5</v>
      </c>
      <c r="D654" s="1">
        <v>120</v>
      </c>
      <c r="E654" s="1">
        <v>25</v>
      </c>
      <c r="F654" s="1">
        <v>7</v>
      </c>
      <c r="G654" s="1">
        <v>25</v>
      </c>
      <c r="H654" s="1">
        <v>150</v>
      </c>
      <c r="I654" s="1">
        <v>100</v>
      </c>
      <c r="J654" s="1">
        <v>24.298999999999999</v>
      </c>
      <c r="K654" s="1">
        <v>12.85</v>
      </c>
      <c r="L654" s="1">
        <v>48.6</v>
      </c>
      <c r="M654" s="1">
        <v>102.1</v>
      </c>
      <c r="N654" s="1">
        <v>3.7280000000000001E-2</v>
      </c>
      <c r="O654" s="1">
        <v>1.772E-4</v>
      </c>
      <c r="P6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8.2779693732908797</v>
      </c>
      <c r="Q654" s="1">
        <f>LN(Table13[[#This Row],[qe_mg_g]]-Table13[[#This Row],[qt]])</f>
        <v>2.7739022733230159</v>
      </c>
      <c r="R654" s="1">
        <v>2</v>
      </c>
    </row>
    <row r="655" spans="1:18" hidden="1" x14ac:dyDescent="0.3">
      <c r="A655" s="1">
        <v>654</v>
      </c>
      <c r="B655" s="1" t="s">
        <v>17</v>
      </c>
      <c r="C655" s="1">
        <v>0.5</v>
      </c>
      <c r="D655" s="1">
        <v>120</v>
      </c>
      <c r="E655" s="1">
        <v>25</v>
      </c>
      <c r="F655" s="1">
        <v>7</v>
      </c>
      <c r="G655" s="1">
        <v>25</v>
      </c>
      <c r="H655" s="1">
        <v>150</v>
      </c>
      <c r="I655" s="1">
        <v>100</v>
      </c>
      <c r="J655" s="1">
        <v>21.849</v>
      </c>
      <c r="K655" s="1">
        <v>14.074999999999999</v>
      </c>
      <c r="L655" s="1">
        <v>43.7</v>
      </c>
      <c r="M655" s="1">
        <v>85.6</v>
      </c>
      <c r="N655" s="1">
        <v>3.7100000000000001E-2</v>
      </c>
      <c r="O655" s="1">
        <v>2.1340000000000001E-4</v>
      </c>
      <c r="P6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7.8388228801206061</v>
      </c>
      <c r="Q655" s="1">
        <f>LN(Table13[[#This Row],[qe_mg_g]]-Table13[[#This Row],[qt]])</f>
        <v>2.6397840026586796</v>
      </c>
      <c r="R655" s="1">
        <v>3</v>
      </c>
    </row>
    <row r="656" spans="1:18" hidden="1" x14ac:dyDescent="0.3">
      <c r="A656" s="1">
        <v>655</v>
      </c>
      <c r="B656" s="1" t="s">
        <v>17</v>
      </c>
      <c r="C656" s="1">
        <v>0.5</v>
      </c>
      <c r="D656" s="1">
        <v>120</v>
      </c>
      <c r="E656" s="1">
        <v>25</v>
      </c>
      <c r="F656" s="1">
        <v>11</v>
      </c>
      <c r="G656" s="1">
        <v>25</v>
      </c>
      <c r="H656" s="1">
        <v>150</v>
      </c>
      <c r="I656" s="1">
        <v>100</v>
      </c>
      <c r="J656" s="1">
        <v>16.167999999999999</v>
      </c>
      <c r="K656" s="1">
        <v>16.916</v>
      </c>
      <c r="L656" s="1">
        <v>32.340000000000003</v>
      </c>
      <c r="M656" s="1">
        <v>86.8</v>
      </c>
      <c r="N656" s="1">
        <v>3.6600000000000001E-2</v>
      </c>
      <c r="O656" s="1">
        <v>2.2910000000000001E-4</v>
      </c>
      <c r="P6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4.9751273200399302</v>
      </c>
      <c r="Q656" s="1">
        <f>LN(Table13[[#This Row],[qe_mg_g]]-Table13[[#This Row],[qt]])</f>
        <v>2.4152772078723705</v>
      </c>
      <c r="R656" s="1">
        <v>1</v>
      </c>
    </row>
    <row r="657" spans="1:18" hidden="1" x14ac:dyDescent="0.3">
      <c r="A657" s="1">
        <v>656</v>
      </c>
      <c r="B657" s="1" t="s">
        <v>17</v>
      </c>
      <c r="C657" s="1">
        <v>0.5</v>
      </c>
      <c r="D657" s="1">
        <v>120</v>
      </c>
      <c r="E657" s="1">
        <v>25</v>
      </c>
      <c r="F657" s="1">
        <v>11</v>
      </c>
      <c r="G657" s="1">
        <v>25</v>
      </c>
      <c r="H657" s="1">
        <v>150</v>
      </c>
      <c r="I657" s="1">
        <v>100</v>
      </c>
      <c r="J657" s="1">
        <v>18.678999999999998</v>
      </c>
      <c r="K657" s="1">
        <v>15.661</v>
      </c>
      <c r="L657" s="1">
        <v>37.36</v>
      </c>
      <c r="M657" s="1">
        <v>95.9</v>
      </c>
      <c r="N657" s="1">
        <v>3.5290000000000002E-2</v>
      </c>
      <c r="O657" s="1">
        <v>2.2819999999999999E-4</v>
      </c>
      <c r="P6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6.3211243035229856</v>
      </c>
      <c r="Q657" s="1">
        <f>LN(Table13[[#This Row],[qe_mg_g]]-Table13[[#This Row],[qt]])</f>
        <v>2.5142935680412681</v>
      </c>
      <c r="R657" s="1">
        <v>2</v>
      </c>
    </row>
    <row r="658" spans="1:18" hidden="1" x14ac:dyDescent="0.3">
      <c r="A658" s="1">
        <v>657</v>
      </c>
      <c r="B658" s="1" t="s">
        <v>17</v>
      </c>
      <c r="C658" s="1">
        <v>0.5</v>
      </c>
      <c r="D658" s="1">
        <v>120</v>
      </c>
      <c r="E658" s="1">
        <v>25</v>
      </c>
      <c r="F658" s="1">
        <v>11</v>
      </c>
      <c r="G658" s="1">
        <v>25</v>
      </c>
      <c r="H658" s="1">
        <v>150</v>
      </c>
      <c r="I658" s="1">
        <v>100</v>
      </c>
      <c r="J658" s="1">
        <v>18.164000000000001</v>
      </c>
      <c r="K658" s="1">
        <v>15.917999999999999</v>
      </c>
      <c r="L658" s="1">
        <v>36.33</v>
      </c>
      <c r="M658" s="1">
        <v>74.599999999999994</v>
      </c>
      <c r="N658" s="1">
        <v>3.9910000000000001E-2</v>
      </c>
      <c r="O658" s="1">
        <v>2.14E-4</v>
      </c>
      <c r="P6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5.7776375786906353</v>
      </c>
      <c r="Q658" s="1">
        <f>LN(Table13[[#This Row],[qe_mg_g]]-Table13[[#This Row],[qt]])</f>
        <v>2.5165960626488535</v>
      </c>
      <c r="R658" s="1">
        <v>3</v>
      </c>
    </row>
    <row r="659" spans="1:18" hidden="1" x14ac:dyDescent="0.3">
      <c r="A659" s="1">
        <v>658</v>
      </c>
      <c r="B659" s="1" t="s">
        <v>17</v>
      </c>
      <c r="C659" s="1">
        <v>0.5</v>
      </c>
      <c r="D659" s="1">
        <v>120</v>
      </c>
      <c r="E659" s="1">
        <v>50</v>
      </c>
      <c r="F659" s="1">
        <v>3</v>
      </c>
      <c r="G659" s="1">
        <v>25</v>
      </c>
      <c r="H659" s="1">
        <v>150</v>
      </c>
      <c r="I659" s="1">
        <v>100</v>
      </c>
      <c r="J659" s="1">
        <v>35.588999999999999</v>
      </c>
      <c r="K659" s="1">
        <v>32.206000000000003</v>
      </c>
      <c r="L659" s="1">
        <v>35.590000000000003</v>
      </c>
      <c r="M659" s="1">
        <v>79.5</v>
      </c>
      <c r="N659" s="1">
        <v>3.6040000000000003E-2</v>
      </c>
      <c r="O659" s="1">
        <v>2.0929999999999999E-4</v>
      </c>
      <c r="P6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16.797154005911807</v>
      </c>
      <c r="Q659" s="1">
        <f>LN(Table13[[#This Row],[qe_mg_g]]-Table13[[#This Row],[qt]])</f>
        <v>2.9334230520318525</v>
      </c>
      <c r="R659" s="1">
        <v>1</v>
      </c>
    </row>
    <row r="660" spans="1:18" hidden="1" x14ac:dyDescent="0.3">
      <c r="A660" s="1">
        <v>659</v>
      </c>
      <c r="B660" s="1" t="s">
        <v>17</v>
      </c>
      <c r="C660" s="1">
        <v>0.5</v>
      </c>
      <c r="D660" s="1">
        <v>120</v>
      </c>
      <c r="E660" s="1">
        <v>50</v>
      </c>
      <c r="F660" s="1">
        <v>3</v>
      </c>
      <c r="G660" s="1">
        <v>25</v>
      </c>
      <c r="H660" s="1">
        <v>150</v>
      </c>
      <c r="I660" s="1">
        <v>100</v>
      </c>
      <c r="J660" s="1">
        <v>37.972999999999999</v>
      </c>
      <c r="K660" s="1">
        <v>31.013000000000002</v>
      </c>
      <c r="L660" s="1">
        <v>37.97</v>
      </c>
      <c r="M660" s="1">
        <v>89.7</v>
      </c>
      <c r="N660" s="1">
        <v>4.095E-2</v>
      </c>
      <c r="O660" s="1">
        <v>2.2139999999999999E-4</v>
      </c>
      <c r="P6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19.070301936212523</v>
      </c>
      <c r="Q660" s="1">
        <f>LN(Table13[[#This Row],[qe_mg_g]]-Table13[[#This Row],[qt]])</f>
        <v>2.9393046665748646</v>
      </c>
      <c r="R660" s="1">
        <v>2</v>
      </c>
    </row>
    <row r="661" spans="1:18" hidden="1" x14ac:dyDescent="0.3">
      <c r="A661" s="1">
        <v>660</v>
      </c>
      <c r="B661" s="1" t="s">
        <v>17</v>
      </c>
      <c r="C661" s="1">
        <v>0.5</v>
      </c>
      <c r="D661" s="1">
        <v>120</v>
      </c>
      <c r="E661" s="1">
        <v>50</v>
      </c>
      <c r="F661" s="1">
        <v>3</v>
      </c>
      <c r="G661" s="1">
        <v>25</v>
      </c>
      <c r="H661" s="1">
        <v>150</v>
      </c>
      <c r="I661" s="1">
        <v>100</v>
      </c>
      <c r="J661" s="1">
        <v>37.948</v>
      </c>
      <c r="K661" s="1">
        <v>31.026</v>
      </c>
      <c r="L661" s="1">
        <v>37.950000000000003</v>
      </c>
      <c r="M661" s="1">
        <v>97.8</v>
      </c>
      <c r="N661" s="1">
        <v>3.1390000000000001E-2</v>
      </c>
      <c r="O661" s="1">
        <v>2.0799999999999999E-4</v>
      </c>
      <c r="P6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18.459324344151728</v>
      </c>
      <c r="Q661" s="1">
        <f>LN(Table13[[#This Row],[qe_mg_g]]-Table13[[#This Row],[qt]])</f>
        <v>2.969833561279946</v>
      </c>
      <c r="R661" s="1">
        <v>3</v>
      </c>
    </row>
    <row r="662" spans="1:18" hidden="1" x14ac:dyDescent="0.3">
      <c r="A662" s="1">
        <v>661</v>
      </c>
      <c r="B662" s="1" t="s">
        <v>17</v>
      </c>
      <c r="C662" s="1">
        <v>0.5</v>
      </c>
      <c r="D662" s="1">
        <v>120</v>
      </c>
      <c r="E662" s="1">
        <v>50</v>
      </c>
      <c r="F662" s="1">
        <v>7</v>
      </c>
      <c r="G662" s="1">
        <v>25</v>
      </c>
      <c r="H662" s="1">
        <v>150</v>
      </c>
      <c r="I662" s="1">
        <v>100</v>
      </c>
      <c r="J662" s="1">
        <v>65.171000000000006</v>
      </c>
      <c r="K662" s="1">
        <v>17.414000000000001</v>
      </c>
      <c r="L662" s="1">
        <v>65.17</v>
      </c>
      <c r="M662" s="1">
        <v>82.9</v>
      </c>
      <c r="N662" s="1">
        <v>3.2030000000000003E-2</v>
      </c>
      <c r="O662" s="1">
        <v>1.8699999999999999E-4</v>
      </c>
      <c r="P6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38.704944767664422</v>
      </c>
      <c r="Q662" s="1">
        <f>LN(Table13[[#This Row],[qe_mg_g]]-Table13[[#This Row],[qt]])</f>
        <v>3.2758629772653123</v>
      </c>
      <c r="R662" s="1">
        <v>1</v>
      </c>
    </row>
    <row r="663" spans="1:18" hidden="1" x14ac:dyDescent="0.3">
      <c r="A663" s="1">
        <v>662</v>
      </c>
      <c r="B663" s="1" t="s">
        <v>17</v>
      </c>
      <c r="C663" s="1">
        <v>0.5</v>
      </c>
      <c r="D663" s="1">
        <v>120</v>
      </c>
      <c r="E663" s="1">
        <v>50</v>
      </c>
      <c r="F663" s="1">
        <v>7</v>
      </c>
      <c r="G663" s="1">
        <v>25</v>
      </c>
      <c r="H663" s="1">
        <v>150</v>
      </c>
      <c r="I663" s="1">
        <v>100</v>
      </c>
      <c r="J663" s="1">
        <v>49.173000000000002</v>
      </c>
      <c r="K663" s="1">
        <v>25.413</v>
      </c>
      <c r="L663" s="1">
        <v>49.17</v>
      </c>
      <c r="M663" s="1">
        <v>75.599999999999994</v>
      </c>
      <c r="N663" s="1">
        <v>3.3700000000000001E-2</v>
      </c>
      <c r="O663" s="1">
        <v>1.719E-4</v>
      </c>
      <c r="P6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24.761538042724421</v>
      </c>
      <c r="Q663" s="1">
        <f>LN(Table13[[#This Row],[qe_mg_g]]-Table13[[#This Row],[qt]])</f>
        <v>3.1950527743474231</v>
      </c>
      <c r="R663" s="1">
        <v>2</v>
      </c>
    </row>
    <row r="664" spans="1:18" hidden="1" x14ac:dyDescent="0.3">
      <c r="A664" s="1">
        <v>663</v>
      </c>
      <c r="B664" s="1" t="s">
        <v>17</v>
      </c>
      <c r="C664" s="1">
        <v>0.5</v>
      </c>
      <c r="D664" s="1">
        <v>120</v>
      </c>
      <c r="E664" s="1">
        <v>50</v>
      </c>
      <c r="F664" s="1">
        <v>7</v>
      </c>
      <c r="G664" s="1">
        <v>25</v>
      </c>
      <c r="H664" s="1">
        <v>150</v>
      </c>
      <c r="I664" s="1">
        <v>100</v>
      </c>
      <c r="J664" s="1">
        <v>55.273000000000003</v>
      </c>
      <c r="K664" s="1">
        <v>22.364000000000001</v>
      </c>
      <c r="L664" s="1">
        <v>55.27</v>
      </c>
      <c r="M664" s="1">
        <v>97.3</v>
      </c>
      <c r="N664" s="1">
        <v>3.1820000000000001E-2</v>
      </c>
      <c r="O664" s="1">
        <v>2.3039999999999999E-4</v>
      </c>
      <c r="P6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33.410305414463366</v>
      </c>
      <c r="Q664" s="1">
        <f>LN(Table13[[#This Row],[qe_mg_g]]-Table13[[#This Row],[qt]])</f>
        <v>3.0847817407298868</v>
      </c>
      <c r="R664" s="1">
        <v>3</v>
      </c>
    </row>
    <row r="665" spans="1:18" hidden="1" x14ac:dyDescent="0.3">
      <c r="A665" s="1">
        <v>664</v>
      </c>
      <c r="B665" s="1" t="s">
        <v>17</v>
      </c>
      <c r="C665" s="1">
        <v>0.5</v>
      </c>
      <c r="D665" s="1">
        <v>120</v>
      </c>
      <c r="E665" s="1">
        <v>50</v>
      </c>
      <c r="F665" s="1">
        <v>11</v>
      </c>
      <c r="G665" s="1">
        <v>25</v>
      </c>
      <c r="H665" s="1">
        <v>150</v>
      </c>
      <c r="I665" s="1">
        <v>100</v>
      </c>
      <c r="J665" s="1">
        <v>46.557000000000002</v>
      </c>
      <c r="K665" s="1">
        <v>26.722000000000001</v>
      </c>
      <c r="L665" s="1">
        <v>46.56</v>
      </c>
      <c r="M665" s="1">
        <v>99</v>
      </c>
      <c r="N665" s="1">
        <v>3.27E-2</v>
      </c>
      <c r="O665" s="1">
        <v>2.1709999999999999E-4</v>
      </c>
      <c r="P6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25.518119959889937</v>
      </c>
      <c r="Q665" s="1">
        <f>LN(Table13[[#This Row],[qe_mg_g]]-Table13[[#This Row],[qt]])</f>
        <v>3.0463721564199489</v>
      </c>
      <c r="R665" s="1">
        <v>1</v>
      </c>
    </row>
    <row r="666" spans="1:18" hidden="1" x14ac:dyDescent="0.3">
      <c r="A666" s="1">
        <v>665</v>
      </c>
      <c r="B666" s="1" t="s">
        <v>17</v>
      </c>
      <c r="C666" s="1">
        <v>0.5</v>
      </c>
      <c r="D666" s="1">
        <v>120</v>
      </c>
      <c r="E666" s="1">
        <v>50</v>
      </c>
      <c r="F666" s="1">
        <v>11</v>
      </c>
      <c r="G666" s="1">
        <v>25</v>
      </c>
      <c r="H666" s="1">
        <v>150</v>
      </c>
      <c r="I666" s="1">
        <v>100</v>
      </c>
      <c r="J666" s="1">
        <v>39.457999999999998</v>
      </c>
      <c r="K666" s="1">
        <v>30.271000000000001</v>
      </c>
      <c r="L666" s="1">
        <v>39.46</v>
      </c>
      <c r="M666" s="1">
        <v>97.2</v>
      </c>
      <c r="N666" s="1">
        <v>3.56E-2</v>
      </c>
      <c r="O666" s="1">
        <v>2.1110000000000001E-4</v>
      </c>
      <c r="P6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19.724560528655253</v>
      </c>
      <c r="Q666" s="1">
        <f>LN(Table13[[#This Row],[qe_mg_g]]-Table13[[#This Row],[qt]])</f>
        <v>2.9823146318228289</v>
      </c>
      <c r="R666" s="1">
        <v>2</v>
      </c>
    </row>
    <row r="667" spans="1:18" hidden="1" x14ac:dyDescent="0.3">
      <c r="A667" s="1">
        <v>666</v>
      </c>
      <c r="B667" s="1" t="s">
        <v>17</v>
      </c>
      <c r="C667" s="1">
        <v>0.5</v>
      </c>
      <c r="D667" s="1">
        <v>120</v>
      </c>
      <c r="E667" s="1">
        <v>50</v>
      </c>
      <c r="F667" s="1">
        <v>11</v>
      </c>
      <c r="G667" s="1">
        <v>25</v>
      </c>
      <c r="H667" s="1">
        <v>150</v>
      </c>
      <c r="I667" s="1">
        <v>100</v>
      </c>
      <c r="J667" s="1">
        <v>39.087000000000003</v>
      </c>
      <c r="K667" s="1">
        <v>30.456</v>
      </c>
      <c r="L667" s="1">
        <v>39.090000000000003</v>
      </c>
      <c r="M667" s="1">
        <v>74.2</v>
      </c>
      <c r="N667" s="1">
        <v>3.7089999999999998E-2</v>
      </c>
      <c r="O667" s="1">
        <v>1.8100000000000001E-4</v>
      </c>
      <c r="P6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17.947118006047951</v>
      </c>
      <c r="Q667" s="1">
        <f>LN(Table13[[#This Row],[qe_mg_g]]-Table13[[#This Row],[qt]])</f>
        <v>3.0511613983050379</v>
      </c>
      <c r="R667" s="1">
        <v>3</v>
      </c>
    </row>
    <row r="668" spans="1:18" hidden="1" x14ac:dyDescent="0.3">
      <c r="A668" s="1">
        <v>667</v>
      </c>
      <c r="B668" s="1" t="s">
        <v>17</v>
      </c>
      <c r="C668" s="1">
        <v>0.5</v>
      </c>
      <c r="D668" s="1">
        <v>120</v>
      </c>
      <c r="E668" s="1">
        <v>100</v>
      </c>
      <c r="F668" s="1">
        <v>3</v>
      </c>
      <c r="G668" s="1">
        <v>25</v>
      </c>
      <c r="H668" s="1">
        <v>150</v>
      </c>
      <c r="I668" s="1">
        <v>100</v>
      </c>
      <c r="J668" s="1">
        <v>76.314999999999998</v>
      </c>
      <c r="K668" s="1">
        <v>61.843000000000004</v>
      </c>
      <c r="L668" s="1">
        <v>38.159999999999997</v>
      </c>
      <c r="M668" s="1">
        <v>68.099999999999994</v>
      </c>
      <c r="N668" s="1">
        <v>3.7969999999999997E-2</v>
      </c>
      <c r="O668" s="1">
        <v>1.7530000000000001E-4</v>
      </c>
      <c r="P6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47.023488862244008</v>
      </c>
      <c r="Q668" s="1">
        <f>LN(Table13[[#This Row],[qe_mg_g]]-Table13[[#This Row],[qt]])</f>
        <v>3.3772977517845315</v>
      </c>
      <c r="R668" s="1">
        <v>1</v>
      </c>
    </row>
    <row r="669" spans="1:18" hidden="1" x14ac:dyDescent="0.3">
      <c r="A669" s="1">
        <v>668</v>
      </c>
      <c r="B669" s="1" t="s">
        <v>17</v>
      </c>
      <c r="C669" s="1">
        <v>0.5</v>
      </c>
      <c r="D669" s="1">
        <v>120</v>
      </c>
      <c r="E669" s="1">
        <v>100</v>
      </c>
      <c r="F669" s="1">
        <v>3</v>
      </c>
      <c r="G669" s="1">
        <v>25</v>
      </c>
      <c r="H669" s="1">
        <v>150</v>
      </c>
      <c r="I669" s="1">
        <v>100</v>
      </c>
      <c r="J669" s="1">
        <v>76.963999999999999</v>
      </c>
      <c r="K669" s="1">
        <v>61.518000000000001</v>
      </c>
      <c r="L669" s="1">
        <v>38.479999999999997</v>
      </c>
      <c r="M669" s="1">
        <v>93.8</v>
      </c>
      <c r="N669" s="1">
        <v>3.2559999999999999E-2</v>
      </c>
      <c r="O669" s="1">
        <v>2.1159999999999999E-4</v>
      </c>
      <c r="P6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50.912216338452552</v>
      </c>
      <c r="Q669" s="1">
        <f>LN(Table13[[#This Row],[qe_mg_g]]-Table13[[#This Row],[qt]])</f>
        <v>3.2600862365481653</v>
      </c>
      <c r="R669" s="1">
        <v>2</v>
      </c>
    </row>
    <row r="670" spans="1:18" hidden="1" x14ac:dyDescent="0.3">
      <c r="A670" s="1">
        <v>669</v>
      </c>
      <c r="B670" s="1" t="s">
        <v>17</v>
      </c>
      <c r="C670" s="1">
        <v>0.5</v>
      </c>
      <c r="D670" s="1">
        <v>120</v>
      </c>
      <c r="E670" s="1">
        <v>100</v>
      </c>
      <c r="F670" s="1">
        <v>3</v>
      </c>
      <c r="G670" s="1">
        <v>25</v>
      </c>
      <c r="H670" s="1">
        <v>150</v>
      </c>
      <c r="I670" s="1">
        <v>100</v>
      </c>
      <c r="J670" s="1">
        <v>74.835999999999999</v>
      </c>
      <c r="K670" s="1">
        <v>62.582000000000001</v>
      </c>
      <c r="L670" s="1">
        <v>37.42</v>
      </c>
      <c r="M670" s="1">
        <v>78.8</v>
      </c>
      <c r="N670" s="1">
        <v>3.1469999999999998E-2</v>
      </c>
      <c r="O670" s="1">
        <v>1.607E-4</v>
      </c>
      <c r="P6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44.204894575944252</v>
      </c>
      <c r="Q670" s="1">
        <f>LN(Table13[[#This Row],[qe_mg_g]]-Table13[[#This Row],[qt]])</f>
        <v>3.422016009780664</v>
      </c>
      <c r="R670" s="1">
        <v>3</v>
      </c>
    </row>
    <row r="671" spans="1:18" hidden="1" x14ac:dyDescent="0.3">
      <c r="A671" s="1">
        <v>670</v>
      </c>
      <c r="B671" s="1" t="s">
        <v>17</v>
      </c>
      <c r="C671" s="1">
        <v>0.5</v>
      </c>
      <c r="D671" s="1">
        <v>120</v>
      </c>
      <c r="E671" s="1">
        <v>100</v>
      </c>
      <c r="F671" s="1">
        <v>7</v>
      </c>
      <c r="G671" s="1">
        <v>25</v>
      </c>
      <c r="H671" s="1">
        <v>150</v>
      </c>
      <c r="I671" s="1">
        <v>100</v>
      </c>
      <c r="J671" s="1">
        <v>108.483</v>
      </c>
      <c r="K671" s="1">
        <v>45.758000000000003</v>
      </c>
      <c r="L671" s="1">
        <v>54.24</v>
      </c>
      <c r="M671" s="1">
        <v>65.599999999999994</v>
      </c>
      <c r="N671" s="1">
        <v>3.533E-2</v>
      </c>
      <c r="O671" s="1">
        <v>1.9469999999999999E-4</v>
      </c>
      <c r="P6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77.791239165582084</v>
      </c>
      <c r="Q671" s="1">
        <f>LN(Table13[[#This Row],[qe_mg_g]]-Table13[[#This Row],[qt]])</f>
        <v>3.4239942418446145</v>
      </c>
      <c r="R671" s="1">
        <v>1</v>
      </c>
    </row>
    <row r="672" spans="1:18" hidden="1" x14ac:dyDescent="0.3">
      <c r="A672" s="1">
        <v>671</v>
      </c>
      <c r="B672" s="1" t="s">
        <v>17</v>
      </c>
      <c r="C672" s="1">
        <v>0.5</v>
      </c>
      <c r="D672" s="1">
        <v>120</v>
      </c>
      <c r="E672" s="1">
        <v>100</v>
      </c>
      <c r="F672" s="1">
        <v>7</v>
      </c>
      <c r="G672" s="1">
        <v>25</v>
      </c>
      <c r="H672" s="1">
        <v>150</v>
      </c>
      <c r="I672" s="1">
        <v>100</v>
      </c>
      <c r="J672" s="1">
        <v>111.937</v>
      </c>
      <c r="K672" s="1">
        <v>44.031999999999996</v>
      </c>
      <c r="L672" s="1">
        <v>55.97</v>
      </c>
      <c r="M672" s="1">
        <v>81.8</v>
      </c>
      <c r="N672" s="1">
        <v>3.3849999999999998E-2</v>
      </c>
      <c r="O672" s="1">
        <v>2.1460000000000001E-4</v>
      </c>
      <c r="P6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83.106589146599504</v>
      </c>
      <c r="Q672" s="1">
        <f>LN(Table13[[#This Row],[qe_mg_g]]-Table13[[#This Row],[qt]])</f>
        <v>3.3614307624471547</v>
      </c>
      <c r="R672" s="1">
        <v>2</v>
      </c>
    </row>
    <row r="673" spans="1:18" hidden="1" x14ac:dyDescent="0.3">
      <c r="A673" s="1">
        <v>672</v>
      </c>
      <c r="B673" s="1" t="s">
        <v>17</v>
      </c>
      <c r="C673" s="1">
        <v>0.5</v>
      </c>
      <c r="D673" s="1">
        <v>120</v>
      </c>
      <c r="E673" s="1">
        <v>100</v>
      </c>
      <c r="F673" s="1">
        <v>7</v>
      </c>
      <c r="G673" s="1">
        <v>25</v>
      </c>
      <c r="H673" s="1">
        <v>150</v>
      </c>
      <c r="I673" s="1">
        <v>100</v>
      </c>
      <c r="J673" s="1">
        <v>108.33</v>
      </c>
      <c r="K673" s="1">
        <v>45.835000000000001</v>
      </c>
      <c r="L673" s="1">
        <v>54.17</v>
      </c>
      <c r="M673" s="1">
        <v>89.8</v>
      </c>
      <c r="N673" s="1">
        <v>3.6639999999999999E-2</v>
      </c>
      <c r="O673" s="1">
        <v>1.693E-4</v>
      </c>
      <c r="P6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74.48567748523206</v>
      </c>
      <c r="Q673" s="1">
        <f>LN(Table13[[#This Row],[qe_mg_g]]-Table13[[#This Row],[qt]])</f>
        <v>3.5217712604686855</v>
      </c>
      <c r="R673" s="1">
        <v>3</v>
      </c>
    </row>
    <row r="674" spans="1:18" hidden="1" x14ac:dyDescent="0.3">
      <c r="A674" s="1">
        <v>673</v>
      </c>
      <c r="B674" s="1" t="s">
        <v>17</v>
      </c>
      <c r="C674" s="1">
        <v>0.5</v>
      </c>
      <c r="D674" s="1">
        <v>120</v>
      </c>
      <c r="E674" s="1">
        <v>100</v>
      </c>
      <c r="F674" s="1">
        <v>11</v>
      </c>
      <c r="G674" s="1">
        <v>25</v>
      </c>
      <c r="H674" s="1">
        <v>150</v>
      </c>
      <c r="I674" s="1">
        <v>100</v>
      </c>
      <c r="J674" s="1">
        <v>92.045000000000002</v>
      </c>
      <c r="K674" s="1">
        <v>53.978000000000002</v>
      </c>
      <c r="L674" s="1">
        <v>46.02</v>
      </c>
      <c r="M674" s="1">
        <v>93.6</v>
      </c>
      <c r="N674" s="1">
        <v>3.1440000000000003E-2</v>
      </c>
      <c r="O674" s="1">
        <v>1.951E-4</v>
      </c>
      <c r="P6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62.870280900610794</v>
      </c>
      <c r="Q674" s="1">
        <f>LN(Table13[[#This Row],[qe_mg_g]]-Table13[[#This Row],[qt]])</f>
        <v>3.3733025499990781</v>
      </c>
      <c r="R674" s="1">
        <v>1</v>
      </c>
    </row>
    <row r="675" spans="1:18" hidden="1" x14ac:dyDescent="0.3">
      <c r="A675" s="1">
        <v>674</v>
      </c>
      <c r="B675" s="1" t="s">
        <v>17</v>
      </c>
      <c r="C675" s="1">
        <v>0.5</v>
      </c>
      <c r="D675" s="1">
        <v>120</v>
      </c>
      <c r="E675" s="1">
        <v>100</v>
      </c>
      <c r="F675" s="1">
        <v>11</v>
      </c>
      <c r="G675" s="1">
        <v>25</v>
      </c>
      <c r="H675" s="1">
        <v>150</v>
      </c>
      <c r="I675" s="1">
        <v>100</v>
      </c>
      <c r="J675" s="1">
        <v>85.233000000000004</v>
      </c>
      <c r="K675" s="1">
        <v>57.384</v>
      </c>
      <c r="L675" s="1">
        <v>42.62</v>
      </c>
      <c r="M675" s="1">
        <v>84</v>
      </c>
      <c r="N675" s="1">
        <v>3.6170000000000001E-2</v>
      </c>
      <c r="O675" s="1">
        <v>2.286E-4</v>
      </c>
      <c r="P6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59.699701901118196</v>
      </c>
      <c r="Q675" s="1">
        <f>LN(Table13[[#This Row],[qe_mg_g]]-Table13[[#This Row],[qt]])</f>
        <v>3.2399834081381291</v>
      </c>
      <c r="R675" s="1">
        <v>2</v>
      </c>
    </row>
    <row r="676" spans="1:18" hidden="1" x14ac:dyDescent="0.3">
      <c r="A676" s="1">
        <v>675</v>
      </c>
      <c r="B676" s="1" t="s">
        <v>17</v>
      </c>
      <c r="C676" s="1">
        <v>0.5</v>
      </c>
      <c r="D676" s="1">
        <v>120</v>
      </c>
      <c r="E676" s="1">
        <v>100</v>
      </c>
      <c r="F676" s="1">
        <v>11</v>
      </c>
      <c r="G676" s="1">
        <v>25</v>
      </c>
      <c r="H676" s="1">
        <v>150</v>
      </c>
      <c r="I676" s="1">
        <v>100</v>
      </c>
      <c r="J676" s="1">
        <v>94.825999999999993</v>
      </c>
      <c r="K676" s="1">
        <v>52.587000000000003</v>
      </c>
      <c r="L676" s="1">
        <v>47.41</v>
      </c>
      <c r="M676" s="1">
        <v>68.8</v>
      </c>
      <c r="N676" s="1">
        <v>3.7179999999999998E-2</v>
      </c>
      <c r="O676" s="1">
        <v>2.2660000000000001E-4</v>
      </c>
      <c r="P6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68.327251272110956</v>
      </c>
      <c r="Q676" s="1">
        <f>LN(Table13[[#This Row],[qe_mg_g]]-Table13[[#This Row],[qt]])</f>
        <v>3.2770975140618726</v>
      </c>
      <c r="R676" s="1">
        <v>3</v>
      </c>
    </row>
    <row r="677" spans="1:18" hidden="1" x14ac:dyDescent="0.3">
      <c r="A677" s="1">
        <v>676</v>
      </c>
      <c r="B677" s="1" t="s">
        <v>17</v>
      </c>
      <c r="C677" s="1">
        <v>0.5</v>
      </c>
      <c r="D677" s="1">
        <v>120</v>
      </c>
      <c r="E677" s="1">
        <v>200</v>
      </c>
      <c r="F677" s="1">
        <v>3</v>
      </c>
      <c r="G677" s="1">
        <v>25</v>
      </c>
      <c r="H677" s="1">
        <v>150</v>
      </c>
      <c r="I677" s="1">
        <v>100</v>
      </c>
      <c r="J677" s="1">
        <v>96.77</v>
      </c>
      <c r="K677" s="1">
        <v>151.61500000000001</v>
      </c>
      <c r="L677" s="1">
        <v>24.19</v>
      </c>
      <c r="M677" s="1">
        <v>99.7</v>
      </c>
      <c r="N677" s="1">
        <v>4.2040000000000001E-2</v>
      </c>
      <c r="O677" s="1">
        <v>2.2049999999999999E-4</v>
      </c>
      <c r="P6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69.591494033114472</v>
      </c>
      <c r="Q677" s="1">
        <f>LN(Table13[[#This Row],[qe_mg_g]]-Table13[[#This Row],[qt]])</f>
        <v>3.3024264391064388</v>
      </c>
      <c r="R677" s="1">
        <v>1</v>
      </c>
    </row>
    <row r="678" spans="1:18" hidden="1" x14ac:dyDescent="0.3">
      <c r="A678" s="1">
        <v>677</v>
      </c>
      <c r="B678" s="1" t="s">
        <v>17</v>
      </c>
      <c r="C678" s="1">
        <v>0.5</v>
      </c>
      <c r="D678" s="1">
        <v>120</v>
      </c>
      <c r="E678" s="1">
        <v>200</v>
      </c>
      <c r="F678" s="1">
        <v>3</v>
      </c>
      <c r="G678" s="1">
        <v>25</v>
      </c>
      <c r="H678" s="1">
        <v>150</v>
      </c>
      <c r="I678" s="1">
        <v>100</v>
      </c>
      <c r="J678" s="1">
        <v>95.489000000000004</v>
      </c>
      <c r="K678" s="1">
        <v>152.256</v>
      </c>
      <c r="L678" s="1">
        <v>23.87</v>
      </c>
      <c r="M678" s="1">
        <v>99.2</v>
      </c>
      <c r="N678" s="1">
        <v>3.551E-2</v>
      </c>
      <c r="O678" s="1">
        <v>2.0049999999999999E-4</v>
      </c>
      <c r="P6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66.530697135776407</v>
      </c>
      <c r="Q678" s="1">
        <f>LN(Table13[[#This Row],[qe_mg_g]]-Table13[[#This Row],[qt]])</f>
        <v>3.365856963045597</v>
      </c>
      <c r="R678" s="1">
        <v>2</v>
      </c>
    </row>
    <row r="679" spans="1:18" hidden="1" x14ac:dyDescent="0.3">
      <c r="A679" s="1">
        <v>678</v>
      </c>
      <c r="B679" s="1" t="s">
        <v>17</v>
      </c>
      <c r="C679" s="1">
        <v>0.5</v>
      </c>
      <c r="D679" s="1">
        <v>120</v>
      </c>
      <c r="E679" s="1">
        <v>200</v>
      </c>
      <c r="F679" s="1">
        <v>3</v>
      </c>
      <c r="G679" s="1">
        <v>25</v>
      </c>
      <c r="H679" s="1">
        <v>150</v>
      </c>
      <c r="I679" s="1">
        <v>100</v>
      </c>
      <c r="J679" s="1">
        <v>89.891999999999996</v>
      </c>
      <c r="K679" s="1">
        <v>155.054</v>
      </c>
      <c r="L679" s="1">
        <v>22.47</v>
      </c>
      <c r="M679" s="1">
        <v>105.8</v>
      </c>
      <c r="N679" s="1">
        <v>3.2140000000000002E-2</v>
      </c>
      <c r="O679" s="1">
        <v>2.3059999999999999E-4</v>
      </c>
      <c r="P6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64.116452745206232</v>
      </c>
      <c r="Q679" s="1">
        <f>LN(Table13[[#This Row],[qe_mg_g]]-Table13[[#This Row],[qt]])</f>
        <v>3.2494262616773861</v>
      </c>
      <c r="R679" s="1">
        <v>3</v>
      </c>
    </row>
    <row r="680" spans="1:18" hidden="1" x14ac:dyDescent="0.3">
      <c r="A680" s="1">
        <v>679</v>
      </c>
      <c r="B680" s="1" t="s">
        <v>17</v>
      </c>
      <c r="C680" s="1">
        <v>0.5</v>
      </c>
      <c r="D680" s="1">
        <v>120</v>
      </c>
      <c r="E680" s="1">
        <v>200</v>
      </c>
      <c r="F680" s="1">
        <v>7</v>
      </c>
      <c r="G680" s="1">
        <v>25</v>
      </c>
      <c r="H680" s="1">
        <v>150</v>
      </c>
      <c r="I680" s="1">
        <v>100</v>
      </c>
      <c r="J680" s="1">
        <v>139.161</v>
      </c>
      <c r="K680" s="1">
        <v>130.41999999999999</v>
      </c>
      <c r="L680" s="1">
        <v>34.79</v>
      </c>
      <c r="M680" s="1">
        <v>67.7</v>
      </c>
      <c r="N680" s="1">
        <v>3.6290000000000003E-2</v>
      </c>
      <c r="O680" s="1">
        <v>1.5799999999999999E-4</v>
      </c>
      <c r="P6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100.91411679076239</v>
      </c>
      <c r="Q680" s="1">
        <f>LN(Table13[[#This Row],[qe_mg_g]]-Table13[[#This Row],[qt]])</f>
        <v>3.6440620722266699</v>
      </c>
      <c r="R680" s="1">
        <v>1</v>
      </c>
    </row>
    <row r="681" spans="1:18" hidden="1" x14ac:dyDescent="0.3">
      <c r="A681" s="1">
        <v>680</v>
      </c>
      <c r="B681" s="1" t="s">
        <v>17</v>
      </c>
      <c r="C681" s="1">
        <v>0.5</v>
      </c>
      <c r="D681" s="1">
        <v>120</v>
      </c>
      <c r="E681" s="1">
        <v>200</v>
      </c>
      <c r="F681" s="1">
        <v>7</v>
      </c>
      <c r="G681" s="1">
        <v>25</v>
      </c>
      <c r="H681" s="1">
        <v>150</v>
      </c>
      <c r="I681" s="1">
        <v>100</v>
      </c>
      <c r="J681" s="1">
        <v>140.82599999999999</v>
      </c>
      <c r="K681" s="1">
        <v>129.58699999999999</v>
      </c>
      <c r="L681" s="1">
        <v>35.21</v>
      </c>
      <c r="M681" s="1">
        <v>97.1</v>
      </c>
      <c r="N681" s="1">
        <v>3.2930000000000001E-2</v>
      </c>
      <c r="O681" s="1">
        <v>2.0249999999999999E-4</v>
      </c>
      <c r="P6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108.97984137362944</v>
      </c>
      <c r="Q681" s="1">
        <f>LN(Table13[[#This Row],[qe_mg_g]]-Table13[[#This Row],[qt]])</f>
        <v>3.4609167664671894</v>
      </c>
      <c r="R681" s="1">
        <v>2</v>
      </c>
    </row>
    <row r="682" spans="1:18" hidden="1" x14ac:dyDescent="0.3">
      <c r="A682" s="1">
        <v>681</v>
      </c>
      <c r="B682" s="1" t="s">
        <v>17</v>
      </c>
      <c r="C682" s="1">
        <v>0.5</v>
      </c>
      <c r="D682" s="1">
        <v>120</v>
      </c>
      <c r="E682" s="1">
        <v>200</v>
      </c>
      <c r="F682" s="1">
        <v>7</v>
      </c>
      <c r="G682" s="1">
        <v>25</v>
      </c>
      <c r="H682" s="1">
        <v>150</v>
      </c>
      <c r="I682" s="1">
        <v>100</v>
      </c>
      <c r="J682" s="1">
        <v>158.43600000000001</v>
      </c>
      <c r="K682" s="1">
        <v>120.782</v>
      </c>
      <c r="L682" s="1">
        <v>39.61</v>
      </c>
      <c r="M682" s="1">
        <v>79.2</v>
      </c>
      <c r="N682" s="1">
        <v>3.1289999999999998E-2</v>
      </c>
      <c r="O682" s="1">
        <v>2.296E-4</v>
      </c>
      <c r="P6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128.90585139201167</v>
      </c>
      <c r="Q682" s="1">
        <f>LN(Table13[[#This Row],[qe_mg_g]]-Table13[[#This Row],[qt]])</f>
        <v>3.3854117281843585</v>
      </c>
      <c r="R682" s="1">
        <v>3</v>
      </c>
    </row>
    <row r="683" spans="1:18" hidden="1" x14ac:dyDescent="0.3">
      <c r="A683" s="1">
        <v>682</v>
      </c>
      <c r="B683" s="1" t="s">
        <v>17</v>
      </c>
      <c r="C683" s="1">
        <v>0.5</v>
      </c>
      <c r="D683" s="1">
        <v>120</v>
      </c>
      <c r="E683" s="1">
        <v>200</v>
      </c>
      <c r="F683" s="1">
        <v>11</v>
      </c>
      <c r="G683" s="1">
        <v>25</v>
      </c>
      <c r="H683" s="1">
        <v>150</v>
      </c>
      <c r="I683" s="1">
        <v>100</v>
      </c>
      <c r="J683" s="1">
        <v>130.15299999999999</v>
      </c>
      <c r="K683" s="1">
        <v>134.923</v>
      </c>
      <c r="L683" s="1">
        <v>32.54</v>
      </c>
      <c r="M683" s="1">
        <v>85.8</v>
      </c>
      <c r="N683" s="1">
        <v>3.8539999999999998E-2</v>
      </c>
      <c r="O683" s="1">
        <v>2.2680000000000001E-4</v>
      </c>
      <c r="P6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101.4991014809832</v>
      </c>
      <c r="Q683" s="1">
        <f>LN(Table13[[#This Row],[qe_mg_g]]-Table13[[#This Row],[qt]])</f>
        <v>3.3552895078657183</v>
      </c>
      <c r="R683" s="1">
        <v>1</v>
      </c>
    </row>
    <row r="684" spans="1:18" hidden="1" x14ac:dyDescent="0.3">
      <c r="A684" s="1">
        <v>683</v>
      </c>
      <c r="B684" s="1" t="s">
        <v>17</v>
      </c>
      <c r="C684" s="1">
        <v>0.5</v>
      </c>
      <c r="D684" s="1">
        <v>120</v>
      </c>
      <c r="E684" s="1">
        <v>200</v>
      </c>
      <c r="F684" s="1">
        <v>11</v>
      </c>
      <c r="G684" s="1">
        <v>25</v>
      </c>
      <c r="H684" s="1">
        <v>150</v>
      </c>
      <c r="I684" s="1">
        <v>100</v>
      </c>
      <c r="J684" s="1">
        <v>100.72199999999999</v>
      </c>
      <c r="K684" s="1">
        <v>149.63900000000001</v>
      </c>
      <c r="L684" s="1">
        <v>25.18</v>
      </c>
      <c r="M684" s="1">
        <v>79.5</v>
      </c>
      <c r="N684" s="1">
        <v>3.9309999999999998E-2</v>
      </c>
      <c r="O684" s="1">
        <v>2.3369999999999999E-4</v>
      </c>
      <c r="P6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74.387025876965922</v>
      </c>
      <c r="Q684" s="1">
        <f>LN(Table13[[#This Row],[qe_mg_g]]-Table13[[#This Row],[qt]])</f>
        <v>3.270897870327468</v>
      </c>
      <c r="R684" s="1">
        <v>2</v>
      </c>
    </row>
    <row r="685" spans="1:18" hidden="1" x14ac:dyDescent="0.3">
      <c r="A685" s="1">
        <v>684</v>
      </c>
      <c r="B685" s="1" t="s">
        <v>17</v>
      </c>
      <c r="C685" s="1">
        <v>0.5</v>
      </c>
      <c r="D685" s="1">
        <v>120</v>
      </c>
      <c r="E685" s="1">
        <v>200</v>
      </c>
      <c r="F685" s="1">
        <v>11</v>
      </c>
      <c r="G685" s="1">
        <v>25</v>
      </c>
      <c r="H685" s="1">
        <v>150</v>
      </c>
      <c r="I685" s="1">
        <v>100</v>
      </c>
      <c r="J685" s="1">
        <v>114.92400000000001</v>
      </c>
      <c r="K685" s="1">
        <v>142.53800000000001</v>
      </c>
      <c r="L685" s="1">
        <v>28.73</v>
      </c>
      <c r="M685" s="1">
        <v>74.400000000000006</v>
      </c>
      <c r="N685" s="1">
        <v>4.1950000000000001E-2</v>
      </c>
      <c r="O685" s="1">
        <v>1.894E-4</v>
      </c>
      <c r="P6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83.106659701697211</v>
      </c>
      <c r="Q685" s="1">
        <f>LN(Table13[[#This Row],[qe_mg_g]]-Table13[[#This Row],[qt]])</f>
        <v>3.4600114335677139</v>
      </c>
      <c r="R685" s="1">
        <v>3</v>
      </c>
    </row>
    <row r="686" spans="1:18" hidden="1" x14ac:dyDescent="0.3">
      <c r="A686" s="1">
        <v>685</v>
      </c>
      <c r="B686" s="1" t="s">
        <v>17</v>
      </c>
      <c r="C686" s="1">
        <v>0.5</v>
      </c>
      <c r="D686" s="1">
        <v>240</v>
      </c>
      <c r="E686" s="1">
        <v>25</v>
      </c>
      <c r="F686" s="1">
        <v>3</v>
      </c>
      <c r="G686" s="1">
        <v>25</v>
      </c>
      <c r="H686" s="1">
        <v>150</v>
      </c>
      <c r="I686" s="1">
        <v>100</v>
      </c>
      <c r="J686" s="1">
        <v>19.308</v>
      </c>
      <c r="K686" s="1">
        <v>15.346</v>
      </c>
      <c r="L686" s="1">
        <v>38.619999999999997</v>
      </c>
      <c r="M686" s="1">
        <v>90.1</v>
      </c>
      <c r="N686" s="1">
        <v>4.0439999999999997E-2</v>
      </c>
      <c r="O686" s="1">
        <v>2.1709999999999999E-4</v>
      </c>
      <c r="P6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9.6829906820657659</v>
      </c>
      <c r="Q686" s="1">
        <f>LN(Table13[[#This Row],[qe_mg_g]]-Table13[[#This Row],[qt]])</f>
        <v>2.2643648482704424</v>
      </c>
      <c r="R686" s="1">
        <v>1</v>
      </c>
    </row>
    <row r="687" spans="1:18" hidden="1" x14ac:dyDescent="0.3">
      <c r="A687" s="1">
        <v>686</v>
      </c>
      <c r="B687" s="1" t="s">
        <v>17</v>
      </c>
      <c r="C687" s="1">
        <v>0.5</v>
      </c>
      <c r="D687" s="1">
        <v>240</v>
      </c>
      <c r="E687" s="1">
        <v>25</v>
      </c>
      <c r="F687" s="1">
        <v>3</v>
      </c>
      <c r="G687" s="1">
        <v>25</v>
      </c>
      <c r="H687" s="1">
        <v>150</v>
      </c>
      <c r="I687" s="1">
        <v>100</v>
      </c>
      <c r="J687" s="1">
        <v>20.806999999999999</v>
      </c>
      <c r="K687" s="1">
        <v>14.597</v>
      </c>
      <c r="L687" s="1">
        <v>41.61</v>
      </c>
      <c r="M687" s="1">
        <v>91.7</v>
      </c>
      <c r="N687" s="1">
        <v>3.5150000000000001E-2</v>
      </c>
      <c r="O687" s="1">
        <v>2.1120000000000001E-4</v>
      </c>
      <c r="P6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10.680289410862347</v>
      </c>
      <c r="Q687" s="1">
        <f>LN(Table13[[#This Row],[qe_mg_g]]-Table13[[#This Row],[qt]])</f>
        <v>2.3151765457979767</v>
      </c>
      <c r="R687" s="1">
        <v>2</v>
      </c>
    </row>
    <row r="688" spans="1:18" hidden="1" x14ac:dyDescent="0.3">
      <c r="A688" s="1">
        <v>687</v>
      </c>
      <c r="B688" s="1" t="s">
        <v>17</v>
      </c>
      <c r="C688" s="1">
        <v>0.5</v>
      </c>
      <c r="D688" s="1">
        <v>240</v>
      </c>
      <c r="E688" s="1">
        <v>25</v>
      </c>
      <c r="F688" s="1">
        <v>3</v>
      </c>
      <c r="G688" s="1">
        <v>25</v>
      </c>
      <c r="H688" s="1">
        <v>150</v>
      </c>
      <c r="I688" s="1">
        <v>100</v>
      </c>
      <c r="J688" s="1">
        <v>14.923999999999999</v>
      </c>
      <c r="K688" s="1">
        <v>17.538</v>
      </c>
      <c r="L688" s="1">
        <v>29.85</v>
      </c>
      <c r="M688" s="1">
        <v>81.900000000000006</v>
      </c>
      <c r="N688" s="1">
        <v>3.5839999999999997E-2</v>
      </c>
      <c r="O688" s="1">
        <v>1.7699999999999999E-4</v>
      </c>
      <c r="P6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5.7904258725880364</v>
      </c>
      <c r="Q688" s="1">
        <f>LN(Table13[[#This Row],[qe_mg_g]]-Table13[[#This Row],[qt]])</f>
        <v>2.2119570886935609</v>
      </c>
      <c r="R688" s="1">
        <v>3</v>
      </c>
    </row>
    <row r="689" spans="1:18" hidden="1" x14ac:dyDescent="0.3">
      <c r="A689" s="1">
        <v>688</v>
      </c>
      <c r="B689" s="1" t="s">
        <v>17</v>
      </c>
      <c r="C689" s="1">
        <v>0.5</v>
      </c>
      <c r="D689" s="1">
        <v>240</v>
      </c>
      <c r="E689" s="1">
        <v>25</v>
      </c>
      <c r="F689" s="1">
        <v>7</v>
      </c>
      <c r="G689" s="1">
        <v>25</v>
      </c>
      <c r="H689" s="1">
        <v>150</v>
      </c>
      <c r="I689" s="1">
        <v>100</v>
      </c>
      <c r="J689" s="1">
        <v>30.648</v>
      </c>
      <c r="K689" s="1">
        <v>9.6760000000000002</v>
      </c>
      <c r="L689" s="1">
        <v>61.3</v>
      </c>
      <c r="M689" s="1">
        <v>83.1</v>
      </c>
      <c r="N689" s="1">
        <v>4.1140000000000003E-2</v>
      </c>
      <c r="O689" s="1">
        <v>2.3149999999999999E-4</v>
      </c>
      <c r="P6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19.308660299429601</v>
      </c>
      <c r="Q689" s="1">
        <f>LN(Table13[[#This Row],[qe_mg_g]]-Table13[[#This Row],[qt]])</f>
        <v>2.4282780691413937</v>
      </c>
      <c r="R689" s="1">
        <v>1</v>
      </c>
    </row>
    <row r="690" spans="1:18" hidden="1" x14ac:dyDescent="0.3">
      <c r="A690" s="1">
        <v>689</v>
      </c>
      <c r="B690" s="1" t="s">
        <v>17</v>
      </c>
      <c r="C690" s="1">
        <v>0.5</v>
      </c>
      <c r="D690" s="1">
        <v>240</v>
      </c>
      <c r="E690" s="1">
        <v>25</v>
      </c>
      <c r="F690" s="1">
        <v>7</v>
      </c>
      <c r="G690" s="1">
        <v>25</v>
      </c>
      <c r="H690" s="1">
        <v>150</v>
      </c>
      <c r="I690" s="1">
        <v>100</v>
      </c>
      <c r="J690" s="1">
        <v>28.134</v>
      </c>
      <c r="K690" s="1">
        <v>10.933</v>
      </c>
      <c r="L690" s="1">
        <v>56.27</v>
      </c>
      <c r="M690" s="1">
        <v>83.8</v>
      </c>
      <c r="N690" s="1">
        <v>3.474E-2</v>
      </c>
      <c r="O690" s="1">
        <v>1.9100000000000001E-4</v>
      </c>
      <c r="P6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15.846599886334344</v>
      </c>
      <c r="Q690" s="1">
        <f>LN(Table13[[#This Row],[qe_mg_g]]-Table13[[#This Row],[qt]])</f>
        <v>2.5085743563387712</v>
      </c>
      <c r="R690" s="1">
        <v>2</v>
      </c>
    </row>
    <row r="691" spans="1:18" hidden="1" x14ac:dyDescent="0.3">
      <c r="A691" s="1">
        <v>690</v>
      </c>
      <c r="B691" s="1" t="s">
        <v>17</v>
      </c>
      <c r="C691" s="1">
        <v>0.5</v>
      </c>
      <c r="D691" s="1">
        <v>240</v>
      </c>
      <c r="E691" s="1">
        <v>25</v>
      </c>
      <c r="F691" s="1">
        <v>7</v>
      </c>
      <c r="G691" s="1">
        <v>25</v>
      </c>
      <c r="H691" s="1">
        <v>150</v>
      </c>
      <c r="I691" s="1">
        <v>100</v>
      </c>
      <c r="J691" s="1">
        <v>30.084</v>
      </c>
      <c r="K691" s="1">
        <v>9.9580000000000002</v>
      </c>
      <c r="L691" s="1">
        <v>60.17</v>
      </c>
      <c r="M691" s="1">
        <v>76</v>
      </c>
      <c r="N691" s="1">
        <v>3.1040000000000002E-2</v>
      </c>
      <c r="O691" s="1">
        <v>2.1249999999999999E-4</v>
      </c>
      <c r="P6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18.213191519182537</v>
      </c>
      <c r="Q691" s="1">
        <f>LN(Table13[[#This Row],[qe_mg_g]]-Table13[[#This Row],[qt]])</f>
        <v>2.4740823175756947</v>
      </c>
      <c r="R691" s="1">
        <v>3</v>
      </c>
    </row>
    <row r="692" spans="1:18" hidden="1" x14ac:dyDescent="0.3">
      <c r="A692" s="1">
        <v>691</v>
      </c>
      <c r="B692" s="1" t="s">
        <v>17</v>
      </c>
      <c r="C692" s="1">
        <v>0.5</v>
      </c>
      <c r="D692" s="1">
        <v>240</v>
      </c>
      <c r="E692" s="1">
        <v>25</v>
      </c>
      <c r="F692" s="1">
        <v>11</v>
      </c>
      <c r="G692" s="1">
        <v>25</v>
      </c>
      <c r="H692" s="1">
        <v>150</v>
      </c>
      <c r="I692" s="1">
        <v>100</v>
      </c>
      <c r="J692" s="1">
        <v>25.222000000000001</v>
      </c>
      <c r="K692" s="1">
        <v>12.388999999999999</v>
      </c>
      <c r="L692" s="1">
        <v>50.44</v>
      </c>
      <c r="M692" s="1">
        <v>75.400000000000006</v>
      </c>
      <c r="N692" s="1">
        <v>3.8129999999999997E-2</v>
      </c>
      <c r="O692" s="1">
        <v>1.874E-4</v>
      </c>
      <c r="P6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13.405011089389983</v>
      </c>
      <c r="Q692" s="1">
        <f>LN(Table13[[#This Row],[qe_mg_g]]-Table13[[#This Row],[qt]])</f>
        <v>2.4695382342295971</v>
      </c>
      <c r="R692" s="1">
        <v>1</v>
      </c>
    </row>
    <row r="693" spans="1:18" hidden="1" x14ac:dyDescent="0.3">
      <c r="A693" s="1">
        <v>692</v>
      </c>
      <c r="B693" s="1" t="s">
        <v>17</v>
      </c>
      <c r="C693" s="1">
        <v>0.5</v>
      </c>
      <c r="D693" s="1">
        <v>240</v>
      </c>
      <c r="E693" s="1">
        <v>25</v>
      </c>
      <c r="F693" s="1">
        <v>11</v>
      </c>
      <c r="G693" s="1">
        <v>25</v>
      </c>
      <c r="H693" s="1">
        <v>150</v>
      </c>
      <c r="I693" s="1">
        <v>100</v>
      </c>
      <c r="J693" s="1">
        <v>24.329000000000001</v>
      </c>
      <c r="K693" s="1">
        <v>12.836</v>
      </c>
      <c r="L693" s="1">
        <v>48.66</v>
      </c>
      <c r="M693" s="1">
        <v>96.3</v>
      </c>
      <c r="N693" s="1">
        <v>3.4880000000000001E-2</v>
      </c>
      <c r="O693" s="1">
        <v>2.0909999999999999E-4</v>
      </c>
      <c r="P6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13.374562919060914</v>
      </c>
      <c r="Q693" s="1">
        <f>LN(Table13[[#This Row],[qe_mg_g]]-Table13[[#This Row],[qt]])</f>
        <v>2.3937445870570953</v>
      </c>
      <c r="R693" s="1">
        <v>2</v>
      </c>
    </row>
    <row r="694" spans="1:18" hidden="1" x14ac:dyDescent="0.3">
      <c r="A694" s="1">
        <v>693</v>
      </c>
      <c r="B694" s="1" t="s">
        <v>17</v>
      </c>
      <c r="C694" s="1">
        <v>0.5</v>
      </c>
      <c r="D694" s="1">
        <v>240</v>
      </c>
      <c r="E694" s="1">
        <v>25</v>
      </c>
      <c r="F694" s="1">
        <v>11</v>
      </c>
      <c r="G694" s="1">
        <v>25</v>
      </c>
      <c r="H694" s="1">
        <v>150</v>
      </c>
      <c r="I694" s="1">
        <v>100</v>
      </c>
      <c r="J694" s="1">
        <v>22.503</v>
      </c>
      <c r="K694" s="1">
        <v>13.749000000000001</v>
      </c>
      <c r="L694" s="1">
        <v>45.01</v>
      </c>
      <c r="M694" s="1">
        <v>83.2</v>
      </c>
      <c r="N694" s="1">
        <v>3.4279999999999998E-2</v>
      </c>
      <c r="O694" s="1">
        <v>1.851E-4</v>
      </c>
      <c r="P6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11.249661609627195</v>
      </c>
      <c r="Q694" s="1">
        <f>LN(Table13[[#This Row],[qe_mg_g]]-Table13[[#This Row],[qt]])</f>
        <v>2.4206648304410154</v>
      </c>
      <c r="R694" s="1">
        <v>3</v>
      </c>
    </row>
    <row r="695" spans="1:18" hidden="1" x14ac:dyDescent="0.3">
      <c r="A695" s="1">
        <v>694</v>
      </c>
      <c r="B695" s="1" t="s">
        <v>17</v>
      </c>
      <c r="C695" s="1">
        <v>0.5</v>
      </c>
      <c r="D695" s="1">
        <v>240</v>
      </c>
      <c r="E695" s="1">
        <v>50</v>
      </c>
      <c r="F695" s="1">
        <v>3</v>
      </c>
      <c r="G695" s="1">
        <v>25</v>
      </c>
      <c r="H695" s="1">
        <v>150</v>
      </c>
      <c r="I695" s="1">
        <v>100</v>
      </c>
      <c r="J695" s="1">
        <v>45.76</v>
      </c>
      <c r="K695" s="1">
        <v>27.12</v>
      </c>
      <c r="L695" s="1">
        <v>45.76</v>
      </c>
      <c r="M695" s="1">
        <v>65.8</v>
      </c>
      <c r="N695" s="1">
        <v>3.3279999999999997E-2</v>
      </c>
      <c r="O695" s="1">
        <v>1.9430000000000001E-4</v>
      </c>
      <c r="P6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31.15829370382593</v>
      </c>
      <c r="Q695" s="1">
        <f>LN(Table13[[#This Row],[qe_mg_g]]-Table13[[#This Row],[qt]])</f>
        <v>2.6811383914865345</v>
      </c>
      <c r="R695" s="1">
        <v>1</v>
      </c>
    </row>
    <row r="696" spans="1:18" hidden="1" x14ac:dyDescent="0.3">
      <c r="A696" s="1">
        <v>695</v>
      </c>
      <c r="B696" s="1" t="s">
        <v>17</v>
      </c>
      <c r="C696" s="1">
        <v>0.5</v>
      </c>
      <c r="D696" s="1">
        <v>240</v>
      </c>
      <c r="E696" s="1">
        <v>50</v>
      </c>
      <c r="F696" s="1">
        <v>3</v>
      </c>
      <c r="G696" s="1">
        <v>25</v>
      </c>
      <c r="H696" s="1">
        <v>150</v>
      </c>
      <c r="I696" s="1">
        <v>100</v>
      </c>
      <c r="J696" s="1">
        <v>45.39</v>
      </c>
      <c r="K696" s="1">
        <v>27.305</v>
      </c>
      <c r="L696" s="1">
        <v>45.39</v>
      </c>
      <c r="M696" s="1">
        <v>82.6</v>
      </c>
      <c r="N696" s="1">
        <v>3.4779999999999998E-2</v>
      </c>
      <c r="O696" s="1">
        <v>2.096E-4</v>
      </c>
      <c r="P6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31.565488104255742</v>
      </c>
      <c r="Q696" s="1">
        <f>LN(Table13[[#This Row],[qe_mg_g]]-Table13[[#This Row],[qt]])</f>
        <v>2.6264432408715139</v>
      </c>
      <c r="R696" s="1">
        <v>2</v>
      </c>
    </row>
    <row r="697" spans="1:18" hidden="1" x14ac:dyDescent="0.3">
      <c r="A697" s="1">
        <v>696</v>
      </c>
      <c r="B697" s="1" t="s">
        <v>17</v>
      </c>
      <c r="C697" s="1">
        <v>0.5</v>
      </c>
      <c r="D697" s="1">
        <v>240</v>
      </c>
      <c r="E697" s="1">
        <v>50</v>
      </c>
      <c r="F697" s="1">
        <v>3</v>
      </c>
      <c r="G697" s="1">
        <v>25</v>
      </c>
      <c r="H697" s="1">
        <v>150</v>
      </c>
      <c r="I697" s="1">
        <v>100</v>
      </c>
      <c r="J697" s="1">
        <v>50.656999999999996</v>
      </c>
      <c r="K697" s="1">
        <v>24.672000000000001</v>
      </c>
      <c r="L697" s="1">
        <v>50.66</v>
      </c>
      <c r="M697" s="1">
        <v>77.400000000000006</v>
      </c>
      <c r="N697" s="1">
        <v>3.0790000000000001E-2</v>
      </c>
      <c r="O697" s="1">
        <v>1.7919999999999999E-4</v>
      </c>
      <c r="P6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34.720391596879857</v>
      </c>
      <c r="Q697" s="1">
        <f>LN(Table13[[#This Row],[qe_mg_g]]-Table13[[#This Row],[qt]])</f>
        <v>2.7686188780201197</v>
      </c>
      <c r="R697" s="1">
        <v>3</v>
      </c>
    </row>
    <row r="698" spans="1:18" hidden="1" x14ac:dyDescent="0.3">
      <c r="A698" s="1">
        <v>697</v>
      </c>
      <c r="B698" s="1" t="s">
        <v>17</v>
      </c>
      <c r="C698" s="1">
        <v>0.5</v>
      </c>
      <c r="D698" s="1">
        <v>240</v>
      </c>
      <c r="E698" s="1">
        <v>50</v>
      </c>
      <c r="F698" s="1">
        <v>7</v>
      </c>
      <c r="G698" s="1">
        <v>25</v>
      </c>
      <c r="H698" s="1">
        <v>150</v>
      </c>
      <c r="I698" s="1">
        <v>100</v>
      </c>
      <c r="J698" s="1">
        <v>63.039000000000001</v>
      </c>
      <c r="K698" s="1">
        <v>18.48</v>
      </c>
      <c r="L698" s="1">
        <v>63.04</v>
      </c>
      <c r="M698" s="1">
        <v>81.2</v>
      </c>
      <c r="N698" s="1">
        <v>3.2309999999999998E-2</v>
      </c>
      <c r="O698" s="1">
        <v>1.741E-4</v>
      </c>
      <c r="P6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45.6921024426697</v>
      </c>
      <c r="Q698" s="1">
        <f>LN(Table13[[#This Row],[qe_mg_g]]-Table13[[#This Row],[qt]])</f>
        <v>2.8534136752640711</v>
      </c>
      <c r="R698" s="1">
        <v>1</v>
      </c>
    </row>
    <row r="699" spans="1:18" hidden="1" x14ac:dyDescent="0.3">
      <c r="A699" s="1">
        <v>698</v>
      </c>
      <c r="B699" s="1" t="s">
        <v>17</v>
      </c>
      <c r="C699" s="1">
        <v>0.5</v>
      </c>
      <c r="D699" s="1">
        <v>240</v>
      </c>
      <c r="E699" s="1">
        <v>50</v>
      </c>
      <c r="F699" s="1">
        <v>7</v>
      </c>
      <c r="G699" s="1">
        <v>25</v>
      </c>
      <c r="H699" s="1">
        <v>150</v>
      </c>
      <c r="I699" s="1">
        <v>100</v>
      </c>
      <c r="J699" s="1">
        <v>63.244999999999997</v>
      </c>
      <c r="K699" s="1">
        <v>18.376999999999999</v>
      </c>
      <c r="L699" s="1">
        <v>63.25</v>
      </c>
      <c r="M699" s="1">
        <v>88</v>
      </c>
      <c r="N699" s="1">
        <v>3.7080000000000002E-2</v>
      </c>
      <c r="O699" s="1">
        <v>1.8890000000000001E-4</v>
      </c>
      <c r="P6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46.891108754418859</v>
      </c>
      <c r="Q699" s="1">
        <f>LN(Table13[[#This Row],[qe_mg_g]]-Table13[[#This Row],[qt]])</f>
        <v>2.7944658656981765</v>
      </c>
      <c r="R699" s="1">
        <v>2</v>
      </c>
    </row>
    <row r="700" spans="1:18" hidden="1" x14ac:dyDescent="0.3">
      <c r="A700" s="1">
        <v>699</v>
      </c>
      <c r="B700" s="1" t="s">
        <v>17</v>
      </c>
      <c r="C700" s="1">
        <v>0.5</v>
      </c>
      <c r="D700" s="1">
        <v>240</v>
      </c>
      <c r="E700" s="1">
        <v>50</v>
      </c>
      <c r="F700" s="1">
        <v>7</v>
      </c>
      <c r="G700" s="1">
        <v>25</v>
      </c>
      <c r="H700" s="1">
        <v>150</v>
      </c>
      <c r="I700" s="1">
        <v>100</v>
      </c>
      <c r="J700" s="1">
        <v>63.530999999999999</v>
      </c>
      <c r="K700" s="1">
        <v>18.234000000000002</v>
      </c>
      <c r="L700" s="1">
        <v>63.53</v>
      </c>
      <c r="M700" s="1">
        <v>73.8</v>
      </c>
      <c r="N700" s="1">
        <v>3.4889999999999997E-2</v>
      </c>
      <c r="O700" s="1">
        <v>1.83E-4</v>
      </c>
      <c r="P7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46.769448208986859</v>
      </c>
      <c r="Q700" s="1">
        <f>LN(Table13[[#This Row],[qe_mg_g]]-Table13[[#This Row],[qt]])</f>
        <v>2.8190876797304414</v>
      </c>
      <c r="R700" s="1">
        <v>3</v>
      </c>
    </row>
    <row r="701" spans="1:18" hidden="1" x14ac:dyDescent="0.3">
      <c r="A701" s="1">
        <v>700</v>
      </c>
      <c r="B701" s="1" t="s">
        <v>17</v>
      </c>
      <c r="C701" s="1">
        <v>0.5</v>
      </c>
      <c r="D701" s="1">
        <v>240</v>
      </c>
      <c r="E701" s="1">
        <v>50</v>
      </c>
      <c r="F701" s="1">
        <v>11</v>
      </c>
      <c r="G701" s="1">
        <v>25</v>
      </c>
      <c r="H701" s="1">
        <v>150</v>
      </c>
      <c r="I701" s="1">
        <v>100</v>
      </c>
      <c r="J701" s="1">
        <v>57.518000000000001</v>
      </c>
      <c r="K701" s="1">
        <v>21.241</v>
      </c>
      <c r="L701" s="1">
        <v>57.52</v>
      </c>
      <c r="M701" s="1">
        <v>62.8</v>
      </c>
      <c r="N701" s="1">
        <v>3.3739999999999999E-2</v>
      </c>
      <c r="O701" s="1">
        <v>2.0599999999999999E-4</v>
      </c>
      <c r="P7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42.553733579674407</v>
      </c>
      <c r="Q701" s="1">
        <f>LN(Table13[[#This Row],[qe_mg_g]]-Table13[[#This Row],[qt]])</f>
        <v>2.7056651204122519</v>
      </c>
      <c r="R701" s="1">
        <v>1</v>
      </c>
    </row>
    <row r="702" spans="1:18" hidden="1" x14ac:dyDescent="0.3">
      <c r="A702" s="1">
        <v>701</v>
      </c>
      <c r="B702" s="1" t="s">
        <v>17</v>
      </c>
      <c r="C702" s="1">
        <v>0.5</v>
      </c>
      <c r="D702" s="1">
        <v>240</v>
      </c>
      <c r="E702" s="1">
        <v>50</v>
      </c>
      <c r="F702" s="1">
        <v>11</v>
      </c>
      <c r="G702" s="1">
        <v>25</v>
      </c>
      <c r="H702" s="1">
        <v>150</v>
      </c>
      <c r="I702" s="1">
        <v>100</v>
      </c>
      <c r="J702" s="1">
        <v>55.4</v>
      </c>
      <c r="K702" s="1">
        <v>22.3</v>
      </c>
      <c r="L702" s="1">
        <v>55.4</v>
      </c>
      <c r="M702" s="1">
        <v>120.3</v>
      </c>
      <c r="N702" s="1">
        <v>3.6220000000000002E-2</v>
      </c>
      <c r="O702" s="1">
        <v>1.7990000000000001E-4</v>
      </c>
      <c r="P7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39.067214001714163</v>
      </c>
      <c r="Q702" s="1">
        <f>LN(Table13[[#This Row],[qe_mg_g]]-Table13[[#This Row],[qt]])</f>
        <v>2.7931744985720033</v>
      </c>
      <c r="R702" s="1">
        <v>2</v>
      </c>
    </row>
    <row r="703" spans="1:18" hidden="1" x14ac:dyDescent="0.3">
      <c r="A703" s="1">
        <v>702</v>
      </c>
      <c r="B703" s="1" t="s">
        <v>17</v>
      </c>
      <c r="C703" s="1">
        <v>0.5</v>
      </c>
      <c r="D703" s="1">
        <v>240</v>
      </c>
      <c r="E703" s="1">
        <v>50</v>
      </c>
      <c r="F703" s="1">
        <v>11</v>
      </c>
      <c r="G703" s="1">
        <v>25</v>
      </c>
      <c r="H703" s="1">
        <v>150</v>
      </c>
      <c r="I703" s="1">
        <v>100</v>
      </c>
      <c r="J703" s="1">
        <v>53.881</v>
      </c>
      <c r="K703" s="1">
        <v>23.06</v>
      </c>
      <c r="L703" s="1">
        <v>53.88</v>
      </c>
      <c r="M703" s="1">
        <v>62.9</v>
      </c>
      <c r="N703" s="1">
        <v>3.4720000000000001E-2</v>
      </c>
      <c r="O703" s="1">
        <v>1.8330000000000001E-4</v>
      </c>
      <c r="P7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37.89415218188568</v>
      </c>
      <c r="Q703" s="1">
        <f>LN(Table13[[#This Row],[qe_mg_g]]-Table13[[#This Row],[qt]])</f>
        <v>2.7717663728353226</v>
      </c>
      <c r="R703" s="1">
        <v>3</v>
      </c>
    </row>
    <row r="704" spans="1:18" hidden="1" x14ac:dyDescent="0.3">
      <c r="A704" s="1">
        <v>703</v>
      </c>
      <c r="B704" s="1" t="s">
        <v>17</v>
      </c>
      <c r="C704" s="1">
        <v>0.5</v>
      </c>
      <c r="D704" s="1">
        <v>240</v>
      </c>
      <c r="E704" s="1">
        <v>100</v>
      </c>
      <c r="F704" s="1">
        <v>3</v>
      </c>
      <c r="G704" s="1">
        <v>25</v>
      </c>
      <c r="H704" s="1">
        <v>150</v>
      </c>
      <c r="I704" s="1">
        <v>100</v>
      </c>
      <c r="J704" s="1">
        <v>93.052999999999997</v>
      </c>
      <c r="K704" s="1">
        <v>53.472999999999999</v>
      </c>
      <c r="L704" s="1">
        <v>46.53</v>
      </c>
      <c r="M704" s="1">
        <v>78.599999999999994</v>
      </c>
      <c r="N704" s="1">
        <v>3.4590000000000003E-2</v>
      </c>
      <c r="O704" s="1">
        <v>1.873E-4</v>
      </c>
      <c r="P7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75.099215700677803</v>
      </c>
      <c r="Q704" s="1">
        <f>LN(Table13[[#This Row],[qe_mg_g]]-Table13[[#This Row],[qt]])</f>
        <v>2.8878009171887054</v>
      </c>
      <c r="R704" s="1">
        <v>1</v>
      </c>
    </row>
    <row r="705" spans="1:18" hidden="1" x14ac:dyDescent="0.3">
      <c r="A705" s="1">
        <v>704</v>
      </c>
      <c r="B705" s="1" t="s">
        <v>17</v>
      </c>
      <c r="C705" s="1">
        <v>0.5</v>
      </c>
      <c r="D705" s="1">
        <v>240</v>
      </c>
      <c r="E705" s="1">
        <v>100</v>
      </c>
      <c r="F705" s="1">
        <v>3</v>
      </c>
      <c r="G705" s="1">
        <v>25</v>
      </c>
      <c r="H705" s="1">
        <v>150</v>
      </c>
      <c r="I705" s="1">
        <v>100</v>
      </c>
      <c r="J705" s="1">
        <v>100.07299999999999</v>
      </c>
      <c r="K705" s="1">
        <v>49.963000000000001</v>
      </c>
      <c r="L705" s="1">
        <v>50.04</v>
      </c>
      <c r="M705" s="1">
        <v>81.599999999999994</v>
      </c>
      <c r="N705" s="1">
        <v>4.1410000000000002E-2</v>
      </c>
      <c r="O705" s="1">
        <v>2.163E-4</v>
      </c>
      <c r="P7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83.919139081865012</v>
      </c>
      <c r="Q705" s="1">
        <f>LN(Table13[[#This Row],[qe_mg_g]]-Table13[[#This Row],[qt]])</f>
        <v>2.782159087235299</v>
      </c>
      <c r="R705" s="1">
        <v>2</v>
      </c>
    </row>
    <row r="706" spans="1:18" hidden="1" x14ac:dyDescent="0.3">
      <c r="A706" s="1">
        <v>705</v>
      </c>
      <c r="B706" s="1" t="s">
        <v>17</v>
      </c>
      <c r="C706" s="1">
        <v>0.5</v>
      </c>
      <c r="D706" s="1">
        <v>240</v>
      </c>
      <c r="E706" s="1">
        <v>100</v>
      </c>
      <c r="F706" s="1">
        <v>3</v>
      </c>
      <c r="G706" s="1">
        <v>25</v>
      </c>
      <c r="H706" s="1">
        <v>150</v>
      </c>
      <c r="I706" s="1">
        <v>100</v>
      </c>
      <c r="J706" s="1">
        <v>89.358999999999995</v>
      </c>
      <c r="K706" s="1">
        <v>55.32</v>
      </c>
      <c r="L706" s="1">
        <v>44.68</v>
      </c>
      <c r="M706" s="1">
        <v>90.5</v>
      </c>
      <c r="N706" s="1">
        <v>3.6380000000000003E-2</v>
      </c>
      <c r="O706" s="1">
        <v>1.6139999999999999E-4</v>
      </c>
      <c r="P7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69.329682920100822</v>
      </c>
      <c r="Q706" s="1">
        <f>LN(Table13[[#This Row],[qe_mg_g]]-Table13[[#This Row],[qt]])</f>
        <v>2.9971970542337365</v>
      </c>
      <c r="R706" s="1">
        <v>3</v>
      </c>
    </row>
    <row r="707" spans="1:18" hidden="1" x14ac:dyDescent="0.3">
      <c r="A707" s="1">
        <v>706</v>
      </c>
      <c r="B707" s="1" t="s">
        <v>17</v>
      </c>
      <c r="C707" s="1">
        <v>0.5</v>
      </c>
      <c r="D707" s="1">
        <v>240</v>
      </c>
      <c r="E707" s="1">
        <v>100</v>
      </c>
      <c r="F707" s="1">
        <v>7</v>
      </c>
      <c r="G707" s="1">
        <v>25</v>
      </c>
      <c r="H707" s="1">
        <v>150</v>
      </c>
      <c r="I707" s="1">
        <v>100</v>
      </c>
      <c r="J707" s="1">
        <v>115.366</v>
      </c>
      <c r="K707" s="1">
        <v>42.317</v>
      </c>
      <c r="L707" s="1">
        <v>57.68</v>
      </c>
      <c r="M707" s="1">
        <v>96.6</v>
      </c>
      <c r="N707" s="1">
        <v>3.483E-2</v>
      </c>
      <c r="O707" s="1">
        <v>1.719E-4</v>
      </c>
      <c r="P7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95.335579846785038</v>
      </c>
      <c r="Q707" s="1">
        <f>LN(Table13[[#This Row],[qe_mg_g]]-Table13[[#This Row],[qt]])</f>
        <v>2.9972521256541831</v>
      </c>
      <c r="R707" s="1">
        <v>1</v>
      </c>
    </row>
    <row r="708" spans="1:18" hidden="1" x14ac:dyDescent="0.3">
      <c r="A708" s="1">
        <v>707</v>
      </c>
      <c r="B708" s="1" t="s">
        <v>17</v>
      </c>
      <c r="C708" s="1">
        <v>0.5</v>
      </c>
      <c r="D708" s="1">
        <v>240</v>
      </c>
      <c r="E708" s="1">
        <v>100</v>
      </c>
      <c r="F708" s="1">
        <v>7</v>
      </c>
      <c r="G708" s="1">
        <v>25</v>
      </c>
      <c r="H708" s="1">
        <v>150</v>
      </c>
      <c r="I708" s="1">
        <v>100</v>
      </c>
      <c r="J708" s="1">
        <v>118.053</v>
      </c>
      <c r="K708" s="1">
        <v>40.972999999999999</v>
      </c>
      <c r="L708" s="1">
        <v>59.03</v>
      </c>
      <c r="M708" s="1">
        <v>107.6</v>
      </c>
      <c r="N708" s="1">
        <v>3.9359999999999999E-2</v>
      </c>
      <c r="O708" s="1">
        <v>1.9880000000000001E-4</v>
      </c>
      <c r="P7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100.25394930393243</v>
      </c>
      <c r="Q708" s="1">
        <f>LN(Table13[[#This Row],[qe_mg_g]]-Table13[[#This Row],[qt]])</f>
        <v>2.8791451241942574</v>
      </c>
      <c r="R708" s="1">
        <v>2</v>
      </c>
    </row>
    <row r="709" spans="1:18" hidden="1" x14ac:dyDescent="0.3">
      <c r="A709" s="1">
        <v>708</v>
      </c>
      <c r="B709" s="1" t="s">
        <v>17</v>
      </c>
      <c r="C709" s="1">
        <v>0.5</v>
      </c>
      <c r="D709" s="1">
        <v>240</v>
      </c>
      <c r="E709" s="1">
        <v>100</v>
      </c>
      <c r="F709" s="1">
        <v>7</v>
      </c>
      <c r="G709" s="1">
        <v>25</v>
      </c>
      <c r="H709" s="1">
        <v>150</v>
      </c>
      <c r="I709" s="1">
        <v>100</v>
      </c>
      <c r="J709" s="1">
        <v>129.96700000000001</v>
      </c>
      <c r="K709" s="1">
        <v>35.017000000000003</v>
      </c>
      <c r="L709" s="1">
        <v>64.98</v>
      </c>
      <c r="M709" s="1">
        <v>81</v>
      </c>
      <c r="N709" s="1">
        <v>2.904E-2</v>
      </c>
      <c r="O709" s="1">
        <v>1.8149999999999999E-4</v>
      </c>
      <c r="P7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110.45642695885587</v>
      </c>
      <c r="Q709" s="1">
        <f>LN(Table13[[#This Row],[qe_mg_g]]-Table13[[#This Row],[qt]])</f>
        <v>2.9709565258666304</v>
      </c>
      <c r="R709" s="1">
        <v>3</v>
      </c>
    </row>
    <row r="710" spans="1:18" hidden="1" x14ac:dyDescent="0.3">
      <c r="A710" s="1">
        <v>709</v>
      </c>
      <c r="B710" s="1" t="s">
        <v>17</v>
      </c>
      <c r="C710" s="1">
        <v>0.5</v>
      </c>
      <c r="D710" s="1">
        <v>240</v>
      </c>
      <c r="E710" s="1">
        <v>100</v>
      </c>
      <c r="F710" s="1">
        <v>11</v>
      </c>
      <c r="G710" s="1">
        <v>25</v>
      </c>
      <c r="H710" s="1">
        <v>150</v>
      </c>
      <c r="I710" s="1">
        <v>100</v>
      </c>
      <c r="J710" s="1">
        <v>113.98</v>
      </c>
      <c r="K710" s="1">
        <v>43.01</v>
      </c>
      <c r="L710" s="1">
        <v>56.99</v>
      </c>
      <c r="M710" s="1">
        <v>82.2</v>
      </c>
      <c r="N710" s="1">
        <v>3.415E-2</v>
      </c>
      <c r="O710" s="1">
        <v>1.94E-4</v>
      </c>
      <c r="P7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95.907755162719326</v>
      </c>
      <c r="Q710" s="1">
        <f>LN(Table13[[#This Row],[qe_mg_g]]-Table13[[#This Row],[qt]])</f>
        <v>2.8943773269535606</v>
      </c>
      <c r="R710" s="1">
        <v>1</v>
      </c>
    </row>
    <row r="711" spans="1:18" hidden="1" x14ac:dyDescent="0.3">
      <c r="A711" s="1">
        <v>710</v>
      </c>
      <c r="B711" s="1" t="s">
        <v>17</v>
      </c>
      <c r="C711" s="1">
        <v>0.5</v>
      </c>
      <c r="D711" s="1">
        <v>240</v>
      </c>
      <c r="E711" s="1">
        <v>100</v>
      </c>
      <c r="F711" s="1">
        <v>11</v>
      </c>
      <c r="G711" s="1">
        <v>25</v>
      </c>
      <c r="H711" s="1">
        <v>150</v>
      </c>
      <c r="I711" s="1">
        <v>100</v>
      </c>
      <c r="J711" s="1">
        <v>117.34399999999999</v>
      </c>
      <c r="K711" s="1">
        <v>41.328000000000003</v>
      </c>
      <c r="L711" s="1">
        <v>58.67</v>
      </c>
      <c r="M711" s="1">
        <v>106.6</v>
      </c>
      <c r="N711" s="1">
        <v>4.2770000000000002E-2</v>
      </c>
      <c r="O711" s="1">
        <v>1.9680000000000001E-4</v>
      </c>
      <c r="P7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99.408051887489776</v>
      </c>
      <c r="Q711" s="1">
        <f>LN(Table13[[#This Row],[qe_mg_g]]-Table13[[#This Row],[qt]])</f>
        <v>2.8868069734013453</v>
      </c>
      <c r="R711" s="1">
        <v>2</v>
      </c>
    </row>
    <row r="712" spans="1:18" hidden="1" x14ac:dyDescent="0.3">
      <c r="A712" s="1">
        <v>711</v>
      </c>
      <c r="B712" s="1" t="s">
        <v>17</v>
      </c>
      <c r="C712" s="1">
        <v>0.5</v>
      </c>
      <c r="D712" s="1">
        <v>240</v>
      </c>
      <c r="E712" s="1">
        <v>100</v>
      </c>
      <c r="F712" s="1">
        <v>11</v>
      </c>
      <c r="G712" s="1">
        <v>25</v>
      </c>
      <c r="H712" s="1">
        <v>150</v>
      </c>
      <c r="I712" s="1">
        <v>100</v>
      </c>
      <c r="J712" s="1">
        <v>101.488</v>
      </c>
      <c r="K712" s="1">
        <v>49.256</v>
      </c>
      <c r="L712" s="1">
        <v>50.74</v>
      </c>
      <c r="M712" s="1">
        <v>66.2</v>
      </c>
      <c r="N712" s="1">
        <v>4.0169999999999997E-2</v>
      </c>
      <c r="O712" s="1">
        <v>1.7660000000000001E-4</v>
      </c>
      <c r="P7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82.344620913457462</v>
      </c>
      <c r="Q712" s="1">
        <f>LN(Table13[[#This Row],[qe_mg_g]]-Table13[[#This Row],[qt]])</f>
        <v>2.951956916238804</v>
      </c>
      <c r="R712" s="1">
        <v>3</v>
      </c>
    </row>
    <row r="713" spans="1:18" hidden="1" x14ac:dyDescent="0.3">
      <c r="A713" s="1">
        <v>712</v>
      </c>
      <c r="B713" s="1" t="s">
        <v>17</v>
      </c>
      <c r="C713" s="1">
        <v>0.5</v>
      </c>
      <c r="D713" s="1">
        <v>240</v>
      </c>
      <c r="E713" s="1">
        <v>200</v>
      </c>
      <c r="F713" s="1">
        <v>3</v>
      </c>
      <c r="G713" s="1">
        <v>25</v>
      </c>
      <c r="H713" s="1">
        <v>150</v>
      </c>
      <c r="I713" s="1">
        <v>100</v>
      </c>
      <c r="J713" s="1">
        <v>108.842</v>
      </c>
      <c r="K713" s="1">
        <v>145.57900000000001</v>
      </c>
      <c r="L713" s="1">
        <v>27.21</v>
      </c>
      <c r="M713" s="1">
        <v>71.599999999999994</v>
      </c>
      <c r="N713" s="1">
        <v>3.2939999999999997E-2</v>
      </c>
      <c r="O713" s="1">
        <v>1.8330000000000001E-4</v>
      </c>
      <c r="P7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90.037807412991484</v>
      </c>
      <c r="Q713" s="1">
        <f>LN(Table13[[#This Row],[qe_mg_g]]-Table13[[#This Row],[qt]])</f>
        <v>2.9340798549201432</v>
      </c>
      <c r="R713" s="1">
        <v>1</v>
      </c>
    </row>
    <row r="714" spans="1:18" hidden="1" x14ac:dyDescent="0.3">
      <c r="A714" s="1">
        <v>713</v>
      </c>
      <c r="B714" s="1" t="s">
        <v>17</v>
      </c>
      <c r="C714" s="1">
        <v>0.5</v>
      </c>
      <c r="D714" s="1">
        <v>240</v>
      </c>
      <c r="E714" s="1">
        <v>200</v>
      </c>
      <c r="F714" s="1">
        <v>3</v>
      </c>
      <c r="G714" s="1">
        <v>25</v>
      </c>
      <c r="H714" s="1">
        <v>150</v>
      </c>
      <c r="I714" s="1">
        <v>100</v>
      </c>
      <c r="J714" s="1">
        <v>100.057</v>
      </c>
      <c r="K714" s="1">
        <v>149.97200000000001</v>
      </c>
      <c r="L714" s="1">
        <v>25.01</v>
      </c>
      <c r="M714" s="1">
        <v>78.8</v>
      </c>
      <c r="N714" s="1">
        <v>3.3079999999999998E-2</v>
      </c>
      <c r="O714" s="1">
        <v>2.1670000000000001E-4</v>
      </c>
      <c r="P7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83.928566899476749</v>
      </c>
      <c r="Q714" s="1">
        <f>LN(Table13[[#This Row],[qe_mg_g]]-Table13[[#This Row],[qt]])</f>
        <v>2.7805837454794919</v>
      </c>
      <c r="R714" s="1">
        <v>2</v>
      </c>
    </row>
    <row r="715" spans="1:18" hidden="1" x14ac:dyDescent="0.3">
      <c r="A715" s="1">
        <v>714</v>
      </c>
      <c r="B715" s="1" t="s">
        <v>17</v>
      </c>
      <c r="C715" s="1">
        <v>0.5</v>
      </c>
      <c r="D715" s="1">
        <v>240</v>
      </c>
      <c r="E715" s="1">
        <v>200</v>
      </c>
      <c r="F715" s="1">
        <v>3</v>
      </c>
      <c r="G715" s="1">
        <v>25</v>
      </c>
      <c r="H715" s="1">
        <v>150</v>
      </c>
      <c r="I715" s="1">
        <v>100</v>
      </c>
      <c r="J715" s="1">
        <v>94.762</v>
      </c>
      <c r="K715" s="1">
        <v>152.619</v>
      </c>
      <c r="L715" s="1">
        <v>23.69</v>
      </c>
      <c r="M715" s="1">
        <v>88.5</v>
      </c>
      <c r="N715" s="1">
        <v>3.9260000000000003E-2</v>
      </c>
      <c r="O715" s="1">
        <v>1.897E-4</v>
      </c>
      <c r="P7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76.930570450608641</v>
      </c>
      <c r="Q715" s="1">
        <f>LN(Table13[[#This Row],[qe_mg_g]]-Table13[[#This Row],[qt]])</f>
        <v>2.8809626052954749</v>
      </c>
      <c r="R715" s="1">
        <v>3</v>
      </c>
    </row>
    <row r="716" spans="1:18" hidden="1" x14ac:dyDescent="0.3">
      <c r="A716" s="1">
        <v>715</v>
      </c>
      <c r="B716" s="1" t="s">
        <v>17</v>
      </c>
      <c r="C716" s="1">
        <v>0.5</v>
      </c>
      <c r="D716" s="1">
        <v>240</v>
      </c>
      <c r="E716" s="1">
        <v>200</v>
      </c>
      <c r="F716" s="1">
        <v>7</v>
      </c>
      <c r="G716" s="1">
        <v>25</v>
      </c>
      <c r="H716" s="1">
        <v>150</v>
      </c>
      <c r="I716" s="1">
        <v>100</v>
      </c>
      <c r="J716" s="1">
        <v>136.751</v>
      </c>
      <c r="K716" s="1">
        <v>131.625</v>
      </c>
      <c r="L716" s="1">
        <v>34.19</v>
      </c>
      <c r="M716" s="1">
        <v>82.8</v>
      </c>
      <c r="N716" s="1">
        <v>3.9129999999999998E-2</v>
      </c>
      <c r="O716" s="1">
        <v>2.039E-4</v>
      </c>
      <c r="P7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118.97276734778052</v>
      </c>
      <c r="Q716" s="1">
        <f>LN(Table13[[#This Row],[qe_mg_g]]-Table13[[#This Row],[qt]])</f>
        <v>2.87797482425762</v>
      </c>
      <c r="R716" s="1">
        <v>1</v>
      </c>
    </row>
    <row r="717" spans="1:18" hidden="1" x14ac:dyDescent="0.3">
      <c r="A717" s="1">
        <v>716</v>
      </c>
      <c r="B717" s="1" t="s">
        <v>17</v>
      </c>
      <c r="C717" s="1">
        <v>0.5</v>
      </c>
      <c r="D717" s="1">
        <v>240</v>
      </c>
      <c r="E717" s="1">
        <v>200</v>
      </c>
      <c r="F717" s="1">
        <v>7</v>
      </c>
      <c r="G717" s="1">
        <v>25</v>
      </c>
      <c r="H717" s="1">
        <v>150</v>
      </c>
      <c r="I717" s="1">
        <v>100</v>
      </c>
      <c r="J717" s="1">
        <v>139.501</v>
      </c>
      <c r="K717" s="1">
        <v>130.249</v>
      </c>
      <c r="L717" s="1">
        <v>34.880000000000003</v>
      </c>
      <c r="M717" s="1">
        <v>91.9</v>
      </c>
      <c r="N717" s="1">
        <v>3.1140000000000001E-2</v>
      </c>
      <c r="O717" s="1">
        <v>2.1359999999999999E-4</v>
      </c>
      <c r="P7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122.38720913320813</v>
      </c>
      <c r="Q717" s="1">
        <f>LN(Table13[[#This Row],[qe_mg_g]]-Table13[[#This Row],[qt]])</f>
        <v>2.8398846219137117</v>
      </c>
      <c r="R717" s="1">
        <v>2</v>
      </c>
    </row>
    <row r="718" spans="1:18" hidden="1" x14ac:dyDescent="0.3">
      <c r="A718" s="1">
        <v>717</v>
      </c>
      <c r="B718" s="1" t="s">
        <v>17</v>
      </c>
      <c r="C718" s="1">
        <v>0.5</v>
      </c>
      <c r="D718" s="1">
        <v>240</v>
      </c>
      <c r="E718" s="1">
        <v>200</v>
      </c>
      <c r="F718" s="1">
        <v>7</v>
      </c>
      <c r="G718" s="1">
        <v>25</v>
      </c>
      <c r="H718" s="1">
        <v>150</v>
      </c>
      <c r="I718" s="1">
        <v>100</v>
      </c>
      <c r="J718" s="1">
        <v>153.34800000000001</v>
      </c>
      <c r="K718" s="1">
        <v>123.32599999999999</v>
      </c>
      <c r="L718" s="1">
        <v>38.340000000000003</v>
      </c>
      <c r="M718" s="1">
        <v>81.8</v>
      </c>
      <c r="N718" s="1">
        <v>3.2059999999999998E-2</v>
      </c>
      <c r="O718" s="1">
        <v>1.8230000000000001E-4</v>
      </c>
      <c r="P7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133.45665265442756</v>
      </c>
      <c r="Q718" s="1">
        <f>LN(Table13[[#This Row],[qe_mg_g]]-Table13[[#This Row],[qt]])</f>
        <v>2.9902848304194265</v>
      </c>
      <c r="R718" s="1">
        <v>3</v>
      </c>
    </row>
    <row r="719" spans="1:18" hidden="1" x14ac:dyDescent="0.3">
      <c r="A719" s="1">
        <v>718</v>
      </c>
      <c r="B719" s="1" t="s">
        <v>17</v>
      </c>
      <c r="C719" s="1">
        <v>0.5</v>
      </c>
      <c r="D719" s="1">
        <v>240</v>
      </c>
      <c r="E719" s="1">
        <v>200</v>
      </c>
      <c r="F719" s="1">
        <v>11</v>
      </c>
      <c r="G719" s="1">
        <v>25</v>
      </c>
      <c r="H719" s="1">
        <v>150</v>
      </c>
      <c r="I719" s="1">
        <v>100</v>
      </c>
      <c r="J719" s="1">
        <v>129.37799999999999</v>
      </c>
      <c r="K719" s="1">
        <v>135.31100000000001</v>
      </c>
      <c r="L719" s="1">
        <v>32.340000000000003</v>
      </c>
      <c r="M719" s="1">
        <v>101.5</v>
      </c>
      <c r="N719" s="1">
        <v>3.2770000000000001E-2</v>
      </c>
      <c r="O719" s="1">
        <v>2.0919999999999999E-4</v>
      </c>
      <c r="P7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112.11795882636639</v>
      </c>
      <c r="Q719" s="1">
        <f>LN(Table13[[#This Row],[qe_mg_g]]-Table13[[#This Row],[qt]])</f>
        <v>2.8483940711468514</v>
      </c>
      <c r="R719" s="1">
        <v>1</v>
      </c>
    </row>
    <row r="720" spans="1:18" hidden="1" x14ac:dyDescent="0.3">
      <c r="A720" s="1">
        <v>719</v>
      </c>
      <c r="B720" s="1" t="s">
        <v>17</v>
      </c>
      <c r="C720" s="1">
        <v>0.5</v>
      </c>
      <c r="D720" s="1">
        <v>240</v>
      </c>
      <c r="E720" s="1">
        <v>200</v>
      </c>
      <c r="F720" s="1">
        <v>11</v>
      </c>
      <c r="G720" s="1">
        <v>25</v>
      </c>
      <c r="H720" s="1">
        <v>150</v>
      </c>
      <c r="I720" s="1">
        <v>100</v>
      </c>
      <c r="J720" s="1">
        <v>97.179000000000002</v>
      </c>
      <c r="K720" s="1">
        <v>151.41</v>
      </c>
      <c r="L720" s="1">
        <v>24.29</v>
      </c>
      <c r="M720" s="1">
        <v>78.2</v>
      </c>
      <c r="N720" s="1">
        <v>3.4889999999999997E-2</v>
      </c>
      <c r="O720" s="1">
        <v>1.818E-4</v>
      </c>
      <c r="P7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78.633793230411868</v>
      </c>
      <c r="Q720" s="1">
        <f>LN(Table13[[#This Row],[qe_mg_g]]-Table13[[#This Row],[qt]])</f>
        <v>2.9202113604932092</v>
      </c>
      <c r="R720" s="1">
        <v>2</v>
      </c>
    </row>
    <row r="721" spans="1:18" hidden="1" x14ac:dyDescent="0.3">
      <c r="A721" s="1">
        <v>720</v>
      </c>
      <c r="B721" s="1" t="s">
        <v>17</v>
      </c>
      <c r="C721" s="1">
        <v>0.5</v>
      </c>
      <c r="D721" s="1">
        <v>240</v>
      </c>
      <c r="E721" s="1">
        <v>200</v>
      </c>
      <c r="F721" s="1">
        <v>11</v>
      </c>
      <c r="G721" s="1">
        <v>25</v>
      </c>
      <c r="H721" s="1">
        <v>150</v>
      </c>
      <c r="I721" s="1">
        <v>100</v>
      </c>
      <c r="J721" s="1">
        <v>111.309</v>
      </c>
      <c r="K721" s="1">
        <v>144.346</v>
      </c>
      <c r="L721" s="1">
        <v>27.83</v>
      </c>
      <c r="M721" s="1">
        <v>77.099999999999994</v>
      </c>
      <c r="N721" s="1">
        <v>3.6020000000000003E-2</v>
      </c>
      <c r="O721" s="1">
        <v>1.963E-4</v>
      </c>
      <c r="P7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93.482416839549629</v>
      </c>
      <c r="Q721" s="1">
        <f>LN(Table13[[#This Row],[qe_mg_g]]-Table13[[#This Row],[qt]])</f>
        <v>2.8806907792119367</v>
      </c>
      <c r="R721" s="1">
        <v>3</v>
      </c>
    </row>
    <row r="722" spans="1:18" hidden="1" x14ac:dyDescent="0.3">
      <c r="A722" s="1">
        <v>721</v>
      </c>
      <c r="B722" s="1" t="s">
        <v>17</v>
      </c>
      <c r="C722" s="1">
        <v>1</v>
      </c>
      <c r="D722" s="1">
        <v>30</v>
      </c>
      <c r="E722" s="1">
        <v>25</v>
      </c>
      <c r="F722" s="1">
        <v>3</v>
      </c>
      <c r="G722" s="1">
        <v>25</v>
      </c>
      <c r="H722" s="1">
        <v>150</v>
      </c>
      <c r="I722" s="1">
        <v>100</v>
      </c>
      <c r="J722" s="1">
        <v>1.2889999999999999</v>
      </c>
      <c r="K722" s="1">
        <v>23.710999999999999</v>
      </c>
      <c r="L722" s="1">
        <v>5.15</v>
      </c>
      <c r="M722" s="1">
        <v>58.4</v>
      </c>
      <c r="N722" s="1">
        <v>3.288E-2</v>
      </c>
      <c r="O722" s="1">
        <v>2.0919999999999999E-4</v>
      </c>
      <c r="P7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1.0344025074338518E-2</v>
      </c>
      <c r="Q722" s="1">
        <f>LN(Table13[[#This Row],[qe_mg_g]]-Table13[[#This Row],[qt]])</f>
        <v>0.24580950668542903</v>
      </c>
      <c r="R722" s="1">
        <v>1</v>
      </c>
    </row>
    <row r="723" spans="1:18" hidden="1" x14ac:dyDescent="0.3">
      <c r="A723" s="1">
        <v>722</v>
      </c>
      <c r="B723" s="1" t="s">
        <v>17</v>
      </c>
      <c r="C723" s="1">
        <v>1</v>
      </c>
      <c r="D723" s="1">
        <v>30</v>
      </c>
      <c r="E723" s="1">
        <v>25</v>
      </c>
      <c r="F723" s="1">
        <v>3</v>
      </c>
      <c r="G723" s="1">
        <v>25</v>
      </c>
      <c r="H723" s="1">
        <v>150</v>
      </c>
      <c r="I723" s="1">
        <v>100</v>
      </c>
      <c r="J723" s="1">
        <v>1.204</v>
      </c>
      <c r="K723" s="1">
        <v>23.795999999999999</v>
      </c>
      <c r="L723" s="1">
        <v>4.82</v>
      </c>
      <c r="M723" s="1">
        <v>79.3</v>
      </c>
      <c r="N723" s="1">
        <v>3.3160000000000002E-2</v>
      </c>
      <c r="O723" s="1">
        <v>2.2780000000000001E-4</v>
      </c>
      <c r="P7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9.8258274990254777E-3</v>
      </c>
      <c r="Q723" s="1">
        <f>LN(Table13[[#This Row],[qe_mg_g]]-Table13[[#This Row],[qt]])</f>
        <v>0.17745487744835589</v>
      </c>
      <c r="R723" s="1">
        <v>2</v>
      </c>
    </row>
    <row r="724" spans="1:18" hidden="1" x14ac:dyDescent="0.3">
      <c r="A724" s="1">
        <v>723</v>
      </c>
      <c r="B724" s="1" t="s">
        <v>17</v>
      </c>
      <c r="C724" s="1">
        <v>1</v>
      </c>
      <c r="D724" s="1">
        <v>30</v>
      </c>
      <c r="E724" s="1">
        <v>25</v>
      </c>
      <c r="F724" s="1">
        <v>3</v>
      </c>
      <c r="G724" s="1">
        <v>25</v>
      </c>
      <c r="H724" s="1">
        <v>150</v>
      </c>
      <c r="I724" s="1">
        <v>100</v>
      </c>
      <c r="J724" s="1">
        <v>1.5960000000000001</v>
      </c>
      <c r="K724" s="1">
        <v>23.404</v>
      </c>
      <c r="L724" s="1">
        <v>6.38</v>
      </c>
      <c r="M724" s="1">
        <v>90.6</v>
      </c>
      <c r="N724" s="1">
        <v>3.5490000000000001E-2</v>
      </c>
      <c r="O724" s="1">
        <v>1.574E-4</v>
      </c>
      <c r="P7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1.1937985568107249E-2</v>
      </c>
      <c r="Q724" s="1">
        <f>LN(Table13[[#This Row],[qe_mg_g]]-Table13[[#This Row],[qt]])</f>
        <v>0.4599924431510572</v>
      </c>
      <c r="R724" s="1">
        <v>3</v>
      </c>
    </row>
    <row r="725" spans="1:18" hidden="1" x14ac:dyDescent="0.3">
      <c r="A725" s="1">
        <v>724</v>
      </c>
      <c r="B725" s="1" t="s">
        <v>17</v>
      </c>
      <c r="C725" s="1">
        <v>1</v>
      </c>
      <c r="D725" s="1">
        <v>30</v>
      </c>
      <c r="E725" s="1">
        <v>25</v>
      </c>
      <c r="F725" s="1">
        <v>7</v>
      </c>
      <c r="G725" s="1">
        <v>25</v>
      </c>
      <c r="H725" s="1">
        <v>150</v>
      </c>
      <c r="I725" s="1">
        <v>100</v>
      </c>
      <c r="J725" s="1">
        <v>3.08</v>
      </c>
      <c r="K725" s="1">
        <v>21.92</v>
      </c>
      <c r="L725" s="1">
        <v>12.32</v>
      </c>
      <c r="M725" s="1">
        <v>88.5</v>
      </c>
      <c r="N725" s="1">
        <v>3.678E-2</v>
      </c>
      <c r="O725" s="1">
        <v>2.7849999999999999E-4</v>
      </c>
      <c r="P7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7.7270440837745938E-2</v>
      </c>
      <c r="Q725" s="1">
        <f>LN(Table13[[#This Row],[qe_mg_g]]-Table13[[#This Row],[qt]])</f>
        <v>1.0995217280568019</v>
      </c>
      <c r="R725" s="1">
        <v>1</v>
      </c>
    </row>
    <row r="726" spans="1:18" hidden="1" x14ac:dyDescent="0.3">
      <c r="A726" s="1">
        <v>725</v>
      </c>
      <c r="B726" s="1" t="s">
        <v>17</v>
      </c>
      <c r="C726" s="1">
        <v>1</v>
      </c>
      <c r="D726" s="1">
        <v>30</v>
      </c>
      <c r="E726" s="1">
        <v>25</v>
      </c>
      <c r="F726" s="1">
        <v>7</v>
      </c>
      <c r="G726" s="1">
        <v>25</v>
      </c>
      <c r="H726" s="1">
        <v>150</v>
      </c>
      <c r="I726" s="1">
        <v>100</v>
      </c>
      <c r="J726" s="1">
        <v>2.2639999999999998</v>
      </c>
      <c r="K726" s="1">
        <v>22.736000000000001</v>
      </c>
      <c r="L726" s="1">
        <v>9.06</v>
      </c>
      <c r="M726" s="1">
        <v>107.9</v>
      </c>
      <c r="N726" s="1">
        <v>3.3989999999999999E-2</v>
      </c>
      <c r="O726" s="1">
        <v>2.0570000000000001E-4</v>
      </c>
      <c r="P7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3.1194842381037216E-2</v>
      </c>
      <c r="Q726" s="1">
        <f>LN(Table13[[#This Row],[qe_mg_g]]-Table13[[#This Row],[qt]])</f>
        <v>0.80325871317055841</v>
      </c>
      <c r="R726" s="1">
        <v>2</v>
      </c>
    </row>
    <row r="727" spans="1:18" hidden="1" x14ac:dyDescent="0.3">
      <c r="A727" s="1">
        <v>726</v>
      </c>
      <c r="B727" s="1" t="s">
        <v>17</v>
      </c>
      <c r="C727" s="1">
        <v>1</v>
      </c>
      <c r="D727" s="1">
        <v>30</v>
      </c>
      <c r="E727" s="1">
        <v>25</v>
      </c>
      <c r="F727" s="1">
        <v>7</v>
      </c>
      <c r="G727" s="1">
        <v>25</v>
      </c>
      <c r="H727" s="1">
        <v>150</v>
      </c>
      <c r="I727" s="1">
        <v>100</v>
      </c>
      <c r="J727" s="1">
        <v>2.847</v>
      </c>
      <c r="K727" s="1">
        <v>22.152999999999999</v>
      </c>
      <c r="L727" s="1">
        <v>11.39</v>
      </c>
      <c r="M727" s="1">
        <v>80.3</v>
      </c>
      <c r="N727" s="1">
        <v>3.3009999999999998E-2</v>
      </c>
      <c r="O727" s="1">
        <v>2.0660000000000001E-4</v>
      </c>
      <c r="P7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4.9366223122450835E-2</v>
      </c>
      <c r="Q727" s="1">
        <f>LN(Table13[[#This Row],[qe_mg_g]]-Table13[[#This Row],[qt]])</f>
        <v>1.0287739802134288</v>
      </c>
      <c r="R727" s="1">
        <v>3</v>
      </c>
    </row>
    <row r="728" spans="1:18" hidden="1" x14ac:dyDescent="0.3">
      <c r="A728" s="1">
        <v>727</v>
      </c>
      <c r="B728" s="1" t="s">
        <v>17</v>
      </c>
      <c r="C728" s="1">
        <v>1</v>
      </c>
      <c r="D728" s="1">
        <v>30</v>
      </c>
      <c r="E728" s="1">
        <v>25</v>
      </c>
      <c r="F728" s="1">
        <v>11</v>
      </c>
      <c r="G728" s="1">
        <v>25</v>
      </c>
      <c r="H728" s="1">
        <v>150</v>
      </c>
      <c r="I728" s="1">
        <v>100</v>
      </c>
      <c r="J728" s="1">
        <v>1.786</v>
      </c>
      <c r="K728" s="1">
        <v>23.213999999999999</v>
      </c>
      <c r="L728" s="1">
        <v>7.14</v>
      </c>
      <c r="M728" s="1">
        <v>95.4</v>
      </c>
      <c r="N728" s="1">
        <v>3.354E-2</v>
      </c>
      <c r="O728" s="1">
        <v>1.774E-4</v>
      </c>
      <c r="P7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1.6816254268086448E-2</v>
      </c>
      <c r="Q728" s="1">
        <f>LN(Table13[[#This Row],[qe_mg_g]]-Table13[[#This Row],[qt]])</f>
        <v>0.5705182796150452</v>
      </c>
      <c r="R728" s="1">
        <v>1</v>
      </c>
    </row>
    <row r="729" spans="1:18" hidden="1" x14ac:dyDescent="0.3">
      <c r="A729" s="1">
        <v>728</v>
      </c>
      <c r="B729" s="1" t="s">
        <v>17</v>
      </c>
      <c r="C729" s="1">
        <v>1</v>
      </c>
      <c r="D729" s="1">
        <v>30</v>
      </c>
      <c r="E729" s="1">
        <v>25</v>
      </c>
      <c r="F729" s="1">
        <v>11</v>
      </c>
      <c r="G729" s="1">
        <v>25</v>
      </c>
      <c r="H729" s="1">
        <v>150</v>
      </c>
      <c r="I729" s="1">
        <v>100</v>
      </c>
      <c r="J729" s="1">
        <v>2.0110000000000001</v>
      </c>
      <c r="K729" s="1">
        <v>22.989000000000001</v>
      </c>
      <c r="L729" s="1">
        <v>8.0399999999999991</v>
      </c>
      <c r="M729" s="1">
        <v>101.9</v>
      </c>
      <c r="N729" s="1">
        <v>3.313E-2</v>
      </c>
      <c r="O729" s="1">
        <v>2.0719999999999999E-4</v>
      </c>
      <c r="P7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2.4827898074775635E-2</v>
      </c>
      <c r="Q729" s="1">
        <f>LN(Table13[[#This Row],[qe_mg_g]]-Table13[[#This Row],[qt]])</f>
        <v>0.68620921943400215</v>
      </c>
      <c r="R729" s="1">
        <v>2</v>
      </c>
    </row>
    <row r="730" spans="1:18" hidden="1" x14ac:dyDescent="0.3">
      <c r="A730" s="1">
        <v>729</v>
      </c>
      <c r="B730" s="1" t="s">
        <v>17</v>
      </c>
      <c r="C730" s="1">
        <v>1</v>
      </c>
      <c r="D730" s="1">
        <v>30</v>
      </c>
      <c r="E730" s="1">
        <v>25</v>
      </c>
      <c r="F730" s="1">
        <v>11</v>
      </c>
      <c r="G730" s="1">
        <v>25</v>
      </c>
      <c r="H730" s="1">
        <v>150</v>
      </c>
      <c r="I730" s="1">
        <v>100</v>
      </c>
      <c r="J730" s="1">
        <v>1.952</v>
      </c>
      <c r="K730" s="1">
        <v>23.047999999999998</v>
      </c>
      <c r="L730" s="1">
        <v>7.81</v>
      </c>
      <c r="M730" s="1">
        <v>95.5</v>
      </c>
      <c r="N730" s="1">
        <v>3.7400000000000003E-2</v>
      </c>
      <c r="O730" s="1">
        <v>2.3699999999999999E-4</v>
      </c>
      <c r="P7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2.6720416264383182E-2</v>
      </c>
      <c r="Q730" s="1">
        <f>LN(Table13[[#This Row],[qe_mg_g]]-Table13[[#This Row],[qt]])</f>
        <v>0.6550711954979026</v>
      </c>
      <c r="R730" s="1">
        <v>3</v>
      </c>
    </row>
    <row r="731" spans="1:18" hidden="1" x14ac:dyDescent="0.3">
      <c r="A731" s="1">
        <v>730</v>
      </c>
      <c r="B731" s="1" t="s">
        <v>17</v>
      </c>
      <c r="C731" s="1">
        <v>1</v>
      </c>
      <c r="D731" s="1">
        <v>30</v>
      </c>
      <c r="E731" s="1">
        <v>50</v>
      </c>
      <c r="F731" s="1">
        <v>3</v>
      </c>
      <c r="G731" s="1">
        <v>25</v>
      </c>
      <c r="H731" s="1">
        <v>150</v>
      </c>
      <c r="I731" s="1">
        <v>100</v>
      </c>
      <c r="J731" s="1">
        <v>5.843</v>
      </c>
      <c r="K731" s="1">
        <v>44.156999999999996</v>
      </c>
      <c r="L731" s="1">
        <v>11.69</v>
      </c>
      <c r="M731" s="1">
        <v>94.3</v>
      </c>
      <c r="N731" s="1">
        <v>3.5340000000000003E-2</v>
      </c>
      <c r="O731" s="1">
        <v>2.2589999999999999E-4</v>
      </c>
      <c r="P7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0.22255831179442295</v>
      </c>
      <c r="Q731" s="1">
        <f>LN(Table13[[#This Row],[qe_mg_g]]-Table13[[#This Row],[qt]])</f>
        <v>1.726410253024792</v>
      </c>
      <c r="R731" s="1">
        <v>1</v>
      </c>
    </row>
    <row r="732" spans="1:18" hidden="1" x14ac:dyDescent="0.3">
      <c r="A732" s="1">
        <v>731</v>
      </c>
      <c r="B732" s="1" t="s">
        <v>17</v>
      </c>
      <c r="C732" s="1">
        <v>1</v>
      </c>
      <c r="D732" s="1">
        <v>30</v>
      </c>
      <c r="E732" s="1">
        <v>50</v>
      </c>
      <c r="F732" s="1">
        <v>3</v>
      </c>
      <c r="G732" s="1">
        <v>25</v>
      </c>
      <c r="H732" s="1">
        <v>150</v>
      </c>
      <c r="I732" s="1">
        <v>100</v>
      </c>
      <c r="J732" s="1">
        <v>5.52</v>
      </c>
      <c r="K732" s="1">
        <v>44.48</v>
      </c>
      <c r="L732" s="1">
        <v>11.04</v>
      </c>
      <c r="M732" s="1">
        <v>95.3</v>
      </c>
      <c r="N732" s="1">
        <v>3.4320000000000003E-2</v>
      </c>
      <c r="O732" s="1">
        <v>1.9870000000000001E-4</v>
      </c>
      <c r="P7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0.17584783076603619</v>
      </c>
      <c r="Q732" s="1">
        <f>LN(Table13[[#This Row],[qe_mg_g]]-Table13[[#This Row],[qt]])</f>
        <v>1.6760029106107501</v>
      </c>
      <c r="R732" s="1">
        <v>2</v>
      </c>
    </row>
    <row r="733" spans="1:18" hidden="1" x14ac:dyDescent="0.3">
      <c r="A733" s="1">
        <v>732</v>
      </c>
      <c r="B733" s="1" t="s">
        <v>17</v>
      </c>
      <c r="C733" s="1">
        <v>1</v>
      </c>
      <c r="D733" s="1">
        <v>30</v>
      </c>
      <c r="E733" s="1">
        <v>50</v>
      </c>
      <c r="F733" s="1">
        <v>3</v>
      </c>
      <c r="G733" s="1">
        <v>25</v>
      </c>
      <c r="H733" s="1">
        <v>150</v>
      </c>
      <c r="I733" s="1">
        <v>100</v>
      </c>
      <c r="J733" s="1">
        <v>6.0019999999999998</v>
      </c>
      <c r="K733" s="1">
        <v>43.997999999999998</v>
      </c>
      <c r="L733" s="1">
        <v>12</v>
      </c>
      <c r="M733" s="1">
        <v>89</v>
      </c>
      <c r="N733" s="1">
        <v>3.4590000000000003E-2</v>
      </c>
      <c r="O733" s="1">
        <v>2.0430000000000001E-4</v>
      </c>
      <c r="P7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0.21295722123276828</v>
      </c>
      <c r="Q733" s="1">
        <f>LN(Table13[[#This Row],[qe_mg_g]]-Table13[[#This Row],[qt]])</f>
        <v>1.7559669547339676</v>
      </c>
      <c r="R733" s="1">
        <v>3</v>
      </c>
    </row>
    <row r="734" spans="1:18" hidden="1" x14ac:dyDescent="0.3">
      <c r="A734" s="1">
        <v>733</v>
      </c>
      <c r="B734" s="1" t="s">
        <v>17</v>
      </c>
      <c r="C734" s="1">
        <v>1</v>
      </c>
      <c r="D734" s="1">
        <v>30</v>
      </c>
      <c r="E734" s="1">
        <v>50</v>
      </c>
      <c r="F734" s="1">
        <v>7</v>
      </c>
      <c r="G734" s="1">
        <v>25</v>
      </c>
      <c r="H734" s="1">
        <v>150</v>
      </c>
      <c r="I734" s="1">
        <v>100</v>
      </c>
      <c r="J734" s="1">
        <v>11.574999999999999</v>
      </c>
      <c r="K734" s="1">
        <v>38.424999999999997</v>
      </c>
      <c r="L734" s="1">
        <v>23.15</v>
      </c>
      <c r="M734" s="1">
        <v>98.4</v>
      </c>
      <c r="N734" s="1">
        <v>3.8039999999999997E-2</v>
      </c>
      <c r="O734" s="1">
        <v>1.9090000000000001E-4</v>
      </c>
      <c r="P7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0.71960444286722069</v>
      </c>
      <c r="Q734" s="1">
        <f>LN(Table13[[#This Row],[qe_mg_g]]-Table13[[#This Row],[qt]])</f>
        <v>2.3846622427522624</v>
      </c>
      <c r="R734" s="1">
        <v>1</v>
      </c>
    </row>
    <row r="735" spans="1:18" hidden="1" x14ac:dyDescent="0.3">
      <c r="A735" s="1">
        <v>734</v>
      </c>
      <c r="B735" s="1" t="s">
        <v>17</v>
      </c>
      <c r="C735" s="1">
        <v>1</v>
      </c>
      <c r="D735" s="1">
        <v>30</v>
      </c>
      <c r="E735" s="1">
        <v>50</v>
      </c>
      <c r="F735" s="1">
        <v>7</v>
      </c>
      <c r="G735" s="1">
        <v>25</v>
      </c>
      <c r="H735" s="1">
        <v>150</v>
      </c>
      <c r="I735" s="1">
        <v>100</v>
      </c>
      <c r="J735" s="1">
        <v>9.1080000000000005</v>
      </c>
      <c r="K735" s="1">
        <v>40.892000000000003</v>
      </c>
      <c r="L735" s="1">
        <v>18.22</v>
      </c>
      <c r="M735" s="1">
        <v>98</v>
      </c>
      <c r="N735" s="1">
        <v>3.807E-2</v>
      </c>
      <c r="O735" s="1">
        <v>2.2949999999999999E-4</v>
      </c>
      <c r="P7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0.53744719614477943</v>
      </c>
      <c r="Q735" s="1">
        <f>LN(Table13[[#This Row],[qe_mg_g]]-Table13[[#This Row],[qt]])</f>
        <v>2.1483322350632252</v>
      </c>
      <c r="R735" s="1">
        <v>2</v>
      </c>
    </row>
    <row r="736" spans="1:18" hidden="1" x14ac:dyDescent="0.3">
      <c r="A736" s="1">
        <v>735</v>
      </c>
      <c r="B736" s="1" t="s">
        <v>17</v>
      </c>
      <c r="C736" s="1">
        <v>1</v>
      </c>
      <c r="D736" s="1">
        <v>30</v>
      </c>
      <c r="E736" s="1">
        <v>50</v>
      </c>
      <c r="F736" s="1">
        <v>7</v>
      </c>
      <c r="G736" s="1">
        <v>25</v>
      </c>
      <c r="H736" s="1">
        <v>150</v>
      </c>
      <c r="I736" s="1">
        <v>100</v>
      </c>
      <c r="J736" s="1">
        <v>9.3930000000000007</v>
      </c>
      <c r="K736" s="1">
        <v>40.606999999999999</v>
      </c>
      <c r="L736" s="1">
        <v>18.79</v>
      </c>
      <c r="M736" s="1">
        <v>82.8</v>
      </c>
      <c r="N736" s="1">
        <v>2.9260000000000001E-2</v>
      </c>
      <c r="O736" s="1">
        <v>1.9220000000000001E-4</v>
      </c>
      <c r="P7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0.48258823954204955</v>
      </c>
      <c r="Q736" s="1">
        <f>LN(Table13[[#This Row],[qe_mg_g]]-Table13[[#This Row],[qt]])</f>
        <v>2.1872204537098603</v>
      </c>
      <c r="R736" s="1">
        <v>3</v>
      </c>
    </row>
    <row r="737" spans="1:18" hidden="1" x14ac:dyDescent="0.3">
      <c r="A737" s="1">
        <v>736</v>
      </c>
      <c r="B737" s="1" t="s">
        <v>17</v>
      </c>
      <c r="C737" s="1">
        <v>1</v>
      </c>
      <c r="D737" s="1">
        <v>30</v>
      </c>
      <c r="E737" s="1">
        <v>50</v>
      </c>
      <c r="F737" s="1">
        <v>11</v>
      </c>
      <c r="G737" s="1">
        <v>25</v>
      </c>
      <c r="H737" s="1">
        <v>150</v>
      </c>
      <c r="I737" s="1">
        <v>100</v>
      </c>
      <c r="J737" s="1">
        <v>8.2119999999999997</v>
      </c>
      <c r="K737" s="1">
        <v>41.787999999999997</v>
      </c>
      <c r="L737" s="1">
        <v>16.420000000000002</v>
      </c>
      <c r="M737" s="1">
        <v>79.7</v>
      </c>
      <c r="N737" s="1">
        <v>3.7240000000000002E-2</v>
      </c>
      <c r="O737" s="1">
        <v>1.962E-4</v>
      </c>
      <c r="P7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0.37863234306008148</v>
      </c>
      <c r="Q737" s="1">
        <f>LN(Table13[[#This Row],[qe_mg_g]]-Table13[[#This Row],[qt]])</f>
        <v>2.0583925142094146</v>
      </c>
      <c r="R737" s="1">
        <v>1</v>
      </c>
    </row>
    <row r="738" spans="1:18" hidden="1" x14ac:dyDescent="0.3">
      <c r="A738" s="1">
        <v>737</v>
      </c>
      <c r="B738" s="1" t="s">
        <v>17</v>
      </c>
      <c r="C738" s="1">
        <v>1</v>
      </c>
      <c r="D738" s="1">
        <v>30</v>
      </c>
      <c r="E738" s="1">
        <v>50</v>
      </c>
      <c r="F738" s="1">
        <v>11</v>
      </c>
      <c r="G738" s="1">
        <v>25</v>
      </c>
      <c r="H738" s="1">
        <v>150</v>
      </c>
      <c r="I738" s="1">
        <v>100</v>
      </c>
      <c r="J738" s="1">
        <v>7.7089999999999996</v>
      </c>
      <c r="K738" s="1">
        <v>42.290999999999997</v>
      </c>
      <c r="L738" s="1">
        <v>15.42</v>
      </c>
      <c r="M738" s="1">
        <v>71</v>
      </c>
      <c r="N738" s="1">
        <v>3.5299999999999998E-2</v>
      </c>
      <c r="O738" s="1">
        <v>1.4019999999999999E-4</v>
      </c>
      <c r="P7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0.24210694367064792</v>
      </c>
      <c r="Q738" s="1">
        <f>LN(Table13[[#This Row],[qe_mg_g]]-Table13[[#This Row],[qt]])</f>
        <v>2.0104789897773507</v>
      </c>
      <c r="R738" s="1">
        <v>2</v>
      </c>
    </row>
    <row r="739" spans="1:18" hidden="1" x14ac:dyDescent="0.3">
      <c r="A739" s="1">
        <v>738</v>
      </c>
      <c r="B739" s="1" t="s">
        <v>17</v>
      </c>
      <c r="C739" s="1">
        <v>1</v>
      </c>
      <c r="D739" s="1">
        <v>30</v>
      </c>
      <c r="E739" s="1">
        <v>50</v>
      </c>
      <c r="F739" s="1">
        <v>11</v>
      </c>
      <c r="G739" s="1">
        <v>25</v>
      </c>
      <c r="H739" s="1">
        <v>150</v>
      </c>
      <c r="I739" s="1">
        <v>100</v>
      </c>
      <c r="J739" s="1">
        <v>7.3280000000000003</v>
      </c>
      <c r="K739" s="1">
        <v>42.671999999999997</v>
      </c>
      <c r="L739" s="1">
        <v>14.66</v>
      </c>
      <c r="M739" s="1">
        <v>64.8</v>
      </c>
      <c r="N739" s="1">
        <v>3.9219999999999998E-2</v>
      </c>
      <c r="O739" s="1">
        <v>2.1550000000000001E-4</v>
      </c>
      <c r="P7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0.33146450717121972</v>
      </c>
      <c r="Q739" s="1">
        <f>LN(Table13[[#This Row],[qe_mg_g]]-Table13[[#This Row],[qt]])</f>
        <v>1.9454150969413455</v>
      </c>
      <c r="R739" s="1">
        <v>3</v>
      </c>
    </row>
    <row r="740" spans="1:18" hidden="1" x14ac:dyDescent="0.3">
      <c r="A740" s="1">
        <v>739</v>
      </c>
      <c r="B740" s="1" t="s">
        <v>17</v>
      </c>
      <c r="C740" s="1">
        <v>1</v>
      </c>
      <c r="D740" s="1">
        <v>30</v>
      </c>
      <c r="E740" s="1">
        <v>100</v>
      </c>
      <c r="F740" s="1">
        <v>3</v>
      </c>
      <c r="G740" s="1">
        <v>25</v>
      </c>
      <c r="H740" s="1">
        <v>150</v>
      </c>
      <c r="I740" s="1">
        <v>100</v>
      </c>
      <c r="J740" s="1">
        <v>20.059999999999999</v>
      </c>
      <c r="K740" s="1">
        <v>79.94</v>
      </c>
      <c r="L740" s="1">
        <v>20.059999999999999</v>
      </c>
      <c r="M740" s="1">
        <v>105.3</v>
      </c>
      <c r="N740" s="1">
        <v>3.168E-2</v>
      </c>
      <c r="O740" s="1">
        <v>2.3489999999999999E-4</v>
      </c>
      <c r="P7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2.484519488027479</v>
      </c>
      <c r="Q740" s="1">
        <f>LN(Table13[[#This Row],[qe_mg_g]]-Table13[[#This Row],[qt]])</f>
        <v>2.8665047779757544</v>
      </c>
      <c r="R740" s="1">
        <v>1</v>
      </c>
    </row>
    <row r="741" spans="1:18" hidden="1" x14ac:dyDescent="0.3">
      <c r="A741" s="1">
        <v>740</v>
      </c>
      <c r="B741" s="1" t="s">
        <v>17</v>
      </c>
      <c r="C741" s="1">
        <v>1</v>
      </c>
      <c r="D741" s="1">
        <v>30</v>
      </c>
      <c r="E741" s="1">
        <v>100</v>
      </c>
      <c r="F741" s="1">
        <v>3</v>
      </c>
      <c r="G741" s="1">
        <v>25</v>
      </c>
      <c r="H741" s="1">
        <v>150</v>
      </c>
      <c r="I741" s="1">
        <v>100</v>
      </c>
      <c r="J741" s="1">
        <v>20.952000000000002</v>
      </c>
      <c r="K741" s="1">
        <v>79.048000000000002</v>
      </c>
      <c r="L741" s="1">
        <v>20.95</v>
      </c>
      <c r="M741" s="1">
        <v>82.7</v>
      </c>
      <c r="N741" s="1">
        <v>3.8969999999999998E-2</v>
      </c>
      <c r="O741" s="1">
        <v>1.7789999999999999E-4</v>
      </c>
      <c r="P7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2.107236934112326</v>
      </c>
      <c r="Q741" s="1">
        <f>LN(Table13[[#This Row],[qe_mg_g]]-Table13[[#This Row],[qt]])</f>
        <v>2.936235053856175</v>
      </c>
      <c r="R741" s="1">
        <v>2</v>
      </c>
    </row>
    <row r="742" spans="1:18" hidden="1" x14ac:dyDescent="0.3">
      <c r="A742" s="1">
        <v>741</v>
      </c>
      <c r="B742" s="1" t="s">
        <v>17</v>
      </c>
      <c r="C742" s="1">
        <v>1</v>
      </c>
      <c r="D742" s="1">
        <v>30</v>
      </c>
      <c r="E742" s="1">
        <v>100</v>
      </c>
      <c r="F742" s="1">
        <v>3</v>
      </c>
      <c r="G742" s="1">
        <v>25</v>
      </c>
      <c r="H742" s="1">
        <v>150</v>
      </c>
      <c r="I742" s="1">
        <v>100</v>
      </c>
      <c r="J742" s="1">
        <v>17.585000000000001</v>
      </c>
      <c r="K742" s="1">
        <v>82.415000000000006</v>
      </c>
      <c r="L742" s="1">
        <v>17.59</v>
      </c>
      <c r="M742" s="1">
        <v>77.900000000000006</v>
      </c>
      <c r="N742" s="1">
        <v>3.3149999999999999E-2</v>
      </c>
      <c r="O742" s="1">
        <v>1.7890000000000001E-4</v>
      </c>
      <c r="P7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1.5165219856322221</v>
      </c>
      <c r="Q742" s="1">
        <f>LN(Table13[[#This Row],[qe_mg_g]]-Table13[[#This Row],[qt]])</f>
        <v>2.7768594655172985</v>
      </c>
      <c r="R742" s="1">
        <v>3</v>
      </c>
    </row>
    <row r="743" spans="1:18" hidden="1" x14ac:dyDescent="0.3">
      <c r="A743" s="1">
        <v>742</v>
      </c>
      <c r="B743" s="1" t="s">
        <v>17</v>
      </c>
      <c r="C743" s="1">
        <v>1</v>
      </c>
      <c r="D743" s="1">
        <v>30</v>
      </c>
      <c r="E743" s="1">
        <v>100</v>
      </c>
      <c r="F743" s="1">
        <v>7</v>
      </c>
      <c r="G743" s="1">
        <v>25</v>
      </c>
      <c r="H743" s="1">
        <v>150</v>
      </c>
      <c r="I743" s="1">
        <v>100</v>
      </c>
      <c r="J743" s="1">
        <v>34.887</v>
      </c>
      <c r="K743" s="1">
        <v>65.113</v>
      </c>
      <c r="L743" s="1">
        <v>34.89</v>
      </c>
      <c r="M743" s="1">
        <v>82.4</v>
      </c>
      <c r="N743" s="1">
        <v>3.6229999999999998E-2</v>
      </c>
      <c r="O743" s="1">
        <v>1.886E-4</v>
      </c>
      <c r="P7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5.7511452006131671</v>
      </c>
      <c r="Q743" s="1">
        <f>LN(Table13[[#This Row],[qe_mg_g]]-Table13[[#This Row],[qt]])</f>
        <v>3.3719695394262539</v>
      </c>
      <c r="R743" s="1">
        <v>1</v>
      </c>
    </row>
    <row r="744" spans="1:18" hidden="1" x14ac:dyDescent="0.3">
      <c r="A744" s="1">
        <v>743</v>
      </c>
      <c r="B744" s="1" t="s">
        <v>17</v>
      </c>
      <c r="C744" s="1">
        <v>1</v>
      </c>
      <c r="D744" s="1">
        <v>30</v>
      </c>
      <c r="E744" s="1">
        <v>100</v>
      </c>
      <c r="F744" s="1">
        <v>7</v>
      </c>
      <c r="G744" s="1">
        <v>25</v>
      </c>
      <c r="H744" s="1">
        <v>150</v>
      </c>
      <c r="I744" s="1">
        <v>100</v>
      </c>
      <c r="J744" s="1">
        <v>25.425999999999998</v>
      </c>
      <c r="K744" s="1">
        <v>74.573999999999998</v>
      </c>
      <c r="L744" s="1">
        <v>25.43</v>
      </c>
      <c r="M744" s="1">
        <v>89.2</v>
      </c>
      <c r="N744" s="1">
        <v>2.8309999999999998E-2</v>
      </c>
      <c r="O744" s="1">
        <v>1.986E-4</v>
      </c>
      <c r="P7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3.3450077401997786</v>
      </c>
      <c r="Q744" s="1">
        <f>LN(Table13[[#This Row],[qe_mg_g]]-Table13[[#This Row],[qt]])</f>
        <v>3.0947171597017005</v>
      </c>
      <c r="R744" s="1">
        <v>2</v>
      </c>
    </row>
    <row r="745" spans="1:18" hidden="1" x14ac:dyDescent="0.3">
      <c r="A745" s="1">
        <v>744</v>
      </c>
      <c r="B745" s="1" t="s">
        <v>17</v>
      </c>
      <c r="C745" s="1">
        <v>1</v>
      </c>
      <c r="D745" s="1">
        <v>30</v>
      </c>
      <c r="E745" s="1">
        <v>100</v>
      </c>
      <c r="F745" s="1">
        <v>7</v>
      </c>
      <c r="G745" s="1">
        <v>25</v>
      </c>
      <c r="H745" s="1">
        <v>150</v>
      </c>
      <c r="I745" s="1">
        <v>100</v>
      </c>
      <c r="J745" s="1">
        <v>26.832000000000001</v>
      </c>
      <c r="K745" s="1">
        <v>73.168000000000006</v>
      </c>
      <c r="L745" s="1">
        <v>26.83</v>
      </c>
      <c r="M745" s="1">
        <v>111.3</v>
      </c>
      <c r="N745" s="1">
        <v>3.8190000000000002E-2</v>
      </c>
      <c r="O745" s="1">
        <v>2.0210000000000001E-4</v>
      </c>
      <c r="P7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3.7543309557646221</v>
      </c>
      <c r="Q745" s="1">
        <f>LN(Table13[[#This Row],[qe_mg_g]]-Table13[[#This Row],[qt]])</f>
        <v>3.1388654419224142</v>
      </c>
      <c r="R745" s="1">
        <v>3</v>
      </c>
    </row>
    <row r="746" spans="1:18" hidden="1" x14ac:dyDescent="0.3">
      <c r="A746" s="1">
        <v>745</v>
      </c>
      <c r="B746" s="1" t="s">
        <v>17</v>
      </c>
      <c r="C746" s="1">
        <v>1</v>
      </c>
      <c r="D746" s="1">
        <v>30</v>
      </c>
      <c r="E746" s="1">
        <v>100</v>
      </c>
      <c r="F746" s="1">
        <v>11</v>
      </c>
      <c r="G746" s="1">
        <v>25</v>
      </c>
      <c r="H746" s="1">
        <v>150</v>
      </c>
      <c r="I746" s="1">
        <v>100</v>
      </c>
      <c r="J746" s="1">
        <v>26.702000000000002</v>
      </c>
      <c r="K746" s="1">
        <v>73.298000000000002</v>
      </c>
      <c r="L746" s="1">
        <v>26.7</v>
      </c>
      <c r="M746" s="1">
        <v>74.8</v>
      </c>
      <c r="N746" s="1">
        <v>3.6900000000000002E-2</v>
      </c>
      <c r="O746" s="1">
        <v>2.04E-4</v>
      </c>
      <c r="P7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3.7506270674715698</v>
      </c>
      <c r="Q746" s="1">
        <f>LN(Table13[[#This Row],[qe_mg_g]]-Table13[[#This Row],[qt]])</f>
        <v>3.1333777574853672</v>
      </c>
      <c r="R746" s="1">
        <v>1</v>
      </c>
    </row>
    <row r="747" spans="1:18" hidden="1" x14ac:dyDescent="0.3">
      <c r="A747" s="1">
        <v>746</v>
      </c>
      <c r="B747" s="1" t="s">
        <v>17</v>
      </c>
      <c r="C747" s="1">
        <v>1</v>
      </c>
      <c r="D747" s="1">
        <v>30</v>
      </c>
      <c r="E747" s="1">
        <v>100</v>
      </c>
      <c r="F747" s="1">
        <v>11</v>
      </c>
      <c r="G747" s="1">
        <v>25</v>
      </c>
      <c r="H747" s="1">
        <v>150</v>
      </c>
      <c r="I747" s="1">
        <v>100</v>
      </c>
      <c r="J747" s="1">
        <v>24.332000000000001</v>
      </c>
      <c r="K747" s="1">
        <v>75.668000000000006</v>
      </c>
      <c r="L747" s="1">
        <v>24.33</v>
      </c>
      <c r="M747" s="1">
        <v>102.1</v>
      </c>
      <c r="N747" s="1">
        <v>3.7560000000000003E-2</v>
      </c>
      <c r="O747" s="1">
        <v>2.0579999999999999E-4</v>
      </c>
      <c r="P7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3.177892104896749</v>
      </c>
      <c r="Q747" s="1">
        <f>LN(Table13[[#This Row],[qe_mg_g]]-Table13[[#This Row],[qt]])</f>
        <v>3.0518341133515499</v>
      </c>
      <c r="R747" s="1">
        <v>2</v>
      </c>
    </row>
    <row r="748" spans="1:18" hidden="1" x14ac:dyDescent="0.3">
      <c r="A748" s="1">
        <v>747</v>
      </c>
      <c r="B748" s="1" t="s">
        <v>17</v>
      </c>
      <c r="C748" s="1">
        <v>1</v>
      </c>
      <c r="D748" s="1">
        <v>30</v>
      </c>
      <c r="E748" s="1">
        <v>100</v>
      </c>
      <c r="F748" s="1">
        <v>11</v>
      </c>
      <c r="G748" s="1">
        <v>25</v>
      </c>
      <c r="H748" s="1">
        <v>150</v>
      </c>
      <c r="I748" s="1">
        <v>100</v>
      </c>
      <c r="J748" s="1">
        <v>19.783000000000001</v>
      </c>
      <c r="K748" s="1">
        <v>80.216999999999999</v>
      </c>
      <c r="L748" s="1">
        <v>19.78</v>
      </c>
      <c r="M748" s="1">
        <v>73.400000000000006</v>
      </c>
      <c r="N748" s="1">
        <v>3.4569999999999997E-2</v>
      </c>
      <c r="O748" s="1">
        <v>2.019E-4</v>
      </c>
      <c r="P7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2.1168567609549558</v>
      </c>
      <c r="Q748" s="1">
        <f>LN(Table13[[#This Row],[qe_mg_g]]-Table13[[#This Row],[qt]])</f>
        <v>2.8716499964665125</v>
      </c>
      <c r="R748" s="1">
        <v>3</v>
      </c>
    </row>
    <row r="749" spans="1:18" hidden="1" x14ac:dyDescent="0.3">
      <c r="A749" s="1">
        <v>748</v>
      </c>
      <c r="B749" s="1" t="s">
        <v>17</v>
      </c>
      <c r="C749" s="1">
        <v>1</v>
      </c>
      <c r="D749" s="1">
        <v>30</v>
      </c>
      <c r="E749" s="1">
        <v>200</v>
      </c>
      <c r="F749" s="1">
        <v>3</v>
      </c>
      <c r="G749" s="1">
        <v>25</v>
      </c>
      <c r="H749" s="1">
        <v>150</v>
      </c>
      <c r="I749" s="1">
        <v>100</v>
      </c>
      <c r="J749" s="1">
        <v>39.609000000000002</v>
      </c>
      <c r="K749" s="1">
        <v>160.39099999999999</v>
      </c>
      <c r="L749" s="1">
        <v>19.8</v>
      </c>
      <c r="M749" s="1">
        <v>116.7</v>
      </c>
      <c r="N749" s="1">
        <v>4.0309999999999999E-2</v>
      </c>
      <c r="O749" s="1">
        <v>2.12E-4</v>
      </c>
      <c r="P7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7.9702260542911123</v>
      </c>
      <c r="Q749" s="1">
        <f>LN(Table13[[#This Row],[qe_mg_g]]-Table13[[#This Row],[qt]])</f>
        <v>3.4543833920130242</v>
      </c>
      <c r="R749" s="1">
        <v>1</v>
      </c>
    </row>
    <row r="750" spans="1:18" hidden="1" x14ac:dyDescent="0.3">
      <c r="A750" s="1">
        <v>749</v>
      </c>
      <c r="B750" s="1" t="s">
        <v>17</v>
      </c>
      <c r="C750" s="1">
        <v>1</v>
      </c>
      <c r="D750" s="1">
        <v>30</v>
      </c>
      <c r="E750" s="1">
        <v>200</v>
      </c>
      <c r="F750" s="1">
        <v>3</v>
      </c>
      <c r="G750" s="1">
        <v>25</v>
      </c>
      <c r="H750" s="1">
        <v>150</v>
      </c>
      <c r="I750" s="1">
        <v>100</v>
      </c>
      <c r="J750" s="1">
        <v>44.976999999999997</v>
      </c>
      <c r="K750" s="1">
        <v>155.023</v>
      </c>
      <c r="L750" s="1">
        <v>22.49</v>
      </c>
      <c r="M750" s="1">
        <v>83</v>
      </c>
      <c r="N750" s="1">
        <v>3.1669999999999997E-2</v>
      </c>
      <c r="O750" s="1">
        <v>2.0149999999999999E-4</v>
      </c>
      <c r="P7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9.6145530215084953</v>
      </c>
      <c r="Q750" s="1">
        <f>LN(Table13[[#This Row],[qe_mg_g]]-Table13[[#This Row],[qt]])</f>
        <v>3.5656504372555187</v>
      </c>
      <c r="R750" s="1">
        <v>2</v>
      </c>
    </row>
    <row r="751" spans="1:18" hidden="1" x14ac:dyDescent="0.3">
      <c r="A751" s="1">
        <v>750</v>
      </c>
      <c r="B751" s="1" t="s">
        <v>17</v>
      </c>
      <c r="C751" s="1">
        <v>1</v>
      </c>
      <c r="D751" s="1">
        <v>30</v>
      </c>
      <c r="E751" s="1">
        <v>200</v>
      </c>
      <c r="F751" s="1">
        <v>3</v>
      </c>
      <c r="G751" s="1">
        <v>25</v>
      </c>
      <c r="H751" s="1">
        <v>150</v>
      </c>
      <c r="I751" s="1">
        <v>100</v>
      </c>
      <c r="J751" s="1">
        <v>45.807000000000002</v>
      </c>
      <c r="K751" s="1">
        <v>154.19300000000001</v>
      </c>
      <c r="L751" s="1">
        <v>22.9</v>
      </c>
      <c r="M751" s="1">
        <v>69.7</v>
      </c>
      <c r="N751" s="1">
        <v>3.6170000000000001E-2</v>
      </c>
      <c r="O751" s="1">
        <v>1.9689999999999999E-4</v>
      </c>
      <c r="P7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9.7550160755849067</v>
      </c>
      <c r="Q751" s="1">
        <f>LN(Table13[[#This Row],[qe_mg_g]]-Table13[[#This Row],[qt]])</f>
        <v>3.5849618947941164</v>
      </c>
      <c r="R751" s="1">
        <v>3</v>
      </c>
    </row>
    <row r="752" spans="1:18" hidden="1" x14ac:dyDescent="0.3">
      <c r="A752" s="1">
        <v>751</v>
      </c>
      <c r="B752" s="1" t="s">
        <v>17</v>
      </c>
      <c r="C752" s="1">
        <v>1</v>
      </c>
      <c r="D752" s="1">
        <v>30</v>
      </c>
      <c r="E752" s="1">
        <v>200</v>
      </c>
      <c r="F752" s="1">
        <v>7</v>
      </c>
      <c r="G752" s="1">
        <v>25</v>
      </c>
      <c r="H752" s="1">
        <v>150</v>
      </c>
      <c r="I752" s="1">
        <v>100</v>
      </c>
      <c r="J752" s="1">
        <v>56.634999999999998</v>
      </c>
      <c r="K752" s="1">
        <v>143.36500000000001</v>
      </c>
      <c r="L752" s="1">
        <v>28.32</v>
      </c>
      <c r="M752" s="1">
        <v>74.7</v>
      </c>
      <c r="N752" s="1">
        <v>3.3550000000000003E-2</v>
      </c>
      <c r="O752" s="1">
        <v>2.3780000000000001E-4</v>
      </c>
      <c r="P7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16.297660327570821</v>
      </c>
      <c r="Q752" s="1">
        <f>LN(Table13[[#This Row],[qe_mg_g]]-Table13[[#This Row],[qt]])</f>
        <v>3.6972775827170468</v>
      </c>
      <c r="R752" s="1">
        <v>1</v>
      </c>
    </row>
    <row r="753" spans="1:18" hidden="1" x14ac:dyDescent="0.3">
      <c r="A753" s="1">
        <v>752</v>
      </c>
      <c r="B753" s="1" t="s">
        <v>17</v>
      </c>
      <c r="C753" s="1">
        <v>1</v>
      </c>
      <c r="D753" s="1">
        <v>30</v>
      </c>
      <c r="E753" s="1">
        <v>200</v>
      </c>
      <c r="F753" s="1">
        <v>7</v>
      </c>
      <c r="G753" s="1">
        <v>25</v>
      </c>
      <c r="H753" s="1">
        <v>150</v>
      </c>
      <c r="I753" s="1">
        <v>100</v>
      </c>
      <c r="J753" s="1">
        <v>73.882000000000005</v>
      </c>
      <c r="K753" s="1">
        <v>126.11799999999999</v>
      </c>
      <c r="L753" s="1">
        <v>36.94</v>
      </c>
      <c r="M753" s="1">
        <v>68.5</v>
      </c>
      <c r="N753" s="1">
        <v>3.6700000000000003E-2</v>
      </c>
      <c r="O753" s="1">
        <v>1.6909999999999999E-4</v>
      </c>
      <c r="P7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20.141951966687987</v>
      </c>
      <c r="Q753" s="1">
        <f>LN(Table13[[#This Row],[qe_mg_g]]-Table13[[#This Row],[qt]])</f>
        <v>3.9841584969962502</v>
      </c>
      <c r="R753" s="1">
        <v>2</v>
      </c>
    </row>
    <row r="754" spans="1:18" hidden="1" x14ac:dyDescent="0.3">
      <c r="A754" s="1">
        <v>753</v>
      </c>
      <c r="B754" s="1" t="s">
        <v>17</v>
      </c>
      <c r="C754" s="1">
        <v>1</v>
      </c>
      <c r="D754" s="1">
        <v>30</v>
      </c>
      <c r="E754" s="1">
        <v>200</v>
      </c>
      <c r="F754" s="1">
        <v>7</v>
      </c>
      <c r="G754" s="1">
        <v>25</v>
      </c>
      <c r="H754" s="1">
        <v>150</v>
      </c>
      <c r="I754" s="1">
        <v>100</v>
      </c>
      <c r="J754" s="1">
        <v>77.563999999999993</v>
      </c>
      <c r="K754" s="1">
        <v>122.43600000000001</v>
      </c>
      <c r="L754" s="1">
        <v>38.78</v>
      </c>
      <c r="M754" s="1">
        <v>79.7</v>
      </c>
      <c r="N754" s="1">
        <v>3.4669999999999999E-2</v>
      </c>
      <c r="O754" s="1">
        <v>2.265E-4</v>
      </c>
      <c r="P7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26.770553106426856</v>
      </c>
      <c r="Q754" s="1">
        <f>LN(Table13[[#This Row],[qe_mg_g]]-Table13[[#This Row],[qt]])</f>
        <v>3.9277673481054491</v>
      </c>
      <c r="R754" s="1">
        <v>3</v>
      </c>
    </row>
    <row r="755" spans="1:18" hidden="1" x14ac:dyDescent="0.3">
      <c r="A755" s="1">
        <v>754</v>
      </c>
      <c r="B755" s="1" t="s">
        <v>17</v>
      </c>
      <c r="C755" s="1">
        <v>1</v>
      </c>
      <c r="D755" s="1">
        <v>30</v>
      </c>
      <c r="E755" s="1">
        <v>200</v>
      </c>
      <c r="F755" s="1">
        <v>11</v>
      </c>
      <c r="G755" s="1">
        <v>25</v>
      </c>
      <c r="H755" s="1">
        <v>150</v>
      </c>
      <c r="I755" s="1">
        <v>100</v>
      </c>
      <c r="J755" s="1">
        <v>47.427</v>
      </c>
      <c r="K755" s="1">
        <v>152.57300000000001</v>
      </c>
      <c r="L755" s="1">
        <v>23.71</v>
      </c>
      <c r="M755" s="1">
        <v>67.8</v>
      </c>
      <c r="N755" s="1">
        <v>3.2960000000000003E-2</v>
      </c>
      <c r="O755" s="1">
        <v>2.208E-4</v>
      </c>
      <c r="P7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11.337689574153352</v>
      </c>
      <c r="Q755" s="1">
        <f>LN(Table13[[#This Row],[qe_mg_g]]-Table13[[#This Row],[qt]])</f>
        <v>3.5859967114022364</v>
      </c>
      <c r="R755" s="1">
        <v>1</v>
      </c>
    </row>
    <row r="756" spans="1:18" hidden="1" x14ac:dyDescent="0.3">
      <c r="A756" s="1">
        <v>755</v>
      </c>
      <c r="B756" s="1" t="s">
        <v>17</v>
      </c>
      <c r="C756" s="1">
        <v>1</v>
      </c>
      <c r="D756" s="1">
        <v>30</v>
      </c>
      <c r="E756" s="1">
        <v>200</v>
      </c>
      <c r="F756" s="1">
        <v>11</v>
      </c>
      <c r="G756" s="1">
        <v>25</v>
      </c>
      <c r="H756" s="1">
        <v>150</v>
      </c>
      <c r="I756" s="1">
        <v>100</v>
      </c>
      <c r="J756" s="1">
        <v>46.162999999999997</v>
      </c>
      <c r="K756" s="1">
        <v>153.83699999999999</v>
      </c>
      <c r="L756" s="1">
        <v>23.08</v>
      </c>
      <c r="M756" s="1">
        <v>49.3</v>
      </c>
      <c r="N756" s="1">
        <v>3.3419999999999998E-2</v>
      </c>
      <c r="O756" s="1">
        <v>2.1100000000000001E-4</v>
      </c>
      <c r="P7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10.43897986859414</v>
      </c>
      <c r="Q756" s="1">
        <f>LN(Table13[[#This Row],[qe_mg_g]]-Table13[[#This Row],[qt]])</f>
        <v>3.5758232953475657</v>
      </c>
      <c r="R756" s="1">
        <v>2</v>
      </c>
    </row>
    <row r="757" spans="1:18" hidden="1" x14ac:dyDescent="0.3">
      <c r="A757" s="1">
        <v>756</v>
      </c>
      <c r="B757" s="1" t="s">
        <v>17</v>
      </c>
      <c r="C757" s="1">
        <v>1</v>
      </c>
      <c r="D757" s="1">
        <v>30</v>
      </c>
      <c r="E757" s="1">
        <v>200</v>
      </c>
      <c r="F757" s="1">
        <v>11</v>
      </c>
      <c r="G757" s="1">
        <v>25</v>
      </c>
      <c r="H757" s="1">
        <v>150</v>
      </c>
      <c r="I757" s="1">
        <v>100</v>
      </c>
      <c r="J757" s="1">
        <v>60.966999999999999</v>
      </c>
      <c r="K757" s="1">
        <v>139.03299999999999</v>
      </c>
      <c r="L757" s="1">
        <v>30.48</v>
      </c>
      <c r="M757" s="1">
        <v>79.8</v>
      </c>
      <c r="N757" s="1">
        <v>3.356E-2</v>
      </c>
      <c r="O757" s="1">
        <v>2.231E-4</v>
      </c>
      <c r="P7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17.66817699640767</v>
      </c>
      <c r="Q757" s="1">
        <f>LN(Table13[[#This Row],[qe_mg_g]]-Table13[[#This Row],[qt]])</f>
        <v>3.768125452273924</v>
      </c>
      <c r="R757" s="1">
        <v>3</v>
      </c>
    </row>
    <row r="758" spans="1:18" hidden="1" x14ac:dyDescent="0.3">
      <c r="A758" s="1">
        <v>757</v>
      </c>
      <c r="B758" s="1" t="s">
        <v>17</v>
      </c>
      <c r="C758" s="1">
        <v>1</v>
      </c>
      <c r="D758" s="1">
        <v>60</v>
      </c>
      <c r="E758" s="1">
        <v>25</v>
      </c>
      <c r="F758" s="1">
        <v>3</v>
      </c>
      <c r="G758" s="1">
        <v>25</v>
      </c>
      <c r="H758" s="1">
        <v>150</v>
      </c>
      <c r="I758" s="1">
        <v>100</v>
      </c>
      <c r="J758" s="1">
        <v>2.464</v>
      </c>
      <c r="K758" s="1">
        <v>22.536000000000001</v>
      </c>
      <c r="L758" s="1">
        <v>9.86</v>
      </c>
      <c r="M758" s="1">
        <v>80.7</v>
      </c>
      <c r="N758" s="1">
        <v>3.567E-2</v>
      </c>
      <c r="O758" s="1">
        <v>2.0900000000000001E-4</v>
      </c>
      <c r="P7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7.3852127448892746E-2</v>
      </c>
      <c r="Q758" s="1">
        <f>LN(Table13[[#This Row],[qe_mg_g]]-Table13[[#This Row],[qt]])</f>
        <v>0.87135523538976156</v>
      </c>
      <c r="R758" s="1">
        <v>1</v>
      </c>
    </row>
    <row r="759" spans="1:18" hidden="1" x14ac:dyDescent="0.3">
      <c r="A759" s="1">
        <v>758</v>
      </c>
      <c r="B759" s="1" t="s">
        <v>17</v>
      </c>
      <c r="C759" s="1">
        <v>1</v>
      </c>
      <c r="D759" s="1">
        <v>60</v>
      </c>
      <c r="E759" s="1">
        <v>25</v>
      </c>
      <c r="F759" s="1">
        <v>3</v>
      </c>
      <c r="G759" s="1">
        <v>25</v>
      </c>
      <c r="H759" s="1">
        <v>150</v>
      </c>
      <c r="I759" s="1">
        <v>100</v>
      </c>
      <c r="J759" s="1">
        <v>2.8759999999999999</v>
      </c>
      <c r="K759" s="1">
        <v>22.123999999999999</v>
      </c>
      <c r="L759" s="1">
        <v>11.5</v>
      </c>
      <c r="M759" s="1">
        <v>86.2</v>
      </c>
      <c r="N759" s="1">
        <v>2.6290000000000001E-2</v>
      </c>
      <c r="O759" s="1">
        <v>1.8679999999999999E-4</v>
      </c>
      <c r="P7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8.9810608376970205E-2</v>
      </c>
      <c r="Q759" s="1">
        <f>LN(Table13[[#This Row],[qe_mg_g]]-Table13[[#This Row],[qt]])</f>
        <v>1.0246748528112832</v>
      </c>
      <c r="R759" s="1">
        <v>2</v>
      </c>
    </row>
    <row r="760" spans="1:18" hidden="1" x14ac:dyDescent="0.3">
      <c r="A760" s="1">
        <v>759</v>
      </c>
      <c r="B760" s="1" t="s">
        <v>17</v>
      </c>
      <c r="C760" s="1">
        <v>1</v>
      </c>
      <c r="D760" s="1">
        <v>60</v>
      </c>
      <c r="E760" s="1">
        <v>25</v>
      </c>
      <c r="F760" s="1">
        <v>3</v>
      </c>
      <c r="G760" s="1">
        <v>25</v>
      </c>
      <c r="H760" s="1">
        <v>150</v>
      </c>
      <c r="I760" s="1">
        <v>100</v>
      </c>
      <c r="J760" s="1">
        <v>3.1680000000000001</v>
      </c>
      <c r="K760" s="1">
        <v>21.832000000000001</v>
      </c>
      <c r="L760" s="1">
        <v>12.67</v>
      </c>
      <c r="M760" s="1">
        <v>73.099999999999994</v>
      </c>
      <c r="N760" s="1">
        <v>3.5209999999999998E-2</v>
      </c>
      <c r="O760" s="1">
        <v>2.0890000000000001E-4</v>
      </c>
      <c r="P7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0.12098980334965526</v>
      </c>
      <c r="Q760" s="1">
        <f>LN(Table13[[#This Row],[qe_mg_g]]-Table13[[#This Row],[qt]])</f>
        <v>1.1141608464536159</v>
      </c>
      <c r="R760" s="1">
        <v>3</v>
      </c>
    </row>
    <row r="761" spans="1:18" hidden="1" x14ac:dyDescent="0.3">
      <c r="A761" s="1">
        <v>760</v>
      </c>
      <c r="B761" s="1" t="s">
        <v>17</v>
      </c>
      <c r="C761" s="1">
        <v>1</v>
      </c>
      <c r="D761" s="1">
        <v>60</v>
      </c>
      <c r="E761" s="1">
        <v>25</v>
      </c>
      <c r="F761" s="1">
        <v>7</v>
      </c>
      <c r="G761" s="1">
        <v>25</v>
      </c>
      <c r="H761" s="1">
        <v>150</v>
      </c>
      <c r="I761" s="1">
        <v>100</v>
      </c>
      <c r="J761" s="1">
        <v>4.9169999999999998</v>
      </c>
      <c r="K761" s="1">
        <v>20.082999999999998</v>
      </c>
      <c r="L761" s="1">
        <v>19.670000000000002</v>
      </c>
      <c r="M761" s="1">
        <v>87.9</v>
      </c>
      <c r="N761" s="1">
        <v>3.1629999999999998E-2</v>
      </c>
      <c r="O761" s="1">
        <v>1.9589999999999999E-4</v>
      </c>
      <c r="P7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0.26864875487176182</v>
      </c>
      <c r="Q761" s="1">
        <f>LN(Table13[[#This Row],[qe_mg_g]]-Table13[[#This Row],[qt]])</f>
        <v>1.5365125857839623</v>
      </c>
      <c r="R761" s="1">
        <v>1</v>
      </c>
    </row>
    <row r="762" spans="1:18" hidden="1" x14ac:dyDescent="0.3">
      <c r="A762" s="1">
        <v>761</v>
      </c>
      <c r="B762" s="1" t="s">
        <v>17</v>
      </c>
      <c r="C762" s="1">
        <v>1</v>
      </c>
      <c r="D762" s="1">
        <v>60</v>
      </c>
      <c r="E762" s="1">
        <v>25</v>
      </c>
      <c r="F762" s="1">
        <v>7</v>
      </c>
      <c r="G762" s="1">
        <v>25</v>
      </c>
      <c r="H762" s="1">
        <v>150</v>
      </c>
      <c r="I762" s="1">
        <v>100</v>
      </c>
      <c r="J762" s="1">
        <v>5.4020000000000001</v>
      </c>
      <c r="K762" s="1">
        <v>19.597999999999999</v>
      </c>
      <c r="L762" s="1">
        <v>21.61</v>
      </c>
      <c r="M762" s="1">
        <v>87.7</v>
      </c>
      <c r="N762" s="1">
        <v>3.295E-2</v>
      </c>
      <c r="O762" s="1">
        <v>2.0450000000000001E-4</v>
      </c>
      <c r="P7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0.33580056659279073</v>
      </c>
      <c r="Q762" s="1">
        <f>LN(Table13[[#This Row],[qe_mg_g]]-Table13[[#This Row],[qt]])</f>
        <v>1.6225909178411815</v>
      </c>
      <c r="R762" s="1">
        <v>2</v>
      </c>
    </row>
    <row r="763" spans="1:18" hidden="1" x14ac:dyDescent="0.3">
      <c r="A763" s="1">
        <v>762</v>
      </c>
      <c r="B763" s="1" t="s">
        <v>17</v>
      </c>
      <c r="C763" s="1">
        <v>1</v>
      </c>
      <c r="D763" s="1">
        <v>60</v>
      </c>
      <c r="E763" s="1">
        <v>25</v>
      </c>
      <c r="F763" s="1">
        <v>7</v>
      </c>
      <c r="G763" s="1">
        <v>25</v>
      </c>
      <c r="H763" s="1">
        <v>150</v>
      </c>
      <c r="I763" s="1">
        <v>100</v>
      </c>
      <c r="J763" s="1">
        <v>5.4550000000000001</v>
      </c>
      <c r="K763" s="1">
        <v>19.545000000000002</v>
      </c>
      <c r="L763" s="1">
        <v>21.82</v>
      </c>
      <c r="M763" s="1">
        <v>59.4</v>
      </c>
      <c r="N763" s="1">
        <v>3.9059999999999997E-2</v>
      </c>
      <c r="O763" s="1">
        <v>1.9330000000000001E-4</v>
      </c>
      <c r="P7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0.32458634259995767</v>
      </c>
      <c r="Q763" s="1">
        <f>LN(Table13[[#This Row],[qe_mg_g]]-Table13[[#This Row],[qt]])</f>
        <v>1.6351862909026222</v>
      </c>
      <c r="R763" s="1">
        <v>3</v>
      </c>
    </row>
    <row r="764" spans="1:18" hidden="1" x14ac:dyDescent="0.3">
      <c r="A764" s="1">
        <v>763</v>
      </c>
      <c r="B764" s="1" t="s">
        <v>17</v>
      </c>
      <c r="C764" s="1">
        <v>1</v>
      </c>
      <c r="D764" s="1">
        <v>60</v>
      </c>
      <c r="E764" s="1">
        <v>25</v>
      </c>
      <c r="F764" s="1">
        <v>11</v>
      </c>
      <c r="G764" s="1">
        <v>25</v>
      </c>
      <c r="H764" s="1">
        <v>150</v>
      </c>
      <c r="I764" s="1">
        <v>100</v>
      </c>
      <c r="J764" s="1">
        <v>3.9660000000000002</v>
      </c>
      <c r="K764" s="1">
        <v>21.033999999999999</v>
      </c>
      <c r="L764" s="1">
        <v>15.86</v>
      </c>
      <c r="M764" s="1">
        <v>101.1</v>
      </c>
      <c r="N764" s="1">
        <v>3.0200000000000001E-2</v>
      </c>
      <c r="O764" s="1">
        <v>1.8579999999999999E-4</v>
      </c>
      <c r="P7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0.1679242036457835</v>
      </c>
      <c r="Q764" s="1">
        <f>LN(Table13[[#This Row],[qe_mg_g]]-Table13[[#This Row],[qt]])</f>
        <v>1.3344945691036003</v>
      </c>
      <c r="R764" s="1">
        <v>1</v>
      </c>
    </row>
    <row r="765" spans="1:18" hidden="1" x14ac:dyDescent="0.3">
      <c r="A765" s="1">
        <v>764</v>
      </c>
      <c r="B765" s="1" t="s">
        <v>17</v>
      </c>
      <c r="C765" s="1">
        <v>1</v>
      </c>
      <c r="D765" s="1">
        <v>60</v>
      </c>
      <c r="E765" s="1">
        <v>25</v>
      </c>
      <c r="F765" s="1">
        <v>11</v>
      </c>
      <c r="G765" s="1">
        <v>25</v>
      </c>
      <c r="H765" s="1">
        <v>150</v>
      </c>
      <c r="I765" s="1">
        <v>100</v>
      </c>
      <c r="J765" s="1">
        <v>3.694</v>
      </c>
      <c r="K765" s="1">
        <v>21.306000000000001</v>
      </c>
      <c r="L765" s="1">
        <v>14.78</v>
      </c>
      <c r="M765" s="1">
        <v>75.599999999999994</v>
      </c>
      <c r="N765" s="1">
        <v>4.1070000000000002E-2</v>
      </c>
      <c r="O765" s="1">
        <v>1.829E-4</v>
      </c>
      <c r="P7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0.14391326005987617</v>
      </c>
      <c r="Q765" s="1">
        <f>LN(Table13[[#This Row],[qe_mg_g]]-Table13[[#This Row],[qt]])</f>
        <v>1.2669720369747748</v>
      </c>
      <c r="R765" s="1">
        <v>2</v>
      </c>
    </row>
    <row r="766" spans="1:18" hidden="1" x14ac:dyDescent="0.3">
      <c r="A766" s="1">
        <v>765</v>
      </c>
      <c r="B766" s="1" t="s">
        <v>17</v>
      </c>
      <c r="C766" s="1">
        <v>1</v>
      </c>
      <c r="D766" s="1">
        <v>60</v>
      </c>
      <c r="E766" s="1">
        <v>25</v>
      </c>
      <c r="F766" s="1">
        <v>11</v>
      </c>
      <c r="G766" s="1">
        <v>25</v>
      </c>
      <c r="H766" s="1">
        <v>150</v>
      </c>
      <c r="I766" s="1">
        <v>100</v>
      </c>
      <c r="J766" s="1">
        <v>3.593</v>
      </c>
      <c r="K766" s="1">
        <v>21.407</v>
      </c>
      <c r="L766" s="1">
        <v>14.37</v>
      </c>
      <c r="M766" s="1">
        <v>88.3</v>
      </c>
      <c r="N766" s="1">
        <v>3.0790000000000001E-2</v>
      </c>
      <c r="O766" s="1">
        <v>1.9210000000000001E-4</v>
      </c>
      <c r="P7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0.1428795550757706</v>
      </c>
      <c r="Q766" s="1">
        <f>LN(Table13[[#This Row],[qe_mg_g]]-Table13[[#This Row],[qt]])</f>
        <v>1.2384091420061141</v>
      </c>
      <c r="R766" s="1">
        <v>3</v>
      </c>
    </row>
    <row r="767" spans="1:18" hidden="1" x14ac:dyDescent="0.3">
      <c r="A767" s="1">
        <v>766</v>
      </c>
      <c r="B767" s="1" t="s">
        <v>17</v>
      </c>
      <c r="C767" s="1">
        <v>1</v>
      </c>
      <c r="D767" s="1">
        <v>60</v>
      </c>
      <c r="E767" s="1">
        <v>50</v>
      </c>
      <c r="F767" s="1">
        <v>3</v>
      </c>
      <c r="G767" s="1">
        <v>25</v>
      </c>
      <c r="H767" s="1">
        <v>150</v>
      </c>
      <c r="I767" s="1">
        <v>100</v>
      </c>
      <c r="J767" s="1">
        <v>10.462</v>
      </c>
      <c r="K767" s="1">
        <v>39.537999999999997</v>
      </c>
      <c r="L767" s="1">
        <v>20.92</v>
      </c>
      <c r="M767" s="1">
        <v>81.400000000000006</v>
      </c>
      <c r="N767" s="1">
        <v>3.4669999999999999E-2</v>
      </c>
      <c r="O767" s="1">
        <v>1.894E-4</v>
      </c>
      <c r="P7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1.1116631222520492</v>
      </c>
      <c r="Q767" s="1">
        <f>LN(Table13[[#This Row],[qe_mg_g]]-Table13[[#This Row],[qt]])</f>
        <v>2.2354123723572048</v>
      </c>
      <c r="R767" s="1">
        <v>1</v>
      </c>
    </row>
    <row r="768" spans="1:18" hidden="1" x14ac:dyDescent="0.3">
      <c r="A768" s="1">
        <v>767</v>
      </c>
      <c r="B768" s="1" t="s">
        <v>17</v>
      </c>
      <c r="C768" s="1">
        <v>1</v>
      </c>
      <c r="D768" s="1">
        <v>60</v>
      </c>
      <c r="E768" s="1">
        <v>50</v>
      </c>
      <c r="F768" s="1">
        <v>3</v>
      </c>
      <c r="G768" s="1">
        <v>25</v>
      </c>
      <c r="H768" s="1">
        <v>150</v>
      </c>
      <c r="I768" s="1">
        <v>100</v>
      </c>
      <c r="J768" s="1">
        <v>8.6050000000000004</v>
      </c>
      <c r="K768" s="1">
        <v>41.395000000000003</v>
      </c>
      <c r="L768" s="1">
        <v>17.21</v>
      </c>
      <c r="M768" s="1">
        <v>89.8</v>
      </c>
      <c r="N768" s="1">
        <v>4.1140000000000003E-2</v>
      </c>
      <c r="O768" s="1">
        <v>2.0039999999999999E-4</v>
      </c>
      <c r="P7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0.80684768270087637</v>
      </c>
      <c r="Q768" s="1">
        <f>LN(Table13[[#This Row],[qe_mg_g]]-Table13[[#This Row],[qt]])</f>
        <v>2.0538868232369309</v>
      </c>
      <c r="R768" s="1">
        <v>2</v>
      </c>
    </row>
    <row r="769" spans="1:18" hidden="1" x14ac:dyDescent="0.3">
      <c r="A769" s="1">
        <v>768</v>
      </c>
      <c r="B769" s="1" t="s">
        <v>17</v>
      </c>
      <c r="C769" s="1">
        <v>1</v>
      </c>
      <c r="D769" s="1">
        <v>60</v>
      </c>
      <c r="E769" s="1">
        <v>50</v>
      </c>
      <c r="F769" s="1">
        <v>3</v>
      </c>
      <c r="G769" s="1">
        <v>25</v>
      </c>
      <c r="H769" s="1">
        <v>150</v>
      </c>
      <c r="I769" s="1">
        <v>100</v>
      </c>
      <c r="J769" s="1">
        <v>10.369</v>
      </c>
      <c r="K769" s="1">
        <v>39.631</v>
      </c>
      <c r="L769" s="1">
        <v>20.74</v>
      </c>
      <c r="M769" s="1">
        <v>94.6</v>
      </c>
      <c r="N769" s="1">
        <v>3.056E-2</v>
      </c>
      <c r="O769" s="1">
        <v>2.341E-4</v>
      </c>
      <c r="P7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1.3181872814470732</v>
      </c>
      <c r="Q769" s="1">
        <f>LN(Table13[[#This Row],[qe_mg_g]]-Table13[[#This Row],[qt]])</f>
        <v>2.2028545568347924</v>
      </c>
      <c r="R769" s="1">
        <v>3</v>
      </c>
    </row>
    <row r="770" spans="1:18" hidden="1" x14ac:dyDescent="0.3">
      <c r="A770" s="1">
        <v>769</v>
      </c>
      <c r="B770" s="1" t="s">
        <v>17</v>
      </c>
      <c r="C770" s="1">
        <v>1</v>
      </c>
      <c r="D770" s="1">
        <v>60</v>
      </c>
      <c r="E770" s="1">
        <v>50</v>
      </c>
      <c r="F770" s="1">
        <v>7</v>
      </c>
      <c r="G770" s="1">
        <v>25</v>
      </c>
      <c r="H770" s="1">
        <v>150</v>
      </c>
      <c r="I770" s="1">
        <v>100</v>
      </c>
      <c r="J770" s="1">
        <v>16.745000000000001</v>
      </c>
      <c r="K770" s="1">
        <v>33.255000000000003</v>
      </c>
      <c r="L770" s="1">
        <v>33.49</v>
      </c>
      <c r="M770" s="1">
        <v>106.7</v>
      </c>
      <c r="N770" s="1">
        <v>3.243E-2</v>
      </c>
      <c r="O770" s="1">
        <v>2.364E-4</v>
      </c>
      <c r="P7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3.2138080206926314</v>
      </c>
      <c r="Q770" s="1">
        <f>LN(Table13[[#This Row],[qe_mg_g]]-Table13[[#This Row],[qt]])</f>
        <v>2.6049975372901888</v>
      </c>
      <c r="R770" s="1">
        <v>1</v>
      </c>
    </row>
    <row r="771" spans="1:18" hidden="1" x14ac:dyDescent="0.3">
      <c r="A771" s="1">
        <v>770</v>
      </c>
      <c r="B771" s="1" t="s">
        <v>17</v>
      </c>
      <c r="C771" s="1">
        <v>1</v>
      </c>
      <c r="D771" s="1">
        <v>60</v>
      </c>
      <c r="E771" s="1">
        <v>50</v>
      </c>
      <c r="F771" s="1">
        <v>7</v>
      </c>
      <c r="G771" s="1">
        <v>25</v>
      </c>
      <c r="H771" s="1">
        <v>150</v>
      </c>
      <c r="I771" s="1">
        <v>100</v>
      </c>
      <c r="J771" s="1">
        <v>17.684999999999999</v>
      </c>
      <c r="K771" s="1">
        <v>32.314999999999998</v>
      </c>
      <c r="L771" s="1">
        <v>35.369999999999997</v>
      </c>
      <c r="M771" s="1">
        <v>92.8</v>
      </c>
      <c r="N771" s="1">
        <v>3.5819999999999998E-2</v>
      </c>
      <c r="O771" s="1">
        <v>1.95E-4</v>
      </c>
      <c r="P7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3.031932197765459</v>
      </c>
      <c r="Q771" s="1">
        <f>LN(Table13[[#This Row],[qe_mg_g]]-Table13[[#This Row],[qt]])</f>
        <v>2.6846497198365116</v>
      </c>
      <c r="R771" s="1">
        <v>2</v>
      </c>
    </row>
    <row r="772" spans="1:18" hidden="1" x14ac:dyDescent="0.3">
      <c r="A772" s="1">
        <v>771</v>
      </c>
      <c r="B772" s="1" t="s">
        <v>17</v>
      </c>
      <c r="C772" s="1">
        <v>1</v>
      </c>
      <c r="D772" s="1">
        <v>60</v>
      </c>
      <c r="E772" s="1">
        <v>50</v>
      </c>
      <c r="F772" s="1">
        <v>7</v>
      </c>
      <c r="G772" s="1">
        <v>25</v>
      </c>
      <c r="H772" s="1">
        <v>150</v>
      </c>
      <c r="I772" s="1">
        <v>100</v>
      </c>
      <c r="J772" s="1">
        <v>18.384</v>
      </c>
      <c r="K772" s="1">
        <v>31.616</v>
      </c>
      <c r="L772" s="1">
        <v>36.770000000000003</v>
      </c>
      <c r="M772" s="1">
        <v>87.5</v>
      </c>
      <c r="N772" s="1">
        <v>2.8119999999999999E-2</v>
      </c>
      <c r="O772" s="1">
        <v>1.7770000000000001E-4</v>
      </c>
      <c r="P7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3.0128937359972769</v>
      </c>
      <c r="Q772" s="1">
        <f>LN(Table13[[#This Row],[qe_mg_g]]-Table13[[#This Row],[qt]])</f>
        <v>2.7324895304973267</v>
      </c>
      <c r="R772" s="1">
        <v>3</v>
      </c>
    </row>
    <row r="773" spans="1:18" hidden="1" x14ac:dyDescent="0.3">
      <c r="A773" s="1">
        <v>772</v>
      </c>
      <c r="B773" s="1" t="s">
        <v>17</v>
      </c>
      <c r="C773" s="1">
        <v>1</v>
      </c>
      <c r="D773" s="1">
        <v>60</v>
      </c>
      <c r="E773" s="1">
        <v>50</v>
      </c>
      <c r="F773" s="1">
        <v>11</v>
      </c>
      <c r="G773" s="1">
        <v>25</v>
      </c>
      <c r="H773" s="1">
        <v>150</v>
      </c>
      <c r="I773" s="1">
        <v>100</v>
      </c>
      <c r="J773" s="1">
        <v>12.298999999999999</v>
      </c>
      <c r="K773" s="1">
        <v>37.701000000000001</v>
      </c>
      <c r="L773" s="1">
        <v>24.6</v>
      </c>
      <c r="M773" s="1">
        <v>89.7</v>
      </c>
      <c r="N773" s="1">
        <v>3.4799999999999998E-2</v>
      </c>
      <c r="O773" s="1">
        <v>2.2440000000000001E-4</v>
      </c>
      <c r="P7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1.7472960742335357</v>
      </c>
      <c r="Q773" s="1">
        <f>LN(Table13[[#This Row],[qe_mg_g]]-Table13[[#This Row],[qt]])</f>
        <v>2.3562873564321358</v>
      </c>
      <c r="R773" s="1">
        <v>1</v>
      </c>
    </row>
    <row r="774" spans="1:18" hidden="1" x14ac:dyDescent="0.3">
      <c r="A774" s="1">
        <v>773</v>
      </c>
      <c r="B774" s="1" t="s">
        <v>17</v>
      </c>
      <c r="C774" s="1">
        <v>1</v>
      </c>
      <c r="D774" s="1">
        <v>60</v>
      </c>
      <c r="E774" s="1">
        <v>50</v>
      </c>
      <c r="F774" s="1">
        <v>11</v>
      </c>
      <c r="G774" s="1">
        <v>25</v>
      </c>
      <c r="H774" s="1">
        <v>150</v>
      </c>
      <c r="I774" s="1">
        <v>100</v>
      </c>
      <c r="J774" s="1">
        <v>10.087</v>
      </c>
      <c r="K774" s="1">
        <v>39.912999999999997</v>
      </c>
      <c r="L774" s="1">
        <v>20.170000000000002</v>
      </c>
      <c r="M774" s="1">
        <v>87.6</v>
      </c>
      <c r="N774" s="1">
        <v>2.8639999999999999E-2</v>
      </c>
      <c r="O774" s="1">
        <v>2.152E-4</v>
      </c>
      <c r="P7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1.1623732339608452</v>
      </c>
      <c r="Q774" s="1">
        <f>LN(Table13[[#This Row],[qe_mg_g]]-Table13[[#This Row],[qt]])</f>
        <v>2.1888145078600796</v>
      </c>
      <c r="R774" s="1">
        <v>2</v>
      </c>
    </row>
    <row r="775" spans="1:18" hidden="1" x14ac:dyDescent="0.3">
      <c r="A775" s="1">
        <v>774</v>
      </c>
      <c r="B775" s="1" t="s">
        <v>17</v>
      </c>
      <c r="C775" s="1">
        <v>1</v>
      </c>
      <c r="D775" s="1">
        <v>60</v>
      </c>
      <c r="E775" s="1">
        <v>50</v>
      </c>
      <c r="F775" s="1">
        <v>11</v>
      </c>
      <c r="G775" s="1">
        <v>25</v>
      </c>
      <c r="H775" s="1">
        <v>150</v>
      </c>
      <c r="I775" s="1">
        <v>100</v>
      </c>
      <c r="J775" s="1">
        <v>12.413</v>
      </c>
      <c r="K775" s="1">
        <v>37.587000000000003</v>
      </c>
      <c r="L775" s="1">
        <v>24.83</v>
      </c>
      <c r="M775" s="1">
        <v>91.1</v>
      </c>
      <c r="N775" s="1">
        <v>3.1980000000000001E-2</v>
      </c>
      <c r="O775" s="1">
        <v>2.2560000000000001E-4</v>
      </c>
      <c r="P7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1.785635028167543</v>
      </c>
      <c r="Q775" s="1">
        <f>LN(Table13[[#This Row],[qe_mg_g]]-Table13[[#This Row],[qt]])</f>
        <v>2.3634322756262161</v>
      </c>
      <c r="R775" s="1">
        <v>3</v>
      </c>
    </row>
    <row r="776" spans="1:18" hidden="1" x14ac:dyDescent="0.3">
      <c r="A776" s="1">
        <v>775</v>
      </c>
      <c r="B776" s="1" t="s">
        <v>17</v>
      </c>
      <c r="C776" s="1">
        <v>1</v>
      </c>
      <c r="D776" s="1">
        <v>60</v>
      </c>
      <c r="E776" s="1">
        <v>100</v>
      </c>
      <c r="F776" s="1">
        <v>3</v>
      </c>
      <c r="G776" s="1">
        <v>25</v>
      </c>
      <c r="H776" s="1">
        <v>150</v>
      </c>
      <c r="I776" s="1">
        <v>100</v>
      </c>
      <c r="J776" s="1">
        <v>32.853999999999999</v>
      </c>
      <c r="K776" s="1">
        <v>67.146000000000001</v>
      </c>
      <c r="L776" s="1">
        <v>32.85</v>
      </c>
      <c r="M776" s="1">
        <v>93.2</v>
      </c>
      <c r="N776" s="1">
        <v>3.4549999999999997E-2</v>
      </c>
      <c r="O776" s="1">
        <v>2.1159999999999999E-4</v>
      </c>
      <c r="P7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9.6702680649214248</v>
      </c>
      <c r="Q776" s="1">
        <f>LN(Table13[[#This Row],[qe_mg_g]]-Table13[[#This Row],[qt]])</f>
        <v>3.1434508230148697</v>
      </c>
      <c r="R776" s="1">
        <v>1</v>
      </c>
    </row>
    <row r="777" spans="1:18" hidden="1" x14ac:dyDescent="0.3">
      <c r="A777" s="1">
        <v>776</v>
      </c>
      <c r="B777" s="1" t="s">
        <v>17</v>
      </c>
      <c r="C777" s="1">
        <v>1</v>
      </c>
      <c r="D777" s="1">
        <v>60</v>
      </c>
      <c r="E777" s="1">
        <v>100</v>
      </c>
      <c r="F777" s="1">
        <v>3</v>
      </c>
      <c r="G777" s="1">
        <v>25</v>
      </c>
      <c r="H777" s="1">
        <v>150</v>
      </c>
      <c r="I777" s="1">
        <v>100</v>
      </c>
      <c r="J777" s="1">
        <v>27.651</v>
      </c>
      <c r="K777" s="1">
        <v>72.349000000000004</v>
      </c>
      <c r="L777" s="1">
        <v>27.65</v>
      </c>
      <c r="M777" s="1">
        <v>96.7</v>
      </c>
      <c r="N777" s="1">
        <v>4.0770000000000001E-2</v>
      </c>
      <c r="O777" s="1">
        <v>2.2139999999999999E-4</v>
      </c>
      <c r="P7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7.4281675707381751</v>
      </c>
      <c r="Q777" s="1">
        <f>LN(Table13[[#This Row],[qe_mg_g]]-Table13[[#This Row],[qt]])</f>
        <v>3.0068122843587046</v>
      </c>
      <c r="R777" s="1">
        <v>2</v>
      </c>
    </row>
    <row r="778" spans="1:18" hidden="1" x14ac:dyDescent="0.3">
      <c r="A778" s="1">
        <v>777</v>
      </c>
      <c r="B778" s="1" t="s">
        <v>17</v>
      </c>
      <c r="C778" s="1">
        <v>1</v>
      </c>
      <c r="D778" s="1">
        <v>60</v>
      </c>
      <c r="E778" s="1">
        <v>100</v>
      </c>
      <c r="F778" s="1">
        <v>3</v>
      </c>
      <c r="G778" s="1">
        <v>25</v>
      </c>
      <c r="H778" s="1">
        <v>150</v>
      </c>
      <c r="I778" s="1">
        <v>100</v>
      </c>
      <c r="J778" s="1">
        <v>27.582999999999998</v>
      </c>
      <c r="K778" s="1">
        <v>72.417000000000002</v>
      </c>
      <c r="L778" s="1">
        <v>27.58</v>
      </c>
      <c r="M778" s="1">
        <v>90.4</v>
      </c>
      <c r="N778" s="1">
        <v>3.0470000000000001E-2</v>
      </c>
      <c r="O778" s="1">
        <v>2.1139999999999999E-4</v>
      </c>
      <c r="P7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7.1490710317003971</v>
      </c>
      <c r="Q778" s="1">
        <f>LN(Table13[[#This Row],[qe_mg_g]]-Table13[[#This Row],[qt]])</f>
        <v>3.0171967040106797</v>
      </c>
      <c r="R778" s="1">
        <v>3</v>
      </c>
    </row>
    <row r="779" spans="1:18" hidden="1" x14ac:dyDescent="0.3">
      <c r="A779" s="1">
        <v>778</v>
      </c>
      <c r="B779" s="1" t="s">
        <v>17</v>
      </c>
      <c r="C779" s="1">
        <v>1</v>
      </c>
      <c r="D779" s="1">
        <v>60</v>
      </c>
      <c r="E779" s="1">
        <v>100</v>
      </c>
      <c r="F779" s="1">
        <v>7</v>
      </c>
      <c r="G779" s="1">
        <v>25</v>
      </c>
      <c r="H779" s="1">
        <v>150</v>
      </c>
      <c r="I779" s="1">
        <v>100</v>
      </c>
      <c r="J779" s="1">
        <v>48.103999999999999</v>
      </c>
      <c r="K779" s="1">
        <v>51.896000000000001</v>
      </c>
      <c r="L779" s="1">
        <v>48.1</v>
      </c>
      <c r="M779" s="1">
        <v>61.7</v>
      </c>
      <c r="N779" s="1">
        <v>3.0929999999999999E-2</v>
      </c>
      <c r="O779" s="1">
        <v>1.9430000000000001E-4</v>
      </c>
      <c r="P7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17.283837284507577</v>
      </c>
      <c r="Q779" s="1">
        <f>LN(Table13[[#This Row],[qe_mg_g]]-Table13[[#This Row],[qt]])</f>
        <v>3.428169109420292</v>
      </c>
      <c r="R779" s="1">
        <v>1</v>
      </c>
    </row>
    <row r="780" spans="1:18" hidden="1" x14ac:dyDescent="0.3">
      <c r="A780" s="1">
        <v>779</v>
      </c>
      <c r="B780" s="1" t="s">
        <v>17</v>
      </c>
      <c r="C780" s="1">
        <v>1</v>
      </c>
      <c r="D780" s="1">
        <v>60</v>
      </c>
      <c r="E780" s="1">
        <v>100</v>
      </c>
      <c r="F780" s="1">
        <v>7</v>
      </c>
      <c r="G780" s="1">
        <v>25</v>
      </c>
      <c r="H780" s="1">
        <v>150</v>
      </c>
      <c r="I780" s="1">
        <v>100</v>
      </c>
      <c r="J780" s="1">
        <v>44.645000000000003</v>
      </c>
      <c r="K780" s="1">
        <v>55.354999999999997</v>
      </c>
      <c r="L780" s="1">
        <v>44.64</v>
      </c>
      <c r="M780" s="1">
        <v>70.2</v>
      </c>
      <c r="N780" s="1">
        <v>3.6360000000000003E-2</v>
      </c>
      <c r="O780" s="1">
        <v>2.05E-4</v>
      </c>
      <c r="P7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15.825663254651717</v>
      </c>
      <c r="Q780" s="1">
        <f>LN(Table13[[#This Row],[qe_mg_g]]-Table13[[#This Row],[qt]])</f>
        <v>3.3610465766128819</v>
      </c>
      <c r="R780" s="1">
        <v>2</v>
      </c>
    </row>
    <row r="781" spans="1:18" hidden="1" x14ac:dyDescent="0.3">
      <c r="A781" s="1">
        <v>780</v>
      </c>
      <c r="B781" s="1" t="s">
        <v>17</v>
      </c>
      <c r="C781" s="1">
        <v>1</v>
      </c>
      <c r="D781" s="1">
        <v>60</v>
      </c>
      <c r="E781" s="1">
        <v>100</v>
      </c>
      <c r="F781" s="1">
        <v>7</v>
      </c>
      <c r="G781" s="1">
        <v>25</v>
      </c>
      <c r="H781" s="1">
        <v>150</v>
      </c>
      <c r="I781" s="1">
        <v>100</v>
      </c>
      <c r="J781" s="1">
        <v>45.136000000000003</v>
      </c>
      <c r="K781" s="1">
        <v>54.863999999999997</v>
      </c>
      <c r="L781" s="1">
        <v>45.14</v>
      </c>
      <c r="M781" s="1">
        <v>76</v>
      </c>
      <c r="N781" s="1">
        <v>3.8670000000000003E-2</v>
      </c>
      <c r="O781" s="1">
        <v>2.331E-4</v>
      </c>
      <c r="P7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17.466796247494937</v>
      </c>
      <c r="Q781" s="1">
        <f>LN(Table13[[#This Row],[qe_mg_g]]-Table13[[#This Row],[qt]])</f>
        <v>3.3203200168218996</v>
      </c>
      <c r="R781" s="1">
        <v>3</v>
      </c>
    </row>
    <row r="782" spans="1:18" hidden="1" x14ac:dyDescent="0.3">
      <c r="A782" s="1">
        <v>781</v>
      </c>
      <c r="B782" s="1" t="s">
        <v>17</v>
      </c>
      <c r="C782" s="1">
        <v>1</v>
      </c>
      <c r="D782" s="1">
        <v>60</v>
      </c>
      <c r="E782" s="1">
        <v>100</v>
      </c>
      <c r="F782" s="1">
        <v>11</v>
      </c>
      <c r="G782" s="1">
        <v>25</v>
      </c>
      <c r="H782" s="1">
        <v>150</v>
      </c>
      <c r="I782" s="1">
        <v>100</v>
      </c>
      <c r="J782" s="1">
        <v>34.320999999999998</v>
      </c>
      <c r="K782" s="1">
        <v>65.679000000000002</v>
      </c>
      <c r="L782" s="1">
        <v>34.32</v>
      </c>
      <c r="M782" s="1">
        <v>77.8</v>
      </c>
      <c r="N782" s="1">
        <v>3.6720000000000003E-2</v>
      </c>
      <c r="O782" s="1">
        <v>1.928E-4</v>
      </c>
      <c r="P7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9.7538004567144103</v>
      </c>
      <c r="Q782" s="1">
        <f>LN(Table13[[#This Row],[qe_mg_g]]-Table13[[#This Row],[qt]])</f>
        <v>3.2014122013347666</v>
      </c>
      <c r="R782" s="1">
        <v>1</v>
      </c>
    </row>
    <row r="783" spans="1:18" hidden="1" x14ac:dyDescent="0.3">
      <c r="A783" s="1">
        <v>782</v>
      </c>
      <c r="B783" s="1" t="s">
        <v>17</v>
      </c>
      <c r="C783" s="1">
        <v>1</v>
      </c>
      <c r="D783" s="1">
        <v>60</v>
      </c>
      <c r="E783" s="1">
        <v>100</v>
      </c>
      <c r="F783" s="1">
        <v>11</v>
      </c>
      <c r="G783" s="1">
        <v>25</v>
      </c>
      <c r="H783" s="1">
        <v>150</v>
      </c>
      <c r="I783" s="1">
        <v>100</v>
      </c>
      <c r="J783" s="1">
        <v>35.563000000000002</v>
      </c>
      <c r="K783" s="1">
        <v>64.436999999999998</v>
      </c>
      <c r="L783" s="1">
        <v>35.56</v>
      </c>
      <c r="M783" s="1">
        <v>95.2</v>
      </c>
      <c r="N783" s="1">
        <v>2.8320000000000001E-2</v>
      </c>
      <c r="O783" s="1">
        <v>2.264E-4</v>
      </c>
      <c r="P7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11.583974488609373</v>
      </c>
      <c r="Q783" s="1">
        <f>LN(Table13[[#This Row],[qe_mg_g]]-Table13[[#This Row],[qt]])</f>
        <v>3.1771795112169525</v>
      </c>
      <c r="R783" s="1">
        <v>2</v>
      </c>
    </row>
    <row r="784" spans="1:18" hidden="1" x14ac:dyDescent="0.3">
      <c r="A784" s="1">
        <v>783</v>
      </c>
      <c r="B784" s="1" t="s">
        <v>17</v>
      </c>
      <c r="C784" s="1">
        <v>1</v>
      </c>
      <c r="D784" s="1">
        <v>60</v>
      </c>
      <c r="E784" s="1">
        <v>100</v>
      </c>
      <c r="F784" s="1">
        <v>11</v>
      </c>
      <c r="G784" s="1">
        <v>25</v>
      </c>
      <c r="H784" s="1">
        <v>150</v>
      </c>
      <c r="I784" s="1">
        <v>100</v>
      </c>
      <c r="J784" s="1">
        <v>36.328000000000003</v>
      </c>
      <c r="K784" s="1">
        <v>63.671999999999997</v>
      </c>
      <c r="L784" s="1">
        <v>36.33</v>
      </c>
      <c r="M784" s="1">
        <v>80.400000000000006</v>
      </c>
      <c r="N784" s="1">
        <v>3.4689999999999999E-2</v>
      </c>
      <c r="O784" s="1">
        <v>1.9919999999999999E-4</v>
      </c>
      <c r="P7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10.998062644655644</v>
      </c>
      <c r="Q784" s="1">
        <f>LN(Table13[[#This Row],[qe_mg_g]]-Table13[[#This Row],[qt]])</f>
        <v>3.2319869908697583</v>
      </c>
      <c r="R784" s="1">
        <v>3</v>
      </c>
    </row>
    <row r="785" spans="1:18" hidden="1" x14ac:dyDescent="0.3">
      <c r="A785" s="1">
        <v>784</v>
      </c>
      <c r="B785" s="1" t="s">
        <v>17</v>
      </c>
      <c r="C785" s="1">
        <v>1</v>
      </c>
      <c r="D785" s="1">
        <v>60</v>
      </c>
      <c r="E785" s="1">
        <v>200</v>
      </c>
      <c r="F785" s="1">
        <v>3</v>
      </c>
      <c r="G785" s="1">
        <v>25</v>
      </c>
      <c r="H785" s="1">
        <v>150</v>
      </c>
      <c r="I785" s="1">
        <v>100</v>
      </c>
      <c r="J785" s="1">
        <v>52.637999999999998</v>
      </c>
      <c r="K785" s="1">
        <v>147.36199999999999</v>
      </c>
      <c r="L785" s="1">
        <v>26.32</v>
      </c>
      <c r="M785" s="1">
        <v>104.9</v>
      </c>
      <c r="N785" s="1">
        <v>3.5139999999999998E-2</v>
      </c>
      <c r="O785" s="1">
        <v>2.0890000000000001E-4</v>
      </c>
      <c r="P7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20.923865909961169</v>
      </c>
      <c r="Q785" s="1">
        <f>LN(Table13[[#This Row],[qe_mg_g]]-Table13[[#This Row],[qt]])</f>
        <v>3.4567624518608158</v>
      </c>
      <c r="R785" s="1">
        <v>1</v>
      </c>
    </row>
    <row r="786" spans="1:18" hidden="1" x14ac:dyDescent="0.3">
      <c r="A786" s="1">
        <v>785</v>
      </c>
      <c r="B786" s="1" t="s">
        <v>17</v>
      </c>
      <c r="C786" s="1">
        <v>1</v>
      </c>
      <c r="D786" s="1">
        <v>60</v>
      </c>
      <c r="E786" s="1">
        <v>200</v>
      </c>
      <c r="F786" s="1">
        <v>3</v>
      </c>
      <c r="G786" s="1">
        <v>25</v>
      </c>
      <c r="H786" s="1">
        <v>150</v>
      </c>
      <c r="I786" s="1">
        <v>100</v>
      </c>
      <c r="J786" s="1">
        <v>69.715999999999994</v>
      </c>
      <c r="K786" s="1">
        <v>130.28399999999999</v>
      </c>
      <c r="L786" s="1">
        <v>34.86</v>
      </c>
      <c r="M786" s="1">
        <v>72.599999999999994</v>
      </c>
      <c r="N786" s="1">
        <v>3.6659999999999998E-2</v>
      </c>
      <c r="O786" s="1">
        <v>1.9459999999999999E-4</v>
      </c>
      <c r="P7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31.283891038230195</v>
      </c>
      <c r="Q786" s="1">
        <f>LN(Table13[[#This Row],[qe_mg_g]]-Table13[[#This Row],[qt]])</f>
        <v>3.6488932810769894</v>
      </c>
      <c r="R786" s="1">
        <v>2</v>
      </c>
    </row>
    <row r="787" spans="1:18" hidden="1" x14ac:dyDescent="0.3">
      <c r="A787" s="1">
        <v>786</v>
      </c>
      <c r="B787" s="1" t="s">
        <v>17</v>
      </c>
      <c r="C787" s="1">
        <v>1</v>
      </c>
      <c r="D787" s="1">
        <v>60</v>
      </c>
      <c r="E787" s="1">
        <v>200</v>
      </c>
      <c r="F787" s="1">
        <v>3</v>
      </c>
      <c r="G787" s="1">
        <v>25</v>
      </c>
      <c r="H787" s="1">
        <v>150</v>
      </c>
      <c r="I787" s="1">
        <v>100</v>
      </c>
      <c r="J787" s="1">
        <v>69.049000000000007</v>
      </c>
      <c r="K787" s="1">
        <v>130.95099999999999</v>
      </c>
      <c r="L787" s="1">
        <v>34.520000000000003</v>
      </c>
      <c r="M787" s="1">
        <v>58.4</v>
      </c>
      <c r="N787" s="1">
        <v>3.465E-2</v>
      </c>
      <c r="O787" s="1">
        <v>1.8789999999999999E-4</v>
      </c>
      <c r="P7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30.223802294759974</v>
      </c>
      <c r="Q787" s="1">
        <f>LN(Table13[[#This Row],[qe_mg_g]]-Table13[[#This Row],[qt]])</f>
        <v>3.6590694612365962</v>
      </c>
      <c r="R787" s="1">
        <v>3</v>
      </c>
    </row>
    <row r="788" spans="1:18" hidden="1" x14ac:dyDescent="0.3">
      <c r="A788" s="1">
        <v>787</v>
      </c>
      <c r="B788" s="1" t="s">
        <v>17</v>
      </c>
      <c r="C788" s="1">
        <v>1</v>
      </c>
      <c r="D788" s="1">
        <v>60</v>
      </c>
      <c r="E788" s="1">
        <v>200</v>
      </c>
      <c r="F788" s="1">
        <v>7</v>
      </c>
      <c r="G788" s="1">
        <v>25</v>
      </c>
      <c r="H788" s="1">
        <v>150</v>
      </c>
      <c r="I788" s="1">
        <v>100</v>
      </c>
      <c r="J788" s="1">
        <v>99.087999999999994</v>
      </c>
      <c r="K788" s="1">
        <v>100.91200000000001</v>
      </c>
      <c r="L788" s="1">
        <v>49.54</v>
      </c>
      <c r="M788" s="1">
        <v>91.8</v>
      </c>
      <c r="N788" s="1">
        <v>3.252E-2</v>
      </c>
      <c r="O788" s="1">
        <v>1.8579999999999999E-4</v>
      </c>
      <c r="P7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52.007108048738857</v>
      </c>
      <c r="Q788" s="1">
        <f>LN(Table13[[#This Row],[qe_mg_g]]-Table13[[#This Row],[qt]])</f>
        <v>3.8518672276514652</v>
      </c>
      <c r="R788" s="1">
        <v>1</v>
      </c>
    </row>
    <row r="789" spans="1:18" hidden="1" x14ac:dyDescent="0.3">
      <c r="A789" s="1">
        <v>788</v>
      </c>
      <c r="B789" s="1" t="s">
        <v>17</v>
      </c>
      <c r="C789" s="1">
        <v>1</v>
      </c>
      <c r="D789" s="1">
        <v>60</v>
      </c>
      <c r="E789" s="1">
        <v>200</v>
      </c>
      <c r="F789" s="1">
        <v>7</v>
      </c>
      <c r="G789" s="1">
        <v>25</v>
      </c>
      <c r="H789" s="1">
        <v>150</v>
      </c>
      <c r="I789" s="1">
        <v>100</v>
      </c>
      <c r="J789" s="1">
        <v>93.930999999999997</v>
      </c>
      <c r="K789" s="1">
        <v>106.069</v>
      </c>
      <c r="L789" s="1">
        <v>46.97</v>
      </c>
      <c r="M789" s="1">
        <v>74.2</v>
      </c>
      <c r="N789" s="1">
        <v>3.7949999999999998E-2</v>
      </c>
      <c r="O789" s="1">
        <v>1.9259999999999999E-4</v>
      </c>
      <c r="P7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48.890241074140121</v>
      </c>
      <c r="Q789" s="1">
        <f>LN(Table13[[#This Row],[qe_mg_g]]-Table13[[#This Row],[qt]])</f>
        <v>3.8075678337307686</v>
      </c>
      <c r="R789" s="1">
        <v>2</v>
      </c>
    </row>
    <row r="790" spans="1:18" hidden="1" x14ac:dyDescent="0.3">
      <c r="A790" s="1">
        <v>789</v>
      </c>
      <c r="B790" s="1" t="s">
        <v>17</v>
      </c>
      <c r="C790" s="1">
        <v>1</v>
      </c>
      <c r="D790" s="1">
        <v>60</v>
      </c>
      <c r="E790" s="1">
        <v>200</v>
      </c>
      <c r="F790" s="1">
        <v>7</v>
      </c>
      <c r="G790" s="1">
        <v>25</v>
      </c>
      <c r="H790" s="1">
        <v>150</v>
      </c>
      <c r="I790" s="1">
        <v>100</v>
      </c>
      <c r="J790" s="1">
        <v>67.370999999999995</v>
      </c>
      <c r="K790" s="1">
        <v>132.62899999999999</v>
      </c>
      <c r="L790" s="1">
        <v>33.69</v>
      </c>
      <c r="M790" s="1">
        <v>80.900000000000006</v>
      </c>
      <c r="N790" s="1">
        <v>3.1370000000000002E-2</v>
      </c>
      <c r="O790" s="1">
        <v>1.674E-4</v>
      </c>
      <c r="P7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27.189672573648835</v>
      </c>
      <c r="Q790" s="1">
        <f>LN(Table13[[#This Row],[qe_mg_g]]-Table13[[#This Row],[qt]])</f>
        <v>3.6934023958333926</v>
      </c>
      <c r="R790" s="1">
        <v>3</v>
      </c>
    </row>
    <row r="791" spans="1:18" hidden="1" x14ac:dyDescent="0.3">
      <c r="A791" s="1">
        <v>790</v>
      </c>
      <c r="B791" s="1" t="s">
        <v>17</v>
      </c>
      <c r="C791" s="1">
        <v>1</v>
      </c>
      <c r="D791" s="1">
        <v>60</v>
      </c>
      <c r="E791" s="1">
        <v>200</v>
      </c>
      <c r="F791" s="1">
        <v>11</v>
      </c>
      <c r="G791" s="1">
        <v>25</v>
      </c>
      <c r="H791" s="1">
        <v>150</v>
      </c>
      <c r="I791" s="1">
        <v>100</v>
      </c>
      <c r="J791" s="1">
        <v>66.55</v>
      </c>
      <c r="K791" s="1">
        <v>133.44999999999999</v>
      </c>
      <c r="L791" s="1">
        <v>33.28</v>
      </c>
      <c r="M791" s="1">
        <v>87.1</v>
      </c>
      <c r="N791" s="1">
        <v>3.9649999999999998E-2</v>
      </c>
      <c r="O791" s="1">
        <v>2.063E-4</v>
      </c>
      <c r="P7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30.059370963515452</v>
      </c>
      <c r="Q791" s="1">
        <f>LN(Table13[[#This Row],[qe_mg_g]]-Table13[[#This Row],[qt]])</f>
        <v>3.5970554888989663</v>
      </c>
      <c r="R791" s="1">
        <v>1</v>
      </c>
    </row>
    <row r="792" spans="1:18" hidden="1" x14ac:dyDescent="0.3">
      <c r="A792" s="1">
        <v>791</v>
      </c>
      <c r="B792" s="1" t="s">
        <v>17</v>
      </c>
      <c r="C792" s="1">
        <v>1</v>
      </c>
      <c r="D792" s="1">
        <v>60</v>
      </c>
      <c r="E792" s="1">
        <v>200</v>
      </c>
      <c r="F792" s="1">
        <v>11</v>
      </c>
      <c r="G792" s="1">
        <v>25</v>
      </c>
      <c r="H792" s="1">
        <v>150</v>
      </c>
      <c r="I792" s="1">
        <v>100</v>
      </c>
      <c r="J792" s="1">
        <v>71.341999999999999</v>
      </c>
      <c r="K792" s="1">
        <v>128.65799999999999</v>
      </c>
      <c r="L792" s="1">
        <v>35.67</v>
      </c>
      <c r="M792" s="1">
        <v>91.6</v>
      </c>
      <c r="N792" s="1">
        <v>3.3390000000000003E-2</v>
      </c>
      <c r="O792" s="1">
        <v>1.861E-4</v>
      </c>
      <c r="P7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31.632654287541882</v>
      </c>
      <c r="Q792" s="1">
        <f>LN(Table13[[#This Row],[qe_mg_g]]-Table13[[#This Row],[qt]])</f>
        <v>3.6815865683632012</v>
      </c>
      <c r="R792" s="1">
        <v>2</v>
      </c>
    </row>
    <row r="793" spans="1:18" hidden="1" x14ac:dyDescent="0.3">
      <c r="A793" s="1">
        <v>792</v>
      </c>
      <c r="B793" s="1" t="s">
        <v>17</v>
      </c>
      <c r="C793" s="1">
        <v>1</v>
      </c>
      <c r="D793" s="1">
        <v>60</v>
      </c>
      <c r="E793" s="1">
        <v>200</v>
      </c>
      <c r="F793" s="1">
        <v>11</v>
      </c>
      <c r="G793" s="1">
        <v>25</v>
      </c>
      <c r="H793" s="1">
        <v>150</v>
      </c>
      <c r="I793" s="1">
        <v>100</v>
      </c>
      <c r="J793" s="1">
        <v>67.180999999999997</v>
      </c>
      <c r="K793" s="1">
        <v>132.81899999999999</v>
      </c>
      <c r="L793" s="1">
        <v>33.590000000000003</v>
      </c>
      <c r="M793" s="1">
        <v>63.2</v>
      </c>
      <c r="N793" s="1">
        <v>3.3640000000000003E-2</v>
      </c>
      <c r="O793" s="1">
        <v>2.0320000000000001E-4</v>
      </c>
      <c r="P7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30.249506309533579</v>
      </c>
      <c r="Q793" s="1">
        <f>LN(Table13[[#This Row],[qe_mg_g]]-Table13[[#This Row],[qt]])</f>
        <v>3.6090646745796069</v>
      </c>
      <c r="R793" s="1">
        <v>3</v>
      </c>
    </row>
    <row r="794" spans="1:18" hidden="1" x14ac:dyDescent="0.3">
      <c r="A794" s="1">
        <v>793</v>
      </c>
      <c r="B794" s="1" t="s">
        <v>17</v>
      </c>
      <c r="C794" s="1">
        <v>1</v>
      </c>
      <c r="D794" s="1">
        <v>120</v>
      </c>
      <c r="E794" s="1">
        <v>25</v>
      </c>
      <c r="F794" s="1">
        <v>3</v>
      </c>
      <c r="G794" s="1">
        <v>25</v>
      </c>
      <c r="H794" s="1">
        <v>150</v>
      </c>
      <c r="I794" s="1">
        <v>100</v>
      </c>
      <c r="J794" s="1">
        <v>5.1100000000000003</v>
      </c>
      <c r="K794" s="1">
        <v>19.89</v>
      </c>
      <c r="L794" s="1">
        <v>20.440000000000001</v>
      </c>
      <c r="M794" s="1">
        <v>80.400000000000006</v>
      </c>
      <c r="N794" s="1">
        <v>3.1690000000000003E-2</v>
      </c>
      <c r="O794" s="1">
        <v>2.1220000000000001E-4</v>
      </c>
      <c r="P7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0.58836044181603764</v>
      </c>
      <c r="Q794" s="1">
        <f>LN(Table13[[#This Row],[qe_mg_g]]-Table13[[#This Row],[qt]])</f>
        <v>1.508874662183523</v>
      </c>
      <c r="R794" s="1">
        <v>1</v>
      </c>
    </row>
    <row r="795" spans="1:18" hidden="1" x14ac:dyDescent="0.3">
      <c r="A795" s="1">
        <v>794</v>
      </c>
      <c r="B795" s="1" t="s">
        <v>17</v>
      </c>
      <c r="C795" s="1">
        <v>1</v>
      </c>
      <c r="D795" s="1">
        <v>120</v>
      </c>
      <c r="E795" s="1">
        <v>25</v>
      </c>
      <c r="F795" s="1">
        <v>3</v>
      </c>
      <c r="G795" s="1">
        <v>25</v>
      </c>
      <c r="H795" s="1">
        <v>150</v>
      </c>
      <c r="I795" s="1">
        <v>100</v>
      </c>
      <c r="J795" s="1">
        <v>4.4800000000000004</v>
      </c>
      <c r="K795" s="1">
        <v>20.52</v>
      </c>
      <c r="L795" s="1">
        <v>17.920000000000002</v>
      </c>
      <c r="M795" s="1">
        <v>95.7</v>
      </c>
      <c r="N795" s="1">
        <v>3.1489999999999997E-2</v>
      </c>
      <c r="O795" s="1">
        <v>1.85E-4</v>
      </c>
      <c r="P7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0.40525758193142802</v>
      </c>
      <c r="Q795" s="1">
        <f>LN(Table13[[#This Row],[qe_mg_g]]-Table13[[#This Row],[qt]])</f>
        <v>1.4048075344050506</v>
      </c>
      <c r="R795" s="1">
        <v>2</v>
      </c>
    </row>
    <row r="796" spans="1:18" hidden="1" x14ac:dyDescent="0.3">
      <c r="A796" s="1">
        <v>795</v>
      </c>
      <c r="B796" s="1" t="s">
        <v>17</v>
      </c>
      <c r="C796" s="1">
        <v>1</v>
      </c>
      <c r="D796" s="1">
        <v>120</v>
      </c>
      <c r="E796" s="1">
        <v>25</v>
      </c>
      <c r="F796" s="1">
        <v>3</v>
      </c>
      <c r="G796" s="1">
        <v>25</v>
      </c>
      <c r="H796" s="1">
        <v>150</v>
      </c>
      <c r="I796" s="1">
        <v>100</v>
      </c>
      <c r="J796" s="1">
        <v>4.4029999999999996</v>
      </c>
      <c r="K796" s="1">
        <v>20.597000000000001</v>
      </c>
      <c r="L796" s="1">
        <v>17.61</v>
      </c>
      <c r="M796" s="1">
        <v>79.3</v>
      </c>
      <c r="N796" s="1">
        <v>3.841E-2</v>
      </c>
      <c r="O796" s="1">
        <v>2.1029999999999999E-4</v>
      </c>
      <c r="P7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0.44031068816561181</v>
      </c>
      <c r="Q796" s="1">
        <f>LN(Table13[[#This Row],[qe_mg_g]]-Table13[[#This Row],[qt]])</f>
        <v>1.3769229139194279</v>
      </c>
      <c r="R796" s="1">
        <v>3</v>
      </c>
    </row>
    <row r="797" spans="1:18" hidden="1" x14ac:dyDescent="0.3">
      <c r="A797" s="1">
        <v>796</v>
      </c>
      <c r="B797" s="1" t="s">
        <v>17</v>
      </c>
      <c r="C797" s="1">
        <v>1</v>
      </c>
      <c r="D797" s="1">
        <v>120</v>
      </c>
      <c r="E797" s="1">
        <v>25</v>
      </c>
      <c r="F797" s="1">
        <v>7</v>
      </c>
      <c r="G797" s="1">
        <v>25</v>
      </c>
      <c r="H797" s="1">
        <v>150</v>
      </c>
      <c r="I797" s="1">
        <v>100</v>
      </c>
      <c r="J797" s="1">
        <v>9.1630000000000003</v>
      </c>
      <c r="K797" s="1">
        <v>15.837</v>
      </c>
      <c r="L797" s="1">
        <v>36.65</v>
      </c>
      <c r="M797" s="1">
        <v>92.4</v>
      </c>
      <c r="N797" s="1">
        <v>3.1140000000000001E-2</v>
      </c>
      <c r="O797" s="1">
        <v>1.9340000000000001E-4</v>
      </c>
      <c r="P7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1.606851940254884</v>
      </c>
      <c r="Q797" s="1">
        <f>LN(Table13[[#This Row],[qe_mg_g]]-Table13[[#This Row],[qt]])</f>
        <v>2.022361544437373</v>
      </c>
      <c r="R797" s="1">
        <v>1</v>
      </c>
    </row>
    <row r="798" spans="1:18" hidden="1" x14ac:dyDescent="0.3">
      <c r="A798" s="1">
        <v>797</v>
      </c>
      <c r="B798" s="1" t="s">
        <v>17</v>
      </c>
      <c r="C798" s="1">
        <v>1</v>
      </c>
      <c r="D798" s="1">
        <v>120</v>
      </c>
      <c r="E798" s="1">
        <v>25</v>
      </c>
      <c r="F798" s="1">
        <v>7</v>
      </c>
      <c r="G798" s="1">
        <v>25</v>
      </c>
      <c r="H798" s="1">
        <v>150</v>
      </c>
      <c r="I798" s="1">
        <v>100</v>
      </c>
      <c r="J798" s="1">
        <v>7.6950000000000003</v>
      </c>
      <c r="K798" s="1">
        <v>17.305</v>
      </c>
      <c r="L798" s="1">
        <v>30.78</v>
      </c>
      <c r="M798" s="1">
        <v>102.8</v>
      </c>
      <c r="N798" s="1">
        <v>3.0810000000000001E-2</v>
      </c>
      <c r="O798" s="1">
        <v>2.1790000000000001E-4</v>
      </c>
      <c r="P7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1.2889533446331725</v>
      </c>
      <c r="Q798" s="1">
        <f>LN(Table13[[#This Row],[qe_mg_g]]-Table13[[#This Row],[qt]])</f>
        <v>1.8572423342336306</v>
      </c>
      <c r="R798" s="1">
        <v>2</v>
      </c>
    </row>
    <row r="799" spans="1:18" hidden="1" x14ac:dyDescent="0.3">
      <c r="A799" s="1">
        <v>798</v>
      </c>
      <c r="B799" s="1" t="s">
        <v>17</v>
      </c>
      <c r="C799" s="1">
        <v>1</v>
      </c>
      <c r="D799" s="1">
        <v>120</v>
      </c>
      <c r="E799" s="1">
        <v>25</v>
      </c>
      <c r="F799" s="1">
        <v>7</v>
      </c>
      <c r="G799" s="1">
        <v>25</v>
      </c>
      <c r="H799" s="1">
        <v>150</v>
      </c>
      <c r="I799" s="1">
        <v>100</v>
      </c>
      <c r="J799" s="1">
        <v>9.0920000000000005</v>
      </c>
      <c r="K799" s="1">
        <v>15.907999999999999</v>
      </c>
      <c r="L799" s="1">
        <v>36.369999999999997</v>
      </c>
      <c r="M799" s="1">
        <v>109.2</v>
      </c>
      <c r="N799" s="1">
        <v>3.3570000000000003E-2</v>
      </c>
      <c r="O799" s="1">
        <v>2.142E-4</v>
      </c>
      <c r="P7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1.7223036880333693</v>
      </c>
      <c r="Q799" s="1">
        <f>LN(Table13[[#This Row],[qe_mg_g]]-Table13[[#This Row],[qt]])</f>
        <v>1.9973764993775789</v>
      </c>
      <c r="R799" s="1">
        <v>3</v>
      </c>
    </row>
    <row r="800" spans="1:18" hidden="1" x14ac:dyDescent="0.3">
      <c r="A800" s="1">
        <v>799</v>
      </c>
      <c r="B800" s="1" t="s">
        <v>17</v>
      </c>
      <c r="C800" s="1">
        <v>1</v>
      </c>
      <c r="D800" s="1">
        <v>120</v>
      </c>
      <c r="E800" s="1">
        <v>25</v>
      </c>
      <c r="F800" s="1">
        <v>11</v>
      </c>
      <c r="G800" s="1">
        <v>25</v>
      </c>
      <c r="H800" s="1">
        <v>150</v>
      </c>
      <c r="I800" s="1">
        <v>100</v>
      </c>
      <c r="J800" s="1">
        <v>7.83</v>
      </c>
      <c r="K800" s="1">
        <v>17.170000000000002</v>
      </c>
      <c r="L800" s="1">
        <v>31.32</v>
      </c>
      <c r="M800" s="1">
        <v>77.8</v>
      </c>
      <c r="N800" s="1">
        <v>2.963E-2</v>
      </c>
      <c r="O800" s="1">
        <v>1.6239999999999999E-4</v>
      </c>
      <c r="P8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1.0366103862823712</v>
      </c>
      <c r="Q800" s="1">
        <f>LN(Table13[[#This Row],[qe_mg_g]]-Table13[[#This Row],[qt]])</f>
        <v>1.9159500237414591</v>
      </c>
      <c r="R800" s="1">
        <v>1</v>
      </c>
    </row>
    <row r="801" spans="1:18" hidden="1" x14ac:dyDescent="0.3">
      <c r="A801" s="1">
        <v>800</v>
      </c>
      <c r="B801" s="1" t="s">
        <v>17</v>
      </c>
      <c r="C801" s="1">
        <v>1</v>
      </c>
      <c r="D801" s="1">
        <v>120</v>
      </c>
      <c r="E801" s="1">
        <v>25</v>
      </c>
      <c r="F801" s="1">
        <v>11</v>
      </c>
      <c r="G801" s="1">
        <v>25</v>
      </c>
      <c r="H801" s="1">
        <v>150</v>
      </c>
      <c r="I801" s="1">
        <v>100</v>
      </c>
      <c r="J801" s="1">
        <v>6.8289999999999997</v>
      </c>
      <c r="K801" s="1">
        <v>18.170999999999999</v>
      </c>
      <c r="L801" s="1">
        <v>27.32</v>
      </c>
      <c r="M801" s="1">
        <v>61.5</v>
      </c>
      <c r="N801" s="1">
        <v>3.3700000000000001E-2</v>
      </c>
      <c r="O801" s="1">
        <v>2.087E-4</v>
      </c>
      <c r="P8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0.99735915190627311</v>
      </c>
      <c r="Q801" s="1">
        <f>LN(Table13[[#This Row],[qe_mg_g]]-Table13[[#This Row],[qt]])</f>
        <v>1.7632984098357212</v>
      </c>
      <c r="R801" s="1">
        <v>2</v>
      </c>
    </row>
    <row r="802" spans="1:18" hidden="1" x14ac:dyDescent="0.3">
      <c r="A802" s="1">
        <v>801</v>
      </c>
      <c r="B802" s="1" t="s">
        <v>17</v>
      </c>
      <c r="C802" s="1">
        <v>1</v>
      </c>
      <c r="D802" s="1">
        <v>120</v>
      </c>
      <c r="E802" s="1">
        <v>25</v>
      </c>
      <c r="F802" s="1">
        <v>11</v>
      </c>
      <c r="G802" s="1">
        <v>25</v>
      </c>
      <c r="H802" s="1">
        <v>150</v>
      </c>
      <c r="I802" s="1">
        <v>100</v>
      </c>
      <c r="J802" s="1">
        <v>6.4930000000000003</v>
      </c>
      <c r="K802" s="1">
        <v>18.507000000000001</v>
      </c>
      <c r="L802" s="1">
        <v>25.97</v>
      </c>
      <c r="M802" s="1">
        <v>91.2</v>
      </c>
      <c r="N802" s="1">
        <v>3.5779999999999999E-2</v>
      </c>
      <c r="O802" s="1">
        <v>2.2560000000000001E-4</v>
      </c>
      <c r="P8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0.9707013509864364</v>
      </c>
      <c r="Q802" s="1">
        <f>LN(Table13[[#This Row],[qe_mg_g]]-Table13[[#This Row],[qt]])</f>
        <v>1.7087941955322048</v>
      </c>
      <c r="R802" s="1">
        <v>3</v>
      </c>
    </row>
    <row r="803" spans="1:18" hidden="1" x14ac:dyDescent="0.3">
      <c r="A803" s="1">
        <v>802</v>
      </c>
      <c r="B803" s="1" t="s">
        <v>17</v>
      </c>
      <c r="C803" s="1">
        <v>1</v>
      </c>
      <c r="D803" s="1">
        <v>120</v>
      </c>
      <c r="E803" s="1">
        <v>50</v>
      </c>
      <c r="F803" s="1">
        <v>3</v>
      </c>
      <c r="G803" s="1">
        <v>25</v>
      </c>
      <c r="H803" s="1">
        <v>150</v>
      </c>
      <c r="I803" s="1">
        <v>100</v>
      </c>
      <c r="J803" s="1">
        <v>14.169</v>
      </c>
      <c r="K803" s="1">
        <v>35.831000000000003</v>
      </c>
      <c r="L803" s="1">
        <v>28.34</v>
      </c>
      <c r="M803" s="1">
        <v>77</v>
      </c>
      <c r="N803" s="1">
        <v>3.2300000000000002E-2</v>
      </c>
      <c r="O803" s="1">
        <v>2.1660000000000001E-4</v>
      </c>
      <c r="P8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3.8136682771471904</v>
      </c>
      <c r="Q803" s="1">
        <f>LN(Table13[[#This Row],[qe_mg_g]]-Table13[[#This Row],[qt]])</f>
        <v>2.3375015293757508</v>
      </c>
      <c r="R803" s="1">
        <v>1</v>
      </c>
    </row>
    <row r="804" spans="1:18" hidden="1" x14ac:dyDescent="0.3">
      <c r="A804" s="1">
        <v>803</v>
      </c>
      <c r="B804" s="1" t="s">
        <v>17</v>
      </c>
      <c r="C804" s="1">
        <v>1</v>
      </c>
      <c r="D804" s="1">
        <v>120</v>
      </c>
      <c r="E804" s="1">
        <v>50</v>
      </c>
      <c r="F804" s="1">
        <v>3</v>
      </c>
      <c r="G804" s="1">
        <v>25</v>
      </c>
      <c r="H804" s="1">
        <v>150</v>
      </c>
      <c r="I804" s="1">
        <v>100</v>
      </c>
      <c r="J804" s="1">
        <v>17.07</v>
      </c>
      <c r="K804" s="1">
        <v>32.93</v>
      </c>
      <c r="L804" s="1">
        <v>34.14</v>
      </c>
      <c r="M804" s="1">
        <v>91.5</v>
      </c>
      <c r="N804" s="1">
        <v>3.9140000000000001E-2</v>
      </c>
      <c r="O804" s="1">
        <v>1.7640000000000001E-4</v>
      </c>
      <c r="P8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4.5308634965065542</v>
      </c>
      <c r="Q804" s="1">
        <f>LN(Table13[[#This Row],[qe_mg_g]]-Table13[[#This Row],[qt]])</f>
        <v>2.5288546734633206</v>
      </c>
      <c r="R804" s="1">
        <v>2</v>
      </c>
    </row>
    <row r="805" spans="1:18" hidden="1" x14ac:dyDescent="0.3">
      <c r="A805" s="1">
        <v>804</v>
      </c>
      <c r="B805" s="1" t="s">
        <v>17</v>
      </c>
      <c r="C805" s="1">
        <v>1</v>
      </c>
      <c r="D805" s="1">
        <v>120</v>
      </c>
      <c r="E805" s="1">
        <v>50</v>
      </c>
      <c r="F805" s="1">
        <v>3</v>
      </c>
      <c r="G805" s="1">
        <v>25</v>
      </c>
      <c r="H805" s="1">
        <v>150</v>
      </c>
      <c r="I805" s="1">
        <v>100</v>
      </c>
      <c r="J805" s="1">
        <v>18.271000000000001</v>
      </c>
      <c r="K805" s="1">
        <v>31.728999999999999</v>
      </c>
      <c r="L805" s="1">
        <v>36.54</v>
      </c>
      <c r="M805" s="1">
        <v>105.3</v>
      </c>
      <c r="N805" s="1">
        <v>3.7569999999999999E-2</v>
      </c>
      <c r="O805" s="1">
        <v>2.3560000000000001E-4</v>
      </c>
      <c r="P8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6.2233213291338307</v>
      </c>
      <c r="Q805" s="1">
        <f>LN(Table13[[#This Row],[qe_mg_g]]-Table13[[#This Row],[qt]])</f>
        <v>2.4888719999570275</v>
      </c>
      <c r="R805" s="1">
        <v>3</v>
      </c>
    </row>
    <row r="806" spans="1:18" hidden="1" x14ac:dyDescent="0.3">
      <c r="A806" s="1">
        <v>805</v>
      </c>
      <c r="B806" s="1" t="s">
        <v>17</v>
      </c>
      <c r="C806" s="1">
        <v>1</v>
      </c>
      <c r="D806" s="1">
        <v>120</v>
      </c>
      <c r="E806" s="1">
        <v>50</v>
      </c>
      <c r="F806" s="1">
        <v>7</v>
      </c>
      <c r="G806" s="1">
        <v>25</v>
      </c>
      <c r="H806" s="1">
        <v>150</v>
      </c>
      <c r="I806" s="1">
        <v>100</v>
      </c>
      <c r="J806" s="1">
        <v>20.164999999999999</v>
      </c>
      <c r="K806" s="1">
        <v>29.835000000000001</v>
      </c>
      <c r="L806" s="1">
        <v>40.33</v>
      </c>
      <c r="M806" s="1">
        <v>79</v>
      </c>
      <c r="N806" s="1">
        <v>3.243E-2</v>
      </c>
      <c r="O806" s="1">
        <v>2.1440000000000001E-4</v>
      </c>
      <c r="P8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6.8881156028760282</v>
      </c>
      <c r="Q806" s="1">
        <f>LN(Table13[[#This Row],[qe_mg_g]]-Table13[[#This Row],[qt]])</f>
        <v>2.5860245078730699</v>
      </c>
      <c r="R806" s="1">
        <v>1</v>
      </c>
    </row>
    <row r="807" spans="1:18" hidden="1" x14ac:dyDescent="0.3">
      <c r="A807" s="1">
        <v>806</v>
      </c>
      <c r="B807" s="1" t="s">
        <v>17</v>
      </c>
      <c r="C807" s="1">
        <v>1</v>
      </c>
      <c r="D807" s="1">
        <v>120</v>
      </c>
      <c r="E807" s="1">
        <v>50</v>
      </c>
      <c r="F807" s="1">
        <v>7</v>
      </c>
      <c r="G807" s="1">
        <v>25</v>
      </c>
      <c r="H807" s="1">
        <v>150</v>
      </c>
      <c r="I807" s="1">
        <v>100</v>
      </c>
      <c r="J807" s="1">
        <v>21.63</v>
      </c>
      <c r="K807" s="1">
        <v>28.37</v>
      </c>
      <c r="L807" s="1">
        <v>43.26</v>
      </c>
      <c r="M807" s="1">
        <v>95.5</v>
      </c>
      <c r="N807" s="1">
        <v>3.9800000000000002E-2</v>
      </c>
      <c r="O807" s="1">
        <v>2.139E-4</v>
      </c>
      <c r="P8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7.7218106137476266</v>
      </c>
      <c r="Q807" s="1">
        <f>LN(Table13[[#This Row],[qe_mg_g]]-Table13[[#This Row],[qt]])</f>
        <v>2.6324778311259815</v>
      </c>
      <c r="R807" s="1">
        <v>2</v>
      </c>
    </row>
    <row r="808" spans="1:18" hidden="1" x14ac:dyDescent="0.3">
      <c r="A808" s="1">
        <v>807</v>
      </c>
      <c r="B808" s="1" t="s">
        <v>17</v>
      </c>
      <c r="C808" s="1">
        <v>1</v>
      </c>
      <c r="D808" s="1">
        <v>120</v>
      </c>
      <c r="E808" s="1">
        <v>50</v>
      </c>
      <c r="F808" s="1">
        <v>7</v>
      </c>
      <c r="G808" s="1">
        <v>25</v>
      </c>
      <c r="H808" s="1">
        <v>150</v>
      </c>
      <c r="I808" s="1">
        <v>100</v>
      </c>
      <c r="J808" s="1">
        <v>24.853999999999999</v>
      </c>
      <c r="K808" s="1">
        <v>25.146000000000001</v>
      </c>
      <c r="L808" s="1">
        <v>49.71</v>
      </c>
      <c r="M808" s="1">
        <v>73</v>
      </c>
      <c r="N808" s="1">
        <v>3.2039999999999999E-2</v>
      </c>
      <c r="O808" s="1">
        <v>2.2499999999999999E-4</v>
      </c>
      <c r="P8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9.9807879391379597</v>
      </c>
      <c r="Q808" s="1">
        <f>LN(Table13[[#This Row],[qe_mg_g]]-Table13[[#This Row],[qt]])</f>
        <v>2.699561746618278</v>
      </c>
      <c r="R808" s="1">
        <v>3</v>
      </c>
    </row>
    <row r="809" spans="1:18" hidden="1" x14ac:dyDescent="0.3">
      <c r="A809" s="1">
        <v>808</v>
      </c>
      <c r="B809" s="1" t="s">
        <v>17</v>
      </c>
      <c r="C809" s="1">
        <v>1</v>
      </c>
      <c r="D809" s="1">
        <v>120</v>
      </c>
      <c r="E809" s="1">
        <v>50</v>
      </c>
      <c r="F809" s="1">
        <v>11</v>
      </c>
      <c r="G809" s="1">
        <v>25</v>
      </c>
      <c r="H809" s="1">
        <v>150</v>
      </c>
      <c r="I809" s="1">
        <v>100</v>
      </c>
      <c r="J809" s="1">
        <v>20.440000000000001</v>
      </c>
      <c r="K809" s="1">
        <v>29.56</v>
      </c>
      <c r="L809" s="1">
        <v>40.880000000000003</v>
      </c>
      <c r="M809" s="1">
        <v>85.2</v>
      </c>
      <c r="N809" s="1">
        <v>3.354E-2</v>
      </c>
      <c r="O809" s="1">
        <v>1.595E-4</v>
      </c>
      <c r="P8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5.7478761859361587</v>
      </c>
      <c r="Q809" s="1">
        <f>LN(Table13[[#This Row],[qe_mg_g]]-Table13[[#This Row],[qt]])</f>
        <v>2.6873115552336349</v>
      </c>
      <c r="R809" s="1">
        <v>1</v>
      </c>
    </row>
    <row r="810" spans="1:18" hidden="1" x14ac:dyDescent="0.3">
      <c r="A810" s="1">
        <v>809</v>
      </c>
      <c r="B810" s="1" t="s">
        <v>17</v>
      </c>
      <c r="C810" s="1">
        <v>1</v>
      </c>
      <c r="D810" s="1">
        <v>120</v>
      </c>
      <c r="E810" s="1">
        <v>50</v>
      </c>
      <c r="F810" s="1">
        <v>11</v>
      </c>
      <c r="G810" s="1">
        <v>25</v>
      </c>
      <c r="H810" s="1">
        <v>150</v>
      </c>
      <c r="I810" s="1">
        <v>100</v>
      </c>
      <c r="J810" s="1">
        <v>16.931000000000001</v>
      </c>
      <c r="K810" s="1">
        <v>33.069000000000003</v>
      </c>
      <c r="L810" s="1">
        <v>33.86</v>
      </c>
      <c r="M810" s="1">
        <v>110.3</v>
      </c>
      <c r="N810" s="1">
        <v>3.0519999999999999E-2</v>
      </c>
      <c r="O810" s="1">
        <v>2.0379999999999999E-4</v>
      </c>
      <c r="P8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4.9577133720126056</v>
      </c>
      <c r="Q810" s="1">
        <f>LN(Table13[[#This Row],[qe_mg_g]]-Table13[[#This Row],[qt]])</f>
        <v>2.4826780539777182</v>
      </c>
      <c r="R810" s="1">
        <v>2</v>
      </c>
    </row>
    <row r="811" spans="1:18" hidden="1" x14ac:dyDescent="0.3">
      <c r="A811" s="1">
        <v>810</v>
      </c>
      <c r="B811" s="1" t="s">
        <v>17</v>
      </c>
      <c r="C811" s="1">
        <v>1</v>
      </c>
      <c r="D811" s="1">
        <v>120</v>
      </c>
      <c r="E811" s="1">
        <v>50</v>
      </c>
      <c r="F811" s="1">
        <v>11</v>
      </c>
      <c r="G811" s="1">
        <v>25</v>
      </c>
      <c r="H811" s="1">
        <v>150</v>
      </c>
      <c r="I811" s="1">
        <v>100</v>
      </c>
      <c r="J811" s="1">
        <v>20.872</v>
      </c>
      <c r="K811" s="1">
        <v>29.128</v>
      </c>
      <c r="L811" s="1">
        <v>41.74</v>
      </c>
      <c r="M811" s="1">
        <v>69.599999999999994</v>
      </c>
      <c r="N811" s="1">
        <v>3.5650000000000001E-2</v>
      </c>
      <c r="O811" s="1">
        <v>2.1880000000000001E-4</v>
      </c>
      <c r="P8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7.3889285362690806</v>
      </c>
      <c r="Q811" s="1">
        <f>LN(Table13[[#This Row],[qe_mg_g]]-Table13[[#This Row],[qt]])</f>
        <v>2.6014349329220208</v>
      </c>
      <c r="R811" s="1">
        <v>3</v>
      </c>
    </row>
    <row r="812" spans="1:18" hidden="1" x14ac:dyDescent="0.3">
      <c r="A812" s="1">
        <v>811</v>
      </c>
      <c r="B812" s="1" t="s">
        <v>17</v>
      </c>
      <c r="C812" s="1">
        <v>1</v>
      </c>
      <c r="D812" s="1">
        <v>120</v>
      </c>
      <c r="E812" s="1">
        <v>100</v>
      </c>
      <c r="F812" s="1">
        <v>3</v>
      </c>
      <c r="G812" s="1">
        <v>25</v>
      </c>
      <c r="H812" s="1">
        <v>150</v>
      </c>
      <c r="I812" s="1">
        <v>100</v>
      </c>
      <c r="J812" s="1">
        <v>41.161999999999999</v>
      </c>
      <c r="K812" s="1">
        <v>58.838000000000001</v>
      </c>
      <c r="L812" s="1">
        <v>41.16</v>
      </c>
      <c r="M812" s="1">
        <v>122.6</v>
      </c>
      <c r="N812" s="1">
        <v>2.9159999999999998E-2</v>
      </c>
      <c r="O812" s="1">
        <v>2.2120000000000001E-4</v>
      </c>
      <c r="P8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21.491772148858153</v>
      </c>
      <c r="Q812" s="1">
        <f>LN(Table13[[#This Row],[qe_mg_g]]-Table13[[#This Row],[qt]])</f>
        <v>2.9791062160218207</v>
      </c>
      <c r="R812" s="1">
        <v>1</v>
      </c>
    </row>
    <row r="813" spans="1:18" hidden="1" x14ac:dyDescent="0.3">
      <c r="A813" s="1">
        <v>812</v>
      </c>
      <c r="B813" s="1" t="s">
        <v>17</v>
      </c>
      <c r="C813" s="1">
        <v>1</v>
      </c>
      <c r="D813" s="1">
        <v>120</v>
      </c>
      <c r="E813" s="1">
        <v>100</v>
      </c>
      <c r="F813" s="1">
        <v>3</v>
      </c>
      <c r="G813" s="1">
        <v>25</v>
      </c>
      <c r="H813" s="1">
        <v>150</v>
      </c>
      <c r="I813" s="1">
        <v>100</v>
      </c>
      <c r="J813" s="1">
        <v>40.4</v>
      </c>
      <c r="K813" s="1">
        <v>59.6</v>
      </c>
      <c r="L813" s="1">
        <v>40.4</v>
      </c>
      <c r="M813" s="1">
        <v>95.6</v>
      </c>
      <c r="N813" s="1">
        <v>3.6540000000000003E-2</v>
      </c>
      <c r="O813" s="1">
        <v>1.853E-4</v>
      </c>
      <c r="P8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19.11818579487365</v>
      </c>
      <c r="Q813" s="1">
        <f>LN(Table13[[#This Row],[qe_mg_g]]-Table13[[#This Row],[qt]])</f>
        <v>3.0578529148398261</v>
      </c>
      <c r="R813" s="1">
        <v>2</v>
      </c>
    </row>
    <row r="814" spans="1:18" hidden="1" x14ac:dyDescent="0.3">
      <c r="A814" s="1">
        <v>813</v>
      </c>
      <c r="B814" s="1" t="s">
        <v>17</v>
      </c>
      <c r="C814" s="1">
        <v>1</v>
      </c>
      <c r="D814" s="1">
        <v>120</v>
      </c>
      <c r="E814" s="1">
        <v>100</v>
      </c>
      <c r="F814" s="1">
        <v>3</v>
      </c>
      <c r="G814" s="1">
        <v>25</v>
      </c>
      <c r="H814" s="1">
        <v>150</v>
      </c>
      <c r="I814" s="1">
        <v>100</v>
      </c>
      <c r="J814" s="1">
        <v>42.052</v>
      </c>
      <c r="K814" s="1">
        <v>57.948</v>
      </c>
      <c r="L814" s="1">
        <v>42.05</v>
      </c>
      <c r="M814" s="1">
        <v>61.8</v>
      </c>
      <c r="N814" s="1">
        <v>3.7109999999999997E-2</v>
      </c>
      <c r="O814" s="1">
        <v>2.0599999999999999E-4</v>
      </c>
      <c r="P8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21.433478075605663</v>
      </c>
      <c r="Q814" s="1">
        <f>LN(Table13[[#This Row],[qe_mg_g]]-Table13[[#This Row],[qt]])</f>
        <v>3.0261897943704024</v>
      </c>
      <c r="R814" s="1">
        <v>3</v>
      </c>
    </row>
    <row r="815" spans="1:18" hidden="1" x14ac:dyDescent="0.3">
      <c r="A815" s="1">
        <v>814</v>
      </c>
      <c r="B815" s="1" t="s">
        <v>17</v>
      </c>
      <c r="C815" s="1">
        <v>1</v>
      </c>
      <c r="D815" s="1">
        <v>120</v>
      </c>
      <c r="E815" s="1">
        <v>100</v>
      </c>
      <c r="F815" s="1">
        <v>7</v>
      </c>
      <c r="G815" s="1">
        <v>25</v>
      </c>
      <c r="H815" s="1">
        <v>150</v>
      </c>
      <c r="I815" s="1">
        <v>100</v>
      </c>
      <c r="J815" s="1">
        <v>64.465999999999994</v>
      </c>
      <c r="K815" s="1">
        <v>35.533999999999999</v>
      </c>
      <c r="L815" s="1">
        <v>64.47</v>
      </c>
      <c r="M815" s="1">
        <v>99.3</v>
      </c>
      <c r="N815" s="1">
        <v>3.6290000000000003E-2</v>
      </c>
      <c r="O815" s="1">
        <v>2.03E-4</v>
      </c>
      <c r="P8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39.385776431278316</v>
      </c>
      <c r="Q815" s="1">
        <f>LN(Table13[[#This Row],[qe_mg_g]]-Table13[[#This Row],[qt]])</f>
        <v>3.222079629948341</v>
      </c>
      <c r="R815" s="1">
        <v>1</v>
      </c>
    </row>
    <row r="816" spans="1:18" hidden="1" x14ac:dyDescent="0.3">
      <c r="A816" s="1">
        <v>815</v>
      </c>
      <c r="B816" s="1" t="s">
        <v>17</v>
      </c>
      <c r="C816" s="1">
        <v>1</v>
      </c>
      <c r="D816" s="1">
        <v>120</v>
      </c>
      <c r="E816" s="1">
        <v>100</v>
      </c>
      <c r="F816" s="1">
        <v>7</v>
      </c>
      <c r="G816" s="1">
        <v>25</v>
      </c>
      <c r="H816" s="1">
        <v>150</v>
      </c>
      <c r="I816" s="1">
        <v>100</v>
      </c>
      <c r="J816" s="1">
        <v>55.256999999999998</v>
      </c>
      <c r="K816" s="1">
        <v>44.743000000000002</v>
      </c>
      <c r="L816" s="1">
        <v>55.26</v>
      </c>
      <c r="M816" s="1">
        <v>76.599999999999994</v>
      </c>
      <c r="N816" s="1">
        <v>3.9149999999999997E-2</v>
      </c>
      <c r="O816" s="1">
        <v>2.287E-4</v>
      </c>
      <c r="P8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33.298887344500081</v>
      </c>
      <c r="Q816" s="1">
        <f>LN(Table13[[#This Row],[qe_mg_g]]-Table13[[#This Row],[qt]])</f>
        <v>3.0891366682985106</v>
      </c>
      <c r="R816" s="1">
        <v>2</v>
      </c>
    </row>
    <row r="817" spans="1:18" hidden="1" x14ac:dyDescent="0.3">
      <c r="A817" s="1">
        <v>816</v>
      </c>
      <c r="B817" s="1" t="s">
        <v>17</v>
      </c>
      <c r="C817" s="1">
        <v>1</v>
      </c>
      <c r="D817" s="1">
        <v>120</v>
      </c>
      <c r="E817" s="1">
        <v>100</v>
      </c>
      <c r="F817" s="1">
        <v>7</v>
      </c>
      <c r="G817" s="1">
        <v>25</v>
      </c>
      <c r="H817" s="1">
        <v>150</v>
      </c>
      <c r="I817" s="1">
        <v>100</v>
      </c>
      <c r="J817" s="1">
        <v>59.152999999999999</v>
      </c>
      <c r="K817" s="1">
        <v>40.847000000000001</v>
      </c>
      <c r="L817" s="1">
        <v>59.15</v>
      </c>
      <c r="M817" s="1">
        <v>86.3</v>
      </c>
      <c r="N817" s="1">
        <v>3.1829999999999997E-2</v>
      </c>
      <c r="O817" s="1">
        <v>2.2350000000000001E-4</v>
      </c>
      <c r="P8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36.28295234077391</v>
      </c>
      <c r="Q817" s="1">
        <f>LN(Table13[[#This Row],[qe_mg_g]]-Table13[[#This Row],[qt]])</f>
        <v>3.1298280919514552</v>
      </c>
      <c r="R817" s="1">
        <v>3</v>
      </c>
    </row>
    <row r="818" spans="1:18" hidden="1" x14ac:dyDescent="0.3">
      <c r="A818" s="1">
        <v>817</v>
      </c>
      <c r="B818" s="1" t="s">
        <v>17</v>
      </c>
      <c r="C818" s="1">
        <v>1</v>
      </c>
      <c r="D818" s="1">
        <v>120</v>
      </c>
      <c r="E818" s="1">
        <v>100</v>
      </c>
      <c r="F818" s="1">
        <v>11</v>
      </c>
      <c r="G818" s="1">
        <v>25</v>
      </c>
      <c r="H818" s="1">
        <v>150</v>
      </c>
      <c r="I818" s="1">
        <v>100</v>
      </c>
      <c r="J818" s="1">
        <v>52.029000000000003</v>
      </c>
      <c r="K818" s="1">
        <v>47.970999999999997</v>
      </c>
      <c r="L818" s="1">
        <v>52.03</v>
      </c>
      <c r="M818" s="1">
        <v>110.7</v>
      </c>
      <c r="N818" s="1">
        <v>3.193E-2</v>
      </c>
      <c r="O818" s="1">
        <v>1.9239999999999999E-4</v>
      </c>
      <c r="P8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28.392836395840678</v>
      </c>
      <c r="Q818" s="1">
        <f>LN(Table13[[#This Row],[qe_mg_g]]-Table13[[#This Row],[qt]])</f>
        <v>3.1627778952803949</v>
      </c>
      <c r="R818" s="1">
        <v>1</v>
      </c>
    </row>
    <row r="819" spans="1:18" hidden="1" x14ac:dyDescent="0.3">
      <c r="A819" s="1">
        <v>818</v>
      </c>
      <c r="B819" s="1" t="s">
        <v>17</v>
      </c>
      <c r="C819" s="1">
        <v>1</v>
      </c>
      <c r="D819" s="1">
        <v>120</v>
      </c>
      <c r="E819" s="1">
        <v>100</v>
      </c>
      <c r="F819" s="1">
        <v>11</v>
      </c>
      <c r="G819" s="1">
        <v>25</v>
      </c>
      <c r="H819" s="1">
        <v>150</v>
      </c>
      <c r="I819" s="1">
        <v>100</v>
      </c>
      <c r="J819" s="1">
        <v>49.911999999999999</v>
      </c>
      <c r="K819" s="1">
        <v>50.088000000000001</v>
      </c>
      <c r="L819" s="1">
        <v>49.91</v>
      </c>
      <c r="M819" s="1">
        <v>94</v>
      </c>
      <c r="N819" s="1">
        <v>3.4250000000000003E-2</v>
      </c>
      <c r="O819" s="1">
        <v>1.8249999999999999E-4</v>
      </c>
      <c r="P8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26.065720023498468</v>
      </c>
      <c r="Q819" s="1">
        <f>LN(Table13[[#This Row],[qe_mg_g]]-Table13[[#This Row],[qt]])</f>
        <v>3.1716282293408278</v>
      </c>
      <c r="R819" s="1">
        <v>2</v>
      </c>
    </row>
    <row r="820" spans="1:18" hidden="1" x14ac:dyDescent="0.3">
      <c r="A820" s="1">
        <v>819</v>
      </c>
      <c r="B820" s="1" t="s">
        <v>17</v>
      </c>
      <c r="C820" s="1">
        <v>1</v>
      </c>
      <c r="D820" s="1">
        <v>120</v>
      </c>
      <c r="E820" s="1">
        <v>100</v>
      </c>
      <c r="F820" s="1">
        <v>11</v>
      </c>
      <c r="G820" s="1">
        <v>25</v>
      </c>
      <c r="H820" s="1">
        <v>150</v>
      </c>
      <c r="I820" s="1">
        <v>100</v>
      </c>
      <c r="J820" s="1">
        <v>53.082000000000001</v>
      </c>
      <c r="K820" s="1">
        <v>46.917999999999999</v>
      </c>
      <c r="L820" s="1">
        <v>53.08</v>
      </c>
      <c r="M820" s="1">
        <v>95</v>
      </c>
      <c r="N820" s="1">
        <v>3.1789999999999999E-2</v>
      </c>
      <c r="O820" s="1">
        <v>2.2709999999999999E-4</v>
      </c>
      <c r="P8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31.385685703919613</v>
      </c>
      <c r="Q820" s="1">
        <f>LN(Table13[[#This Row],[qe_mg_g]]-Table13[[#This Row],[qt]])</f>
        <v>3.077142398013696</v>
      </c>
      <c r="R820" s="1">
        <v>3</v>
      </c>
    </row>
    <row r="821" spans="1:18" hidden="1" x14ac:dyDescent="0.3">
      <c r="A821" s="1">
        <v>820</v>
      </c>
      <c r="B821" s="1" t="s">
        <v>17</v>
      </c>
      <c r="C821" s="1">
        <v>1</v>
      </c>
      <c r="D821" s="1">
        <v>120</v>
      </c>
      <c r="E821" s="1">
        <v>200</v>
      </c>
      <c r="F821" s="1">
        <v>3</v>
      </c>
      <c r="G821" s="1">
        <v>25</v>
      </c>
      <c r="H821" s="1">
        <v>150</v>
      </c>
      <c r="I821" s="1">
        <v>100</v>
      </c>
      <c r="J821" s="1">
        <v>90.325999999999993</v>
      </c>
      <c r="K821" s="1">
        <v>109.67400000000001</v>
      </c>
      <c r="L821" s="1">
        <v>45.16</v>
      </c>
      <c r="M821" s="1">
        <v>87.4</v>
      </c>
      <c r="N821" s="1">
        <v>3.5279999999999999E-2</v>
      </c>
      <c r="O821" s="1">
        <v>2.1110000000000001E-4</v>
      </c>
      <c r="P8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62.855743694790021</v>
      </c>
      <c r="Q821" s="1">
        <f>LN(Table13[[#This Row],[qe_mg_g]]-Table13[[#This Row],[qt]])</f>
        <v>3.3131038304316918</v>
      </c>
      <c r="R821" s="1">
        <v>1</v>
      </c>
    </row>
    <row r="822" spans="1:18" hidden="1" x14ac:dyDescent="0.3">
      <c r="A822" s="1">
        <v>821</v>
      </c>
      <c r="B822" s="1" t="s">
        <v>17</v>
      </c>
      <c r="C822" s="1">
        <v>1</v>
      </c>
      <c r="D822" s="1">
        <v>120</v>
      </c>
      <c r="E822" s="1">
        <v>200</v>
      </c>
      <c r="F822" s="1">
        <v>3</v>
      </c>
      <c r="G822" s="1">
        <v>25</v>
      </c>
      <c r="H822" s="1">
        <v>150</v>
      </c>
      <c r="I822" s="1">
        <v>100</v>
      </c>
      <c r="J822" s="1">
        <v>73.894999999999996</v>
      </c>
      <c r="K822" s="1">
        <v>126.105</v>
      </c>
      <c r="L822" s="1">
        <v>36.950000000000003</v>
      </c>
      <c r="M822" s="1">
        <v>86.1</v>
      </c>
      <c r="N822" s="1">
        <v>2.7470000000000001E-2</v>
      </c>
      <c r="O822" s="1">
        <v>2.175E-4</v>
      </c>
      <c r="P8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48.663319772237088</v>
      </c>
      <c r="Q822" s="1">
        <f>LN(Table13[[#This Row],[qe_mg_g]]-Table13[[#This Row],[qt]])</f>
        <v>3.2281003568589437</v>
      </c>
      <c r="R822" s="1">
        <v>2</v>
      </c>
    </row>
    <row r="823" spans="1:18" hidden="1" x14ac:dyDescent="0.3">
      <c r="A823" s="1">
        <v>822</v>
      </c>
      <c r="B823" s="1" t="s">
        <v>17</v>
      </c>
      <c r="C823" s="1">
        <v>1</v>
      </c>
      <c r="D823" s="1">
        <v>120</v>
      </c>
      <c r="E823" s="1">
        <v>200</v>
      </c>
      <c r="F823" s="1">
        <v>3</v>
      </c>
      <c r="G823" s="1">
        <v>25</v>
      </c>
      <c r="H823" s="1">
        <v>150</v>
      </c>
      <c r="I823" s="1">
        <v>100</v>
      </c>
      <c r="J823" s="1">
        <v>68.236000000000004</v>
      </c>
      <c r="K823" s="1">
        <v>131.76400000000001</v>
      </c>
      <c r="L823" s="1">
        <v>34.119999999999997</v>
      </c>
      <c r="M823" s="1">
        <v>105</v>
      </c>
      <c r="N823" s="1">
        <v>3.3840000000000002E-2</v>
      </c>
      <c r="O823" s="1">
        <v>1.9579999999999999E-4</v>
      </c>
      <c r="P8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42.024381574982975</v>
      </c>
      <c r="Q823" s="1">
        <f>LN(Table13[[#This Row],[qe_mg_g]]-Table13[[#This Row],[qt]])</f>
        <v>3.2662027638080935</v>
      </c>
      <c r="R823" s="1">
        <v>3</v>
      </c>
    </row>
    <row r="824" spans="1:18" hidden="1" x14ac:dyDescent="0.3">
      <c r="A824" s="1">
        <v>823</v>
      </c>
      <c r="B824" s="1" t="s">
        <v>17</v>
      </c>
      <c r="C824" s="1">
        <v>1</v>
      </c>
      <c r="D824" s="1">
        <v>120</v>
      </c>
      <c r="E824" s="1">
        <v>200</v>
      </c>
      <c r="F824" s="1">
        <v>7</v>
      </c>
      <c r="G824" s="1">
        <v>25</v>
      </c>
      <c r="H824" s="1">
        <v>150</v>
      </c>
      <c r="I824" s="1">
        <v>100</v>
      </c>
      <c r="J824" s="1">
        <v>108.372</v>
      </c>
      <c r="K824" s="1">
        <v>91.628</v>
      </c>
      <c r="L824" s="1">
        <v>54.19</v>
      </c>
      <c r="M824" s="1">
        <v>82</v>
      </c>
      <c r="N824" s="1">
        <v>3.9960000000000002E-2</v>
      </c>
      <c r="O824" s="1">
        <v>1.5019999999999999E-4</v>
      </c>
      <c r="P8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71.676739536166266</v>
      </c>
      <c r="Q824" s="1">
        <f>LN(Table13[[#This Row],[qe_mg_g]]-Table13[[#This Row],[qt]])</f>
        <v>3.6026476040460613</v>
      </c>
      <c r="R824" s="1">
        <v>1</v>
      </c>
    </row>
    <row r="825" spans="1:18" hidden="1" x14ac:dyDescent="0.3">
      <c r="A825" s="1">
        <v>824</v>
      </c>
      <c r="B825" s="1" t="s">
        <v>17</v>
      </c>
      <c r="C825" s="1">
        <v>1</v>
      </c>
      <c r="D825" s="1">
        <v>120</v>
      </c>
      <c r="E825" s="1">
        <v>200</v>
      </c>
      <c r="F825" s="1">
        <v>7</v>
      </c>
      <c r="G825" s="1">
        <v>25</v>
      </c>
      <c r="H825" s="1">
        <v>150</v>
      </c>
      <c r="I825" s="1">
        <v>100</v>
      </c>
      <c r="J825" s="1">
        <v>130.39599999999999</v>
      </c>
      <c r="K825" s="1">
        <v>69.603999999999999</v>
      </c>
      <c r="L825" s="1">
        <v>65.2</v>
      </c>
      <c r="M825" s="1">
        <v>90.1</v>
      </c>
      <c r="N825" s="1">
        <v>3.0779999999999998E-2</v>
      </c>
      <c r="O825" s="1">
        <v>1.785E-4</v>
      </c>
      <c r="P8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96.018681239356795</v>
      </c>
      <c r="Q825" s="1">
        <f>LN(Table13[[#This Row],[qe_mg_g]]-Table13[[#This Row],[qt]])</f>
        <v>3.5373970085668338</v>
      </c>
      <c r="R825" s="1">
        <v>2</v>
      </c>
    </row>
    <row r="826" spans="1:18" hidden="1" x14ac:dyDescent="0.3">
      <c r="A826" s="1">
        <v>825</v>
      </c>
      <c r="B826" s="1" t="s">
        <v>17</v>
      </c>
      <c r="C826" s="1">
        <v>1</v>
      </c>
      <c r="D826" s="1">
        <v>120</v>
      </c>
      <c r="E826" s="1">
        <v>200</v>
      </c>
      <c r="F826" s="1">
        <v>7</v>
      </c>
      <c r="G826" s="1">
        <v>25</v>
      </c>
      <c r="H826" s="1">
        <v>150</v>
      </c>
      <c r="I826" s="1">
        <v>100</v>
      </c>
      <c r="J826" s="1">
        <v>135.01499999999999</v>
      </c>
      <c r="K826" s="1">
        <v>64.984999999999999</v>
      </c>
      <c r="L826" s="1">
        <v>67.510000000000005</v>
      </c>
      <c r="M826" s="1">
        <v>73.599999999999994</v>
      </c>
      <c r="N826" s="1">
        <v>3.0960000000000001E-2</v>
      </c>
      <c r="O826" s="1">
        <v>2.2269999999999999E-4</v>
      </c>
      <c r="P8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105.71576542755679</v>
      </c>
      <c r="Q826" s="1">
        <f>LN(Table13[[#This Row],[qe_mg_g]]-Table13[[#This Row],[qt]])</f>
        <v>3.3775613918743894</v>
      </c>
      <c r="R826" s="1">
        <v>3</v>
      </c>
    </row>
    <row r="827" spans="1:18" hidden="1" x14ac:dyDescent="0.3">
      <c r="A827" s="1">
        <v>826</v>
      </c>
      <c r="B827" s="1" t="s">
        <v>17</v>
      </c>
      <c r="C827" s="1">
        <v>1</v>
      </c>
      <c r="D827" s="1">
        <v>120</v>
      </c>
      <c r="E827" s="1">
        <v>200</v>
      </c>
      <c r="F827" s="1">
        <v>11</v>
      </c>
      <c r="G827" s="1">
        <v>25</v>
      </c>
      <c r="H827" s="1">
        <v>150</v>
      </c>
      <c r="I827" s="1">
        <v>100</v>
      </c>
      <c r="J827" s="1">
        <v>97.858999999999995</v>
      </c>
      <c r="K827" s="1">
        <v>102.14100000000001</v>
      </c>
      <c r="L827" s="1">
        <v>48.93</v>
      </c>
      <c r="M827" s="1">
        <v>73.7</v>
      </c>
      <c r="N827" s="1">
        <v>3.576E-2</v>
      </c>
      <c r="O827" s="1">
        <v>1.795E-4</v>
      </c>
      <c r="P8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66.371648510825793</v>
      </c>
      <c r="Q827" s="1">
        <f>LN(Table13[[#This Row],[qe_mg_g]]-Table13[[#This Row],[qt]])</f>
        <v>3.4495859251665881</v>
      </c>
      <c r="R827" s="1">
        <v>1</v>
      </c>
    </row>
    <row r="828" spans="1:18" hidden="1" x14ac:dyDescent="0.3">
      <c r="A828" s="1">
        <v>827</v>
      </c>
      <c r="B828" s="1" t="s">
        <v>17</v>
      </c>
      <c r="C828" s="1">
        <v>1</v>
      </c>
      <c r="D828" s="1">
        <v>120</v>
      </c>
      <c r="E828" s="1">
        <v>200</v>
      </c>
      <c r="F828" s="1">
        <v>11</v>
      </c>
      <c r="G828" s="1">
        <v>25</v>
      </c>
      <c r="H828" s="1">
        <v>150</v>
      </c>
      <c r="I828" s="1">
        <v>100</v>
      </c>
      <c r="J828" s="1">
        <v>105.074</v>
      </c>
      <c r="K828" s="1">
        <v>94.926000000000002</v>
      </c>
      <c r="L828" s="1">
        <v>52.54</v>
      </c>
      <c r="M828" s="1">
        <v>99.4</v>
      </c>
      <c r="N828" s="1">
        <v>3.6859999999999997E-2</v>
      </c>
      <c r="O828" s="1">
        <v>2.0719999999999999E-4</v>
      </c>
      <c r="P8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75.988254196058278</v>
      </c>
      <c r="Q828" s="1">
        <f>LN(Table13[[#This Row],[qe_mg_g]]-Table13[[#This Row],[qt]])</f>
        <v>3.3702482192530412</v>
      </c>
      <c r="R828" s="1">
        <v>2</v>
      </c>
    </row>
    <row r="829" spans="1:18" hidden="1" x14ac:dyDescent="0.3">
      <c r="A829" s="1">
        <v>828</v>
      </c>
      <c r="B829" s="1" t="s">
        <v>17</v>
      </c>
      <c r="C829" s="1">
        <v>1</v>
      </c>
      <c r="D829" s="1">
        <v>120</v>
      </c>
      <c r="E829" s="1">
        <v>200</v>
      </c>
      <c r="F829" s="1">
        <v>11</v>
      </c>
      <c r="G829" s="1">
        <v>25</v>
      </c>
      <c r="H829" s="1">
        <v>150</v>
      </c>
      <c r="I829" s="1">
        <v>100</v>
      </c>
      <c r="J829" s="1">
        <v>111.325</v>
      </c>
      <c r="K829" s="1">
        <v>88.674999999999997</v>
      </c>
      <c r="L829" s="1">
        <v>55.66</v>
      </c>
      <c r="M829" s="1">
        <v>85.7</v>
      </c>
      <c r="N829" s="1">
        <v>3.0859999999999999E-2</v>
      </c>
      <c r="O829" s="1">
        <v>2.0900000000000001E-4</v>
      </c>
      <c r="P8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81.967381351840217</v>
      </c>
      <c r="Q829" s="1">
        <f>LN(Table13[[#This Row],[qe_mg_g]]-Table13[[#This Row],[qt]])</f>
        <v>3.3795520917429216</v>
      </c>
      <c r="R829" s="1">
        <v>3</v>
      </c>
    </row>
    <row r="830" spans="1:18" hidden="1" x14ac:dyDescent="0.3">
      <c r="A830" s="1">
        <v>829</v>
      </c>
      <c r="B830" s="1" t="s">
        <v>17</v>
      </c>
      <c r="C830" s="1">
        <v>1</v>
      </c>
      <c r="D830" s="1">
        <v>240</v>
      </c>
      <c r="E830" s="1">
        <v>25</v>
      </c>
      <c r="F830" s="1">
        <v>3</v>
      </c>
      <c r="G830" s="1">
        <v>25</v>
      </c>
      <c r="H830" s="1">
        <v>150</v>
      </c>
      <c r="I830" s="1">
        <v>100</v>
      </c>
      <c r="J830" s="1">
        <v>9.6150000000000002</v>
      </c>
      <c r="K830" s="1">
        <v>15.385</v>
      </c>
      <c r="L830" s="1">
        <v>38.46</v>
      </c>
      <c r="M830" s="1">
        <v>72.7</v>
      </c>
      <c r="N830" s="1">
        <v>3.3730000000000003E-2</v>
      </c>
      <c r="O830" s="1">
        <v>2.0829999999999999E-4</v>
      </c>
      <c r="P8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3.1213315934669397</v>
      </c>
      <c r="Q830" s="1">
        <f>LN(Table13[[#This Row],[qe_mg_g]]-Table13[[#This Row],[qt]])</f>
        <v>1.8708276108637372</v>
      </c>
      <c r="R830" s="1">
        <v>1</v>
      </c>
    </row>
    <row r="831" spans="1:18" hidden="1" x14ac:dyDescent="0.3">
      <c r="A831" s="1">
        <v>830</v>
      </c>
      <c r="B831" s="1" t="s">
        <v>17</v>
      </c>
      <c r="C831" s="1">
        <v>1</v>
      </c>
      <c r="D831" s="1">
        <v>240</v>
      </c>
      <c r="E831" s="1">
        <v>25</v>
      </c>
      <c r="F831" s="1">
        <v>3</v>
      </c>
      <c r="G831" s="1">
        <v>25</v>
      </c>
      <c r="H831" s="1">
        <v>150</v>
      </c>
      <c r="I831" s="1">
        <v>100</v>
      </c>
      <c r="J831" s="1">
        <v>7.9130000000000003</v>
      </c>
      <c r="K831" s="1">
        <v>17.087</v>
      </c>
      <c r="L831" s="1">
        <v>31.65</v>
      </c>
      <c r="M831" s="1">
        <v>73.099999999999994</v>
      </c>
      <c r="N831" s="1">
        <v>3.8929999999999999E-2</v>
      </c>
      <c r="O831" s="1">
        <v>2.4640000000000003E-4</v>
      </c>
      <c r="P8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2.5224643358836083</v>
      </c>
      <c r="Q831" s="1">
        <f>LN(Table13[[#This Row],[qe_mg_g]]-Table13[[#This Row],[qt]])</f>
        <v>1.6846447610805926</v>
      </c>
      <c r="R831" s="1">
        <v>2</v>
      </c>
    </row>
    <row r="832" spans="1:18" hidden="1" x14ac:dyDescent="0.3">
      <c r="A832" s="1">
        <v>831</v>
      </c>
      <c r="B832" s="1" t="s">
        <v>17</v>
      </c>
      <c r="C832" s="1">
        <v>1</v>
      </c>
      <c r="D832" s="1">
        <v>240</v>
      </c>
      <c r="E832" s="1">
        <v>25</v>
      </c>
      <c r="F832" s="1">
        <v>3</v>
      </c>
      <c r="G832" s="1">
        <v>25</v>
      </c>
      <c r="H832" s="1">
        <v>150</v>
      </c>
      <c r="I832" s="1">
        <v>100</v>
      </c>
      <c r="J832" s="1">
        <v>8.1110000000000007</v>
      </c>
      <c r="K832" s="1">
        <v>16.888999999999999</v>
      </c>
      <c r="L832" s="1">
        <v>32.450000000000003</v>
      </c>
      <c r="M832" s="1">
        <v>74.099999999999994</v>
      </c>
      <c r="N832" s="1">
        <v>2.9579999999999999E-2</v>
      </c>
      <c r="O832" s="1">
        <v>2.052E-4</v>
      </c>
      <c r="P8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2.3151538177189503</v>
      </c>
      <c r="Q832" s="1">
        <f>LN(Table13[[#This Row],[qe_mg_g]]-Table13[[#This Row],[qt]])</f>
        <v>1.7571414855074283</v>
      </c>
      <c r="R832" s="1">
        <v>3</v>
      </c>
    </row>
    <row r="833" spans="1:18" hidden="1" x14ac:dyDescent="0.3">
      <c r="A833" s="1">
        <v>832</v>
      </c>
      <c r="B833" s="1" t="s">
        <v>17</v>
      </c>
      <c r="C833" s="1">
        <v>1</v>
      </c>
      <c r="D833" s="1">
        <v>240</v>
      </c>
      <c r="E833" s="1">
        <v>25</v>
      </c>
      <c r="F833" s="1">
        <v>7</v>
      </c>
      <c r="G833" s="1">
        <v>25</v>
      </c>
      <c r="H833" s="1">
        <v>150</v>
      </c>
      <c r="I833" s="1">
        <v>100</v>
      </c>
      <c r="J833" s="1">
        <v>13.622999999999999</v>
      </c>
      <c r="K833" s="1">
        <v>11.377000000000001</v>
      </c>
      <c r="L833" s="1">
        <v>54.49</v>
      </c>
      <c r="M833" s="1">
        <v>91.8</v>
      </c>
      <c r="N833" s="1">
        <v>3.499E-2</v>
      </c>
      <c r="O833" s="1">
        <v>1.8819999999999999E-4</v>
      </c>
      <c r="P8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5.18939607057722</v>
      </c>
      <c r="Q833" s="1">
        <f>LN(Table13[[#This Row],[qe_mg_g]]-Table13[[#This Row],[qt]])</f>
        <v>2.1322241930434243</v>
      </c>
      <c r="R833" s="1">
        <v>1</v>
      </c>
    </row>
    <row r="834" spans="1:18" hidden="1" x14ac:dyDescent="0.3">
      <c r="A834" s="1">
        <v>833</v>
      </c>
      <c r="B834" s="1" t="s">
        <v>17</v>
      </c>
      <c r="C834" s="1">
        <v>1</v>
      </c>
      <c r="D834" s="1">
        <v>240</v>
      </c>
      <c r="E834" s="1">
        <v>25</v>
      </c>
      <c r="F834" s="1">
        <v>7</v>
      </c>
      <c r="G834" s="1">
        <v>25</v>
      </c>
      <c r="H834" s="1">
        <v>150</v>
      </c>
      <c r="I834" s="1">
        <v>100</v>
      </c>
      <c r="J834" s="1">
        <v>10.929</v>
      </c>
      <c r="K834" s="1">
        <v>14.071</v>
      </c>
      <c r="L834" s="1">
        <v>43.72</v>
      </c>
      <c r="M834" s="1">
        <v>96.4</v>
      </c>
      <c r="N834" s="1">
        <v>3.8199999999999998E-2</v>
      </c>
      <c r="O834" s="1">
        <v>1.6909999999999999E-4</v>
      </c>
      <c r="P8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3.358041938532804</v>
      </c>
      <c r="Q834" s="1">
        <f>LN(Table13[[#This Row],[qe_mg_g]]-Table13[[#This Row],[qt]])</f>
        <v>2.0243196197407758</v>
      </c>
      <c r="R834" s="1">
        <v>2</v>
      </c>
    </row>
    <row r="835" spans="1:18" hidden="1" x14ac:dyDescent="0.3">
      <c r="A835" s="1">
        <v>834</v>
      </c>
      <c r="B835" s="1" t="s">
        <v>17</v>
      </c>
      <c r="C835" s="1">
        <v>1</v>
      </c>
      <c r="D835" s="1">
        <v>240</v>
      </c>
      <c r="E835" s="1">
        <v>25</v>
      </c>
      <c r="F835" s="1">
        <v>7</v>
      </c>
      <c r="G835" s="1">
        <v>25</v>
      </c>
      <c r="H835" s="1">
        <v>150</v>
      </c>
      <c r="I835" s="1">
        <v>100</v>
      </c>
      <c r="J835" s="1">
        <v>14.218999999999999</v>
      </c>
      <c r="K835" s="1">
        <v>10.781000000000001</v>
      </c>
      <c r="L835" s="1">
        <v>56.88</v>
      </c>
      <c r="M835" s="1">
        <v>93.1</v>
      </c>
      <c r="N835" s="1">
        <v>3.9899999999999998E-2</v>
      </c>
      <c r="O835" s="1">
        <v>1.7320000000000001E-4</v>
      </c>
      <c r="P8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5.2821646946456537</v>
      </c>
      <c r="Q835" s="1">
        <f>LN(Table13[[#This Row],[qe_mg_g]]-Table13[[#This Row],[qt]])</f>
        <v>2.1901815338255499</v>
      </c>
      <c r="R835" s="1">
        <v>3</v>
      </c>
    </row>
    <row r="836" spans="1:18" hidden="1" x14ac:dyDescent="0.3">
      <c r="A836" s="1">
        <v>835</v>
      </c>
      <c r="B836" s="1" t="s">
        <v>17</v>
      </c>
      <c r="C836" s="1">
        <v>1</v>
      </c>
      <c r="D836" s="1">
        <v>240</v>
      </c>
      <c r="E836" s="1">
        <v>25</v>
      </c>
      <c r="F836" s="1">
        <v>11</v>
      </c>
      <c r="G836" s="1">
        <v>25</v>
      </c>
      <c r="H836" s="1">
        <v>150</v>
      </c>
      <c r="I836" s="1">
        <v>100</v>
      </c>
      <c r="J836" s="1">
        <v>8.3149999999999995</v>
      </c>
      <c r="K836" s="1">
        <v>16.684999999999999</v>
      </c>
      <c r="L836" s="1">
        <v>33.26</v>
      </c>
      <c r="M836" s="1">
        <v>83.8</v>
      </c>
      <c r="N836" s="1">
        <v>3.6760000000000001E-2</v>
      </c>
      <c r="O836" s="1">
        <v>2.3589999999999999E-4</v>
      </c>
      <c r="P8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2.6614681750964961</v>
      </c>
      <c r="Q836" s="1">
        <f>LN(Table13[[#This Row],[qe_mg_g]]-Table13[[#This Row],[qt]])</f>
        <v>1.7322804516164632</v>
      </c>
      <c r="R836" s="1">
        <v>1</v>
      </c>
    </row>
    <row r="837" spans="1:18" hidden="1" x14ac:dyDescent="0.3">
      <c r="A837" s="1">
        <v>836</v>
      </c>
      <c r="B837" s="1" t="s">
        <v>17</v>
      </c>
      <c r="C837" s="1">
        <v>1</v>
      </c>
      <c r="D837" s="1">
        <v>240</v>
      </c>
      <c r="E837" s="1">
        <v>25</v>
      </c>
      <c r="F837" s="1">
        <v>11</v>
      </c>
      <c r="G837" s="1">
        <v>25</v>
      </c>
      <c r="H837" s="1">
        <v>150</v>
      </c>
      <c r="I837" s="1">
        <v>100</v>
      </c>
      <c r="J837" s="1">
        <v>10.31</v>
      </c>
      <c r="K837" s="1">
        <v>14.69</v>
      </c>
      <c r="L837" s="1">
        <v>41.24</v>
      </c>
      <c r="M837" s="1">
        <v>82.6</v>
      </c>
      <c r="N837" s="1">
        <v>3.141E-2</v>
      </c>
      <c r="O837" s="1">
        <v>2.2460000000000001E-4</v>
      </c>
      <c r="P8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3.6829722580663078</v>
      </c>
      <c r="Q837" s="1">
        <f>LN(Table13[[#This Row],[qe_mg_g]]-Table13[[#This Row],[qt]])</f>
        <v>1.8911563992952594</v>
      </c>
      <c r="R837" s="1">
        <v>2</v>
      </c>
    </row>
    <row r="838" spans="1:18" hidden="1" x14ac:dyDescent="0.3">
      <c r="A838" s="1">
        <v>837</v>
      </c>
      <c r="B838" s="1" t="s">
        <v>17</v>
      </c>
      <c r="C838" s="1">
        <v>1</v>
      </c>
      <c r="D838" s="1">
        <v>240</v>
      </c>
      <c r="E838" s="1">
        <v>25</v>
      </c>
      <c r="F838" s="1">
        <v>11</v>
      </c>
      <c r="G838" s="1">
        <v>25</v>
      </c>
      <c r="H838" s="1">
        <v>150</v>
      </c>
      <c r="I838" s="1">
        <v>100</v>
      </c>
      <c r="J838" s="1">
        <v>8.7010000000000005</v>
      </c>
      <c r="K838" s="1">
        <v>16.298999999999999</v>
      </c>
      <c r="L838" s="1">
        <v>34.799999999999997</v>
      </c>
      <c r="M838" s="1">
        <v>106.7</v>
      </c>
      <c r="N838" s="1">
        <v>3.4000000000000002E-2</v>
      </c>
      <c r="O838" s="1">
        <v>2.318E-4</v>
      </c>
      <c r="P8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2.8380059227061891</v>
      </c>
      <c r="Q838" s="1">
        <f>LN(Table13[[#This Row],[qe_mg_g]]-Table13[[#This Row],[qt]])</f>
        <v>1.7686604077980117</v>
      </c>
      <c r="R838" s="1">
        <v>3</v>
      </c>
    </row>
    <row r="839" spans="1:18" hidden="1" x14ac:dyDescent="0.3">
      <c r="A839" s="1">
        <v>838</v>
      </c>
      <c r="B839" s="1" t="s">
        <v>17</v>
      </c>
      <c r="C839" s="1">
        <v>1</v>
      </c>
      <c r="D839" s="1">
        <v>240</v>
      </c>
      <c r="E839" s="1">
        <v>50</v>
      </c>
      <c r="F839" s="1">
        <v>3</v>
      </c>
      <c r="G839" s="1">
        <v>25</v>
      </c>
      <c r="H839" s="1">
        <v>150</v>
      </c>
      <c r="I839" s="1">
        <v>100</v>
      </c>
      <c r="J839" s="1">
        <v>22.975999999999999</v>
      </c>
      <c r="K839" s="1">
        <v>27.024000000000001</v>
      </c>
      <c r="L839" s="1">
        <v>45.95</v>
      </c>
      <c r="M839" s="1">
        <v>84</v>
      </c>
      <c r="N839" s="1">
        <v>3.3180000000000001E-2</v>
      </c>
      <c r="O839" s="1">
        <v>1.9320000000000001E-4</v>
      </c>
      <c r="P8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11.851499548946435</v>
      </c>
      <c r="Q839" s="1">
        <f>LN(Table13[[#This Row],[qe_mg_g]]-Table13[[#This Row],[qt]])</f>
        <v>2.4091499237680374</v>
      </c>
      <c r="R839" s="1">
        <v>1</v>
      </c>
    </row>
    <row r="840" spans="1:18" hidden="1" x14ac:dyDescent="0.3">
      <c r="A840" s="1">
        <v>839</v>
      </c>
      <c r="B840" s="1" t="s">
        <v>17</v>
      </c>
      <c r="C840" s="1">
        <v>1</v>
      </c>
      <c r="D840" s="1">
        <v>240</v>
      </c>
      <c r="E840" s="1">
        <v>50</v>
      </c>
      <c r="F840" s="1">
        <v>3</v>
      </c>
      <c r="G840" s="1">
        <v>25</v>
      </c>
      <c r="H840" s="1">
        <v>150</v>
      </c>
      <c r="I840" s="1">
        <v>100</v>
      </c>
      <c r="J840" s="1">
        <v>22.436</v>
      </c>
      <c r="K840" s="1">
        <v>27.564</v>
      </c>
      <c r="L840" s="1">
        <v>44.87</v>
      </c>
      <c r="M840" s="1">
        <v>86.7</v>
      </c>
      <c r="N840" s="1">
        <v>3.2919999999999998E-2</v>
      </c>
      <c r="O840" s="1">
        <v>1.9670000000000001E-4</v>
      </c>
      <c r="P8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11.54028801298873</v>
      </c>
      <c r="Q840" s="1">
        <f>LN(Table13[[#This Row],[qe_mg_g]]-Table13[[#This Row],[qt]])</f>
        <v>2.3883693161476751</v>
      </c>
      <c r="R840" s="1">
        <v>2</v>
      </c>
    </row>
    <row r="841" spans="1:18" hidden="1" x14ac:dyDescent="0.3">
      <c r="A841" s="1">
        <v>840</v>
      </c>
      <c r="B841" s="1" t="s">
        <v>17</v>
      </c>
      <c r="C841" s="1">
        <v>1</v>
      </c>
      <c r="D841" s="1">
        <v>240</v>
      </c>
      <c r="E841" s="1">
        <v>50</v>
      </c>
      <c r="F841" s="1">
        <v>3</v>
      </c>
      <c r="G841" s="1">
        <v>25</v>
      </c>
      <c r="H841" s="1">
        <v>150</v>
      </c>
      <c r="I841" s="1">
        <v>100</v>
      </c>
      <c r="J841" s="1">
        <v>21.684000000000001</v>
      </c>
      <c r="K841" s="1">
        <v>28.315999999999999</v>
      </c>
      <c r="L841" s="1">
        <v>43.37</v>
      </c>
      <c r="M841" s="1">
        <v>58.3</v>
      </c>
      <c r="N841" s="1">
        <v>3.6600000000000001E-2</v>
      </c>
      <c r="O841" s="1">
        <v>1.8039999999999999E-4</v>
      </c>
      <c r="P8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10.499938060275911</v>
      </c>
      <c r="Q841" s="1">
        <f>LN(Table13[[#This Row],[qe_mg_g]]-Table13[[#This Row],[qt]])</f>
        <v>2.4144897237204042</v>
      </c>
      <c r="R841" s="1">
        <v>3</v>
      </c>
    </row>
    <row r="842" spans="1:18" hidden="1" x14ac:dyDescent="0.3">
      <c r="A842" s="1">
        <v>841</v>
      </c>
      <c r="B842" s="1" t="s">
        <v>17</v>
      </c>
      <c r="C842" s="1">
        <v>1</v>
      </c>
      <c r="D842" s="1">
        <v>240</v>
      </c>
      <c r="E842" s="1">
        <v>50</v>
      </c>
      <c r="F842" s="1">
        <v>7</v>
      </c>
      <c r="G842" s="1">
        <v>25</v>
      </c>
      <c r="H842" s="1">
        <v>150</v>
      </c>
      <c r="I842" s="1">
        <v>100</v>
      </c>
      <c r="J842" s="1">
        <v>27.995000000000001</v>
      </c>
      <c r="K842" s="1">
        <v>22.004999999999999</v>
      </c>
      <c r="L842" s="1">
        <v>55.99</v>
      </c>
      <c r="M842" s="1">
        <v>64</v>
      </c>
      <c r="N842" s="1">
        <v>2.8719999999999999E-2</v>
      </c>
      <c r="O842" s="1">
        <v>1.729E-4</v>
      </c>
      <c r="P8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15.0444276369757</v>
      </c>
      <c r="Q842" s="1">
        <f>LN(Table13[[#This Row],[qe_mg_g]]-Table13[[#This Row],[qt]])</f>
        <v>2.5611399850857821</v>
      </c>
      <c r="R842" s="1">
        <v>1</v>
      </c>
    </row>
    <row r="843" spans="1:18" hidden="1" x14ac:dyDescent="0.3">
      <c r="A843" s="1">
        <v>842</v>
      </c>
      <c r="B843" s="1" t="s">
        <v>17</v>
      </c>
      <c r="C843" s="1">
        <v>1</v>
      </c>
      <c r="D843" s="1">
        <v>240</v>
      </c>
      <c r="E843" s="1">
        <v>50</v>
      </c>
      <c r="F843" s="1">
        <v>7</v>
      </c>
      <c r="G843" s="1">
        <v>25</v>
      </c>
      <c r="H843" s="1">
        <v>150</v>
      </c>
      <c r="I843" s="1">
        <v>100</v>
      </c>
      <c r="J843" s="1">
        <v>29.401</v>
      </c>
      <c r="K843" s="1">
        <v>20.599</v>
      </c>
      <c r="L843" s="1">
        <v>58.8</v>
      </c>
      <c r="M843" s="1">
        <v>110.8</v>
      </c>
      <c r="N843" s="1">
        <v>3.3160000000000002E-2</v>
      </c>
      <c r="O843" s="1">
        <v>2.0359999999999999E-4</v>
      </c>
      <c r="P8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17.334845894443397</v>
      </c>
      <c r="Q843" s="1">
        <f>LN(Table13[[#This Row],[qe_mg_g]]-Table13[[#This Row],[qt]])</f>
        <v>2.490404351821363</v>
      </c>
      <c r="R843" s="1">
        <v>2</v>
      </c>
    </row>
    <row r="844" spans="1:18" hidden="1" x14ac:dyDescent="0.3">
      <c r="A844" s="1">
        <v>843</v>
      </c>
      <c r="B844" s="1" t="s">
        <v>17</v>
      </c>
      <c r="C844" s="1">
        <v>1</v>
      </c>
      <c r="D844" s="1">
        <v>240</v>
      </c>
      <c r="E844" s="1">
        <v>50</v>
      </c>
      <c r="F844" s="1">
        <v>7</v>
      </c>
      <c r="G844" s="1">
        <v>25</v>
      </c>
      <c r="H844" s="1">
        <v>150</v>
      </c>
      <c r="I844" s="1">
        <v>100</v>
      </c>
      <c r="J844" s="1">
        <v>32.911999999999999</v>
      </c>
      <c r="K844" s="1">
        <v>17.088000000000001</v>
      </c>
      <c r="L844" s="1">
        <v>65.819999999999993</v>
      </c>
      <c r="M844" s="1">
        <v>87.4</v>
      </c>
      <c r="N844" s="1">
        <v>3.4729999999999997E-2</v>
      </c>
      <c r="O844" s="1">
        <v>1.761E-4</v>
      </c>
      <c r="P8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19.147006462386752</v>
      </c>
      <c r="Q844" s="1">
        <f>LN(Table13[[#This Row],[qe_mg_g]]-Table13[[#This Row],[qt]])</f>
        <v>2.622128669114856</v>
      </c>
      <c r="R844" s="1">
        <v>3</v>
      </c>
    </row>
    <row r="845" spans="1:18" hidden="1" x14ac:dyDescent="0.3">
      <c r="A845" s="1">
        <v>844</v>
      </c>
      <c r="B845" s="1" t="s">
        <v>17</v>
      </c>
      <c r="C845" s="1">
        <v>1</v>
      </c>
      <c r="D845" s="1">
        <v>240</v>
      </c>
      <c r="E845" s="1">
        <v>50</v>
      </c>
      <c r="F845" s="1">
        <v>11</v>
      </c>
      <c r="G845" s="1">
        <v>25</v>
      </c>
      <c r="H845" s="1">
        <v>150</v>
      </c>
      <c r="I845" s="1">
        <v>100</v>
      </c>
      <c r="J845" s="1">
        <v>29.206</v>
      </c>
      <c r="K845" s="1">
        <v>20.794</v>
      </c>
      <c r="L845" s="1">
        <v>58.41</v>
      </c>
      <c r="M845" s="1">
        <v>108.9</v>
      </c>
      <c r="N845" s="1">
        <v>2.911E-2</v>
      </c>
      <c r="O845" s="1">
        <v>1.795E-4</v>
      </c>
      <c r="P8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16.272658669717408</v>
      </c>
      <c r="Q845" s="1">
        <f>LN(Table13[[#This Row],[qe_mg_g]]-Table13[[#This Row],[qt]])</f>
        <v>2.5598085762817457</v>
      </c>
      <c r="R845" s="1">
        <v>1</v>
      </c>
    </row>
    <row r="846" spans="1:18" hidden="1" x14ac:dyDescent="0.3">
      <c r="A846" s="1">
        <v>845</v>
      </c>
      <c r="B846" s="1" t="s">
        <v>17</v>
      </c>
      <c r="C846" s="1">
        <v>1</v>
      </c>
      <c r="D846" s="1">
        <v>240</v>
      </c>
      <c r="E846" s="1">
        <v>50</v>
      </c>
      <c r="F846" s="1">
        <v>11</v>
      </c>
      <c r="G846" s="1">
        <v>25</v>
      </c>
      <c r="H846" s="1">
        <v>150</v>
      </c>
      <c r="I846" s="1">
        <v>100</v>
      </c>
      <c r="J846" s="1">
        <v>24.792000000000002</v>
      </c>
      <c r="K846" s="1">
        <v>25.207999999999998</v>
      </c>
      <c r="L846" s="1">
        <v>49.58</v>
      </c>
      <c r="M846" s="1">
        <v>73.3</v>
      </c>
      <c r="N846" s="1">
        <v>3.6769999999999997E-2</v>
      </c>
      <c r="O846" s="1">
        <v>1.8540000000000001E-4</v>
      </c>
      <c r="P8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13.003938796234078</v>
      </c>
      <c r="Q846" s="1">
        <f>LN(Table13[[#This Row],[qe_mg_g]]-Table13[[#This Row],[qt]])</f>
        <v>2.4670872569018343</v>
      </c>
      <c r="R846" s="1">
        <v>2</v>
      </c>
    </row>
    <row r="847" spans="1:18" hidden="1" x14ac:dyDescent="0.3">
      <c r="A847" s="1">
        <v>846</v>
      </c>
      <c r="B847" s="1" t="s">
        <v>17</v>
      </c>
      <c r="C847" s="1">
        <v>1</v>
      </c>
      <c r="D847" s="1">
        <v>240</v>
      </c>
      <c r="E847" s="1">
        <v>50</v>
      </c>
      <c r="F847" s="1">
        <v>11</v>
      </c>
      <c r="G847" s="1">
        <v>25</v>
      </c>
      <c r="H847" s="1">
        <v>150</v>
      </c>
      <c r="I847" s="1">
        <v>100</v>
      </c>
      <c r="J847" s="1">
        <v>31.027999999999999</v>
      </c>
      <c r="K847" s="1">
        <v>18.972000000000001</v>
      </c>
      <c r="L847" s="1">
        <v>62.06</v>
      </c>
      <c r="M847" s="1">
        <v>101</v>
      </c>
      <c r="N847" s="1">
        <v>3.5740000000000001E-2</v>
      </c>
      <c r="O847" s="1">
        <v>2.2049999999999999E-4</v>
      </c>
      <c r="P8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19.283874591090353</v>
      </c>
      <c r="Q847" s="1">
        <f>LN(Table13[[#This Row],[qe_mg_g]]-Table13[[#This Row],[qt]])</f>
        <v>2.4633531503667152</v>
      </c>
      <c r="R847" s="1">
        <v>3</v>
      </c>
    </row>
    <row r="848" spans="1:18" hidden="1" x14ac:dyDescent="0.3">
      <c r="A848" s="1">
        <v>847</v>
      </c>
      <c r="B848" s="1" t="s">
        <v>17</v>
      </c>
      <c r="C848" s="1">
        <v>1</v>
      </c>
      <c r="D848" s="1">
        <v>240</v>
      </c>
      <c r="E848" s="1">
        <v>100</v>
      </c>
      <c r="F848" s="1">
        <v>3</v>
      </c>
      <c r="G848" s="1">
        <v>25</v>
      </c>
      <c r="H848" s="1">
        <v>150</v>
      </c>
      <c r="I848" s="1">
        <v>100</v>
      </c>
      <c r="J848" s="1">
        <v>56.424999999999997</v>
      </c>
      <c r="K848" s="1">
        <v>43.575000000000003</v>
      </c>
      <c r="L848" s="1">
        <v>56.43</v>
      </c>
      <c r="M848" s="1">
        <v>78.5</v>
      </c>
      <c r="N848" s="1">
        <v>3.2140000000000002E-2</v>
      </c>
      <c r="O848" s="1">
        <v>2.0159999999999999E-4</v>
      </c>
      <c r="P8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41.297926686146553</v>
      </c>
      <c r="Q848" s="1">
        <f>LN(Table13[[#This Row],[qe_mg_g]]-Table13[[#This Row],[qt]])</f>
        <v>2.7164860731243725</v>
      </c>
      <c r="R848" s="1">
        <v>1</v>
      </c>
    </row>
    <row r="849" spans="1:18" hidden="1" x14ac:dyDescent="0.3">
      <c r="A849" s="1">
        <v>848</v>
      </c>
      <c r="B849" s="1" t="s">
        <v>17</v>
      </c>
      <c r="C849" s="1">
        <v>1</v>
      </c>
      <c r="D849" s="1">
        <v>240</v>
      </c>
      <c r="E849" s="1">
        <v>100</v>
      </c>
      <c r="F849" s="1">
        <v>3</v>
      </c>
      <c r="G849" s="1">
        <v>25</v>
      </c>
      <c r="H849" s="1">
        <v>150</v>
      </c>
      <c r="I849" s="1">
        <v>100</v>
      </c>
      <c r="J849" s="1">
        <v>55.183999999999997</v>
      </c>
      <c r="K849" s="1">
        <v>44.816000000000003</v>
      </c>
      <c r="L849" s="1">
        <v>55.18</v>
      </c>
      <c r="M849" s="1">
        <v>87.5</v>
      </c>
      <c r="N849" s="1">
        <v>2.9479999999999999E-2</v>
      </c>
      <c r="O849" s="1">
        <v>1.839E-4</v>
      </c>
      <c r="P8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39.121599385230596</v>
      </c>
      <c r="Q849" s="1">
        <f>LN(Table13[[#This Row],[qe_mg_g]]-Table13[[#This Row],[qt]])</f>
        <v>2.7764811752289442</v>
      </c>
      <c r="R849" s="1">
        <v>2</v>
      </c>
    </row>
    <row r="850" spans="1:18" hidden="1" x14ac:dyDescent="0.3">
      <c r="A850" s="1">
        <v>849</v>
      </c>
      <c r="B850" s="1" t="s">
        <v>17</v>
      </c>
      <c r="C850" s="1">
        <v>1</v>
      </c>
      <c r="D850" s="1">
        <v>240</v>
      </c>
      <c r="E850" s="1">
        <v>100</v>
      </c>
      <c r="F850" s="1">
        <v>3</v>
      </c>
      <c r="G850" s="1">
        <v>25</v>
      </c>
      <c r="H850" s="1">
        <v>150</v>
      </c>
      <c r="I850" s="1">
        <v>100</v>
      </c>
      <c r="J850" s="1">
        <v>50.430999999999997</v>
      </c>
      <c r="K850" s="1">
        <v>49.569000000000003</v>
      </c>
      <c r="L850" s="1">
        <v>50.43</v>
      </c>
      <c r="M850" s="1">
        <v>84.7</v>
      </c>
      <c r="N850" s="1">
        <v>4.19E-2</v>
      </c>
      <c r="O850" s="1">
        <v>1.7229999999999999E-4</v>
      </c>
      <c r="P8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34.086075914278808</v>
      </c>
      <c r="Q850" s="1">
        <f>LN(Table13[[#This Row],[qe_mg_g]]-Table13[[#This Row],[qt]])</f>
        <v>2.7939173956698964</v>
      </c>
      <c r="R850" s="1">
        <v>3</v>
      </c>
    </row>
    <row r="851" spans="1:18" hidden="1" x14ac:dyDescent="0.3">
      <c r="A851" s="1">
        <v>850</v>
      </c>
      <c r="B851" s="1" t="s">
        <v>17</v>
      </c>
      <c r="C851" s="1">
        <v>1</v>
      </c>
      <c r="D851" s="1">
        <v>240</v>
      </c>
      <c r="E851" s="1">
        <v>100</v>
      </c>
      <c r="F851" s="1">
        <v>7</v>
      </c>
      <c r="G851" s="1">
        <v>25</v>
      </c>
      <c r="H851" s="1">
        <v>150</v>
      </c>
      <c r="I851" s="1">
        <v>100</v>
      </c>
      <c r="J851" s="1">
        <v>75.626000000000005</v>
      </c>
      <c r="K851" s="1">
        <v>24.373999999999999</v>
      </c>
      <c r="L851" s="1">
        <v>75.63</v>
      </c>
      <c r="M851" s="1">
        <v>104.9</v>
      </c>
      <c r="N851" s="1">
        <v>4.2950000000000002E-2</v>
      </c>
      <c r="O851" s="1">
        <v>1.919E-4</v>
      </c>
      <c r="P8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58.7566098362215</v>
      </c>
      <c r="Q851" s="1">
        <f>LN(Table13[[#This Row],[qe_mg_g]]-Table13[[#This Row],[qt]])</f>
        <v>2.825500746750865</v>
      </c>
      <c r="R851" s="1">
        <v>1</v>
      </c>
    </row>
    <row r="852" spans="1:18" hidden="1" x14ac:dyDescent="0.3">
      <c r="A852" s="1">
        <v>851</v>
      </c>
      <c r="B852" s="1" t="s">
        <v>17</v>
      </c>
      <c r="C852" s="1">
        <v>1</v>
      </c>
      <c r="D852" s="1">
        <v>240</v>
      </c>
      <c r="E852" s="1">
        <v>100</v>
      </c>
      <c r="F852" s="1">
        <v>7</v>
      </c>
      <c r="G852" s="1">
        <v>25</v>
      </c>
      <c r="H852" s="1">
        <v>150</v>
      </c>
      <c r="I852" s="1">
        <v>100</v>
      </c>
      <c r="J852" s="1">
        <v>75.524000000000001</v>
      </c>
      <c r="K852" s="1">
        <v>24.475999999999999</v>
      </c>
      <c r="L852" s="1">
        <v>75.52</v>
      </c>
      <c r="M852" s="1">
        <v>93</v>
      </c>
      <c r="N852" s="1">
        <v>3.5680000000000003E-2</v>
      </c>
      <c r="O852" s="1">
        <v>1.9799999999999999E-4</v>
      </c>
      <c r="P8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59.066027043480361</v>
      </c>
      <c r="Q852" s="1">
        <f>LN(Table13[[#This Row],[qe_mg_g]]-Table13[[#This Row],[qt]])</f>
        <v>2.8008100380007179</v>
      </c>
      <c r="R852" s="1">
        <v>2</v>
      </c>
    </row>
    <row r="853" spans="1:18" hidden="1" x14ac:dyDescent="0.3">
      <c r="A853" s="1">
        <v>852</v>
      </c>
      <c r="B853" s="1" t="s">
        <v>17</v>
      </c>
      <c r="C853" s="1">
        <v>1</v>
      </c>
      <c r="D853" s="1">
        <v>240</v>
      </c>
      <c r="E853" s="1">
        <v>100</v>
      </c>
      <c r="F853" s="1">
        <v>7</v>
      </c>
      <c r="G853" s="1">
        <v>25</v>
      </c>
      <c r="H853" s="1">
        <v>150</v>
      </c>
      <c r="I853" s="1">
        <v>100</v>
      </c>
      <c r="J853" s="1">
        <v>75.125</v>
      </c>
      <c r="K853" s="1">
        <v>24.875</v>
      </c>
      <c r="L853" s="1">
        <v>75.12</v>
      </c>
      <c r="M853" s="1">
        <v>53.2</v>
      </c>
      <c r="N853" s="1">
        <v>3.739E-2</v>
      </c>
      <c r="O853" s="1">
        <v>2.0249999999999999E-4</v>
      </c>
      <c r="P8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58.972820127604905</v>
      </c>
      <c r="Q853" s="1">
        <f>LN(Table13[[#This Row],[qe_mg_g]]-Table13[[#This Row],[qt]])</f>
        <v>2.7820550171790326</v>
      </c>
      <c r="R853" s="1">
        <v>3</v>
      </c>
    </row>
    <row r="854" spans="1:18" hidden="1" x14ac:dyDescent="0.3">
      <c r="A854" s="1">
        <v>853</v>
      </c>
      <c r="B854" s="1" t="s">
        <v>17</v>
      </c>
      <c r="C854" s="1">
        <v>1</v>
      </c>
      <c r="D854" s="1">
        <v>240</v>
      </c>
      <c r="E854" s="1">
        <v>100</v>
      </c>
      <c r="F854" s="1">
        <v>11</v>
      </c>
      <c r="G854" s="1">
        <v>25</v>
      </c>
      <c r="H854" s="1">
        <v>150</v>
      </c>
      <c r="I854" s="1">
        <v>100</v>
      </c>
      <c r="J854" s="1">
        <v>57.905999999999999</v>
      </c>
      <c r="K854" s="1">
        <v>42.094000000000001</v>
      </c>
      <c r="L854" s="1">
        <v>57.91</v>
      </c>
      <c r="M854" s="1">
        <v>112</v>
      </c>
      <c r="N854" s="1">
        <v>3.2640000000000002E-2</v>
      </c>
      <c r="O854" s="1">
        <v>1.919E-4</v>
      </c>
      <c r="P8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42.114540148024702</v>
      </c>
      <c r="Q854" s="1">
        <f>LN(Table13[[#This Row],[qe_mg_g]]-Table13[[#This Row],[qt]])</f>
        <v>2.7594692782038854</v>
      </c>
      <c r="R854" s="1">
        <v>1</v>
      </c>
    </row>
    <row r="855" spans="1:18" hidden="1" x14ac:dyDescent="0.3">
      <c r="A855" s="1">
        <v>854</v>
      </c>
      <c r="B855" s="1" t="s">
        <v>17</v>
      </c>
      <c r="C855" s="1">
        <v>1</v>
      </c>
      <c r="D855" s="1">
        <v>240</v>
      </c>
      <c r="E855" s="1">
        <v>100</v>
      </c>
      <c r="F855" s="1">
        <v>11</v>
      </c>
      <c r="G855" s="1">
        <v>25</v>
      </c>
      <c r="H855" s="1">
        <v>150</v>
      </c>
      <c r="I855" s="1">
        <v>100</v>
      </c>
      <c r="J855" s="1">
        <v>71.019000000000005</v>
      </c>
      <c r="K855" s="1">
        <v>28.981000000000002</v>
      </c>
      <c r="L855" s="1">
        <v>71.02</v>
      </c>
      <c r="M855" s="1">
        <v>75</v>
      </c>
      <c r="N855" s="1">
        <v>3.3070000000000002E-2</v>
      </c>
      <c r="O855" s="1">
        <v>1.9709999999999999E-4</v>
      </c>
      <c r="P8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54.728305977540124</v>
      </c>
      <c r="Q855" s="1">
        <f>LN(Table13[[#This Row],[qe_mg_g]]-Table13[[#This Row],[qt]])</f>
        <v>2.7905940259089914</v>
      </c>
      <c r="R855" s="1">
        <v>2</v>
      </c>
    </row>
    <row r="856" spans="1:18" hidden="1" x14ac:dyDescent="0.3">
      <c r="A856" s="1">
        <v>855</v>
      </c>
      <c r="B856" s="1" t="s">
        <v>17</v>
      </c>
      <c r="C856" s="1">
        <v>1</v>
      </c>
      <c r="D856" s="1">
        <v>240</v>
      </c>
      <c r="E856" s="1">
        <v>100</v>
      </c>
      <c r="F856" s="1">
        <v>11</v>
      </c>
      <c r="G856" s="1">
        <v>25</v>
      </c>
      <c r="H856" s="1">
        <v>150</v>
      </c>
      <c r="I856" s="1">
        <v>100</v>
      </c>
      <c r="J856" s="1">
        <v>64.203000000000003</v>
      </c>
      <c r="K856" s="1">
        <v>35.796999999999997</v>
      </c>
      <c r="L856" s="1">
        <v>64.2</v>
      </c>
      <c r="M856" s="1">
        <v>88.4</v>
      </c>
      <c r="N856" s="1">
        <v>3.048E-2</v>
      </c>
      <c r="O856" s="1">
        <v>1.894E-4</v>
      </c>
      <c r="P8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47.818044288783092</v>
      </c>
      <c r="Q856" s="1">
        <f>LN(Table13[[#This Row],[qe_mg_g]]-Table13[[#This Row],[qt]])</f>
        <v>2.7963635791393071</v>
      </c>
      <c r="R856" s="1">
        <v>3</v>
      </c>
    </row>
    <row r="857" spans="1:18" hidden="1" x14ac:dyDescent="0.3">
      <c r="A857" s="1">
        <v>856</v>
      </c>
      <c r="B857" s="1" t="s">
        <v>17</v>
      </c>
      <c r="C857" s="1">
        <v>1</v>
      </c>
      <c r="D857" s="1">
        <v>240</v>
      </c>
      <c r="E857" s="1">
        <v>200</v>
      </c>
      <c r="F857" s="1">
        <v>3</v>
      </c>
      <c r="G857" s="1">
        <v>25</v>
      </c>
      <c r="H857" s="1">
        <v>150</v>
      </c>
      <c r="I857" s="1">
        <v>100</v>
      </c>
      <c r="J857" s="1">
        <v>87.819000000000003</v>
      </c>
      <c r="K857" s="1">
        <v>112.181</v>
      </c>
      <c r="L857" s="1">
        <v>43.91</v>
      </c>
      <c r="M857" s="1">
        <v>84.7</v>
      </c>
      <c r="N857" s="1">
        <v>3.6490000000000002E-2</v>
      </c>
      <c r="O857" s="1">
        <v>2.084E-4</v>
      </c>
      <c r="P8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71.533166017208956</v>
      </c>
      <c r="Q857" s="1">
        <f>LN(Table13[[#This Row],[qe_mg_g]]-Table13[[#This Row],[qt]])</f>
        <v>2.7902956491326751</v>
      </c>
      <c r="R857" s="1">
        <v>1</v>
      </c>
    </row>
    <row r="858" spans="1:18" hidden="1" x14ac:dyDescent="0.3">
      <c r="A858" s="1">
        <v>857</v>
      </c>
      <c r="B858" s="1" t="s">
        <v>17</v>
      </c>
      <c r="C858" s="1">
        <v>1</v>
      </c>
      <c r="D858" s="1">
        <v>240</v>
      </c>
      <c r="E858" s="1">
        <v>200</v>
      </c>
      <c r="F858" s="1">
        <v>3</v>
      </c>
      <c r="G858" s="1">
        <v>25</v>
      </c>
      <c r="H858" s="1">
        <v>150</v>
      </c>
      <c r="I858" s="1">
        <v>100</v>
      </c>
      <c r="J858" s="1">
        <v>76.893000000000001</v>
      </c>
      <c r="K858" s="1">
        <v>123.107</v>
      </c>
      <c r="L858" s="1">
        <v>38.450000000000003</v>
      </c>
      <c r="M858" s="1">
        <v>99.4</v>
      </c>
      <c r="N858" s="1">
        <v>3.5880000000000002E-2</v>
      </c>
      <c r="O858" s="1">
        <v>2.2770000000000001E-4</v>
      </c>
      <c r="P8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62.111708057822199</v>
      </c>
      <c r="Q858" s="1">
        <f>LN(Table13[[#This Row],[qe_mg_g]]-Table13[[#This Row],[qt]])</f>
        <v>2.6933623232139516</v>
      </c>
      <c r="R858" s="1">
        <v>2</v>
      </c>
    </row>
    <row r="859" spans="1:18" hidden="1" x14ac:dyDescent="0.3">
      <c r="A859" s="1">
        <v>858</v>
      </c>
      <c r="B859" s="1" t="s">
        <v>17</v>
      </c>
      <c r="C859" s="1">
        <v>1</v>
      </c>
      <c r="D859" s="1">
        <v>240</v>
      </c>
      <c r="E859" s="1">
        <v>200</v>
      </c>
      <c r="F859" s="1">
        <v>3</v>
      </c>
      <c r="G859" s="1">
        <v>25</v>
      </c>
      <c r="H859" s="1">
        <v>150</v>
      </c>
      <c r="I859" s="1">
        <v>100</v>
      </c>
      <c r="J859" s="1">
        <v>97.650999999999996</v>
      </c>
      <c r="K859" s="1">
        <v>102.349</v>
      </c>
      <c r="L859" s="1">
        <v>48.83</v>
      </c>
      <c r="M859" s="1">
        <v>99.9</v>
      </c>
      <c r="N859" s="1">
        <v>3.6630000000000003E-2</v>
      </c>
      <c r="O859" s="1">
        <v>2.2690000000000001E-4</v>
      </c>
      <c r="P8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82.194225384088497</v>
      </c>
      <c r="Q859" s="1">
        <f>LN(Table13[[#This Row],[qe_mg_g]]-Table13[[#This Row],[qt]])</f>
        <v>2.7380473937034209</v>
      </c>
      <c r="R859" s="1">
        <v>3</v>
      </c>
    </row>
    <row r="860" spans="1:18" hidden="1" x14ac:dyDescent="0.3">
      <c r="A860" s="1">
        <v>859</v>
      </c>
      <c r="B860" s="1" t="s">
        <v>17</v>
      </c>
      <c r="C860" s="1">
        <v>1</v>
      </c>
      <c r="D860" s="1">
        <v>240</v>
      </c>
      <c r="E860" s="1">
        <v>200</v>
      </c>
      <c r="F860" s="1">
        <v>7</v>
      </c>
      <c r="G860" s="1">
        <v>25</v>
      </c>
      <c r="H860" s="1">
        <v>150</v>
      </c>
      <c r="I860" s="1">
        <v>100</v>
      </c>
      <c r="J860" s="1">
        <v>136.50700000000001</v>
      </c>
      <c r="K860" s="1">
        <v>63.493000000000002</v>
      </c>
      <c r="L860" s="1">
        <v>68.25</v>
      </c>
      <c r="M860" s="1">
        <v>84.5</v>
      </c>
      <c r="N860" s="1">
        <v>4.2950000000000002E-2</v>
      </c>
      <c r="O860" s="1">
        <v>2.1780000000000001E-4</v>
      </c>
      <c r="P8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119.72780974913113</v>
      </c>
      <c r="Q860" s="1">
        <f>LN(Table13[[#This Row],[qe_mg_g]]-Table13[[#This Row],[qt]])</f>
        <v>2.8201394430730469</v>
      </c>
      <c r="R860" s="1">
        <v>1</v>
      </c>
    </row>
    <row r="861" spans="1:18" hidden="1" x14ac:dyDescent="0.3">
      <c r="A861" s="1">
        <v>860</v>
      </c>
      <c r="B861" s="1" t="s">
        <v>17</v>
      </c>
      <c r="C861" s="1">
        <v>1</v>
      </c>
      <c r="D861" s="1">
        <v>240</v>
      </c>
      <c r="E861" s="1">
        <v>200</v>
      </c>
      <c r="F861" s="1">
        <v>7</v>
      </c>
      <c r="G861" s="1">
        <v>25</v>
      </c>
      <c r="H861" s="1">
        <v>150</v>
      </c>
      <c r="I861" s="1">
        <v>100</v>
      </c>
      <c r="J861" s="1">
        <v>137.17500000000001</v>
      </c>
      <c r="K861" s="1">
        <v>62.825000000000003</v>
      </c>
      <c r="L861" s="1">
        <v>68.59</v>
      </c>
      <c r="M861" s="1">
        <v>69.3</v>
      </c>
      <c r="N861" s="1">
        <v>3.049E-2</v>
      </c>
      <c r="O861" s="1">
        <v>2.0589999999999999E-4</v>
      </c>
      <c r="P8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119.5401687792511</v>
      </c>
      <c r="Q861" s="1">
        <f>LN(Table13[[#This Row],[qe_mg_g]]-Table13[[#This Row],[qt]])</f>
        <v>2.8698759929446775</v>
      </c>
      <c r="R861" s="1">
        <v>2</v>
      </c>
    </row>
    <row r="862" spans="1:18" hidden="1" x14ac:dyDescent="0.3">
      <c r="A862" s="1">
        <v>861</v>
      </c>
      <c r="B862" s="1" t="s">
        <v>17</v>
      </c>
      <c r="C862" s="1">
        <v>1</v>
      </c>
      <c r="D862" s="1">
        <v>240</v>
      </c>
      <c r="E862" s="1">
        <v>200</v>
      </c>
      <c r="F862" s="1">
        <v>7</v>
      </c>
      <c r="G862" s="1">
        <v>25</v>
      </c>
      <c r="H862" s="1">
        <v>150</v>
      </c>
      <c r="I862" s="1">
        <v>100</v>
      </c>
      <c r="J862" s="1">
        <v>131.62</v>
      </c>
      <c r="K862" s="1">
        <v>68.38</v>
      </c>
      <c r="L862" s="1">
        <v>65.81</v>
      </c>
      <c r="M862" s="1">
        <v>77.8</v>
      </c>
      <c r="N862" s="1">
        <v>3.5490000000000001E-2</v>
      </c>
      <c r="O862" s="1">
        <v>2.318E-4</v>
      </c>
      <c r="P8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115.80462978066366</v>
      </c>
      <c r="Q862" s="1">
        <f>LN(Table13[[#This Row],[qe_mg_g]]-Table13[[#This Row],[qt]])</f>
        <v>2.7609822658630887</v>
      </c>
      <c r="R862" s="1">
        <v>3</v>
      </c>
    </row>
    <row r="863" spans="1:18" hidden="1" x14ac:dyDescent="0.3">
      <c r="A863" s="1">
        <v>862</v>
      </c>
      <c r="B863" s="1" t="s">
        <v>17</v>
      </c>
      <c r="C863" s="1">
        <v>1</v>
      </c>
      <c r="D863" s="1">
        <v>240</v>
      </c>
      <c r="E863" s="1">
        <v>200</v>
      </c>
      <c r="F863" s="1">
        <v>11</v>
      </c>
      <c r="G863" s="1">
        <v>25</v>
      </c>
      <c r="H863" s="1">
        <v>150</v>
      </c>
      <c r="I863" s="1">
        <v>100</v>
      </c>
      <c r="J863" s="1">
        <v>115.456</v>
      </c>
      <c r="K863" s="1">
        <v>84.543999999999997</v>
      </c>
      <c r="L863" s="1">
        <v>57.73</v>
      </c>
      <c r="M863" s="1">
        <v>71</v>
      </c>
      <c r="N863" s="1">
        <v>3.4610000000000002E-2</v>
      </c>
      <c r="O863" s="1">
        <v>1.839E-4</v>
      </c>
      <c r="P8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96.515640462420265</v>
      </c>
      <c r="Q863" s="1">
        <f>LN(Table13[[#This Row],[qe_mg_g]]-Table13[[#This Row],[qt]])</f>
        <v>2.9412950705545127</v>
      </c>
      <c r="R863" s="1">
        <v>1</v>
      </c>
    </row>
    <row r="864" spans="1:18" hidden="1" x14ac:dyDescent="0.3">
      <c r="A864" s="1">
        <v>863</v>
      </c>
      <c r="B864" s="1" t="s">
        <v>17</v>
      </c>
      <c r="C864" s="1">
        <v>1</v>
      </c>
      <c r="D864" s="1">
        <v>240</v>
      </c>
      <c r="E864" s="1">
        <v>200</v>
      </c>
      <c r="F864" s="1">
        <v>11</v>
      </c>
      <c r="G864" s="1">
        <v>25</v>
      </c>
      <c r="H864" s="1">
        <v>150</v>
      </c>
      <c r="I864" s="1">
        <v>100</v>
      </c>
      <c r="J864" s="1">
        <v>103.764</v>
      </c>
      <c r="K864" s="1">
        <v>96.236000000000004</v>
      </c>
      <c r="L864" s="1">
        <v>51.88</v>
      </c>
      <c r="M864" s="1">
        <v>80.400000000000006</v>
      </c>
      <c r="N864" s="1">
        <v>3.3329999999999999E-2</v>
      </c>
      <c r="O864" s="1">
        <v>1.749E-4</v>
      </c>
      <c r="P8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84.389131589421794</v>
      </c>
      <c r="Q864" s="1">
        <f>LN(Table13[[#This Row],[qe_mg_g]]-Table13[[#This Row],[qt]])</f>
        <v>2.9639767835042541</v>
      </c>
      <c r="R864" s="1">
        <v>2</v>
      </c>
    </row>
    <row r="865" spans="1:18" hidden="1" x14ac:dyDescent="0.3">
      <c r="A865" s="1">
        <v>864</v>
      </c>
      <c r="B865" s="1" t="s">
        <v>17</v>
      </c>
      <c r="C865" s="1">
        <v>1</v>
      </c>
      <c r="D865" s="1">
        <v>240</v>
      </c>
      <c r="E865" s="1">
        <v>200</v>
      </c>
      <c r="F865" s="1">
        <v>11</v>
      </c>
      <c r="G865" s="1">
        <v>25</v>
      </c>
      <c r="H865" s="1">
        <v>150</v>
      </c>
      <c r="I865" s="1">
        <v>100</v>
      </c>
      <c r="J865" s="1">
        <v>106.571</v>
      </c>
      <c r="K865" s="1">
        <v>93.429000000000002</v>
      </c>
      <c r="L865" s="1">
        <v>53.29</v>
      </c>
      <c r="M865" s="1">
        <v>78.5</v>
      </c>
      <c r="N865" s="1">
        <v>2.4750000000000001E-2</v>
      </c>
      <c r="O865" s="1">
        <v>2.4110000000000001E-4</v>
      </c>
      <c r="P8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91.700540089648641</v>
      </c>
      <c r="Q865" s="1">
        <f>LN(Table13[[#This Row],[qe_mg_g]]-Table13[[#This Row],[qt]])</f>
        <v>2.6993766887329436</v>
      </c>
      <c r="R865" s="1">
        <v>3</v>
      </c>
    </row>
    <row r="866" spans="1:18" hidden="1" x14ac:dyDescent="0.3">
      <c r="A866" s="1">
        <v>865</v>
      </c>
      <c r="B866" s="1" t="s">
        <v>17</v>
      </c>
      <c r="C866" s="1">
        <v>2</v>
      </c>
      <c r="D866" s="1">
        <v>30</v>
      </c>
      <c r="E866" s="1">
        <v>25</v>
      </c>
      <c r="F866" s="1">
        <v>3</v>
      </c>
      <c r="G866" s="1">
        <v>25</v>
      </c>
      <c r="H866" s="1">
        <v>150</v>
      </c>
      <c r="I866" s="1">
        <v>100</v>
      </c>
      <c r="J866" s="1">
        <v>0.499</v>
      </c>
      <c r="K866" s="1">
        <v>24.001000000000001</v>
      </c>
      <c r="L866" s="1">
        <v>3.99</v>
      </c>
      <c r="M866" s="1">
        <v>80.900000000000006</v>
      </c>
      <c r="N866" s="1">
        <v>3.5069999999999997E-2</v>
      </c>
      <c r="O866" s="1">
        <v>1.7660000000000001E-4</v>
      </c>
      <c r="P8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1.3157289028680299E-3</v>
      </c>
      <c r="Q866" s="1">
        <f>LN(Table13[[#This Row],[qe_mg_g]]-Table13[[#This Row],[qt]])</f>
        <v>-0.69778939679738528</v>
      </c>
      <c r="R866" s="1">
        <v>1</v>
      </c>
    </row>
    <row r="867" spans="1:18" hidden="1" x14ac:dyDescent="0.3">
      <c r="A867" s="1">
        <v>866</v>
      </c>
      <c r="B867" s="1" t="s">
        <v>17</v>
      </c>
      <c r="C867" s="1">
        <v>2</v>
      </c>
      <c r="D867" s="1">
        <v>30</v>
      </c>
      <c r="E867" s="1">
        <v>25</v>
      </c>
      <c r="F867" s="1">
        <v>3</v>
      </c>
      <c r="G867" s="1">
        <v>25</v>
      </c>
      <c r="H867" s="1">
        <v>150</v>
      </c>
      <c r="I867" s="1">
        <v>100</v>
      </c>
      <c r="J867" s="1">
        <v>0.52700000000000002</v>
      </c>
      <c r="K867" s="1">
        <v>23.946999999999999</v>
      </c>
      <c r="L867" s="1">
        <v>4.21</v>
      </c>
      <c r="M867" s="1">
        <v>110.1</v>
      </c>
      <c r="N867" s="1">
        <v>3.5549999999999998E-2</v>
      </c>
      <c r="O867" s="1">
        <v>2.2049999999999999E-4</v>
      </c>
      <c r="P8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1.8307949914264136E-3</v>
      </c>
      <c r="Q867" s="1">
        <f>LN(Table13[[#This Row],[qe_mg_g]]-Table13[[#This Row],[qt]])</f>
        <v>-0.64403477306204626</v>
      </c>
      <c r="R867" s="1">
        <v>2</v>
      </c>
    </row>
    <row r="868" spans="1:18" hidden="1" x14ac:dyDescent="0.3">
      <c r="A868" s="1">
        <v>867</v>
      </c>
      <c r="B868" s="1" t="s">
        <v>17</v>
      </c>
      <c r="C868" s="1">
        <v>2</v>
      </c>
      <c r="D868" s="1">
        <v>30</v>
      </c>
      <c r="E868" s="1">
        <v>25</v>
      </c>
      <c r="F868" s="1">
        <v>3</v>
      </c>
      <c r="G868" s="1">
        <v>25</v>
      </c>
      <c r="H868" s="1">
        <v>150</v>
      </c>
      <c r="I868" s="1">
        <v>100</v>
      </c>
      <c r="J868" s="1">
        <v>0.45800000000000002</v>
      </c>
      <c r="K868" s="1">
        <v>24.084</v>
      </c>
      <c r="L868" s="1">
        <v>3.67</v>
      </c>
      <c r="M868" s="1">
        <v>68.5</v>
      </c>
      <c r="N868" s="1">
        <v>3.356E-2</v>
      </c>
      <c r="O868" s="1">
        <v>2.0259999999999999E-4</v>
      </c>
      <c r="P8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1.2714063476363326E-3</v>
      </c>
      <c r="Q868" s="1">
        <f>LN(Table13[[#This Row],[qe_mg_g]]-Table13[[#This Row],[qt]])</f>
        <v>-0.78366595148378893</v>
      </c>
      <c r="R868" s="1">
        <v>3</v>
      </c>
    </row>
    <row r="869" spans="1:18" hidden="1" x14ac:dyDescent="0.3">
      <c r="A869" s="1">
        <v>868</v>
      </c>
      <c r="B869" s="1" t="s">
        <v>17</v>
      </c>
      <c r="C869" s="1">
        <v>2</v>
      </c>
      <c r="D869" s="1">
        <v>30</v>
      </c>
      <c r="E869" s="1">
        <v>25</v>
      </c>
      <c r="F869" s="1">
        <v>7</v>
      </c>
      <c r="G869" s="1">
        <v>25</v>
      </c>
      <c r="H869" s="1">
        <v>150</v>
      </c>
      <c r="I869" s="1">
        <v>100</v>
      </c>
      <c r="J869" s="1">
        <v>0.751</v>
      </c>
      <c r="K869" s="1">
        <v>23.498000000000001</v>
      </c>
      <c r="L869" s="1">
        <v>6.01</v>
      </c>
      <c r="M869" s="1">
        <v>82.9</v>
      </c>
      <c r="N869" s="1">
        <v>3.4680000000000002E-2</v>
      </c>
      <c r="O869" s="1">
        <v>1.984E-4</v>
      </c>
      <c r="P8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3.341995393009028E-3</v>
      </c>
      <c r="Q869" s="1">
        <f>LN(Table13[[#This Row],[qe_mg_g]]-Table13[[#This Row],[qt]])</f>
        <v>-0.29080961865369387</v>
      </c>
      <c r="R869" s="1">
        <v>1</v>
      </c>
    </row>
    <row r="870" spans="1:18" hidden="1" x14ac:dyDescent="0.3">
      <c r="A870" s="1">
        <v>869</v>
      </c>
      <c r="B870" s="1" t="s">
        <v>17</v>
      </c>
      <c r="C870" s="1">
        <v>2</v>
      </c>
      <c r="D870" s="1">
        <v>30</v>
      </c>
      <c r="E870" s="1">
        <v>25</v>
      </c>
      <c r="F870" s="1">
        <v>7</v>
      </c>
      <c r="G870" s="1">
        <v>25</v>
      </c>
      <c r="H870" s="1">
        <v>150</v>
      </c>
      <c r="I870" s="1">
        <v>100</v>
      </c>
      <c r="J870" s="1">
        <v>0.79100000000000004</v>
      </c>
      <c r="K870" s="1">
        <v>23.417999999999999</v>
      </c>
      <c r="L870" s="1">
        <v>6.33</v>
      </c>
      <c r="M870" s="1">
        <v>72.099999999999994</v>
      </c>
      <c r="N870" s="1">
        <v>3.2489999999999998E-2</v>
      </c>
      <c r="O870" s="1">
        <v>1.7430000000000001E-4</v>
      </c>
      <c r="P8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3.2582095414454555E-3</v>
      </c>
      <c r="Q870" s="1">
        <f>LN(Table13[[#This Row],[qe_mg_g]]-Table13[[#This Row],[qt]])</f>
        <v>-0.2385849199051765</v>
      </c>
      <c r="R870" s="1">
        <v>2</v>
      </c>
    </row>
    <row r="871" spans="1:18" hidden="1" x14ac:dyDescent="0.3">
      <c r="A871" s="1">
        <v>870</v>
      </c>
      <c r="B871" s="1" t="s">
        <v>17</v>
      </c>
      <c r="C871" s="1">
        <v>2</v>
      </c>
      <c r="D871" s="1">
        <v>30</v>
      </c>
      <c r="E871" s="1">
        <v>25</v>
      </c>
      <c r="F871" s="1">
        <v>7</v>
      </c>
      <c r="G871" s="1">
        <v>25</v>
      </c>
      <c r="H871" s="1">
        <v>150</v>
      </c>
      <c r="I871" s="1">
        <v>100</v>
      </c>
      <c r="J871" s="1">
        <v>0.86399999999999999</v>
      </c>
      <c r="K871" s="1">
        <v>23.271999999999998</v>
      </c>
      <c r="L871" s="1">
        <v>6.91</v>
      </c>
      <c r="M871" s="1">
        <v>58.6</v>
      </c>
      <c r="N871" s="1">
        <v>3.9039999999999998E-2</v>
      </c>
      <c r="O871" s="1">
        <v>2.2770000000000001E-4</v>
      </c>
      <c r="P8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5.0693946896519888E-3</v>
      </c>
      <c r="Q871" s="1">
        <f>LN(Table13[[#This Row],[qe_mg_g]]-Table13[[#This Row],[qt]])</f>
        <v>-0.15206714569734975</v>
      </c>
      <c r="R871" s="1">
        <v>3</v>
      </c>
    </row>
    <row r="872" spans="1:18" hidden="1" x14ac:dyDescent="0.3">
      <c r="A872" s="1">
        <v>871</v>
      </c>
      <c r="B872" s="1" t="s">
        <v>17</v>
      </c>
      <c r="C872" s="1">
        <v>2</v>
      </c>
      <c r="D872" s="1">
        <v>30</v>
      </c>
      <c r="E872" s="1">
        <v>25</v>
      </c>
      <c r="F872" s="1">
        <v>11</v>
      </c>
      <c r="G872" s="1">
        <v>25</v>
      </c>
      <c r="H872" s="1">
        <v>150</v>
      </c>
      <c r="I872" s="1">
        <v>100</v>
      </c>
      <c r="J872" s="1">
        <v>0.55700000000000005</v>
      </c>
      <c r="K872" s="1">
        <v>23.885999999999999</v>
      </c>
      <c r="L872" s="1">
        <v>4.46</v>
      </c>
      <c r="M872" s="1">
        <v>52.2</v>
      </c>
      <c r="N872" s="1">
        <v>3.3739999999999999E-2</v>
      </c>
      <c r="O872" s="1">
        <v>1.9870000000000001E-4</v>
      </c>
      <c r="P8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1.843274108373273E-3</v>
      </c>
      <c r="Q872" s="1">
        <f>LN(Table13[[#This Row],[qe_mg_g]]-Table13[[#This Row],[qt]])</f>
        <v>-0.58850481610604766</v>
      </c>
      <c r="R872" s="1">
        <v>1</v>
      </c>
    </row>
    <row r="873" spans="1:18" hidden="1" x14ac:dyDescent="0.3">
      <c r="A873" s="1">
        <v>872</v>
      </c>
      <c r="B873" s="1" t="s">
        <v>17</v>
      </c>
      <c r="C873" s="1">
        <v>2</v>
      </c>
      <c r="D873" s="1">
        <v>30</v>
      </c>
      <c r="E873" s="1">
        <v>25</v>
      </c>
      <c r="F873" s="1">
        <v>11</v>
      </c>
      <c r="G873" s="1">
        <v>25</v>
      </c>
      <c r="H873" s="1">
        <v>150</v>
      </c>
      <c r="I873" s="1">
        <v>100</v>
      </c>
      <c r="J873" s="1">
        <v>0.51600000000000001</v>
      </c>
      <c r="K873" s="1">
        <v>23.966999999999999</v>
      </c>
      <c r="L873" s="1">
        <v>4.13</v>
      </c>
      <c r="M873" s="1">
        <v>79.099999999999994</v>
      </c>
      <c r="N873" s="1">
        <v>4.036E-2</v>
      </c>
      <c r="O873" s="1">
        <v>2.1330000000000001E-4</v>
      </c>
      <c r="P8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1.6981650001566227E-3</v>
      </c>
      <c r="Q873" s="1">
        <f>LN(Table13[[#This Row],[qe_mg_g]]-Table13[[#This Row],[qt]])</f>
        <v>-0.66494495825149058</v>
      </c>
      <c r="R873" s="1">
        <v>2</v>
      </c>
    </row>
    <row r="874" spans="1:18" hidden="1" x14ac:dyDescent="0.3">
      <c r="A874" s="1">
        <v>873</v>
      </c>
      <c r="B874" s="1" t="s">
        <v>17</v>
      </c>
      <c r="C874" s="1">
        <v>2</v>
      </c>
      <c r="D874" s="1">
        <v>30</v>
      </c>
      <c r="E874" s="1">
        <v>25</v>
      </c>
      <c r="F874" s="1">
        <v>11</v>
      </c>
      <c r="G874" s="1">
        <v>25</v>
      </c>
      <c r="H874" s="1">
        <v>150</v>
      </c>
      <c r="I874" s="1">
        <v>100</v>
      </c>
      <c r="J874" s="1">
        <v>0.52100000000000002</v>
      </c>
      <c r="K874" s="1">
        <v>23.957000000000001</v>
      </c>
      <c r="L874" s="1">
        <v>4.17</v>
      </c>
      <c r="M874" s="1">
        <v>65.2</v>
      </c>
      <c r="N874" s="1">
        <v>3.3860000000000001E-2</v>
      </c>
      <c r="O874" s="1">
        <v>1.9570000000000001E-4</v>
      </c>
      <c r="P8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1.5887703944164929E-3</v>
      </c>
      <c r="Q874" s="1">
        <f>LN(Table13[[#This Row],[qe_mg_g]]-Table13[[#This Row],[qt]])</f>
        <v>-0.65505935964530393</v>
      </c>
      <c r="R874" s="1">
        <v>3</v>
      </c>
    </row>
    <row r="875" spans="1:18" hidden="1" x14ac:dyDescent="0.3">
      <c r="A875" s="1">
        <v>874</v>
      </c>
      <c r="B875" s="1" t="s">
        <v>17</v>
      </c>
      <c r="C875" s="1">
        <v>2</v>
      </c>
      <c r="D875" s="1">
        <v>30</v>
      </c>
      <c r="E875" s="1">
        <v>50</v>
      </c>
      <c r="F875" s="1">
        <v>3</v>
      </c>
      <c r="G875" s="1">
        <v>25</v>
      </c>
      <c r="H875" s="1">
        <v>150</v>
      </c>
      <c r="I875" s="1">
        <v>100</v>
      </c>
      <c r="J875" s="1">
        <v>1.79</v>
      </c>
      <c r="K875" s="1">
        <v>46.42</v>
      </c>
      <c r="L875" s="1">
        <v>7.16</v>
      </c>
      <c r="M875" s="1">
        <v>78.8</v>
      </c>
      <c r="N875" s="1">
        <v>3.6790000000000003E-2</v>
      </c>
      <c r="O875" s="1">
        <v>2.387E-4</v>
      </c>
      <c r="P8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2.265417458586521E-2</v>
      </c>
      <c r="Q875" s="1">
        <f>LN(Table13[[#This Row],[qe_mg_g]]-Table13[[#This Row],[qt]])</f>
        <v>0.56947888749558528</v>
      </c>
      <c r="R875" s="1">
        <v>1</v>
      </c>
    </row>
    <row r="876" spans="1:18" hidden="1" x14ac:dyDescent="0.3">
      <c r="A876" s="1">
        <v>875</v>
      </c>
      <c r="B876" s="1" t="s">
        <v>17</v>
      </c>
      <c r="C876" s="1">
        <v>2</v>
      </c>
      <c r="D876" s="1">
        <v>30</v>
      </c>
      <c r="E876" s="1">
        <v>50</v>
      </c>
      <c r="F876" s="1">
        <v>3</v>
      </c>
      <c r="G876" s="1">
        <v>25</v>
      </c>
      <c r="H876" s="1">
        <v>150</v>
      </c>
      <c r="I876" s="1">
        <v>100</v>
      </c>
      <c r="J876" s="1">
        <v>1.8440000000000001</v>
      </c>
      <c r="K876" s="1">
        <v>46.311</v>
      </c>
      <c r="L876" s="1">
        <v>7.38</v>
      </c>
      <c r="M876" s="1">
        <v>85.1</v>
      </c>
      <c r="N876" s="1">
        <v>3.4360000000000002E-2</v>
      </c>
      <c r="O876" s="1">
        <v>1.929E-4</v>
      </c>
      <c r="P8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1.9469975880227589E-2</v>
      </c>
      <c r="Q876" s="1">
        <f>LN(Table13[[#This Row],[qe_mg_g]]-Table13[[#This Row],[qt]])</f>
        <v>0.60132243283995879</v>
      </c>
      <c r="R876" s="1">
        <v>2</v>
      </c>
    </row>
    <row r="877" spans="1:18" hidden="1" x14ac:dyDescent="0.3">
      <c r="A877" s="1">
        <v>876</v>
      </c>
      <c r="B877" s="1" t="s">
        <v>17</v>
      </c>
      <c r="C877" s="1">
        <v>2</v>
      </c>
      <c r="D877" s="1">
        <v>30</v>
      </c>
      <c r="E877" s="1">
        <v>50</v>
      </c>
      <c r="F877" s="1">
        <v>3</v>
      </c>
      <c r="G877" s="1">
        <v>25</v>
      </c>
      <c r="H877" s="1">
        <v>150</v>
      </c>
      <c r="I877" s="1">
        <v>100</v>
      </c>
      <c r="J877" s="1">
        <v>1.907</v>
      </c>
      <c r="K877" s="1">
        <v>46.186999999999998</v>
      </c>
      <c r="L877" s="1">
        <v>7.63</v>
      </c>
      <c r="M877" s="1">
        <v>77.599999999999994</v>
      </c>
      <c r="N877" s="1">
        <v>3.5159999999999997E-2</v>
      </c>
      <c r="O877" s="1">
        <v>2.0100000000000001E-4</v>
      </c>
      <c r="P8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2.1679694114639995E-2</v>
      </c>
      <c r="Q877" s="1">
        <f>LN(Table13[[#This Row],[qe_mg_g]]-Table13[[#This Row],[qt]])</f>
        <v>0.63409773001121361</v>
      </c>
      <c r="R877" s="1">
        <v>3</v>
      </c>
    </row>
    <row r="878" spans="1:18" hidden="1" x14ac:dyDescent="0.3">
      <c r="A878" s="1">
        <v>877</v>
      </c>
      <c r="B878" s="1" t="s">
        <v>17</v>
      </c>
      <c r="C878" s="1">
        <v>2</v>
      </c>
      <c r="D878" s="1">
        <v>30</v>
      </c>
      <c r="E878" s="1">
        <v>50</v>
      </c>
      <c r="F878" s="1">
        <v>7</v>
      </c>
      <c r="G878" s="1">
        <v>25</v>
      </c>
      <c r="H878" s="1">
        <v>150</v>
      </c>
      <c r="I878" s="1">
        <v>100</v>
      </c>
      <c r="J878" s="1">
        <v>2.7879999999999998</v>
      </c>
      <c r="K878" s="1">
        <v>44.423999999999999</v>
      </c>
      <c r="L878" s="1">
        <v>11.15</v>
      </c>
      <c r="M878" s="1">
        <v>68.099999999999994</v>
      </c>
      <c r="N878" s="1">
        <v>3.6130000000000002E-2</v>
      </c>
      <c r="O878" s="1">
        <v>1.9880000000000001E-4</v>
      </c>
      <c r="P8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4.5599624244720506E-2</v>
      </c>
      <c r="Q878" s="1">
        <f>LN(Table13[[#This Row],[qe_mg_g]]-Table13[[#This Row],[qt]])</f>
        <v>1.0088335864382627</v>
      </c>
      <c r="R878" s="1">
        <v>1</v>
      </c>
    </row>
    <row r="879" spans="1:18" hidden="1" x14ac:dyDescent="0.3">
      <c r="A879" s="1">
        <v>878</v>
      </c>
      <c r="B879" s="1" t="s">
        <v>17</v>
      </c>
      <c r="C879" s="1">
        <v>2</v>
      </c>
      <c r="D879" s="1">
        <v>30</v>
      </c>
      <c r="E879" s="1">
        <v>50</v>
      </c>
      <c r="F879" s="1">
        <v>7</v>
      </c>
      <c r="G879" s="1">
        <v>25</v>
      </c>
      <c r="H879" s="1">
        <v>150</v>
      </c>
      <c r="I879" s="1">
        <v>100</v>
      </c>
      <c r="J879" s="1">
        <v>3.0819999999999999</v>
      </c>
      <c r="K879" s="1">
        <v>43.835999999999999</v>
      </c>
      <c r="L879" s="1">
        <v>12.33</v>
      </c>
      <c r="M879" s="1">
        <v>78.900000000000006</v>
      </c>
      <c r="N879" s="1">
        <v>3.9269999999999999E-2</v>
      </c>
      <c r="O879" s="1">
        <v>1.8249999999999999E-4</v>
      </c>
      <c r="P8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5.1142537283013295E-2</v>
      </c>
      <c r="Q879" s="1">
        <f>LN(Table13[[#This Row],[qe_mg_g]]-Table13[[#This Row],[qt]])</f>
        <v>1.1088455704825839</v>
      </c>
      <c r="R879" s="1">
        <v>2</v>
      </c>
    </row>
    <row r="880" spans="1:18" hidden="1" x14ac:dyDescent="0.3">
      <c r="A880" s="1">
        <v>879</v>
      </c>
      <c r="B880" s="1" t="s">
        <v>17</v>
      </c>
      <c r="C880" s="1">
        <v>2</v>
      </c>
      <c r="D880" s="1">
        <v>30</v>
      </c>
      <c r="E880" s="1">
        <v>50</v>
      </c>
      <c r="F880" s="1">
        <v>7</v>
      </c>
      <c r="G880" s="1">
        <v>25</v>
      </c>
      <c r="H880" s="1">
        <v>150</v>
      </c>
      <c r="I880" s="1">
        <v>100</v>
      </c>
      <c r="J880" s="1">
        <v>3.4380000000000002</v>
      </c>
      <c r="K880" s="1">
        <v>43.124000000000002</v>
      </c>
      <c r="L880" s="1">
        <v>13.75</v>
      </c>
      <c r="M880" s="1">
        <v>63.2</v>
      </c>
      <c r="N880" s="1">
        <v>3.6519999999999997E-2</v>
      </c>
      <c r="O880" s="1">
        <v>2.095E-4</v>
      </c>
      <c r="P8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7.2716474324594799E-2</v>
      </c>
      <c r="Q880" s="1">
        <f>LN(Table13[[#This Row],[qe_mg_g]]-Table13[[#This Row],[qt]])</f>
        <v>1.213512216805912</v>
      </c>
      <c r="R880" s="1">
        <v>3</v>
      </c>
    </row>
    <row r="881" spans="1:18" hidden="1" x14ac:dyDescent="0.3">
      <c r="A881" s="1">
        <v>880</v>
      </c>
      <c r="B881" s="1" t="s">
        <v>17</v>
      </c>
      <c r="C881" s="1">
        <v>2</v>
      </c>
      <c r="D881" s="1">
        <v>30</v>
      </c>
      <c r="E881" s="1">
        <v>50</v>
      </c>
      <c r="F881" s="1">
        <v>11</v>
      </c>
      <c r="G881" s="1">
        <v>25</v>
      </c>
      <c r="H881" s="1">
        <v>150</v>
      </c>
      <c r="I881" s="1">
        <v>100</v>
      </c>
      <c r="J881" s="1">
        <v>1.99</v>
      </c>
      <c r="K881" s="1">
        <v>46.02</v>
      </c>
      <c r="L881" s="1">
        <v>7.96</v>
      </c>
      <c r="M881" s="1">
        <v>91.2</v>
      </c>
      <c r="N881" s="1">
        <v>3.9480000000000001E-2</v>
      </c>
      <c r="O881" s="1">
        <v>1.5569999999999999E-4</v>
      </c>
      <c r="P8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1.832726981218747E-2</v>
      </c>
      <c r="Q881" s="1">
        <f>LN(Table13[[#This Row],[qe_mg_g]]-Table13[[#This Row],[qt]])</f>
        <v>0.67888228408522722</v>
      </c>
      <c r="R881" s="1">
        <v>1</v>
      </c>
    </row>
    <row r="882" spans="1:18" hidden="1" x14ac:dyDescent="0.3">
      <c r="A882" s="1">
        <v>881</v>
      </c>
      <c r="B882" s="1" t="s">
        <v>17</v>
      </c>
      <c r="C882" s="1">
        <v>2</v>
      </c>
      <c r="D882" s="1">
        <v>30</v>
      </c>
      <c r="E882" s="1">
        <v>50</v>
      </c>
      <c r="F882" s="1">
        <v>11</v>
      </c>
      <c r="G882" s="1">
        <v>25</v>
      </c>
      <c r="H882" s="1">
        <v>150</v>
      </c>
      <c r="I882" s="1">
        <v>100</v>
      </c>
      <c r="J882" s="1">
        <v>2.2709999999999999</v>
      </c>
      <c r="K882" s="1">
        <v>45.459000000000003</v>
      </c>
      <c r="L882" s="1">
        <v>9.08</v>
      </c>
      <c r="M882" s="1">
        <v>53.7</v>
      </c>
      <c r="N882" s="1">
        <v>3.1620000000000002E-2</v>
      </c>
      <c r="O882" s="1">
        <v>2.3259999999999999E-4</v>
      </c>
      <c r="P8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3.5427207002399111E-2</v>
      </c>
      <c r="Q882" s="1">
        <f>LN(Table13[[#This Row],[qe_mg_g]]-Table13[[#This Row],[qt]])</f>
        <v>0.80449747845100061</v>
      </c>
      <c r="R882" s="1">
        <v>2</v>
      </c>
    </row>
    <row r="883" spans="1:18" hidden="1" x14ac:dyDescent="0.3">
      <c r="A883" s="1">
        <v>882</v>
      </c>
      <c r="B883" s="1" t="s">
        <v>17</v>
      </c>
      <c r="C883" s="1">
        <v>2</v>
      </c>
      <c r="D883" s="1">
        <v>30</v>
      </c>
      <c r="E883" s="1">
        <v>50</v>
      </c>
      <c r="F883" s="1">
        <v>11</v>
      </c>
      <c r="G883" s="1">
        <v>25</v>
      </c>
      <c r="H883" s="1">
        <v>150</v>
      </c>
      <c r="I883" s="1">
        <v>100</v>
      </c>
      <c r="J883" s="1">
        <v>2.036</v>
      </c>
      <c r="K883" s="1">
        <v>45.927999999999997</v>
      </c>
      <c r="L883" s="1">
        <v>8.14</v>
      </c>
      <c r="M883" s="1">
        <v>70.599999999999994</v>
      </c>
      <c r="N883" s="1">
        <v>3.431E-2</v>
      </c>
      <c r="O883" s="1">
        <v>2.4140000000000001E-4</v>
      </c>
      <c r="P8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2.9584025693350943E-2</v>
      </c>
      <c r="Q883" s="1">
        <f>LN(Table13[[#This Row],[qe_mg_g]]-Table13[[#This Row],[qt]])</f>
        <v>0.69635003310073207</v>
      </c>
      <c r="R883" s="1">
        <v>3</v>
      </c>
    </row>
    <row r="884" spans="1:18" hidden="1" x14ac:dyDescent="0.3">
      <c r="A884" s="1">
        <v>883</v>
      </c>
      <c r="B884" s="1" t="s">
        <v>17</v>
      </c>
      <c r="C884" s="1">
        <v>2</v>
      </c>
      <c r="D884" s="1">
        <v>30</v>
      </c>
      <c r="E884" s="1">
        <v>100</v>
      </c>
      <c r="F884" s="1">
        <v>3</v>
      </c>
      <c r="G884" s="1">
        <v>25</v>
      </c>
      <c r="H884" s="1">
        <v>150</v>
      </c>
      <c r="I884" s="1">
        <v>100</v>
      </c>
      <c r="J884" s="1">
        <v>5.0209999999999999</v>
      </c>
      <c r="K884" s="1">
        <v>89.957999999999998</v>
      </c>
      <c r="L884" s="1">
        <v>10.039999999999999</v>
      </c>
      <c r="M884" s="1">
        <v>72.2</v>
      </c>
      <c r="N884" s="1">
        <v>4.0239999999999998E-2</v>
      </c>
      <c r="O884" s="1">
        <v>2.3719999999999999E-4</v>
      </c>
      <c r="P8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0.17320884385485399</v>
      </c>
      <c r="Q884" s="1">
        <f>LN(Table13[[#This Row],[qe_mg_g]]-Table13[[#This Row],[qt]])</f>
        <v>1.5785231694862154</v>
      </c>
      <c r="R884" s="1">
        <v>1</v>
      </c>
    </row>
    <row r="885" spans="1:18" hidden="1" x14ac:dyDescent="0.3">
      <c r="A885" s="1">
        <v>884</v>
      </c>
      <c r="B885" s="1" t="s">
        <v>17</v>
      </c>
      <c r="C885" s="1">
        <v>2</v>
      </c>
      <c r="D885" s="1">
        <v>30</v>
      </c>
      <c r="E885" s="1">
        <v>100</v>
      </c>
      <c r="F885" s="1">
        <v>3</v>
      </c>
      <c r="G885" s="1">
        <v>25</v>
      </c>
      <c r="H885" s="1">
        <v>150</v>
      </c>
      <c r="I885" s="1">
        <v>100</v>
      </c>
      <c r="J885" s="1">
        <v>6.0839999999999996</v>
      </c>
      <c r="K885" s="1">
        <v>87.832999999999998</v>
      </c>
      <c r="L885" s="1">
        <v>12.17</v>
      </c>
      <c r="M885" s="1">
        <v>69.8</v>
      </c>
      <c r="N885" s="1">
        <v>4.2340000000000003E-2</v>
      </c>
      <c r="O885" s="1">
        <v>2.319E-4</v>
      </c>
      <c r="P8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0.247056725759494</v>
      </c>
      <c r="Q885" s="1">
        <f>LN(Table13[[#This Row],[qe_mg_g]]-Table13[[#This Row],[qt]])</f>
        <v>1.764207247867168</v>
      </c>
      <c r="R885" s="1">
        <v>2</v>
      </c>
    </row>
    <row r="886" spans="1:18" hidden="1" x14ac:dyDescent="0.3">
      <c r="A886" s="1">
        <v>885</v>
      </c>
      <c r="B886" s="1" t="s">
        <v>17</v>
      </c>
      <c r="C886" s="1">
        <v>2</v>
      </c>
      <c r="D886" s="1">
        <v>30</v>
      </c>
      <c r="E886" s="1">
        <v>100</v>
      </c>
      <c r="F886" s="1">
        <v>3</v>
      </c>
      <c r="G886" s="1">
        <v>25</v>
      </c>
      <c r="H886" s="1">
        <v>150</v>
      </c>
      <c r="I886" s="1">
        <v>100</v>
      </c>
      <c r="J886" s="1">
        <v>6.5640000000000001</v>
      </c>
      <c r="K886" s="1">
        <v>86.870999999999995</v>
      </c>
      <c r="L886" s="1">
        <v>13.13</v>
      </c>
      <c r="M886" s="1">
        <v>75.3</v>
      </c>
      <c r="N886" s="1">
        <v>3.483E-2</v>
      </c>
      <c r="O886" s="1">
        <v>1.9680000000000001E-4</v>
      </c>
      <c r="P8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0.24488988350287291</v>
      </c>
      <c r="Q886" s="1">
        <f>LN(Table13[[#This Row],[qe_mg_g]]-Table13[[#This Row],[qt]])</f>
        <v>1.8435783938931822</v>
      </c>
      <c r="R886" s="1">
        <v>3</v>
      </c>
    </row>
    <row r="887" spans="1:18" hidden="1" x14ac:dyDescent="0.3">
      <c r="A887" s="1">
        <v>886</v>
      </c>
      <c r="B887" s="1" t="s">
        <v>17</v>
      </c>
      <c r="C887" s="1">
        <v>2</v>
      </c>
      <c r="D887" s="1">
        <v>30</v>
      </c>
      <c r="E887" s="1">
        <v>100</v>
      </c>
      <c r="F887" s="1">
        <v>7</v>
      </c>
      <c r="G887" s="1">
        <v>25</v>
      </c>
      <c r="H887" s="1">
        <v>150</v>
      </c>
      <c r="I887" s="1">
        <v>100</v>
      </c>
      <c r="J887" s="1">
        <v>10.657</v>
      </c>
      <c r="K887" s="1">
        <v>78.686000000000007</v>
      </c>
      <c r="L887" s="1">
        <v>21.31</v>
      </c>
      <c r="M887" s="1">
        <v>104.4</v>
      </c>
      <c r="N887" s="1">
        <v>3.8080000000000003E-2</v>
      </c>
      <c r="O887" s="1">
        <v>1.785E-4</v>
      </c>
      <c r="P8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0.57534240483065879</v>
      </c>
      <c r="Q887" s="1">
        <f>LN(Table13[[#This Row],[qe_mg_g]]-Table13[[#This Row],[qt]])</f>
        <v>2.3107176930890083</v>
      </c>
      <c r="R887" s="1">
        <v>1</v>
      </c>
    </row>
    <row r="888" spans="1:18" hidden="1" x14ac:dyDescent="0.3">
      <c r="A888" s="1">
        <v>887</v>
      </c>
      <c r="B888" s="1" t="s">
        <v>17</v>
      </c>
      <c r="C888" s="1">
        <v>2</v>
      </c>
      <c r="D888" s="1">
        <v>30</v>
      </c>
      <c r="E888" s="1">
        <v>100</v>
      </c>
      <c r="F888" s="1">
        <v>7</v>
      </c>
      <c r="G888" s="1">
        <v>25</v>
      </c>
      <c r="H888" s="1">
        <v>150</v>
      </c>
      <c r="I888" s="1">
        <v>100</v>
      </c>
      <c r="J888" s="1">
        <v>11.736000000000001</v>
      </c>
      <c r="K888" s="1">
        <v>76.528999999999996</v>
      </c>
      <c r="L888" s="1">
        <v>23.47</v>
      </c>
      <c r="M888" s="1">
        <v>89.7</v>
      </c>
      <c r="N888" s="1">
        <v>3.7400000000000003E-2</v>
      </c>
      <c r="O888" s="1">
        <v>2.2929999999999999E-4</v>
      </c>
      <c r="P8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0.87669296724701973</v>
      </c>
      <c r="Q888" s="1">
        <f>LN(Table13[[#This Row],[qe_mg_g]]-Table13[[#This Row],[qt]])</f>
        <v>2.3850225033311316</v>
      </c>
      <c r="R888" s="1">
        <v>2</v>
      </c>
    </row>
    <row r="889" spans="1:18" hidden="1" x14ac:dyDescent="0.3">
      <c r="A889" s="1">
        <v>888</v>
      </c>
      <c r="B889" s="1" t="s">
        <v>17</v>
      </c>
      <c r="C889" s="1">
        <v>2</v>
      </c>
      <c r="D889" s="1">
        <v>30</v>
      </c>
      <c r="E889" s="1">
        <v>100</v>
      </c>
      <c r="F889" s="1">
        <v>7</v>
      </c>
      <c r="G889" s="1">
        <v>25</v>
      </c>
      <c r="H889" s="1">
        <v>150</v>
      </c>
      <c r="I889" s="1">
        <v>100</v>
      </c>
      <c r="J889" s="1">
        <v>9.1690000000000005</v>
      </c>
      <c r="K889" s="1">
        <v>81.662000000000006</v>
      </c>
      <c r="L889" s="1">
        <v>18.34</v>
      </c>
      <c r="M889" s="1">
        <v>85.3</v>
      </c>
      <c r="N889" s="1">
        <v>3.3140000000000003E-2</v>
      </c>
      <c r="O889" s="1">
        <v>1.6860000000000001E-4</v>
      </c>
      <c r="P8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0.40638219112391993</v>
      </c>
      <c r="Q889" s="1">
        <f>LN(Table13[[#This Row],[qe_mg_g]]-Table13[[#This Row],[qt]])</f>
        <v>2.1704946969352177</v>
      </c>
      <c r="R889" s="1">
        <v>3</v>
      </c>
    </row>
    <row r="890" spans="1:18" hidden="1" x14ac:dyDescent="0.3">
      <c r="A890" s="1">
        <v>889</v>
      </c>
      <c r="B890" s="1" t="s">
        <v>17</v>
      </c>
      <c r="C890" s="1">
        <v>2</v>
      </c>
      <c r="D890" s="1">
        <v>30</v>
      </c>
      <c r="E890" s="1">
        <v>100</v>
      </c>
      <c r="F890" s="1">
        <v>11</v>
      </c>
      <c r="G890" s="1">
        <v>25</v>
      </c>
      <c r="H890" s="1">
        <v>150</v>
      </c>
      <c r="I890" s="1">
        <v>100</v>
      </c>
      <c r="J890" s="1">
        <v>7.98</v>
      </c>
      <c r="K890" s="1">
        <v>84.04</v>
      </c>
      <c r="L890" s="1">
        <v>15.96</v>
      </c>
      <c r="M890" s="1">
        <v>118</v>
      </c>
      <c r="N890" s="1">
        <v>2.8559999999999999E-2</v>
      </c>
      <c r="O890" s="1">
        <v>1.994E-4</v>
      </c>
      <c r="P8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0.36358015942102073</v>
      </c>
      <c r="Q890" s="1">
        <f>LN(Table13[[#This Row],[qe_mg_g]]-Table13[[#This Row],[qt]])</f>
        <v>2.0303064220961167</v>
      </c>
      <c r="R890" s="1">
        <v>1</v>
      </c>
    </row>
    <row r="891" spans="1:18" hidden="1" x14ac:dyDescent="0.3">
      <c r="A891" s="1">
        <v>890</v>
      </c>
      <c r="B891" s="1" t="s">
        <v>17</v>
      </c>
      <c r="C891" s="1">
        <v>2</v>
      </c>
      <c r="D891" s="1">
        <v>30</v>
      </c>
      <c r="E891" s="1">
        <v>100</v>
      </c>
      <c r="F891" s="1">
        <v>11</v>
      </c>
      <c r="G891" s="1">
        <v>25</v>
      </c>
      <c r="H891" s="1">
        <v>150</v>
      </c>
      <c r="I891" s="1">
        <v>100</v>
      </c>
      <c r="J891" s="1">
        <v>8.2059999999999995</v>
      </c>
      <c r="K891" s="1">
        <v>83.587000000000003</v>
      </c>
      <c r="L891" s="1">
        <v>16.41</v>
      </c>
      <c r="M891" s="1">
        <v>87.3</v>
      </c>
      <c r="N891" s="1">
        <v>3.4599999999999999E-2</v>
      </c>
      <c r="O891" s="1">
        <v>1.74E-4</v>
      </c>
      <c r="P8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0.3370682112301297</v>
      </c>
      <c r="Q891" s="1">
        <f>LN(Table13[[#This Row],[qe_mg_g]]-Table13[[#This Row],[qt]])</f>
        <v>2.0629223211673118</v>
      </c>
      <c r="R891" s="1">
        <v>2</v>
      </c>
    </row>
    <row r="892" spans="1:18" hidden="1" x14ac:dyDescent="0.3">
      <c r="A892" s="1">
        <v>891</v>
      </c>
      <c r="B892" s="1" t="s">
        <v>17</v>
      </c>
      <c r="C892" s="1">
        <v>2</v>
      </c>
      <c r="D892" s="1">
        <v>30</v>
      </c>
      <c r="E892" s="1">
        <v>100</v>
      </c>
      <c r="F892" s="1">
        <v>11</v>
      </c>
      <c r="G892" s="1">
        <v>25</v>
      </c>
      <c r="H892" s="1">
        <v>150</v>
      </c>
      <c r="I892" s="1">
        <v>100</v>
      </c>
      <c r="J892" s="1">
        <v>7.8920000000000003</v>
      </c>
      <c r="K892" s="1">
        <v>84.215999999999994</v>
      </c>
      <c r="L892" s="1">
        <v>15.78</v>
      </c>
      <c r="M892" s="1">
        <v>76</v>
      </c>
      <c r="N892" s="1">
        <v>2.734E-2</v>
      </c>
      <c r="O892" s="1">
        <v>2.2389999999999999E-4</v>
      </c>
      <c r="P8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0.39729836090039455</v>
      </c>
      <c r="Q892" s="1">
        <f>LN(Table13[[#This Row],[qe_mg_g]]-Table13[[#This Row],[qt]])</f>
        <v>2.0141963227701547</v>
      </c>
      <c r="R892" s="1">
        <v>3</v>
      </c>
    </row>
    <row r="893" spans="1:18" hidden="1" x14ac:dyDescent="0.3">
      <c r="A893" s="1">
        <v>892</v>
      </c>
      <c r="B893" s="1" t="s">
        <v>17</v>
      </c>
      <c r="C893" s="1">
        <v>2</v>
      </c>
      <c r="D893" s="1">
        <v>30</v>
      </c>
      <c r="E893" s="1">
        <v>200</v>
      </c>
      <c r="F893" s="1">
        <v>3</v>
      </c>
      <c r="G893" s="1">
        <v>25</v>
      </c>
      <c r="H893" s="1">
        <v>150</v>
      </c>
      <c r="I893" s="1">
        <v>100</v>
      </c>
      <c r="J893" s="1">
        <v>22.120999999999999</v>
      </c>
      <c r="K893" s="1">
        <v>155.75700000000001</v>
      </c>
      <c r="L893" s="1">
        <v>22.12</v>
      </c>
      <c r="M893" s="1">
        <v>86.4</v>
      </c>
      <c r="N893" s="1">
        <v>3.5799999999999998E-2</v>
      </c>
      <c r="O893" s="1">
        <v>2.2149999999999999E-4</v>
      </c>
      <c r="P8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2.8349364877870831</v>
      </c>
      <c r="Q893" s="1">
        <f>LN(Table13[[#This Row],[qe_mg_g]]-Table13[[#This Row],[qt]])</f>
        <v>2.9593827372598374</v>
      </c>
      <c r="R893" s="1">
        <v>1</v>
      </c>
    </row>
    <row r="894" spans="1:18" hidden="1" x14ac:dyDescent="0.3">
      <c r="A894" s="1">
        <v>893</v>
      </c>
      <c r="B894" s="1" t="s">
        <v>17</v>
      </c>
      <c r="C894" s="1">
        <v>2</v>
      </c>
      <c r="D894" s="1">
        <v>30</v>
      </c>
      <c r="E894" s="1">
        <v>200</v>
      </c>
      <c r="F894" s="1">
        <v>3</v>
      </c>
      <c r="G894" s="1">
        <v>25</v>
      </c>
      <c r="H894" s="1">
        <v>150</v>
      </c>
      <c r="I894" s="1">
        <v>100</v>
      </c>
      <c r="J894" s="1">
        <v>20.64</v>
      </c>
      <c r="K894" s="1">
        <v>158.721</v>
      </c>
      <c r="L894" s="1">
        <v>20.64</v>
      </c>
      <c r="M894" s="1">
        <v>97.3</v>
      </c>
      <c r="N894" s="1">
        <v>3.3959999999999997E-2</v>
      </c>
      <c r="O894" s="1">
        <v>2.262E-4</v>
      </c>
      <c r="P8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2.5357379760333254</v>
      </c>
      <c r="Q894" s="1">
        <f>LN(Table13[[#This Row],[qe_mg_g]]-Table13[[#This Row],[qt]])</f>
        <v>2.8961473814902354</v>
      </c>
      <c r="R894" s="1">
        <v>2</v>
      </c>
    </row>
    <row r="895" spans="1:18" hidden="1" x14ac:dyDescent="0.3">
      <c r="A895" s="1">
        <v>894</v>
      </c>
      <c r="B895" s="1" t="s">
        <v>17</v>
      </c>
      <c r="C895" s="1">
        <v>2</v>
      </c>
      <c r="D895" s="1">
        <v>30</v>
      </c>
      <c r="E895" s="1">
        <v>200</v>
      </c>
      <c r="F895" s="1">
        <v>3</v>
      </c>
      <c r="G895" s="1">
        <v>25</v>
      </c>
      <c r="H895" s="1">
        <v>150</v>
      </c>
      <c r="I895" s="1">
        <v>100</v>
      </c>
      <c r="J895" s="1">
        <v>20.834</v>
      </c>
      <c r="K895" s="1">
        <v>158.33099999999999</v>
      </c>
      <c r="L895" s="1">
        <v>20.83</v>
      </c>
      <c r="M895" s="1">
        <v>88.2</v>
      </c>
      <c r="N895" s="1">
        <v>3.0550000000000001E-2</v>
      </c>
      <c r="O895" s="1">
        <v>2.0570000000000001E-4</v>
      </c>
      <c r="P8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2.3734149166280405</v>
      </c>
      <c r="Q895" s="1">
        <f>LN(Table13[[#This Row],[qe_mg_g]]-Table13[[#This Row],[qt]])</f>
        <v>2.9156379232296437</v>
      </c>
      <c r="R895" s="1">
        <v>3</v>
      </c>
    </row>
    <row r="896" spans="1:18" hidden="1" x14ac:dyDescent="0.3">
      <c r="A896" s="1">
        <v>895</v>
      </c>
      <c r="B896" s="1" t="s">
        <v>17</v>
      </c>
      <c r="C896" s="1">
        <v>2</v>
      </c>
      <c r="D896" s="1">
        <v>30</v>
      </c>
      <c r="E896" s="1">
        <v>200</v>
      </c>
      <c r="F896" s="1">
        <v>7</v>
      </c>
      <c r="G896" s="1">
        <v>25</v>
      </c>
      <c r="H896" s="1">
        <v>150</v>
      </c>
      <c r="I896" s="1">
        <v>100</v>
      </c>
      <c r="J896" s="1">
        <v>29.925999999999998</v>
      </c>
      <c r="K896" s="1">
        <v>140.148</v>
      </c>
      <c r="L896" s="1">
        <v>29.93</v>
      </c>
      <c r="M896" s="1">
        <v>77.5</v>
      </c>
      <c r="N896" s="1">
        <v>3.2149999999999998E-2</v>
      </c>
      <c r="O896" s="1">
        <v>1.7870000000000001E-4</v>
      </c>
      <c r="P8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4.1373567741971851</v>
      </c>
      <c r="Q896" s="1">
        <f>LN(Table13[[#This Row],[qe_mg_g]]-Table13[[#This Row],[qt]])</f>
        <v>3.249934209971292</v>
      </c>
      <c r="R896" s="1">
        <v>1</v>
      </c>
    </row>
    <row r="897" spans="1:18" hidden="1" x14ac:dyDescent="0.3">
      <c r="A897" s="1">
        <v>896</v>
      </c>
      <c r="B897" s="1" t="s">
        <v>17</v>
      </c>
      <c r="C897" s="1">
        <v>2</v>
      </c>
      <c r="D897" s="1">
        <v>30</v>
      </c>
      <c r="E897" s="1">
        <v>200</v>
      </c>
      <c r="F897" s="1">
        <v>7</v>
      </c>
      <c r="G897" s="1">
        <v>25</v>
      </c>
      <c r="H897" s="1">
        <v>150</v>
      </c>
      <c r="I897" s="1">
        <v>100</v>
      </c>
      <c r="J897" s="1">
        <v>39.576999999999998</v>
      </c>
      <c r="K897" s="1">
        <v>120.845</v>
      </c>
      <c r="L897" s="1">
        <v>39.58</v>
      </c>
      <c r="M897" s="1">
        <v>102.8</v>
      </c>
      <c r="N897" s="1">
        <v>4.172E-2</v>
      </c>
      <c r="O897" s="1">
        <v>1.7550000000000001E-4</v>
      </c>
      <c r="P8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6.8246932938181031</v>
      </c>
      <c r="Q897" s="1">
        <f>LN(Table13[[#This Row],[qe_mg_g]]-Table13[[#This Row],[qt]])</f>
        <v>3.4889733933774654</v>
      </c>
      <c r="R897" s="1">
        <v>2</v>
      </c>
    </row>
    <row r="898" spans="1:18" hidden="1" x14ac:dyDescent="0.3">
      <c r="A898" s="1">
        <v>897</v>
      </c>
      <c r="B898" s="1" t="s">
        <v>17</v>
      </c>
      <c r="C898" s="1">
        <v>2</v>
      </c>
      <c r="D898" s="1">
        <v>30</v>
      </c>
      <c r="E898" s="1">
        <v>200</v>
      </c>
      <c r="F898" s="1">
        <v>7</v>
      </c>
      <c r="G898" s="1">
        <v>25</v>
      </c>
      <c r="H898" s="1">
        <v>150</v>
      </c>
      <c r="I898" s="1">
        <v>100</v>
      </c>
      <c r="J898" s="1">
        <v>32.874000000000002</v>
      </c>
      <c r="K898" s="1">
        <v>134.251</v>
      </c>
      <c r="L898" s="1">
        <v>32.869999999999997</v>
      </c>
      <c r="M898" s="1">
        <v>69.099999999999994</v>
      </c>
      <c r="N898" s="1">
        <v>3.2570000000000002E-2</v>
      </c>
      <c r="O898" s="1">
        <v>1.816E-4</v>
      </c>
      <c r="P8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4.9933552270219623</v>
      </c>
      <c r="Q898" s="1">
        <f>LN(Table13[[#This Row],[qe_mg_g]]-Table13[[#This Row],[qt]])</f>
        <v>3.3279327123457811</v>
      </c>
      <c r="R898" s="1">
        <v>3</v>
      </c>
    </row>
    <row r="899" spans="1:18" hidden="1" x14ac:dyDescent="0.3">
      <c r="A899" s="1">
        <v>898</v>
      </c>
      <c r="B899" s="1" t="s">
        <v>17</v>
      </c>
      <c r="C899" s="1">
        <v>2</v>
      </c>
      <c r="D899" s="1">
        <v>30</v>
      </c>
      <c r="E899" s="1">
        <v>200</v>
      </c>
      <c r="F899" s="1">
        <v>11</v>
      </c>
      <c r="G899" s="1">
        <v>25</v>
      </c>
      <c r="H899" s="1">
        <v>150</v>
      </c>
      <c r="I899" s="1">
        <v>100</v>
      </c>
      <c r="J899" s="1">
        <v>28.027999999999999</v>
      </c>
      <c r="K899" s="1">
        <v>143.94399999999999</v>
      </c>
      <c r="L899" s="1">
        <v>28.03</v>
      </c>
      <c r="M899" s="1">
        <v>80.599999999999994</v>
      </c>
      <c r="N899" s="1">
        <v>3.8739999999999997E-2</v>
      </c>
      <c r="O899" s="1">
        <v>2.1210000000000001E-4</v>
      </c>
      <c r="P8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4.2420396429029079</v>
      </c>
      <c r="Q899" s="1">
        <f>LN(Table13[[#This Row],[qe_mg_g]]-Table13[[#This Row],[qt]])</f>
        <v>3.1690955056550938</v>
      </c>
      <c r="R899" s="1">
        <v>1</v>
      </c>
    </row>
    <row r="900" spans="1:18" hidden="1" x14ac:dyDescent="0.3">
      <c r="A900" s="1">
        <v>899</v>
      </c>
      <c r="B900" s="1" t="s">
        <v>17</v>
      </c>
      <c r="C900" s="1">
        <v>2</v>
      </c>
      <c r="D900" s="1">
        <v>30</v>
      </c>
      <c r="E900" s="1">
        <v>200</v>
      </c>
      <c r="F900" s="1">
        <v>11</v>
      </c>
      <c r="G900" s="1">
        <v>25</v>
      </c>
      <c r="H900" s="1">
        <v>150</v>
      </c>
      <c r="I900" s="1">
        <v>100</v>
      </c>
      <c r="J900" s="1">
        <v>30.681000000000001</v>
      </c>
      <c r="K900" s="1">
        <v>138.637</v>
      </c>
      <c r="L900" s="1">
        <v>30.68</v>
      </c>
      <c r="M900" s="1">
        <v>66.7</v>
      </c>
      <c r="N900" s="1">
        <v>3.9410000000000001E-2</v>
      </c>
      <c r="O900" s="1">
        <v>2.229E-4</v>
      </c>
      <c r="P9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5.2230507955214156</v>
      </c>
      <c r="Q900" s="1">
        <f>LN(Table13[[#This Row],[qe_mg_g]]-Table13[[#This Row],[qt]])</f>
        <v>3.2370280401786973</v>
      </c>
      <c r="R900" s="1">
        <v>2</v>
      </c>
    </row>
    <row r="901" spans="1:18" hidden="1" x14ac:dyDescent="0.3">
      <c r="A901" s="1">
        <v>900</v>
      </c>
      <c r="B901" s="1" t="s">
        <v>17</v>
      </c>
      <c r="C901" s="1">
        <v>2</v>
      </c>
      <c r="D901" s="1">
        <v>30</v>
      </c>
      <c r="E901" s="1">
        <v>200</v>
      </c>
      <c r="F901" s="1">
        <v>11</v>
      </c>
      <c r="G901" s="1">
        <v>25</v>
      </c>
      <c r="H901" s="1">
        <v>150</v>
      </c>
      <c r="I901" s="1">
        <v>100</v>
      </c>
      <c r="J901" s="1">
        <v>22.51</v>
      </c>
      <c r="K901" s="1">
        <v>154.98099999999999</v>
      </c>
      <c r="L901" s="1">
        <v>22.51</v>
      </c>
      <c r="M901" s="1">
        <v>98.7</v>
      </c>
      <c r="N901" s="1">
        <v>3.6179999999999997E-2</v>
      </c>
      <c r="O901" s="1">
        <v>1.9550000000000001E-4</v>
      </c>
      <c r="P9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2.625212511709698</v>
      </c>
      <c r="Q901" s="1">
        <f>LN(Table13[[#This Row],[qe_mg_g]]-Table13[[#This Row],[qt]])</f>
        <v>2.9899549915666057</v>
      </c>
      <c r="R901" s="1">
        <v>3</v>
      </c>
    </row>
    <row r="902" spans="1:18" hidden="1" x14ac:dyDescent="0.3">
      <c r="A902" s="1">
        <v>901</v>
      </c>
      <c r="B902" s="1" t="s">
        <v>17</v>
      </c>
      <c r="C902" s="1">
        <v>2</v>
      </c>
      <c r="D902" s="1">
        <v>60</v>
      </c>
      <c r="E902" s="1">
        <v>25</v>
      </c>
      <c r="F902" s="1">
        <v>3</v>
      </c>
      <c r="G902" s="1">
        <v>25</v>
      </c>
      <c r="H902" s="1">
        <v>150</v>
      </c>
      <c r="I902" s="1">
        <v>100</v>
      </c>
      <c r="J902" s="1">
        <v>0.78600000000000003</v>
      </c>
      <c r="K902" s="1">
        <v>23.428999999999998</v>
      </c>
      <c r="L902" s="1">
        <v>6.29</v>
      </c>
      <c r="M902" s="1">
        <v>76.5</v>
      </c>
      <c r="N902" s="1">
        <v>4.2169999999999999E-2</v>
      </c>
      <c r="O902" s="1">
        <v>2.0000000000000001E-4</v>
      </c>
      <c r="P9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7.3442807440223801E-3</v>
      </c>
      <c r="Q902" s="1">
        <f>LN(Table13[[#This Row],[qe_mg_g]]-Table13[[#This Row],[qt]])</f>
        <v>-0.25018628297564643</v>
      </c>
      <c r="R902" s="1">
        <v>1</v>
      </c>
    </row>
    <row r="903" spans="1:18" hidden="1" x14ac:dyDescent="0.3">
      <c r="A903" s="1">
        <v>902</v>
      </c>
      <c r="B903" s="1" t="s">
        <v>17</v>
      </c>
      <c r="C903" s="1">
        <v>2</v>
      </c>
      <c r="D903" s="1">
        <v>60</v>
      </c>
      <c r="E903" s="1">
        <v>25</v>
      </c>
      <c r="F903" s="1">
        <v>3</v>
      </c>
      <c r="G903" s="1">
        <v>25</v>
      </c>
      <c r="H903" s="1">
        <v>150</v>
      </c>
      <c r="I903" s="1">
        <v>100</v>
      </c>
      <c r="J903" s="1">
        <v>0.92300000000000004</v>
      </c>
      <c r="K903" s="1">
        <v>23.154</v>
      </c>
      <c r="L903" s="1">
        <v>7.39</v>
      </c>
      <c r="M903" s="1">
        <v>75.5</v>
      </c>
      <c r="N903" s="1">
        <v>3.227E-2</v>
      </c>
      <c r="O903" s="1">
        <v>2.2159999999999999E-4</v>
      </c>
      <c r="P9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1.1189922922392433E-2</v>
      </c>
      <c r="Q903" s="1">
        <f>LN(Table13[[#This Row],[qe_mg_g]]-Table13[[#This Row],[qt]])</f>
        <v>-9.2323559413014414E-2</v>
      </c>
      <c r="R903" s="1">
        <v>2</v>
      </c>
    </row>
    <row r="904" spans="1:18" hidden="1" x14ac:dyDescent="0.3">
      <c r="A904" s="1">
        <v>903</v>
      </c>
      <c r="B904" s="1" t="s">
        <v>17</v>
      </c>
      <c r="C904" s="1">
        <v>2</v>
      </c>
      <c r="D904" s="1">
        <v>60</v>
      </c>
      <c r="E904" s="1">
        <v>25</v>
      </c>
      <c r="F904" s="1">
        <v>3</v>
      </c>
      <c r="G904" s="1">
        <v>25</v>
      </c>
      <c r="H904" s="1">
        <v>150</v>
      </c>
      <c r="I904" s="1">
        <v>100</v>
      </c>
      <c r="J904" s="1">
        <v>0.74099999999999999</v>
      </c>
      <c r="K904" s="1">
        <v>23.518999999999998</v>
      </c>
      <c r="L904" s="1">
        <v>5.93</v>
      </c>
      <c r="M904" s="1">
        <v>80.400000000000006</v>
      </c>
      <c r="N904" s="1">
        <v>3.5119999999999998E-2</v>
      </c>
      <c r="O904" s="1">
        <v>2.0220000000000001E-4</v>
      </c>
      <c r="P9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6.6020990626216554E-3</v>
      </c>
      <c r="Q904" s="1">
        <f>LN(Table13[[#This Row],[qe_mg_g]]-Table13[[#This Row],[qt]])</f>
        <v>-0.30870429788067855</v>
      </c>
      <c r="R904" s="1">
        <v>3</v>
      </c>
    </row>
    <row r="905" spans="1:18" hidden="1" x14ac:dyDescent="0.3">
      <c r="A905" s="1">
        <v>904</v>
      </c>
      <c r="B905" s="1" t="s">
        <v>17</v>
      </c>
      <c r="C905" s="1">
        <v>2</v>
      </c>
      <c r="D905" s="1">
        <v>60</v>
      </c>
      <c r="E905" s="1">
        <v>25</v>
      </c>
      <c r="F905" s="1">
        <v>7</v>
      </c>
      <c r="G905" s="1">
        <v>25</v>
      </c>
      <c r="H905" s="1">
        <v>150</v>
      </c>
      <c r="I905" s="1">
        <v>100</v>
      </c>
      <c r="J905" s="1">
        <v>1.4470000000000001</v>
      </c>
      <c r="K905" s="1">
        <v>22.105</v>
      </c>
      <c r="L905" s="1">
        <v>11.58</v>
      </c>
      <c r="M905" s="1">
        <v>90.8</v>
      </c>
      <c r="N905" s="1">
        <v>3.7420000000000002E-2</v>
      </c>
      <c r="O905" s="1">
        <v>2.1469999999999999E-4</v>
      </c>
      <c r="P9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2.6478874590008108E-2</v>
      </c>
      <c r="Q905" s="1">
        <f>LN(Table13[[#This Row],[qe_mg_g]]-Table13[[#This Row],[qt]])</f>
        <v>0.35102379401425754</v>
      </c>
      <c r="R905" s="1">
        <v>1</v>
      </c>
    </row>
    <row r="906" spans="1:18" hidden="1" x14ac:dyDescent="0.3">
      <c r="A906" s="1">
        <v>905</v>
      </c>
      <c r="B906" s="1" t="s">
        <v>17</v>
      </c>
      <c r="C906" s="1">
        <v>2</v>
      </c>
      <c r="D906" s="1">
        <v>60</v>
      </c>
      <c r="E906" s="1">
        <v>25</v>
      </c>
      <c r="F906" s="1">
        <v>7</v>
      </c>
      <c r="G906" s="1">
        <v>25</v>
      </c>
      <c r="H906" s="1">
        <v>150</v>
      </c>
      <c r="I906" s="1">
        <v>100</v>
      </c>
      <c r="J906" s="1">
        <v>1.329</v>
      </c>
      <c r="K906" s="1">
        <v>22.343</v>
      </c>
      <c r="L906" s="1">
        <v>10.63</v>
      </c>
      <c r="M906" s="1">
        <v>82.1</v>
      </c>
      <c r="N906" s="1">
        <v>3.918E-2</v>
      </c>
      <c r="O906" s="1">
        <v>2.1790000000000001E-4</v>
      </c>
      <c r="P9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2.2697458636863805E-2</v>
      </c>
      <c r="Q906" s="1">
        <f>LN(Table13[[#This Row],[qe_mg_g]]-Table13[[#This Row],[qt]])</f>
        <v>0.26720065897517736</v>
      </c>
      <c r="R906" s="1">
        <v>2</v>
      </c>
    </row>
    <row r="907" spans="1:18" hidden="1" x14ac:dyDescent="0.3">
      <c r="A907" s="1">
        <v>906</v>
      </c>
      <c r="B907" s="1" t="s">
        <v>17</v>
      </c>
      <c r="C907" s="1">
        <v>2</v>
      </c>
      <c r="D907" s="1">
        <v>60</v>
      </c>
      <c r="E907" s="1">
        <v>25</v>
      </c>
      <c r="F907" s="1">
        <v>7</v>
      </c>
      <c r="G907" s="1">
        <v>25</v>
      </c>
      <c r="H907" s="1">
        <v>150</v>
      </c>
      <c r="I907" s="1">
        <v>100</v>
      </c>
      <c r="J907" s="1">
        <v>1.272</v>
      </c>
      <c r="K907" s="1">
        <v>22.457000000000001</v>
      </c>
      <c r="L907" s="1">
        <v>10.17</v>
      </c>
      <c r="M907" s="1">
        <v>90.2</v>
      </c>
      <c r="N907" s="1">
        <v>2.8080000000000001E-2</v>
      </c>
      <c r="O907" s="1">
        <v>2.009E-4</v>
      </c>
      <c r="P9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1.9208658764268999E-2</v>
      </c>
      <c r="Q907" s="1">
        <f>LN(Table13[[#This Row],[qe_mg_g]]-Table13[[#This Row],[qt]])</f>
        <v>0.22537413470092796</v>
      </c>
      <c r="R907" s="1">
        <v>3</v>
      </c>
    </row>
    <row r="908" spans="1:18" hidden="1" x14ac:dyDescent="0.3">
      <c r="A908" s="1">
        <v>907</v>
      </c>
      <c r="B908" s="1" t="s">
        <v>17</v>
      </c>
      <c r="C908" s="1">
        <v>2</v>
      </c>
      <c r="D908" s="1">
        <v>60</v>
      </c>
      <c r="E908" s="1">
        <v>25</v>
      </c>
      <c r="F908" s="1">
        <v>11</v>
      </c>
      <c r="G908" s="1">
        <v>25</v>
      </c>
      <c r="H908" s="1">
        <v>150</v>
      </c>
      <c r="I908" s="1">
        <v>100</v>
      </c>
      <c r="J908" s="1">
        <v>1.292</v>
      </c>
      <c r="K908" s="1">
        <v>22.417000000000002</v>
      </c>
      <c r="L908" s="1">
        <v>10.33</v>
      </c>
      <c r="M908" s="1">
        <v>73.5</v>
      </c>
      <c r="N908" s="1">
        <v>3.2079999999999997E-2</v>
      </c>
      <c r="O908" s="1">
        <v>2.153E-4</v>
      </c>
      <c r="P9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2.1209563548637678E-2</v>
      </c>
      <c r="Q908" s="1">
        <f>LN(Table13[[#This Row],[qe_mg_g]]-Table13[[#This Row],[qt]])</f>
        <v>0.239639097772192</v>
      </c>
      <c r="R908" s="1">
        <v>1</v>
      </c>
    </row>
    <row r="909" spans="1:18" hidden="1" x14ac:dyDescent="0.3">
      <c r="A909" s="1">
        <v>908</v>
      </c>
      <c r="B909" s="1" t="s">
        <v>17</v>
      </c>
      <c r="C909" s="1">
        <v>2</v>
      </c>
      <c r="D909" s="1">
        <v>60</v>
      </c>
      <c r="E909" s="1">
        <v>25</v>
      </c>
      <c r="F909" s="1">
        <v>11</v>
      </c>
      <c r="G909" s="1">
        <v>25</v>
      </c>
      <c r="H909" s="1">
        <v>150</v>
      </c>
      <c r="I909" s="1">
        <v>100</v>
      </c>
      <c r="J909" s="1">
        <v>0.91800000000000004</v>
      </c>
      <c r="K909" s="1">
        <v>23.164000000000001</v>
      </c>
      <c r="L909" s="1">
        <v>7.34</v>
      </c>
      <c r="M909" s="1">
        <v>77.599999999999994</v>
      </c>
      <c r="N909" s="1">
        <v>3.7089999999999998E-2</v>
      </c>
      <c r="O909" s="1">
        <v>1.873E-4</v>
      </c>
      <c r="P9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9.3738273718990423E-3</v>
      </c>
      <c r="Q909" s="1">
        <f>LN(Table13[[#This Row],[qe_mg_g]]-Table13[[#This Row],[qt]])</f>
        <v>-9.5821520625851184E-2</v>
      </c>
      <c r="R909" s="1">
        <v>2</v>
      </c>
    </row>
    <row r="910" spans="1:18" hidden="1" x14ac:dyDescent="0.3">
      <c r="A910" s="1">
        <v>909</v>
      </c>
      <c r="B910" s="1" t="s">
        <v>17</v>
      </c>
      <c r="C910" s="1">
        <v>2</v>
      </c>
      <c r="D910" s="1">
        <v>60</v>
      </c>
      <c r="E910" s="1">
        <v>25</v>
      </c>
      <c r="F910" s="1">
        <v>11</v>
      </c>
      <c r="G910" s="1">
        <v>25</v>
      </c>
      <c r="H910" s="1">
        <v>150</v>
      </c>
      <c r="I910" s="1">
        <v>100</v>
      </c>
      <c r="J910" s="1">
        <v>1.06</v>
      </c>
      <c r="K910" s="1">
        <v>22.88</v>
      </c>
      <c r="L910" s="1">
        <v>8.48</v>
      </c>
      <c r="M910" s="1">
        <v>95.3</v>
      </c>
      <c r="N910" s="1">
        <v>3.6479999999999999E-2</v>
      </c>
      <c r="O910" s="1">
        <v>2.053E-4</v>
      </c>
      <c r="P9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1.3662117439621469E-2</v>
      </c>
      <c r="Q910" s="1">
        <f>LN(Table13[[#This Row],[qe_mg_g]]-Table13[[#This Row],[qt]])</f>
        <v>4.5296336962164729E-2</v>
      </c>
      <c r="R910" s="1">
        <v>3</v>
      </c>
    </row>
    <row r="911" spans="1:18" hidden="1" x14ac:dyDescent="0.3">
      <c r="A911" s="1">
        <v>910</v>
      </c>
      <c r="B911" s="1" t="s">
        <v>17</v>
      </c>
      <c r="C911" s="1">
        <v>2</v>
      </c>
      <c r="D911" s="1">
        <v>60</v>
      </c>
      <c r="E911" s="1">
        <v>50</v>
      </c>
      <c r="F911" s="1">
        <v>3</v>
      </c>
      <c r="G911" s="1">
        <v>25</v>
      </c>
      <c r="H911" s="1">
        <v>150</v>
      </c>
      <c r="I911" s="1">
        <v>100</v>
      </c>
      <c r="J911" s="1">
        <v>3</v>
      </c>
      <c r="K911" s="1">
        <v>44</v>
      </c>
      <c r="L911" s="1">
        <v>12</v>
      </c>
      <c r="M911" s="1">
        <v>90.5</v>
      </c>
      <c r="N911" s="1">
        <v>3.4569999999999997E-2</v>
      </c>
      <c r="O911" s="1">
        <v>2.0919999999999999E-4</v>
      </c>
      <c r="P9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0.10886844965961744</v>
      </c>
      <c r="Q911" s="1">
        <f>LN(Table13[[#This Row],[qe_mg_g]]-Table13[[#This Row],[qt]])</f>
        <v>1.0616479654027595</v>
      </c>
      <c r="R911" s="1">
        <v>1</v>
      </c>
    </row>
    <row r="912" spans="1:18" hidden="1" x14ac:dyDescent="0.3">
      <c r="A912" s="1">
        <v>911</v>
      </c>
      <c r="B912" s="1" t="s">
        <v>17</v>
      </c>
      <c r="C912" s="1">
        <v>2</v>
      </c>
      <c r="D912" s="1">
        <v>60</v>
      </c>
      <c r="E912" s="1">
        <v>50</v>
      </c>
      <c r="F912" s="1">
        <v>3</v>
      </c>
      <c r="G912" s="1">
        <v>25</v>
      </c>
      <c r="H912" s="1">
        <v>150</v>
      </c>
      <c r="I912" s="1">
        <v>100</v>
      </c>
      <c r="J912" s="1">
        <v>2.9510000000000001</v>
      </c>
      <c r="K912" s="1">
        <v>44.097999999999999</v>
      </c>
      <c r="L912" s="1">
        <v>11.8</v>
      </c>
      <c r="M912" s="1">
        <v>83.4</v>
      </c>
      <c r="N912" s="1">
        <v>3.1539999999999999E-2</v>
      </c>
      <c r="O912" s="1">
        <v>1.9929999999999999E-4</v>
      </c>
      <c r="P9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0.10058558905737906</v>
      </c>
      <c r="Q912" s="1">
        <f>LN(Table13[[#This Row],[qe_mg_g]]-Table13[[#This Row],[qt]])</f>
        <v>1.0474643910582235</v>
      </c>
      <c r="R912" s="1">
        <v>2</v>
      </c>
    </row>
    <row r="913" spans="1:18" hidden="1" x14ac:dyDescent="0.3">
      <c r="A913" s="1">
        <v>912</v>
      </c>
      <c r="B913" s="1" t="s">
        <v>17</v>
      </c>
      <c r="C913" s="1">
        <v>2</v>
      </c>
      <c r="D913" s="1">
        <v>60</v>
      </c>
      <c r="E913" s="1">
        <v>50</v>
      </c>
      <c r="F913" s="1">
        <v>3</v>
      </c>
      <c r="G913" s="1">
        <v>25</v>
      </c>
      <c r="H913" s="1">
        <v>150</v>
      </c>
      <c r="I913" s="1">
        <v>100</v>
      </c>
      <c r="J913" s="1">
        <v>2.8530000000000002</v>
      </c>
      <c r="K913" s="1">
        <v>44.292999999999999</v>
      </c>
      <c r="L913" s="1">
        <v>11.41</v>
      </c>
      <c r="M913" s="1">
        <v>71.400000000000006</v>
      </c>
      <c r="N913" s="1">
        <v>3.5909999999999997E-2</v>
      </c>
      <c r="O913" s="1">
        <v>2.0430000000000001E-4</v>
      </c>
      <c r="P9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9.6403883378596386E-2</v>
      </c>
      <c r="Q913" s="1">
        <f>LN(Table13[[#This Row],[qe_mg_g]]-Table13[[#This Row],[qt]])</f>
        <v>1.0139966275205536</v>
      </c>
      <c r="R913" s="1">
        <v>3</v>
      </c>
    </row>
    <row r="914" spans="1:18" hidden="1" x14ac:dyDescent="0.3">
      <c r="A914" s="1">
        <v>913</v>
      </c>
      <c r="B914" s="1" t="s">
        <v>17</v>
      </c>
      <c r="C914" s="1">
        <v>2</v>
      </c>
      <c r="D914" s="1">
        <v>60</v>
      </c>
      <c r="E914" s="1">
        <v>50</v>
      </c>
      <c r="F914" s="1">
        <v>7</v>
      </c>
      <c r="G914" s="1">
        <v>25</v>
      </c>
      <c r="H914" s="1">
        <v>150</v>
      </c>
      <c r="I914" s="1">
        <v>100</v>
      </c>
      <c r="J914" s="1">
        <v>5.617</v>
      </c>
      <c r="K914" s="1">
        <v>38.765000000000001</v>
      </c>
      <c r="L914" s="1">
        <v>22.47</v>
      </c>
      <c r="M914" s="1">
        <v>80.2</v>
      </c>
      <c r="N914" s="1">
        <v>3.6429999999999997E-2</v>
      </c>
      <c r="O914" s="1">
        <v>2.1100000000000001E-4</v>
      </c>
      <c r="P9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0.37291339618307801</v>
      </c>
      <c r="Q914" s="1">
        <f>LN(Table13[[#This Row],[qe_mg_g]]-Table13[[#This Row],[qt]])</f>
        <v>1.6571010806043149</v>
      </c>
      <c r="R914" s="1">
        <v>1</v>
      </c>
    </row>
    <row r="915" spans="1:18" hidden="1" x14ac:dyDescent="0.3">
      <c r="A915" s="1">
        <v>914</v>
      </c>
      <c r="B915" s="1" t="s">
        <v>17</v>
      </c>
      <c r="C915" s="1">
        <v>2</v>
      </c>
      <c r="D915" s="1">
        <v>60</v>
      </c>
      <c r="E915" s="1">
        <v>50</v>
      </c>
      <c r="F915" s="1">
        <v>7</v>
      </c>
      <c r="G915" s="1">
        <v>25</v>
      </c>
      <c r="H915" s="1">
        <v>150</v>
      </c>
      <c r="I915" s="1">
        <v>100</v>
      </c>
      <c r="J915" s="1">
        <v>5.4409999999999998</v>
      </c>
      <c r="K915" s="1">
        <v>39.116999999999997</v>
      </c>
      <c r="L915" s="1">
        <v>21.77</v>
      </c>
      <c r="M915" s="1">
        <v>75.099999999999994</v>
      </c>
      <c r="N915" s="1">
        <v>3.5520000000000003E-2</v>
      </c>
      <c r="O915" s="1">
        <v>2.073E-4</v>
      </c>
      <c r="P9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0.34488068015721313</v>
      </c>
      <c r="Q915" s="1">
        <f>LN(Table13[[#This Row],[qe_mg_g]]-Table13[[#This Row],[qt]])</f>
        <v>1.628479332407599</v>
      </c>
      <c r="R915" s="1">
        <v>2</v>
      </c>
    </row>
    <row r="916" spans="1:18" hidden="1" x14ac:dyDescent="0.3">
      <c r="A916" s="1">
        <v>915</v>
      </c>
      <c r="B916" s="1" t="s">
        <v>17</v>
      </c>
      <c r="C916" s="1">
        <v>2</v>
      </c>
      <c r="D916" s="1">
        <v>60</v>
      </c>
      <c r="E916" s="1">
        <v>50</v>
      </c>
      <c r="F916" s="1">
        <v>7</v>
      </c>
      <c r="G916" s="1">
        <v>25</v>
      </c>
      <c r="H916" s="1">
        <v>150</v>
      </c>
      <c r="I916" s="1">
        <v>100</v>
      </c>
      <c r="J916" s="1">
        <v>5.2130000000000001</v>
      </c>
      <c r="K916" s="1">
        <v>39.573</v>
      </c>
      <c r="L916" s="1">
        <v>20.85</v>
      </c>
      <c r="M916" s="1">
        <v>58.9</v>
      </c>
      <c r="N916" s="1">
        <v>3.5560000000000001E-2</v>
      </c>
      <c r="O916" s="1">
        <v>2.4429999999999998E-4</v>
      </c>
      <c r="P9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0.37005951421280586</v>
      </c>
      <c r="Q916" s="1">
        <f>LN(Table13[[#This Row],[qe_mg_g]]-Table13[[#This Row],[qt]])</f>
        <v>1.5775220746375931</v>
      </c>
      <c r="R916" s="1">
        <v>3</v>
      </c>
    </row>
    <row r="917" spans="1:18" hidden="1" x14ac:dyDescent="0.3">
      <c r="A917" s="1">
        <v>916</v>
      </c>
      <c r="B917" s="1" t="s">
        <v>17</v>
      </c>
      <c r="C917" s="1">
        <v>2</v>
      </c>
      <c r="D917" s="1">
        <v>60</v>
      </c>
      <c r="E917" s="1">
        <v>50</v>
      </c>
      <c r="F917" s="1">
        <v>11</v>
      </c>
      <c r="G917" s="1">
        <v>25</v>
      </c>
      <c r="H917" s="1">
        <v>150</v>
      </c>
      <c r="I917" s="1">
        <v>100</v>
      </c>
      <c r="J917" s="1">
        <v>3.7549999999999999</v>
      </c>
      <c r="K917" s="1">
        <v>42.488999999999997</v>
      </c>
      <c r="L917" s="1">
        <v>15.02</v>
      </c>
      <c r="M917" s="1">
        <v>76.400000000000006</v>
      </c>
      <c r="N917" s="1">
        <v>3.6310000000000002E-2</v>
      </c>
      <c r="O917" s="1">
        <v>2.062E-4</v>
      </c>
      <c r="P9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0.16670109965163779</v>
      </c>
      <c r="Q917" s="1">
        <f>LN(Table13[[#This Row],[qe_mg_g]]-Table13[[#This Row],[qt]])</f>
        <v>1.2776782462865783</v>
      </c>
      <c r="R917" s="1">
        <v>1</v>
      </c>
    </row>
    <row r="918" spans="1:18" hidden="1" x14ac:dyDescent="0.3">
      <c r="A918" s="1">
        <v>917</v>
      </c>
      <c r="B918" s="1" t="s">
        <v>17</v>
      </c>
      <c r="C918" s="1">
        <v>2</v>
      </c>
      <c r="D918" s="1">
        <v>60</v>
      </c>
      <c r="E918" s="1">
        <v>50</v>
      </c>
      <c r="F918" s="1">
        <v>11</v>
      </c>
      <c r="G918" s="1">
        <v>25</v>
      </c>
      <c r="H918" s="1">
        <v>150</v>
      </c>
      <c r="I918" s="1">
        <v>100</v>
      </c>
      <c r="J918" s="1">
        <v>4.3600000000000003</v>
      </c>
      <c r="K918" s="1">
        <v>41.28</v>
      </c>
      <c r="L918" s="1">
        <v>17.440000000000001</v>
      </c>
      <c r="M918" s="1">
        <v>69.5</v>
      </c>
      <c r="N918" s="1">
        <v>3.7560000000000003E-2</v>
      </c>
      <c r="O918" s="1">
        <v>2.118E-4</v>
      </c>
      <c r="P9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0.22889181544846479</v>
      </c>
      <c r="Q918" s="1">
        <f>LN(Table13[[#This Row],[qe_mg_g]]-Table13[[#This Row],[qt]])</f>
        <v>1.41854569653735</v>
      </c>
      <c r="R918" s="1">
        <v>2</v>
      </c>
    </row>
    <row r="919" spans="1:18" hidden="1" x14ac:dyDescent="0.3">
      <c r="A919" s="1">
        <v>918</v>
      </c>
      <c r="B919" s="1" t="s">
        <v>17</v>
      </c>
      <c r="C919" s="1">
        <v>2</v>
      </c>
      <c r="D919" s="1">
        <v>60</v>
      </c>
      <c r="E919" s="1">
        <v>50</v>
      </c>
      <c r="F919" s="1">
        <v>11</v>
      </c>
      <c r="G919" s="1">
        <v>25</v>
      </c>
      <c r="H919" s="1">
        <v>150</v>
      </c>
      <c r="I919" s="1">
        <v>100</v>
      </c>
      <c r="J919" s="1">
        <v>3.84</v>
      </c>
      <c r="K919" s="1">
        <v>42.32</v>
      </c>
      <c r="L919" s="1">
        <v>15.36</v>
      </c>
      <c r="M919" s="1">
        <v>90.1</v>
      </c>
      <c r="N919" s="1">
        <v>3.8600000000000002E-2</v>
      </c>
      <c r="O919" s="1">
        <v>2.174E-4</v>
      </c>
      <c r="P9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0.18316696368277216</v>
      </c>
      <c r="Q919" s="1">
        <f>LN(Table13[[#This Row],[qe_mg_g]]-Table13[[#This Row],[qt]])</f>
        <v>1.296597482209539</v>
      </c>
      <c r="R919" s="1">
        <v>3</v>
      </c>
    </row>
    <row r="920" spans="1:18" hidden="1" x14ac:dyDescent="0.3">
      <c r="A920" s="1">
        <v>919</v>
      </c>
      <c r="B920" s="1" t="s">
        <v>17</v>
      </c>
      <c r="C920" s="1">
        <v>2</v>
      </c>
      <c r="D920" s="1">
        <v>60</v>
      </c>
      <c r="E920" s="1">
        <v>100</v>
      </c>
      <c r="F920" s="1">
        <v>3</v>
      </c>
      <c r="G920" s="1">
        <v>25</v>
      </c>
      <c r="H920" s="1">
        <v>150</v>
      </c>
      <c r="I920" s="1">
        <v>100</v>
      </c>
      <c r="J920" s="1">
        <v>9.2420000000000009</v>
      </c>
      <c r="K920" s="1">
        <v>81.515000000000001</v>
      </c>
      <c r="L920" s="1">
        <v>18.48</v>
      </c>
      <c r="M920" s="1">
        <v>96.3</v>
      </c>
      <c r="N920" s="1">
        <v>3.4770000000000002E-2</v>
      </c>
      <c r="O920" s="1">
        <v>2.0149999999999999E-4</v>
      </c>
      <c r="P9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0.92887365625670537</v>
      </c>
      <c r="Q920" s="1">
        <f>LN(Table13[[#This Row],[qe_mg_g]]-Table13[[#This Row],[qt]])</f>
        <v>2.1178357527665859</v>
      </c>
      <c r="R920" s="1">
        <v>1</v>
      </c>
    </row>
    <row r="921" spans="1:18" hidden="1" x14ac:dyDescent="0.3">
      <c r="A921" s="1">
        <v>920</v>
      </c>
      <c r="B921" s="1" t="s">
        <v>17</v>
      </c>
      <c r="C921" s="1">
        <v>2</v>
      </c>
      <c r="D921" s="1">
        <v>60</v>
      </c>
      <c r="E921" s="1">
        <v>100</v>
      </c>
      <c r="F921" s="1">
        <v>3</v>
      </c>
      <c r="G921" s="1">
        <v>25</v>
      </c>
      <c r="H921" s="1">
        <v>150</v>
      </c>
      <c r="I921" s="1">
        <v>100</v>
      </c>
      <c r="J921" s="1">
        <v>10.512</v>
      </c>
      <c r="K921" s="1">
        <v>78.977000000000004</v>
      </c>
      <c r="L921" s="1">
        <v>21.02</v>
      </c>
      <c r="M921" s="1">
        <v>83.8</v>
      </c>
      <c r="N921" s="1">
        <v>3.9170000000000003E-2</v>
      </c>
      <c r="O921" s="1">
        <v>1.983E-4</v>
      </c>
      <c r="P9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1.1685961174729533</v>
      </c>
      <c r="Q921" s="1">
        <f>LN(Table13[[#This Row],[qe_mg_g]]-Table13[[#This Row],[qt]])</f>
        <v>2.2346706272321724</v>
      </c>
      <c r="R921" s="1">
        <v>2</v>
      </c>
    </row>
    <row r="922" spans="1:18" hidden="1" x14ac:dyDescent="0.3">
      <c r="A922" s="1">
        <v>921</v>
      </c>
      <c r="B922" s="1" t="s">
        <v>17</v>
      </c>
      <c r="C922" s="1">
        <v>2</v>
      </c>
      <c r="D922" s="1">
        <v>60</v>
      </c>
      <c r="E922" s="1">
        <v>100</v>
      </c>
      <c r="F922" s="1">
        <v>3</v>
      </c>
      <c r="G922" s="1">
        <v>25</v>
      </c>
      <c r="H922" s="1">
        <v>150</v>
      </c>
      <c r="I922" s="1">
        <v>100</v>
      </c>
      <c r="J922" s="1">
        <v>9.2669999999999995</v>
      </c>
      <c r="K922" s="1">
        <v>81.465999999999994</v>
      </c>
      <c r="L922" s="1">
        <v>18.53</v>
      </c>
      <c r="M922" s="1">
        <v>80.7</v>
      </c>
      <c r="N922" s="1">
        <v>3.5630000000000002E-2</v>
      </c>
      <c r="O922" s="1">
        <v>2.2460000000000001E-4</v>
      </c>
      <c r="P9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1.0288032450640168</v>
      </c>
      <c r="Q922" s="1">
        <f>LN(Table13[[#This Row],[qe_mg_g]]-Table13[[#This Row],[qt]])</f>
        <v>2.1087814795519311</v>
      </c>
      <c r="R922" s="1">
        <v>3</v>
      </c>
    </row>
    <row r="923" spans="1:18" hidden="1" x14ac:dyDescent="0.3">
      <c r="A923" s="1">
        <v>922</v>
      </c>
      <c r="B923" s="1" t="s">
        <v>17</v>
      </c>
      <c r="C923" s="1">
        <v>2</v>
      </c>
      <c r="D923" s="1">
        <v>60</v>
      </c>
      <c r="E923" s="1">
        <v>100</v>
      </c>
      <c r="F923" s="1">
        <v>7</v>
      </c>
      <c r="G923" s="1">
        <v>25</v>
      </c>
      <c r="H923" s="1">
        <v>150</v>
      </c>
      <c r="I923" s="1">
        <v>100</v>
      </c>
      <c r="J923" s="1">
        <v>17.869</v>
      </c>
      <c r="K923" s="1">
        <v>64.262</v>
      </c>
      <c r="L923" s="1">
        <v>35.74</v>
      </c>
      <c r="M923" s="1">
        <v>74.8</v>
      </c>
      <c r="N923" s="1">
        <v>4.3700000000000003E-2</v>
      </c>
      <c r="O923" s="1">
        <v>2.053E-4</v>
      </c>
      <c r="P9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3.2236032806268931</v>
      </c>
      <c r="Q923" s="1">
        <f>LN(Table13[[#This Row],[qe_mg_g]]-Table13[[#This Row],[qt]])</f>
        <v>2.6841260689788995</v>
      </c>
      <c r="R923" s="1">
        <v>1</v>
      </c>
    </row>
    <row r="924" spans="1:18" hidden="1" x14ac:dyDescent="0.3">
      <c r="A924" s="1">
        <v>923</v>
      </c>
      <c r="B924" s="1" t="s">
        <v>17</v>
      </c>
      <c r="C924" s="1">
        <v>2</v>
      </c>
      <c r="D924" s="1">
        <v>60</v>
      </c>
      <c r="E924" s="1">
        <v>100</v>
      </c>
      <c r="F924" s="1">
        <v>7</v>
      </c>
      <c r="G924" s="1">
        <v>25</v>
      </c>
      <c r="H924" s="1">
        <v>150</v>
      </c>
      <c r="I924" s="1">
        <v>100</v>
      </c>
      <c r="J924" s="1">
        <v>19.001999999999999</v>
      </c>
      <c r="K924" s="1">
        <v>61.996000000000002</v>
      </c>
      <c r="L924" s="1">
        <v>38</v>
      </c>
      <c r="M924" s="1">
        <v>83.8</v>
      </c>
      <c r="N924" s="1">
        <v>3.687E-2</v>
      </c>
      <c r="O924" s="1">
        <v>2.1680000000000001E-4</v>
      </c>
      <c r="P9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3.7660034091171792</v>
      </c>
      <c r="Q924" s="1">
        <f>LN(Table13[[#This Row],[qe_mg_g]]-Table13[[#This Row],[qt]])</f>
        <v>2.7236608248622516</v>
      </c>
      <c r="R924" s="1">
        <v>2</v>
      </c>
    </row>
    <row r="925" spans="1:18" hidden="1" x14ac:dyDescent="0.3">
      <c r="A925" s="1">
        <v>924</v>
      </c>
      <c r="B925" s="1" t="s">
        <v>17</v>
      </c>
      <c r="C925" s="1">
        <v>2</v>
      </c>
      <c r="D925" s="1">
        <v>60</v>
      </c>
      <c r="E925" s="1">
        <v>100</v>
      </c>
      <c r="F925" s="1">
        <v>7</v>
      </c>
      <c r="G925" s="1">
        <v>25</v>
      </c>
      <c r="H925" s="1">
        <v>150</v>
      </c>
      <c r="I925" s="1">
        <v>100</v>
      </c>
      <c r="J925" s="1">
        <v>18.905000000000001</v>
      </c>
      <c r="K925" s="1">
        <v>62.189</v>
      </c>
      <c r="L925" s="1">
        <v>37.81</v>
      </c>
      <c r="M925" s="1">
        <v>99.3</v>
      </c>
      <c r="N925" s="1">
        <v>3.805E-2</v>
      </c>
      <c r="O925" s="1">
        <v>1.9369999999999999E-4</v>
      </c>
      <c r="P9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3.4054637193979369</v>
      </c>
      <c r="Q925" s="1">
        <f>LN(Table13[[#This Row],[qe_mg_g]]-Table13[[#This Row],[qt]])</f>
        <v>2.7408101060971553</v>
      </c>
      <c r="R925" s="1">
        <v>3</v>
      </c>
    </row>
    <row r="926" spans="1:18" hidden="1" x14ac:dyDescent="0.3">
      <c r="A926" s="1">
        <v>925</v>
      </c>
      <c r="B926" s="1" t="s">
        <v>17</v>
      </c>
      <c r="C926" s="1">
        <v>2</v>
      </c>
      <c r="D926" s="1">
        <v>60</v>
      </c>
      <c r="E926" s="1">
        <v>100</v>
      </c>
      <c r="F926" s="1">
        <v>11</v>
      </c>
      <c r="G926" s="1">
        <v>25</v>
      </c>
      <c r="H926" s="1">
        <v>150</v>
      </c>
      <c r="I926" s="1">
        <v>100</v>
      </c>
      <c r="J926" s="1">
        <v>12.147</v>
      </c>
      <c r="K926" s="1">
        <v>75.706000000000003</v>
      </c>
      <c r="L926" s="1">
        <v>24.29</v>
      </c>
      <c r="M926" s="1">
        <v>90</v>
      </c>
      <c r="N926" s="1">
        <v>3.8269999999999998E-2</v>
      </c>
      <c r="O926" s="1">
        <v>1.9550000000000001E-4</v>
      </c>
      <c r="P9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1.5149065054293833</v>
      </c>
      <c r="Q926" s="1">
        <f>LN(Table13[[#This Row],[qe_mg_g]]-Table13[[#This Row],[qt]])</f>
        <v>2.3638771150677855</v>
      </c>
      <c r="R926" s="1">
        <v>1</v>
      </c>
    </row>
    <row r="927" spans="1:18" hidden="1" x14ac:dyDescent="0.3">
      <c r="A927" s="1">
        <v>926</v>
      </c>
      <c r="B927" s="1" t="s">
        <v>17</v>
      </c>
      <c r="C927" s="1">
        <v>2</v>
      </c>
      <c r="D927" s="1">
        <v>60</v>
      </c>
      <c r="E927" s="1">
        <v>100</v>
      </c>
      <c r="F927" s="1">
        <v>11</v>
      </c>
      <c r="G927" s="1">
        <v>25</v>
      </c>
      <c r="H927" s="1">
        <v>150</v>
      </c>
      <c r="I927" s="1">
        <v>100</v>
      </c>
      <c r="J927" s="1">
        <v>14.256</v>
      </c>
      <c r="K927" s="1">
        <v>71.488</v>
      </c>
      <c r="L927" s="1">
        <v>28.51</v>
      </c>
      <c r="M927" s="1">
        <v>104.4</v>
      </c>
      <c r="N927" s="1">
        <v>3.1789999999999999E-2</v>
      </c>
      <c r="O927" s="1">
        <v>1.8330000000000001E-4</v>
      </c>
      <c r="P9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1.9322152531165695</v>
      </c>
      <c r="Q927" s="1">
        <f>LN(Table13[[#This Row],[qe_mg_g]]-Table13[[#This Row],[qt]])</f>
        <v>2.5115311144088444</v>
      </c>
      <c r="R927" s="1">
        <v>2</v>
      </c>
    </row>
    <row r="928" spans="1:18" hidden="1" x14ac:dyDescent="0.3">
      <c r="A928" s="1">
        <v>927</v>
      </c>
      <c r="B928" s="1" t="s">
        <v>17</v>
      </c>
      <c r="C928" s="1">
        <v>2</v>
      </c>
      <c r="D928" s="1">
        <v>60</v>
      </c>
      <c r="E928" s="1">
        <v>100</v>
      </c>
      <c r="F928" s="1">
        <v>11</v>
      </c>
      <c r="G928" s="1">
        <v>25</v>
      </c>
      <c r="H928" s="1">
        <v>150</v>
      </c>
      <c r="I928" s="1">
        <v>100</v>
      </c>
      <c r="J928" s="1">
        <v>12.702999999999999</v>
      </c>
      <c r="K928" s="1">
        <v>74.593999999999994</v>
      </c>
      <c r="L928" s="1">
        <v>25.41</v>
      </c>
      <c r="M928" s="1">
        <v>89.7</v>
      </c>
      <c r="N928" s="1">
        <v>3.3160000000000002E-2</v>
      </c>
      <c r="O928" s="1">
        <v>2.2699999999999999E-4</v>
      </c>
      <c r="P9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1.8736401741577258</v>
      </c>
      <c r="Q928" s="1">
        <f>LN(Table13[[#This Row],[qe_mg_g]]-Table13[[#This Row],[qt]])</f>
        <v>2.3822609480785317</v>
      </c>
      <c r="R928" s="1">
        <v>3</v>
      </c>
    </row>
    <row r="929" spans="1:18" hidden="1" x14ac:dyDescent="0.3">
      <c r="A929" s="1">
        <v>928</v>
      </c>
      <c r="B929" s="1" t="s">
        <v>17</v>
      </c>
      <c r="C929" s="1">
        <v>2</v>
      </c>
      <c r="D929" s="1">
        <v>60</v>
      </c>
      <c r="E929" s="1">
        <v>200</v>
      </c>
      <c r="F929" s="1">
        <v>3</v>
      </c>
      <c r="G929" s="1">
        <v>25</v>
      </c>
      <c r="H929" s="1">
        <v>150</v>
      </c>
      <c r="I929" s="1">
        <v>100</v>
      </c>
      <c r="J929" s="1">
        <v>32.415999999999997</v>
      </c>
      <c r="K929" s="1">
        <v>135.16900000000001</v>
      </c>
      <c r="L929" s="1">
        <v>32.42</v>
      </c>
      <c r="M929" s="1">
        <v>86.2</v>
      </c>
      <c r="N929" s="1">
        <v>2.997E-2</v>
      </c>
      <c r="O929" s="1">
        <v>1.7369999999999999E-4</v>
      </c>
      <c r="P9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8.1858896317276759</v>
      </c>
      <c r="Q929" s="1">
        <f>LN(Table13[[#This Row],[qe_mg_g]]-Table13[[#This Row],[qt]])</f>
        <v>3.1875960898437441</v>
      </c>
      <c r="R929" s="1">
        <v>1</v>
      </c>
    </row>
    <row r="930" spans="1:18" hidden="1" x14ac:dyDescent="0.3">
      <c r="A930" s="1">
        <v>929</v>
      </c>
      <c r="B930" s="1" t="s">
        <v>17</v>
      </c>
      <c r="C930" s="1">
        <v>2</v>
      </c>
      <c r="D930" s="1">
        <v>60</v>
      </c>
      <c r="E930" s="1">
        <v>200</v>
      </c>
      <c r="F930" s="1">
        <v>3</v>
      </c>
      <c r="G930" s="1">
        <v>25</v>
      </c>
      <c r="H930" s="1">
        <v>150</v>
      </c>
      <c r="I930" s="1">
        <v>100</v>
      </c>
      <c r="J930" s="1">
        <v>31.971</v>
      </c>
      <c r="K930" s="1">
        <v>136.059</v>
      </c>
      <c r="L930" s="1">
        <v>31.97</v>
      </c>
      <c r="M930" s="1">
        <v>58.3</v>
      </c>
      <c r="N930" s="1">
        <v>3.8539999999999998E-2</v>
      </c>
      <c r="O930" s="1">
        <v>1.9680000000000001E-4</v>
      </c>
      <c r="P9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8.7617912178183364</v>
      </c>
      <c r="Q930" s="1">
        <f>LN(Table13[[#This Row],[qe_mg_g]]-Table13[[#This Row],[qt]])</f>
        <v>3.1445491301827366</v>
      </c>
      <c r="R930" s="1">
        <v>2</v>
      </c>
    </row>
    <row r="931" spans="1:18" hidden="1" x14ac:dyDescent="0.3">
      <c r="A931" s="1">
        <v>930</v>
      </c>
      <c r="B931" s="1" t="s">
        <v>17</v>
      </c>
      <c r="C931" s="1">
        <v>2</v>
      </c>
      <c r="D931" s="1">
        <v>60</v>
      </c>
      <c r="E931" s="1">
        <v>200</v>
      </c>
      <c r="F931" s="1">
        <v>3</v>
      </c>
      <c r="G931" s="1">
        <v>25</v>
      </c>
      <c r="H931" s="1">
        <v>150</v>
      </c>
      <c r="I931" s="1">
        <v>100</v>
      </c>
      <c r="J931" s="1">
        <v>41.182000000000002</v>
      </c>
      <c r="K931" s="1">
        <v>117.636</v>
      </c>
      <c r="L931" s="1">
        <v>41.18</v>
      </c>
      <c r="M931" s="1">
        <v>115.4</v>
      </c>
      <c r="N931" s="1">
        <v>3.4360000000000002E-2</v>
      </c>
      <c r="O931" s="1">
        <v>1.9790000000000001E-4</v>
      </c>
      <c r="P9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13.524420142925553</v>
      </c>
      <c r="Q931" s="1">
        <f>LN(Table13[[#This Row],[qe_mg_g]]-Table13[[#This Row],[qt]])</f>
        <v>3.3198998262796962</v>
      </c>
      <c r="R931" s="1">
        <v>3</v>
      </c>
    </row>
    <row r="932" spans="1:18" hidden="1" x14ac:dyDescent="0.3">
      <c r="A932" s="1">
        <v>931</v>
      </c>
      <c r="B932" s="1" t="s">
        <v>17</v>
      </c>
      <c r="C932" s="1">
        <v>2</v>
      </c>
      <c r="D932" s="1">
        <v>60</v>
      </c>
      <c r="E932" s="1">
        <v>200</v>
      </c>
      <c r="F932" s="1">
        <v>7</v>
      </c>
      <c r="G932" s="1">
        <v>25</v>
      </c>
      <c r="H932" s="1">
        <v>150</v>
      </c>
      <c r="I932" s="1">
        <v>100</v>
      </c>
      <c r="J932" s="1">
        <v>52.713000000000001</v>
      </c>
      <c r="K932" s="1">
        <v>94.575000000000003</v>
      </c>
      <c r="L932" s="1">
        <v>52.71</v>
      </c>
      <c r="M932" s="1">
        <v>107.6</v>
      </c>
      <c r="N932" s="1">
        <v>2.9270000000000001E-2</v>
      </c>
      <c r="O932" s="1">
        <v>1.6430000000000001E-4</v>
      </c>
      <c r="P9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18.02528771642244</v>
      </c>
      <c r="Q932" s="1">
        <f>LN(Table13[[#This Row],[qe_mg_g]]-Table13[[#This Row],[qt]])</f>
        <v>3.5463855113748477</v>
      </c>
      <c r="R932" s="1">
        <v>1</v>
      </c>
    </row>
    <row r="933" spans="1:18" hidden="1" x14ac:dyDescent="0.3">
      <c r="A933" s="1">
        <v>932</v>
      </c>
      <c r="B933" s="1" t="s">
        <v>17</v>
      </c>
      <c r="C933" s="1">
        <v>2</v>
      </c>
      <c r="D933" s="1">
        <v>60</v>
      </c>
      <c r="E933" s="1">
        <v>200</v>
      </c>
      <c r="F933" s="1">
        <v>7</v>
      </c>
      <c r="G933" s="1">
        <v>25</v>
      </c>
      <c r="H933" s="1">
        <v>150</v>
      </c>
      <c r="I933" s="1">
        <v>100</v>
      </c>
      <c r="J933" s="1">
        <v>44.957999999999998</v>
      </c>
      <c r="K933" s="1">
        <v>110.08499999999999</v>
      </c>
      <c r="L933" s="1">
        <v>44.96</v>
      </c>
      <c r="M933" s="1">
        <v>93.2</v>
      </c>
      <c r="N933" s="1">
        <v>3.6740000000000002E-2</v>
      </c>
      <c r="O933" s="1">
        <v>2.2139999999999999E-4</v>
      </c>
      <c r="P9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16.810379961350794</v>
      </c>
      <c r="Q933" s="1">
        <f>LN(Table13[[#This Row],[qe_mg_g]]-Table13[[#This Row],[qt]])</f>
        <v>3.3374628053152122</v>
      </c>
      <c r="R933" s="1">
        <v>2</v>
      </c>
    </row>
    <row r="934" spans="1:18" hidden="1" x14ac:dyDescent="0.3">
      <c r="A934" s="1">
        <v>933</v>
      </c>
      <c r="B934" s="1" t="s">
        <v>17</v>
      </c>
      <c r="C934" s="1">
        <v>2</v>
      </c>
      <c r="D934" s="1">
        <v>60</v>
      </c>
      <c r="E934" s="1">
        <v>200</v>
      </c>
      <c r="F934" s="1">
        <v>7</v>
      </c>
      <c r="G934" s="1">
        <v>25</v>
      </c>
      <c r="H934" s="1">
        <v>150</v>
      </c>
      <c r="I934" s="1">
        <v>100</v>
      </c>
      <c r="J934" s="1">
        <v>42.188000000000002</v>
      </c>
      <c r="K934" s="1">
        <v>115.623</v>
      </c>
      <c r="L934" s="1">
        <v>42.19</v>
      </c>
      <c r="M934" s="1">
        <v>55.9</v>
      </c>
      <c r="N934" s="1">
        <v>3.7999999999999999E-2</v>
      </c>
      <c r="O934" s="1">
        <v>1.8340000000000001E-4</v>
      </c>
      <c r="P9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13.375719511632639</v>
      </c>
      <c r="Q934" s="1">
        <f>LN(Table13[[#This Row],[qe_mg_g]]-Table13[[#This Row],[qt]])</f>
        <v>3.3608017021028513</v>
      </c>
      <c r="R934" s="1">
        <v>3</v>
      </c>
    </row>
    <row r="935" spans="1:18" hidden="1" x14ac:dyDescent="0.3">
      <c r="A935" s="1">
        <v>934</v>
      </c>
      <c r="B935" s="1" t="s">
        <v>17</v>
      </c>
      <c r="C935" s="1">
        <v>2</v>
      </c>
      <c r="D935" s="1">
        <v>60</v>
      </c>
      <c r="E935" s="1">
        <v>200</v>
      </c>
      <c r="F935" s="1">
        <v>11</v>
      </c>
      <c r="G935" s="1">
        <v>25</v>
      </c>
      <c r="H935" s="1">
        <v>150</v>
      </c>
      <c r="I935" s="1">
        <v>100</v>
      </c>
      <c r="J935" s="1">
        <v>30.039000000000001</v>
      </c>
      <c r="K935" s="1">
        <v>139.92099999999999</v>
      </c>
      <c r="L935" s="1">
        <v>30.04</v>
      </c>
      <c r="M935" s="1">
        <v>87.6</v>
      </c>
      <c r="N935" s="1">
        <v>3.7780000000000001E-2</v>
      </c>
      <c r="O935" s="1">
        <v>1.9760000000000001E-4</v>
      </c>
      <c r="P9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7.8886709826303916</v>
      </c>
      <c r="Q935" s="1">
        <f>LN(Table13[[#This Row],[qe_mg_g]]-Table13[[#This Row],[qt]])</f>
        <v>3.097852350438143</v>
      </c>
      <c r="R935" s="1">
        <v>1</v>
      </c>
    </row>
    <row r="936" spans="1:18" hidden="1" x14ac:dyDescent="0.3">
      <c r="A936" s="1">
        <v>935</v>
      </c>
      <c r="B936" s="1" t="s">
        <v>17</v>
      </c>
      <c r="C936" s="1">
        <v>2</v>
      </c>
      <c r="D936" s="1">
        <v>60</v>
      </c>
      <c r="E936" s="1">
        <v>200</v>
      </c>
      <c r="F936" s="1">
        <v>11</v>
      </c>
      <c r="G936" s="1">
        <v>25</v>
      </c>
      <c r="H936" s="1">
        <v>150</v>
      </c>
      <c r="I936" s="1">
        <v>100</v>
      </c>
      <c r="J936" s="1">
        <v>35.912999999999997</v>
      </c>
      <c r="K936" s="1">
        <v>128.17400000000001</v>
      </c>
      <c r="L936" s="1">
        <v>35.909999999999997</v>
      </c>
      <c r="M936" s="1">
        <v>83.7</v>
      </c>
      <c r="N936" s="1">
        <v>3.3700000000000001E-2</v>
      </c>
      <c r="O936" s="1">
        <v>1.73E-4</v>
      </c>
      <c r="P9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9.7521584578919267</v>
      </c>
      <c r="Q936" s="1">
        <f>LN(Table13[[#This Row],[qe_mg_g]]-Table13[[#This Row],[qt]])</f>
        <v>3.264263695112414</v>
      </c>
      <c r="R936" s="1">
        <v>2</v>
      </c>
    </row>
    <row r="937" spans="1:18" hidden="1" x14ac:dyDescent="0.3">
      <c r="A937" s="1">
        <v>936</v>
      </c>
      <c r="B937" s="1" t="s">
        <v>17</v>
      </c>
      <c r="C937" s="1">
        <v>2</v>
      </c>
      <c r="D937" s="1">
        <v>60</v>
      </c>
      <c r="E937" s="1">
        <v>200</v>
      </c>
      <c r="F937" s="1">
        <v>11</v>
      </c>
      <c r="G937" s="1">
        <v>25</v>
      </c>
      <c r="H937" s="1">
        <v>150</v>
      </c>
      <c r="I937" s="1">
        <v>100</v>
      </c>
      <c r="J937" s="1">
        <v>34.945999999999998</v>
      </c>
      <c r="K937" s="1">
        <v>130.107</v>
      </c>
      <c r="L937" s="1">
        <v>34.950000000000003</v>
      </c>
      <c r="M937" s="1">
        <v>92.4</v>
      </c>
      <c r="N937" s="1">
        <v>3.6130000000000002E-2</v>
      </c>
      <c r="O937" s="1">
        <v>2.0340000000000001E-4</v>
      </c>
      <c r="P9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10.447951731590697</v>
      </c>
      <c r="Q937" s="1">
        <f>LN(Table13[[#This Row],[qe_mg_g]]-Table13[[#This Row],[qt]])</f>
        <v>3.1985934518635486</v>
      </c>
      <c r="R937" s="1">
        <v>3</v>
      </c>
    </row>
    <row r="938" spans="1:18" hidden="1" x14ac:dyDescent="0.3">
      <c r="A938" s="1">
        <v>937</v>
      </c>
      <c r="B938" s="1" t="s">
        <v>17</v>
      </c>
      <c r="C938" s="1">
        <v>2</v>
      </c>
      <c r="D938" s="1">
        <v>120</v>
      </c>
      <c r="E938" s="1">
        <v>25</v>
      </c>
      <c r="F938" s="1">
        <v>3</v>
      </c>
      <c r="G938" s="1">
        <v>25</v>
      </c>
      <c r="H938" s="1">
        <v>150</v>
      </c>
      <c r="I938" s="1">
        <v>100</v>
      </c>
      <c r="J938" s="1">
        <v>1.4039999999999999</v>
      </c>
      <c r="K938" s="1">
        <v>22.192</v>
      </c>
      <c r="L938" s="1">
        <v>11.23</v>
      </c>
      <c r="M938" s="1">
        <v>83.4</v>
      </c>
      <c r="N938" s="1">
        <v>2.7380000000000002E-2</v>
      </c>
      <c r="O938" s="1">
        <v>2.0359999999999999E-4</v>
      </c>
      <c r="P9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4.6563503431754145E-2</v>
      </c>
      <c r="Q938" s="1">
        <f>LN(Table13[[#This Row],[qe_mg_g]]-Table13[[#This Row],[qt]])</f>
        <v>0.3055979920398495</v>
      </c>
      <c r="R938" s="1">
        <v>1</v>
      </c>
    </row>
    <row r="939" spans="1:18" hidden="1" x14ac:dyDescent="0.3">
      <c r="A939" s="1">
        <v>938</v>
      </c>
      <c r="B939" s="1" t="s">
        <v>17</v>
      </c>
      <c r="C939" s="1">
        <v>2</v>
      </c>
      <c r="D939" s="1">
        <v>120</v>
      </c>
      <c r="E939" s="1">
        <v>25</v>
      </c>
      <c r="F939" s="1">
        <v>3</v>
      </c>
      <c r="G939" s="1">
        <v>25</v>
      </c>
      <c r="H939" s="1">
        <v>150</v>
      </c>
      <c r="I939" s="1">
        <v>100</v>
      </c>
      <c r="J939" s="1">
        <v>1.782</v>
      </c>
      <c r="K939" s="1">
        <v>21.437000000000001</v>
      </c>
      <c r="L939" s="1">
        <v>14.25</v>
      </c>
      <c r="M939" s="1">
        <v>66.8</v>
      </c>
      <c r="N939" s="1">
        <v>3.295E-2</v>
      </c>
      <c r="O939" s="1">
        <v>2.0660000000000001E-4</v>
      </c>
      <c r="P9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7.5396617889809558E-2</v>
      </c>
      <c r="Q939" s="1">
        <f>LN(Table13[[#This Row],[qe_mg_g]]-Table13[[#This Row],[qt]])</f>
        <v>0.53450506890098681</v>
      </c>
      <c r="R939" s="1">
        <v>2</v>
      </c>
    </row>
    <row r="940" spans="1:18" hidden="1" x14ac:dyDescent="0.3">
      <c r="A940" s="1">
        <v>939</v>
      </c>
      <c r="B940" s="1" t="s">
        <v>17</v>
      </c>
      <c r="C940" s="1">
        <v>2</v>
      </c>
      <c r="D940" s="1">
        <v>120</v>
      </c>
      <c r="E940" s="1">
        <v>25</v>
      </c>
      <c r="F940" s="1">
        <v>3</v>
      </c>
      <c r="G940" s="1">
        <v>25</v>
      </c>
      <c r="H940" s="1">
        <v>150</v>
      </c>
      <c r="I940" s="1">
        <v>100</v>
      </c>
      <c r="J940" s="1">
        <v>1.754</v>
      </c>
      <c r="K940" s="1">
        <v>21.491</v>
      </c>
      <c r="L940" s="1">
        <v>14.03</v>
      </c>
      <c r="M940" s="1">
        <v>80</v>
      </c>
      <c r="N940" s="1">
        <v>3.2579999999999998E-2</v>
      </c>
      <c r="O940" s="1">
        <v>1.606E-4</v>
      </c>
      <c r="P9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5.7351943556972616E-2</v>
      </c>
      <c r="Q940" s="1">
        <f>LN(Table13[[#This Row],[qe_mg_g]]-Table13[[#This Row],[qt]])</f>
        <v>0.52865457313653874</v>
      </c>
      <c r="R940" s="1">
        <v>3</v>
      </c>
    </row>
    <row r="941" spans="1:18" hidden="1" x14ac:dyDescent="0.3">
      <c r="A941" s="1">
        <v>940</v>
      </c>
      <c r="B941" s="1" t="s">
        <v>17</v>
      </c>
      <c r="C941" s="1">
        <v>2</v>
      </c>
      <c r="D941" s="1">
        <v>120</v>
      </c>
      <c r="E941" s="1">
        <v>25</v>
      </c>
      <c r="F941" s="1">
        <v>7</v>
      </c>
      <c r="G941" s="1">
        <v>25</v>
      </c>
      <c r="H941" s="1">
        <v>150</v>
      </c>
      <c r="I941" s="1">
        <v>100</v>
      </c>
      <c r="J941" s="1">
        <v>2.6419999999999999</v>
      </c>
      <c r="K941" s="1">
        <v>19.715</v>
      </c>
      <c r="L941" s="1">
        <v>21.14</v>
      </c>
      <c r="M941" s="1">
        <v>112</v>
      </c>
      <c r="N941" s="1">
        <v>3.5970000000000002E-2</v>
      </c>
      <c r="O941" s="1">
        <v>1.996E-4</v>
      </c>
      <c r="P9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0.15723864076955205</v>
      </c>
      <c r="Q941" s="1">
        <f>LN(Table13[[#This Row],[qe_mg_g]]-Table13[[#This Row],[qt]])</f>
        <v>0.91017662243433817</v>
      </c>
      <c r="R941" s="1">
        <v>1</v>
      </c>
    </row>
    <row r="942" spans="1:18" hidden="1" x14ac:dyDescent="0.3">
      <c r="A942" s="1">
        <v>941</v>
      </c>
      <c r="B942" s="1" t="s">
        <v>17</v>
      </c>
      <c r="C942" s="1">
        <v>2</v>
      </c>
      <c r="D942" s="1">
        <v>120</v>
      </c>
      <c r="E942" s="1">
        <v>25</v>
      </c>
      <c r="F942" s="1">
        <v>7</v>
      </c>
      <c r="G942" s="1">
        <v>25</v>
      </c>
      <c r="H942" s="1">
        <v>150</v>
      </c>
      <c r="I942" s="1">
        <v>100</v>
      </c>
      <c r="J942" s="1">
        <v>2.6989999999999998</v>
      </c>
      <c r="K942" s="1">
        <v>19.600999999999999</v>
      </c>
      <c r="L942" s="1">
        <v>21.6</v>
      </c>
      <c r="M942" s="1">
        <v>85.6</v>
      </c>
      <c r="N942" s="1">
        <v>3.2149999999999998E-2</v>
      </c>
      <c r="O942" s="1">
        <v>2.165E-4</v>
      </c>
      <c r="P9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0.17685299820855604</v>
      </c>
      <c r="Q942" s="1">
        <f>LN(Table13[[#This Row],[qe_mg_g]]-Table13[[#This Row],[qt]])</f>
        <v>0.92511052362813861</v>
      </c>
      <c r="R942" s="1">
        <v>2</v>
      </c>
    </row>
    <row r="943" spans="1:18" hidden="1" x14ac:dyDescent="0.3">
      <c r="A943" s="1">
        <v>942</v>
      </c>
      <c r="B943" s="1" t="s">
        <v>17</v>
      </c>
      <c r="C943" s="1">
        <v>2</v>
      </c>
      <c r="D943" s="1">
        <v>120</v>
      </c>
      <c r="E943" s="1">
        <v>25</v>
      </c>
      <c r="F943" s="1">
        <v>7</v>
      </c>
      <c r="G943" s="1">
        <v>25</v>
      </c>
      <c r="H943" s="1">
        <v>150</v>
      </c>
      <c r="I943" s="1">
        <v>100</v>
      </c>
      <c r="J943" s="1">
        <v>2.6739999999999999</v>
      </c>
      <c r="K943" s="1">
        <v>19.652000000000001</v>
      </c>
      <c r="L943" s="1">
        <v>21.39</v>
      </c>
      <c r="M943" s="1">
        <v>85.9</v>
      </c>
      <c r="N943" s="1">
        <v>3.159E-2</v>
      </c>
      <c r="O943" s="1">
        <v>2.2609999999999999E-4</v>
      </c>
      <c r="P9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0.1808783864078336</v>
      </c>
      <c r="Q943" s="1">
        <f>LN(Table13[[#This Row],[qe_mg_g]]-Table13[[#This Row],[qt]])</f>
        <v>0.91353558537815727</v>
      </c>
      <c r="R943" s="1">
        <v>3</v>
      </c>
    </row>
    <row r="944" spans="1:18" hidden="1" x14ac:dyDescent="0.3">
      <c r="A944" s="1">
        <v>943</v>
      </c>
      <c r="B944" s="1" t="s">
        <v>17</v>
      </c>
      <c r="C944" s="1">
        <v>2</v>
      </c>
      <c r="D944" s="1">
        <v>120</v>
      </c>
      <c r="E944" s="1">
        <v>25</v>
      </c>
      <c r="F944" s="1">
        <v>11</v>
      </c>
      <c r="G944" s="1">
        <v>25</v>
      </c>
      <c r="H944" s="1">
        <v>150</v>
      </c>
      <c r="I944" s="1">
        <v>100</v>
      </c>
      <c r="J944" s="1">
        <v>2.0859999999999999</v>
      </c>
      <c r="K944" s="1">
        <v>20.829000000000001</v>
      </c>
      <c r="L944" s="1">
        <v>16.690000000000001</v>
      </c>
      <c r="M944" s="1">
        <v>78.599999999999994</v>
      </c>
      <c r="N944" s="1">
        <v>3.8510000000000003E-2</v>
      </c>
      <c r="O944" s="1">
        <v>1.9000000000000001E-4</v>
      </c>
      <c r="P9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9.47074659532888E-2</v>
      </c>
      <c r="Q944" s="1">
        <f>LN(Table13[[#This Row],[qe_mg_g]]-Table13[[#This Row],[qt]])</f>
        <v>0.68878394248942509</v>
      </c>
      <c r="R944" s="1">
        <v>1</v>
      </c>
    </row>
    <row r="945" spans="1:18" hidden="1" x14ac:dyDescent="0.3">
      <c r="A945" s="1">
        <v>944</v>
      </c>
      <c r="B945" s="1" t="s">
        <v>17</v>
      </c>
      <c r="C945" s="1">
        <v>2</v>
      </c>
      <c r="D945" s="1">
        <v>120</v>
      </c>
      <c r="E945" s="1">
        <v>25</v>
      </c>
      <c r="F945" s="1">
        <v>11</v>
      </c>
      <c r="G945" s="1">
        <v>25</v>
      </c>
      <c r="H945" s="1">
        <v>150</v>
      </c>
      <c r="I945" s="1">
        <v>100</v>
      </c>
      <c r="J945" s="1">
        <v>1.8029999999999999</v>
      </c>
      <c r="K945" s="1">
        <v>21.395</v>
      </c>
      <c r="L945" s="1">
        <v>14.42</v>
      </c>
      <c r="M945" s="1">
        <v>75.900000000000006</v>
      </c>
      <c r="N945" s="1">
        <v>2.8799999999999999E-2</v>
      </c>
      <c r="O945" s="1">
        <v>2.0939999999999999E-4</v>
      </c>
      <c r="P9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7.8145868704004029E-2</v>
      </c>
      <c r="Q945" s="1">
        <f>LN(Table13[[#This Row],[qe_mg_g]]-Table13[[#This Row],[qt]])</f>
        <v>0.54514248534025356</v>
      </c>
      <c r="R945" s="1">
        <v>2</v>
      </c>
    </row>
    <row r="946" spans="1:18" hidden="1" x14ac:dyDescent="0.3">
      <c r="A946" s="1">
        <v>945</v>
      </c>
      <c r="B946" s="1" t="s">
        <v>17</v>
      </c>
      <c r="C946" s="1">
        <v>2</v>
      </c>
      <c r="D946" s="1">
        <v>120</v>
      </c>
      <c r="E946" s="1">
        <v>25</v>
      </c>
      <c r="F946" s="1">
        <v>11</v>
      </c>
      <c r="G946" s="1">
        <v>25</v>
      </c>
      <c r="H946" s="1">
        <v>150</v>
      </c>
      <c r="I946" s="1">
        <v>100</v>
      </c>
      <c r="J946" s="1">
        <v>1.5980000000000001</v>
      </c>
      <c r="K946" s="1">
        <v>21.805</v>
      </c>
      <c r="L946" s="1">
        <v>12.78</v>
      </c>
      <c r="M946" s="1">
        <v>69.900000000000006</v>
      </c>
      <c r="N946" s="1">
        <v>2.7740000000000001E-2</v>
      </c>
      <c r="O946" s="1">
        <v>1.983E-4</v>
      </c>
      <c r="P9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5.8539535922687597E-2</v>
      </c>
      <c r="Q946" s="1">
        <f>LN(Table13[[#This Row],[qe_mg_g]]-Table13[[#This Row],[qt]])</f>
        <v>0.43143200703759332</v>
      </c>
      <c r="R946" s="1">
        <v>3</v>
      </c>
    </row>
    <row r="947" spans="1:18" hidden="1" x14ac:dyDescent="0.3">
      <c r="A947" s="1">
        <v>946</v>
      </c>
      <c r="B947" s="1" t="s">
        <v>17</v>
      </c>
      <c r="C947" s="1">
        <v>2</v>
      </c>
      <c r="D947" s="1">
        <v>120</v>
      </c>
      <c r="E947" s="1">
        <v>50</v>
      </c>
      <c r="F947" s="1">
        <v>3</v>
      </c>
      <c r="G947" s="1">
        <v>25</v>
      </c>
      <c r="H947" s="1">
        <v>150</v>
      </c>
      <c r="I947" s="1">
        <v>100</v>
      </c>
      <c r="J947" s="1">
        <v>5.1890000000000001</v>
      </c>
      <c r="K947" s="1">
        <v>39.622999999999998</v>
      </c>
      <c r="L947" s="1">
        <v>20.75</v>
      </c>
      <c r="M947" s="1">
        <v>81.5</v>
      </c>
      <c r="N947" s="1">
        <v>3.1350000000000003E-2</v>
      </c>
      <c r="O947" s="1">
        <v>1.7660000000000001E-4</v>
      </c>
      <c r="P9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0.51407903075974393</v>
      </c>
      <c r="Q947" s="1">
        <f>LN(Table13[[#This Row],[qe_mg_g]]-Table13[[#This Row],[qt]])</f>
        <v>1.5422122576224133</v>
      </c>
      <c r="R947" s="1">
        <v>1</v>
      </c>
    </row>
    <row r="948" spans="1:18" hidden="1" x14ac:dyDescent="0.3">
      <c r="A948" s="1">
        <v>947</v>
      </c>
      <c r="B948" s="1" t="s">
        <v>17</v>
      </c>
      <c r="C948" s="1">
        <v>2</v>
      </c>
      <c r="D948" s="1">
        <v>120</v>
      </c>
      <c r="E948" s="1">
        <v>50</v>
      </c>
      <c r="F948" s="1">
        <v>3</v>
      </c>
      <c r="G948" s="1">
        <v>25</v>
      </c>
      <c r="H948" s="1">
        <v>150</v>
      </c>
      <c r="I948" s="1">
        <v>100</v>
      </c>
      <c r="J948" s="1">
        <v>5.5119999999999996</v>
      </c>
      <c r="K948" s="1">
        <v>38.975000000000001</v>
      </c>
      <c r="L948" s="1">
        <v>22.05</v>
      </c>
      <c r="M948" s="1">
        <v>78.599999999999994</v>
      </c>
      <c r="N948" s="1">
        <v>3.6110000000000003E-2</v>
      </c>
      <c r="O948" s="1">
        <v>1.8230000000000001E-4</v>
      </c>
      <c r="P9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0.59312095385074837</v>
      </c>
      <c r="Q948" s="1">
        <f>LN(Table13[[#This Row],[qe_mg_g]]-Table13[[#This Row],[qt]])</f>
        <v>1.5930806683970924</v>
      </c>
      <c r="R948" s="1">
        <v>2</v>
      </c>
    </row>
    <row r="949" spans="1:18" hidden="1" x14ac:dyDescent="0.3">
      <c r="A949" s="1">
        <v>948</v>
      </c>
      <c r="B949" s="1" t="s">
        <v>17</v>
      </c>
      <c r="C949" s="1">
        <v>2</v>
      </c>
      <c r="D949" s="1">
        <v>120</v>
      </c>
      <c r="E949" s="1">
        <v>50</v>
      </c>
      <c r="F949" s="1">
        <v>3</v>
      </c>
      <c r="G949" s="1">
        <v>25</v>
      </c>
      <c r="H949" s="1">
        <v>150</v>
      </c>
      <c r="I949" s="1">
        <v>100</v>
      </c>
      <c r="J949" s="1">
        <v>5.3630000000000004</v>
      </c>
      <c r="K949" s="1">
        <v>39.274000000000001</v>
      </c>
      <c r="L949" s="1">
        <v>21.45</v>
      </c>
      <c r="M949" s="1">
        <v>102.5</v>
      </c>
      <c r="N949" s="1">
        <v>3.705E-2</v>
      </c>
      <c r="O949" s="1">
        <v>1.918E-4</v>
      </c>
      <c r="P9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0.58924725368131925</v>
      </c>
      <c r="Q949" s="1">
        <f>LN(Table13[[#This Row],[qe_mg_g]]-Table13[[#This Row],[qt]])</f>
        <v>1.563132734853298</v>
      </c>
      <c r="R949" s="1">
        <v>3</v>
      </c>
    </row>
    <row r="950" spans="1:18" hidden="1" x14ac:dyDescent="0.3">
      <c r="A950" s="1">
        <v>949</v>
      </c>
      <c r="B950" s="1" t="s">
        <v>17</v>
      </c>
      <c r="C950" s="1">
        <v>2</v>
      </c>
      <c r="D950" s="1">
        <v>120</v>
      </c>
      <c r="E950" s="1">
        <v>50</v>
      </c>
      <c r="F950" s="1">
        <v>7</v>
      </c>
      <c r="G950" s="1">
        <v>25</v>
      </c>
      <c r="H950" s="1">
        <v>150</v>
      </c>
      <c r="I950" s="1">
        <v>100</v>
      </c>
      <c r="J950" s="1">
        <v>8.7230000000000008</v>
      </c>
      <c r="K950" s="1">
        <v>32.554000000000002</v>
      </c>
      <c r="L950" s="1">
        <v>34.89</v>
      </c>
      <c r="M950" s="1">
        <v>82.6</v>
      </c>
      <c r="N950" s="1">
        <v>3.5029999999999999E-2</v>
      </c>
      <c r="O950" s="1">
        <v>1.9349999999999999E-4</v>
      </c>
      <c r="P9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1.4692358552222853</v>
      </c>
      <c r="Q950" s="1">
        <f>LN(Table13[[#This Row],[qe_mg_g]]-Table13[[#This Row],[qt]])</f>
        <v>1.9815205265159843</v>
      </c>
      <c r="R950" s="1">
        <v>1</v>
      </c>
    </row>
    <row r="951" spans="1:18" hidden="1" x14ac:dyDescent="0.3">
      <c r="A951" s="1">
        <v>950</v>
      </c>
      <c r="B951" s="1" t="s">
        <v>17</v>
      </c>
      <c r="C951" s="1">
        <v>2</v>
      </c>
      <c r="D951" s="1">
        <v>120</v>
      </c>
      <c r="E951" s="1">
        <v>50</v>
      </c>
      <c r="F951" s="1">
        <v>7</v>
      </c>
      <c r="G951" s="1">
        <v>25</v>
      </c>
      <c r="H951" s="1">
        <v>150</v>
      </c>
      <c r="I951" s="1">
        <v>100</v>
      </c>
      <c r="J951" s="1">
        <v>8.3640000000000008</v>
      </c>
      <c r="K951" s="1">
        <v>33.271000000000001</v>
      </c>
      <c r="L951" s="1">
        <v>33.46</v>
      </c>
      <c r="M951" s="1">
        <v>88.4</v>
      </c>
      <c r="N951" s="1">
        <v>3.1519999999999999E-2</v>
      </c>
      <c r="O951" s="1">
        <v>1.797E-4</v>
      </c>
      <c r="P9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1.2780340094648446</v>
      </c>
      <c r="Q951" s="1">
        <f>LN(Table13[[#This Row],[qe_mg_g]]-Table13[[#This Row],[qt]])</f>
        <v>1.9581162069024309</v>
      </c>
      <c r="R951" s="1">
        <v>2</v>
      </c>
    </row>
    <row r="952" spans="1:18" hidden="1" x14ac:dyDescent="0.3">
      <c r="A952" s="1">
        <v>951</v>
      </c>
      <c r="B952" s="1" t="s">
        <v>17</v>
      </c>
      <c r="C952" s="1">
        <v>2</v>
      </c>
      <c r="D952" s="1">
        <v>120</v>
      </c>
      <c r="E952" s="1">
        <v>50</v>
      </c>
      <c r="F952" s="1">
        <v>7</v>
      </c>
      <c r="G952" s="1">
        <v>25</v>
      </c>
      <c r="H952" s="1">
        <v>150</v>
      </c>
      <c r="I952" s="1">
        <v>100</v>
      </c>
      <c r="J952" s="1">
        <v>7.3230000000000004</v>
      </c>
      <c r="K952" s="1">
        <v>35.353000000000002</v>
      </c>
      <c r="L952" s="1">
        <v>29.29</v>
      </c>
      <c r="M952" s="1">
        <v>65.099999999999994</v>
      </c>
      <c r="N952" s="1">
        <v>3.074E-2</v>
      </c>
      <c r="O952" s="1">
        <v>2.0320000000000001E-4</v>
      </c>
      <c r="P9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1.1095064594131447</v>
      </c>
      <c r="Q952" s="1">
        <f>LN(Table13[[#This Row],[qe_mg_g]]-Table13[[#This Row],[qt]])</f>
        <v>1.8267233046861377</v>
      </c>
      <c r="R952" s="1">
        <v>3</v>
      </c>
    </row>
    <row r="953" spans="1:18" hidden="1" x14ac:dyDescent="0.3">
      <c r="A953" s="1">
        <v>952</v>
      </c>
      <c r="B953" s="1" t="s">
        <v>17</v>
      </c>
      <c r="C953" s="1">
        <v>2</v>
      </c>
      <c r="D953" s="1">
        <v>120</v>
      </c>
      <c r="E953" s="1">
        <v>50</v>
      </c>
      <c r="F953" s="1">
        <v>11</v>
      </c>
      <c r="G953" s="1">
        <v>25</v>
      </c>
      <c r="H953" s="1">
        <v>150</v>
      </c>
      <c r="I953" s="1">
        <v>100</v>
      </c>
      <c r="J953" s="1">
        <v>5.9219999999999997</v>
      </c>
      <c r="K953" s="1">
        <v>38.155999999999999</v>
      </c>
      <c r="L953" s="1">
        <v>23.69</v>
      </c>
      <c r="M953" s="1">
        <v>92.3</v>
      </c>
      <c r="N953" s="1">
        <v>3.5119999999999998E-2</v>
      </c>
      <c r="O953" s="1">
        <v>1.606E-4</v>
      </c>
      <c r="P9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0.60663602678090389</v>
      </c>
      <c r="Q953" s="1">
        <f>LN(Table13[[#This Row],[qe_mg_g]]-Table13[[#This Row],[qt]])</f>
        <v>1.6706014898291235</v>
      </c>
      <c r="R953" s="1">
        <v>1</v>
      </c>
    </row>
    <row r="954" spans="1:18" hidden="1" x14ac:dyDescent="0.3">
      <c r="A954" s="1">
        <v>953</v>
      </c>
      <c r="B954" s="1" t="s">
        <v>17</v>
      </c>
      <c r="C954" s="1">
        <v>2</v>
      </c>
      <c r="D954" s="1">
        <v>120</v>
      </c>
      <c r="E954" s="1">
        <v>50</v>
      </c>
      <c r="F954" s="1">
        <v>11</v>
      </c>
      <c r="G954" s="1">
        <v>25</v>
      </c>
      <c r="H954" s="1">
        <v>150</v>
      </c>
      <c r="I954" s="1">
        <v>100</v>
      </c>
      <c r="J954" s="1">
        <v>6.9290000000000003</v>
      </c>
      <c r="K954" s="1">
        <v>36.143000000000001</v>
      </c>
      <c r="L954" s="1">
        <v>27.71</v>
      </c>
      <c r="M954" s="1">
        <v>96.1</v>
      </c>
      <c r="N954" s="1">
        <v>3.1519999999999999E-2</v>
      </c>
      <c r="O954" s="1">
        <v>2.084E-4</v>
      </c>
      <c r="P9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1.0233360078130069</v>
      </c>
      <c r="Q954" s="1">
        <f>LN(Table13[[#This Row],[qe_mg_g]]-Table13[[#This Row],[qt]])</f>
        <v>1.7759118890834054</v>
      </c>
      <c r="R954" s="1">
        <v>2</v>
      </c>
    </row>
    <row r="955" spans="1:18" hidden="1" x14ac:dyDescent="0.3">
      <c r="A955" s="1">
        <v>954</v>
      </c>
      <c r="B955" s="1" t="s">
        <v>17</v>
      </c>
      <c r="C955" s="1">
        <v>2</v>
      </c>
      <c r="D955" s="1">
        <v>120</v>
      </c>
      <c r="E955" s="1">
        <v>50</v>
      </c>
      <c r="F955" s="1">
        <v>11</v>
      </c>
      <c r="G955" s="1">
        <v>25</v>
      </c>
      <c r="H955" s="1">
        <v>150</v>
      </c>
      <c r="I955" s="1">
        <v>100</v>
      </c>
      <c r="J955" s="1">
        <v>5.9459999999999997</v>
      </c>
      <c r="K955" s="1">
        <v>38.107999999999997</v>
      </c>
      <c r="L955" s="1">
        <v>23.78</v>
      </c>
      <c r="M955" s="1">
        <v>87</v>
      </c>
      <c r="N955" s="1">
        <v>3.057E-2</v>
      </c>
      <c r="O955" s="1">
        <v>1.641E-4</v>
      </c>
      <c r="P9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0.6232352437653309</v>
      </c>
      <c r="Q955" s="1">
        <f>LN(Table13[[#This Row],[qe_mg_g]]-Table13[[#This Row],[qt]])</f>
        <v>1.671992859382496</v>
      </c>
      <c r="R955" s="1">
        <v>3</v>
      </c>
    </row>
    <row r="956" spans="1:18" hidden="1" x14ac:dyDescent="0.3">
      <c r="A956" s="1">
        <v>955</v>
      </c>
      <c r="B956" s="1" t="s">
        <v>17</v>
      </c>
      <c r="C956" s="1">
        <v>2</v>
      </c>
      <c r="D956" s="1">
        <v>120</v>
      </c>
      <c r="E956" s="1">
        <v>100</v>
      </c>
      <c r="F956" s="1">
        <v>3</v>
      </c>
      <c r="G956" s="1">
        <v>25</v>
      </c>
      <c r="H956" s="1">
        <v>150</v>
      </c>
      <c r="I956" s="1">
        <v>100</v>
      </c>
      <c r="J956" s="1">
        <v>15.411</v>
      </c>
      <c r="K956" s="1">
        <v>69.179000000000002</v>
      </c>
      <c r="L956" s="1">
        <v>30.82</v>
      </c>
      <c r="M956" s="1">
        <v>84.1</v>
      </c>
      <c r="N956" s="1">
        <v>3.3610000000000001E-2</v>
      </c>
      <c r="O956" s="1">
        <v>1.763E-4</v>
      </c>
      <c r="P9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3.7891358321132129</v>
      </c>
      <c r="Q956" s="1">
        <f>LN(Table13[[#This Row],[qe_mg_g]]-Table13[[#This Row],[qt]])</f>
        <v>2.4528881660856285</v>
      </c>
      <c r="R956" s="1">
        <v>1</v>
      </c>
    </row>
    <row r="957" spans="1:18" hidden="1" x14ac:dyDescent="0.3">
      <c r="A957" s="1">
        <v>956</v>
      </c>
      <c r="B957" s="1" t="s">
        <v>17</v>
      </c>
      <c r="C957" s="1">
        <v>2</v>
      </c>
      <c r="D957" s="1">
        <v>120</v>
      </c>
      <c r="E957" s="1">
        <v>100</v>
      </c>
      <c r="F957" s="1">
        <v>3</v>
      </c>
      <c r="G957" s="1">
        <v>25</v>
      </c>
      <c r="H957" s="1">
        <v>150</v>
      </c>
      <c r="I957" s="1">
        <v>100</v>
      </c>
      <c r="J957" s="1">
        <v>15.382999999999999</v>
      </c>
      <c r="K957" s="1">
        <v>69.233999999999995</v>
      </c>
      <c r="L957" s="1">
        <v>30.77</v>
      </c>
      <c r="M957" s="1">
        <v>89.2</v>
      </c>
      <c r="N957" s="1">
        <v>3.4840000000000003E-2</v>
      </c>
      <c r="O957" s="1">
        <v>2.0369999999999999E-4</v>
      </c>
      <c r="P9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4.2036733477553305</v>
      </c>
      <c r="Q957" s="1">
        <f>LN(Table13[[#This Row],[qe_mg_g]]-Table13[[#This Row],[qt]])</f>
        <v>2.4140662380280888</v>
      </c>
      <c r="R957" s="1">
        <v>2</v>
      </c>
    </row>
    <row r="958" spans="1:18" hidden="1" x14ac:dyDescent="0.3">
      <c r="A958" s="1">
        <v>957</v>
      </c>
      <c r="B958" s="1" t="s">
        <v>17</v>
      </c>
      <c r="C958" s="1">
        <v>2</v>
      </c>
      <c r="D958" s="1">
        <v>120</v>
      </c>
      <c r="E958" s="1">
        <v>100</v>
      </c>
      <c r="F958" s="1">
        <v>3</v>
      </c>
      <c r="G958" s="1">
        <v>25</v>
      </c>
      <c r="H958" s="1">
        <v>150</v>
      </c>
      <c r="I958" s="1">
        <v>100</v>
      </c>
      <c r="J958" s="1">
        <v>14.95</v>
      </c>
      <c r="K958" s="1">
        <v>70.099999999999994</v>
      </c>
      <c r="L958" s="1">
        <v>29.9</v>
      </c>
      <c r="M958" s="1">
        <v>100.8</v>
      </c>
      <c r="N958" s="1">
        <v>3.0880000000000001E-2</v>
      </c>
      <c r="O958" s="1">
        <v>2.098E-4</v>
      </c>
      <c r="P9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4.0881835206700003</v>
      </c>
      <c r="Q958" s="1">
        <f>LN(Table13[[#This Row],[qe_mg_g]]-Table13[[#This Row],[qt]])</f>
        <v>2.3852535638089001</v>
      </c>
      <c r="R958" s="1">
        <v>3</v>
      </c>
    </row>
    <row r="959" spans="1:18" hidden="1" x14ac:dyDescent="0.3">
      <c r="A959" s="1">
        <v>958</v>
      </c>
      <c r="B959" s="1" t="s">
        <v>17</v>
      </c>
      <c r="C959" s="1">
        <v>2</v>
      </c>
      <c r="D959" s="1">
        <v>120</v>
      </c>
      <c r="E959" s="1">
        <v>100</v>
      </c>
      <c r="F959" s="1">
        <v>7</v>
      </c>
      <c r="G959" s="1">
        <v>25</v>
      </c>
      <c r="H959" s="1">
        <v>150</v>
      </c>
      <c r="I959" s="1">
        <v>100</v>
      </c>
      <c r="J959" s="1">
        <v>27.584</v>
      </c>
      <c r="K959" s="1">
        <v>44.832000000000001</v>
      </c>
      <c r="L959" s="1">
        <v>55.17</v>
      </c>
      <c r="M959" s="1">
        <v>91.9</v>
      </c>
      <c r="N959" s="1">
        <v>3.4290000000000001E-2</v>
      </c>
      <c r="O959" s="1">
        <v>1.894E-4</v>
      </c>
      <c r="P9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10.629358818427514</v>
      </c>
      <c r="Q959" s="1">
        <f>LN(Table13[[#This Row],[qe_mg_g]]-Table13[[#This Row],[qt]])</f>
        <v>2.8305416123676697</v>
      </c>
      <c r="R959" s="1">
        <v>1</v>
      </c>
    </row>
    <row r="960" spans="1:18" hidden="1" x14ac:dyDescent="0.3">
      <c r="A960" s="1">
        <v>959</v>
      </c>
      <c r="B960" s="1" t="s">
        <v>17</v>
      </c>
      <c r="C960" s="1">
        <v>2</v>
      </c>
      <c r="D960" s="1">
        <v>120</v>
      </c>
      <c r="E960" s="1">
        <v>100</v>
      </c>
      <c r="F960" s="1">
        <v>7</v>
      </c>
      <c r="G960" s="1">
        <v>25</v>
      </c>
      <c r="H960" s="1">
        <v>150</v>
      </c>
      <c r="I960" s="1">
        <v>100</v>
      </c>
      <c r="J960" s="1">
        <v>27.224</v>
      </c>
      <c r="K960" s="1">
        <v>45.551000000000002</v>
      </c>
      <c r="L960" s="1">
        <v>54.45</v>
      </c>
      <c r="M960" s="1">
        <v>67.400000000000006</v>
      </c>
      <c r="N960" s="1">
        <v>3.1600000000000003E-2</v>
      </c>
      <c r="O960" s="1">
        <v>1.92E-4</v>
      </c>
      <c r="P9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10.493840995152924</v>
      </c>
      <c r="Q960" s="1">
        <f>LN(Table13[[#This Row],[qe_mg_g]]-Table13[[#This Row],[qt]])</f>
        <v>2.8172130191285278</v>
      </c>
      <c r="R960" s="1">
        <v>2</v>
      </c>
    </row>
    <row r="961" spans="1:18" hidden="1" x14ac:dyDescent="0.3">
      <c r="A961" s="1">
        <v>960</v>
      </c>
      <c r="B961" s="1" t="s">
        <v>17</v>
      </c>
      <c r="C961" s="1">
        <v>2</v>
      </c>
      <c r="D961" s="1">
        <v>120</v>
      </c>
      <c r="E961" s="1">
        <v>100</v>
      </c>
      <c r="F961" s="1">
        <v>7</v>
      </c>
      <c r="G961" s="1">
        <v>25</v>
      </c>
      <c r="H961" s="1">
        <v>150</v>
      </c>
      <c r="I961" s="1">
        <v>100</v>
      </c>
      <c r="J961" s="1">
        <v>27.721</v>
      </c>
      <c r="K961" s="1">
        <v>44.557000000000002</v>
      </c>
      <c r="L961" s="1">
        <v>55.44</v>
      </c>
      <c r="M961" s="1">
        <v>90.6</v>
      </c>
      <c r="N961" s="1">
        <v>3.1609999999999999E-2</v>
      </c>
      <c r="O961" s="1">
        <v>1.9379999999999999E-4</v>
      </c>
      <c r="P9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10.866045147687782</v>
      </c>
      <c r="Q961" s="1">
        <f>LN(Table13[[#This Row],[qe_mg_g]]-Table13[[#This Row],[qt]])</f>
        <v>2.8246446700892727</v>
      </c>
      <c r="R961" s="1">
        <v>3</v>
      </c>
    </row>
    <row r="962" spans="1:18" hidden="1" x14ac:dyDescent="0.3">
      <c r="A962" s="1">
        <v>961</v>
      </c>
      <c r="B962" s="1" t="s">
        <v>17</v>
      </c>
      <c r="C962" s="1">
        <v>2</v>
      </c>
      <c r="D962" s="1">
        <v>120</v>
      </c>
      <c r="E962" s="1">
        <v>100</v>
      </c>
      <c r="F962" s="1">
        <v>11</v>
      </c>
      <c r="G962" s="1">
        <v>25</v>
      </c>
      <c r="H962" s="1">
        <v>150</v>
      </c>
      <c r="I962" s="1">
        <v>100</v>
      </c>
      <c r="J962" s="1">
        <v>18.190999999999999</v>
      </c>
      <c r="K962" s="1">
        <v>63.618000000000002</v>
      </c>
      <c r="L962" s="1">
        <v>36.380000000000003</v>
      </c>
      <c r="M962" s="1">
        <v>76.599999999999994</v>
      </c>
      <c r="N962" s="1">
        <v>3.8429999999999999E-2</v>
      </c>
      <c r="O962" s="1">
        <v>1.7259999999999999E-4</v>
      </c>
      <c r="P9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4.9782094248704025</v>
      </c>
      <c r="Q962" s="1">
        <f>LN(Table13[[#This Row],[qe_mg_g]]-Table13[[#This Row],[qt]])</f>
        <v>2.5811853433957439</v>
      </c>
      <c r="R962" s="1">
        <v>1</v>
      </c>
    </row>
    <row r="963" spans="1:18" hidden="1" x14ac:dyDescent="0.3">
      <c r="A963" s="1">
        <v>962</v>
      </c>
      <c r="B963" s="1" t="s">
        <v>17</v>
      </c>
      <c r="C963" s="1">
        <v>2</v>
      </c>
      <c r="D963" s="1">
        <v>120</v>
      </c>
      <c r="E963" s="1">
        <v>100</v>
      </c>
      <c r="F963" s="1">
        <v>11</v>
      </c>
      <c r="G963" s="1">
        <v>25</v>
      </c>
      <c r="H963" s="1">
        <v>150</v>
      </c>
      <c r="I963" s="1">
        <v>100</v>
      </c>
      <c r="J963" s="1">
        <v>22.5</v>
      </c>
      <c r="K963" s="1">
        <v>55</v>
      </c>
      <c r="L963" s="1">
        <v>45</v>
      </c>
      <c r="M963" s="1">
        <v>96.4</v>
      </c>
      <c r="N963" s="1">
        <v>3.882E-2</v>
      </c>
      <c r="O963" s="1">
        <v>1.907E-4</v>
      </c>
      <c r="P9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7.6474364475308443</v>
      </c>
      <c r="Q963" s="1">
        <f>LN(Table13[[#This Row],[qe_mg_g]]-Table13[[#This Row],[qt]])</f>
        <v>2.6981724801458027</v>
      </c>
      <c r="R963" s="1">
        <v>2</v>
      </c>
    </row>
    <row r="964" spans="1:18" hidden="1" x14ac:dyDescent="0.3">
      <c r="A964" s="1">
        <v>963</v>
      </c>
      <c r="B964" s="1" t="s">
        <v>17</v>
      </c>
      <c r="C964" s="1">
        <v>2</v>
      </c>
      <c r="D964" s="1">
        <v>120</v>
      </c>
      <c r="E964" s="1">
        <v>100</v>
      </c>
      <c r="F964" s="1">
        <v>11</v>
      </c>
      <c r="G964" s="1">
        <v>25</v>
      </c>
      <c r="H964" s="1">
        <v>150</v>
      </c>
      <c r="I964" s="1">
        <v>100</v>
      </c>
      <c r="J964" s="1">
        <v>19.091000000000001</v>
      </c>
      <c r="K964" s="1">
        <v>61.817999999999998</v>
      </c>
      <c r="L964" s="1">
        <v>38.18</v>
      </c>
      <c r="M964" s="1">
        <v>67.3</v>
      </c>
      <c r="N964" s="1">
        <v>3.3160000000000002E-2</v>
      </c>
      <c r="O964" s="1">
        <v>2.0990000000000001E-4</v>
      </c>
      <c r="P9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6.1992026386718271</v>
      </c>
      <c r="Q964" s="1">
        <f>LN(Table13[[#This Row],[qe_mg_g]]-Table13[[#This Row],[qt]])</f>
        <v>2.5565912456577835</v>
      </c>
      <c r="R964" s="1">
        <v>3</v>
      </c>
    </row>
    <row r="965" spans="1:18" hidden="1" x14ac:dyDescent="0.3">
      <c r="A965" s="1">
        <v>964</v>
      </c>
      <c r="B965" s="1" t="s">
        <v>17</v>
      </c>
      <c r="C965" s="1">
        <v>2</v>
      </c>
      <c r="D965" s="1">
        <v>120</v>
      </c>
      <c r="E965" s="1">
        <v>200</v>
      </c>
      <c r="F965" s="1">
        <v>3</v>
      </c>
      <c r="G965" s="1">
        <v>25</v>
      </c>
      <c r="H965" s="1">
        <v>150</v>
      </c>
      <c r="I965" s="1">
        <v>100</v>
      </c>
      <c r="J965" s="1">
        <v>48.134</v>
      </c>
      <c r="K965" s="1">
        <v>103.73099999999999</v>
      </c>
      <c r="L965" s="1">
        <v>48.13</v>
      </c>
      <c r="M965" s="1">
        <v>71.5</v>
      </c>
      <c r="N965" s="1">
        <v>3.372E-2</v>
      </c>
      <c r="O965" s="1">
        <v>1.9699999999999999E-4</v>
      </c>
      <c r="P9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25.619253949908014</v>
      </c>
      <c r="Q965" s="1">
        <f>LN(Table13[[#This Row],[qe_mg_g]]-Table13[[#This Row],[qt]])</f>
        <v>3.1141704745467753</v>
      </c>
      <c r="R965" s="1">
        <v>1</v>
      </c>
    </row>
    <row r="966" spans="1:18" hidden="1" x14ac:dyDescent="0.3">
      <c r="A966" s="1">
        <v>965</v>
      </c>
      <c r="B966" s="1" t="s">
        <v>17</v>
      </c>
      <c r="C966" s="1">
        <v>2</v>
      </c>
      <c r="D966" s="1">
        <v>120</v>
      </c>
      <c r="E966" s="1">
        <v>200</v>
      </c>
      <c r="F966" s="1">
        <v>3</v>
      </c>
      <c r="G966" s="1">
        <v>25</v>
      </c>
      <c r="H966" s="1">
        <v>150</v>
      </c>
      <c r="I966" s="1">
        <v>100</v>
      </c>
      <c r="J966" s="1">
        <v>36.664000000000001</v>
      </c>
      <c r="K966" s="1">
        <v>126.672</v>
      </c>
      <c r="L966" s="1">
        <v>36.659999999999997</v>
      </c>
      <c r="M966" s="1">
        <v>93.3</v>
      </c>
      <c r="N966" s="1">
        <v>3.2469999999999999E-2</v>
      </c>
      <c r="O966" s="1">
        <v>1.961E-4</v>
      </c>
      <c r="P9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16.981560760759304</v>
      </c>
      <c r="Q966" s="1">
        <f>LN(Table13[[#This Row],[qe_mg_g]]-Table13[[#This Row],[qt]])</f>
        <v>2.979726829026919</v>
      </c>
      <c r="R966" s="1">
        <v>2</v>
      </c>
    </row>
    <row r="967" spans="1:18" hidden="1" x14ac:dyDescent="0.3">
      <c r="A967" s="1">
        <v>966</v>
      </c>
      <c r="B967" s="1" t="s">
        <v>17</v>
      </c>
      <c r="C967" s="1">
        <v>2</v>
      </c>
      <c r="D967" s="1">
        <v>120</v>
      </c>
      <c r="E967" s="1">
        <v>200</v>
      </c>
      <c r="F967" s="1">
        <v>3</v>
      </c>
      <c r="G967" s="1">
        <v>25</v>
      </c>
      <c r="H967" s="1">
        <v>150</v>
      </c>
      <c r="I967" s="1">
        <v>100</v>
      </c>
      <c r="J967" s="1">
        <v>40.686</v>
      </c>
      <c r="K967" s="1">
        <v>118.628</v>
      </c>
      <c r="L967" s="1">
        <v>40.69</v>
      </c>
      <c r="M967" s="1">
        <v>75.599999999999994</v>
      </c>
      <c r="N967" s="1">
        <v>3.4979999999999997E-2</v>
      </c>
      <c r="O967" s="1">
        <v>1.9570000000000001E-4</v>
      </c>
      <c r="P9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19.879749072780466</v>
      </c>
      <c r="Q967" s="1">
        <f>LN(Table13[[#This Row],[qe_mg_g]]-Table13[[#This Row],[qt]])</f>
        <v>3.0352534669056683</v>
      </c>
      <c r="R967" s="1">
        <v>3</v>
      </c>
    </row>
    <row r="968" spans="1:18" hidden="1" x14ac:dyDescent="0.3">
      <c r="A968" s="1">
        <v>967</v>
      </c>
      <c r="B968" s="1" t="s">
        <v>17</v>
      </c>
      <c r="C968" s="1">
        <v>2</v>
      </c>
      <c r="D968" s="1">
        <v>120</v>
      </c>
      <c r="E968" s="1">
        <v>200</v>
      </c>
      <c r="F968" s="1">
        <v>7</v>
      </c>
      <c r="G968" s="1">
        <v>25</v>
      </c>
      <c r="H968" s="1">
        <v>150</v>
      </c>
      <c r="I968" s="1">
        <v>100</v>
      </c>
      <c r="J968" s="1">
        <v>60.283000000000001</v>
      </c>
      <c r="K968" s="1">
        <v>79.433000000000007</v>
      </c>
      <c r="L968" s="1">
        <v>60.28</v>
      </c>
      <c r="M968" s="1">
        <v>76.3</v>
      </c>
      <c r="N968" s="1">
        <v>3.6119999999999999E-2</v>
      </c>
      <c r="O968" s="1">
        <v>2.331E-4</v>
      </c>
      <c r="P9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37.841562131379845</v>
      </c>
      <c r="Q968" s="1">
        <f>LN(Table13[[#This Row],[qe_mg_g]]-Table13[[#This Row],[qt]])</f>
        <v>3.1109091547434256</v>
      </c>
      <c r="R968" s="1">
        <v>1</v>
      </c>
    </row>
    <row r="969" spans="1:18" hidden="1" x14ac:dyDescent="0.3">
      <c r="A969" s="1">
        <v>968</v>
      </c>
      <c r="B969" s="1" t="s">
        <v>17</v>
      </c>
      <c r="C969" s="1">
        <v>2</v>
      </c>
      <c r="D969" s="1">
        <v>120</v>
      </c>
      <c r="E969" s="1">
        <v>200</v>
      </c>
      <c r="F969" s="1">
        <v>7</v>
      </c>
      <c r="G969" s="1">
        <v>25</v>
      </c>
      <c r="H969" s="1">
        <v>150</v>
      </c>
      <c r="I969" s="1">
        <v>100</v>
      </c>
      <c r="J969" s="1">
        <v>63.488</v>
      </c>
      <c r="K969" s="1">
        <v>73.025000000000006</v>
      </c>
      <c r="L969" s="1">
        <v>63.49</v>
      </c>
      <c r="M969" s="1">
        <v>98.5</v>
      </c>
      <c r="N969" s="1">
        <v>3.0130000000000001E-2</v>
      </c>
      <c r="O969" s="1">
        <v>2.0320000000000001E-4</v>
      </c>
      <c r="P9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38.572096198697096</v>
      </c>
      <c r="Q969" s="1">
        <f>LN(Table13[[#This Row],[qe_mg_g]]-Table13[[#This Row],[qt]])</f>
        <v>3.2155063064638689</v>
      </c>
      <c r="R969" s="1">
        <v>2</v>
      </c>
    </row>
    <row r="970" spans="1:18" hidden="1" x14ac:dyDescent="0.3">
      <c r="A970" s="1">
        <v>969</v>
      </c>
      <c r="B970" s="1" t="s">
        <v>17</v>
      </c>
      <c r="C970" s="1">
        <v>2</v>
      </c>
      <c r="D970" s="1">
        <v>120</v>
      </c>
      <c r="E970" s="1">
        <v>200</v>
      </c>
      <c r="F970" s="1">
        <v>7</v>
      </c>
      <c r="G970" s="1">
        <v>25</v>
      </c>
      <c r="H970" s="1">
        <v>150</v>
      </c>
      <c r="I970" s="1">
        <v>100</v>
      </c>
      <c r="J970" s="1">
        <v>55.741</v>
      </c>
      <c r="K970" s="1">
        <v>88.518000000000001</v>
      </c>
      <c r="L970" s="1">
        <v>55.74</v>
      </c>
      <c r="M970" s="1">
        <v>66.7</v>
      </c>
      <c r="N970" s="1">
        <v>3.2410000000000001E-2</v>
      </c>
      <c r="O970" s="1">
        <v>2.2379999999999999E-4</v>
      </c>
      <c r="P9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33.417636019397719</v>
      </c>
      <c r="Q970" s="1">
        <f>LN(Table13[[#This Row],[qe_mg_g]]-Table13[[#This Row],[qt]])</f>
        <v>3.1056338421334031</v>
      </c>
      <c r="R970" s="1">
        <v>3</v>
      </c>
    </row>
    <row r="971" spans="1:18" hidden="1" x14ac:dyDescent="0.3">
      <c r="A971" s="1">
        <v>970</v>
      </c>
      <c r="B971" s="1" t="s">
        <v>17</v>
      </c>
      <c r="C971" s="1">
        <v>2</v>
      </c>
      <c r="D971" s="1">
        <v>120</v>
      </c>
      <c r="E971" s="1">
        <v>200</v>
      </c>
      <c r="F971" s="1">
        <v>11</v>
      </c>
      <c r="G971" s="1">
        <v>25</v>
      </c>
      <c r="H971" s="1">
        <v>150</v>
      </c>
      <c r="I971" s="1">
        <v>100</v>
      </c>
      <c r="J971" s="1">
        <v>55.29</v>
      </c>
      <c r="K971" s="1">
        <v>89.42</v>
      </c>
      <c r="L971" s="1">
        <v>55.29</v>
      </c>
      <c r="M971" s="1">
        <v>88.8</v>
      </c>
      <c r="N971" s="1">
        <v>2.964E-2</v>
      </c>
      <c r="O971" s="1">
        <v>1.961E-4</v>
      </c>
      <c r="P9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31.262196898411737</v>
      </c>
      <c r="Q971" s="1">
        <f>LN(Table13[[#This Row],[qe_mg_g]]-Table13[[#This Row],[qt]])</f>
        <v>3.1792116224141473</v>
      </c>
      <c r="R971" s="1">
        <v>1</v>
      </c>
    </row>
    <row r="972" spans="1:18" hidden="1" x14ac:dyDescent="0.3">
      <c r="A972" s="1">
        <v>971</v>
      </c>
      <c r="B972" s="1" t="s">
        <v>17</v>
      </c>
      <c r="C972" s="1">
        <v>2</v>
      </c>
      <c r="D972" s="1">
        <v>120</v>
      </c>
      <c r="E972" s="1">
        <v>200</v>
      </c>
      <c r="F972" s="1">
        <v>11</v>
      </c>
      <c r="G972" s="1">
        <v>25</v>
      </c>
      <c r="H972" s="1">
        <v>150</v>
      </c>
      <c r="I972" s="1">
        <v>100</v>
      </c>
      <c r="J972" s="1">
        <v>52.015999999999998</v>
      </c>
      <c r="K972" s="1">
        <v>95.966999999999999</v>
      </c>
      <c r="L972" s="1">
        <v>52.02</v>
      </c>
      <c r="M972" s="1">
        <v>88</v>
      </c>
      <c r="N972" s="1">
        <v>2.8549999999999999E-2</v>
      </c>
      <c r="O972" s="1">
        <v>1.8220000000000001E-4</v>
      </c>
      <c r="P9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27.678499551579126</v>
      </c>
      <c r="Q972" s="1">
        <f>LN(Table13[[#This Row],[qe_mg_g]]-Table13[[#This Row],[qt]])</f>
        <v>3.192018389123418</v>
      </c>
      <c r="R972" s="1">
        <v>2</v>
      </c>
    </row>
    <row r="973" spans="1:18" hidden="1" x14ac:dyDescent="0.3">
      <c r="A973" s="1">
        <v>972</v>
      </c>
      <c r="B973" s="1" t="s">
        <v>17</v>
      </c>
      <c r="C973" s="1">
        <v>2</v>
      </c>
      <c r="D973" s="1">
        <v>120</v>
      </c>
      <c r="E973" s="1">
        <v>200</v>
      </c>
      <c r="F973" s="1">
        <v>11</v>
      </c>
      <c r="G973" s="1">
        <v>25</v>
      </c>
      <c r="H973" s="1">
        <v>150</v>
      </c>
      <c r="I973" s="1">
        <v>100</v>
      </c>
      <c r="J973" s="1">
        <v>50.168999999999997</v>
      </c>
      <c r="K973" s="1">
        <v>99.661000000000001</v>
      </c>
      <c r="L973" s="1">
        <v>50.17</v>
      </c>
      <c r="M973" s="1">
        <v>92.6</v>
      </c>
      <c r="N973" s="1">
        <v>2.7310000000000001E-2</v>
      </c>
      <c r="O973" s="1">
        <v>1.9680000000000001E-4</v>
      </c>
      <c r="P9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27.206163915511802</v>
      </c>
      <c r="Q973" s="1">
        <f>LN(Table13[[#This Row],[qe_mg_g]]-Table13[[#This Row],[qt]])</f>
        <v>3.1338770866666099</v>
      </c>
      <c r="R973" s="1">
        <v>3</v>
      </c>
    </row>
    <row r="974" spans="1:18" hidden="1" x14ac:dyDescent="0.3">
      <c r="A974" s="1">
        <v>973</v>
      </c>
      <c r="B974" s="1" t="s">
        <v>17</v>
      </c>
      <c r="C974" s="1">
        <v>2</v>
      </c>
      <c r="D974" s="1">
        <v>240</v>
      </c>
      <c r="E974" s="1">
        <v>25</v>
      </c>
      <c r="F974" s="1">
        <v>3</v>
      </c>
      <c r="G974" s="1">
        <v>25</v>
      </c>
      <c r="H974" s="1">
        <v>150</v>
      </c>
      <c r="I974" s="1">
        <v>100</v>
      </c>
      <c r="J974" s="1">
        <v>2.6819999999999999</v>
      </c>
      <c r="K974" s="1">
        <v>19.637</v>
      </c>
      <c r="L974" s="1">
        <v>21.45</v>
      </c>
      <c r="M974" s="1">
        <v>96.6</v>
      </c>
      <c r="N974" s="1">
        <v>3.7429999999999998E-2</v>
      </c>
      <c r="O974" s="1">
        <v>2.117E-4</v>
      </c>
      <c r="P9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0.32163939125240293</v>
      </c>
      <c r="Q974" s="1">
        <f>LN(Table13[[#This Row],[qe_mg_g]]-Table13[[#This Row],[qt]])</f>
        <v>0.85881440768151784</v>
      </c>
      <c r="R974" s="1">
        <v>1</v>
      </c>
    </row>
    <row r="975" spans="1:18" hidden="1" x14ac:dyDescent="0.3">
      <c r="A975" s="1">
        <v>974</v>
      </c>
      <c r="B975" s="1" t="s">
        <v>17</v>
      </c>
      <c r="C975" s="1">
        <v>2</v>
      </c>
      <c r="D975" s="1">
        <v>240</v>
      </c>
      <c r="E975" s="1">
        <v>25</v>
      </c>
      <c r="F975" s="1">
        <v>3</v>
      </c>
      <c r="G975" s="1">
        <v>25</v>
      </c>
      <c r="H975" s="1">
        <v>150</v>
      </c>
      <c r="I975" s="1">
        <v>100</v>
      </c>
      <c r="J975" s="1">
        <v>2.4319999999999999</v>
      </c>
      <c r="K975" s="1">
        <v>20.135000000000002</v>
      </c>
      <c r="L975" s="1">
        <v>19.46</v>
      </c>
      <c r="M975" s="1">
        <v>61.2</v>
      </c>
      <c r="N975" s="1">
        <v>3.3619999999999997E-2</v>
      </c>
      <c r="O975" s="1">
        <v>2.2000000000000001E-4</v>
      </c>
      <c r="P9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0.2767542452669669</v>
      </c>
      <c r="Q975" s="1">
        <f>LN(Table13[[#This Row],[qe_mg_g]]-Table13[[#This Row],[qt]])</f>
        <v>0.76790475637299527</v>
      </c>
      <c r="R975" s="1">
        <v>2</v>
      </c>
    </row>
    <row r="976" spans="1:18" hidden="1" x14ac:dyDescent="0.3">
      <c r="A976" s="1">
        <v>975</v>
      </c>
      <c r="B976" s="1" t="s">
        <v>17</v>
      </c>
      <c r="C976" s="1">
        <v>2</v>
      </c>
      <c r="D976" s="1">
        <v>240</v>
      </c>
      <c r="E976" s="1">
        <v>25</v>
      </c>
      <c r="F976" s="1">
        <v>3</v>
      </c>
      <c r="G976" s="1">
        <v>25</v>
      </c>
      <c r="H976" s="1">
        <v>150</v>
      </c>
      <c r="I976" s="1">
        <v>100</v>
      </c>
      <c r="J976" s="1">
        <v>3.012</v>
      </c>
      <c r="K976" s="1">
        <v>18.975000000000001</v>
      </c>
      <c r="L976" s="1">
        <v>24.1</v>
      </c>
      <c r="M976" s="1">
        <v>94.8</v>
      </c>
      <c r="N976" s="1">
        <v>3.6499999999999998E-2</v>
      </c>
      <c r="O976" s="1">
        <v>2.076E-4</v>
      </c>
      <c r="P9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0.39302872579514059</v>
      </c>
      <c r="Q976" s="1">
        <f>LN(Table13[[#This Row],[qe_mg_g]]-Table13[[#This Row],[qt]])</f>
        <v>0.96278159723512913</v>
      </c>
      <c r="R976" s="1">
        <v>3</v>
      </c>
    </row>
    <row r="977" spans="1:18" hidden="1" x14ac:dyDescent="0.3">
      <c r="A977" s="1">
        <v>976</v>
      </c>
      <c r="B977" s="1" t="s">
        <v>17</v>
      </c>
      <c r="C977" s="1">
        <v>2</v>
      </c>
      <c r="D977" s="1">
        <v>240</v>
      </c>
      <c r="E977" s="1">
        <v>25</v>
      </c>
      <c r="F977" s="1">
        <v>7</v>
      </c>
      <c r="G977" s="1">
        <v>25</v>
      </c>
      <c r="H977" s="1">
        <v>150</v>
      </c>
      <c r="I977" s="1">
        <v>100</v>
      </c>
      <c r="J977" s="1">
        <v>4.03</v>
      </c>
      <c r="K977" s="1">
        <v>16.939</v>
      </c>
      <c r="L977" s="1">
        <v>32.24</v>
      </c>
      <c r="M977" s="1">
        <v>84</v>
      </c>
      <c r="N977" s="1">
        <v>4.0840000000000001E-2</v>
      </c>
      <c r="O977" s="1">
        <v>1.8110000000000001E-4</v>
      </c>
      <c r="P9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0.60067950377341006</v>
      </c>
      <c r="Q977" s="1">
        <f>LN(Table13[[#This Row],[qe_mg_g]]-Table13[[#This Row],[qt]])</f>
        <v>1.232362135495864</v>
      </c>
      <c r="R977" s="1">
        <v>1</v>
      </c>
    </row>
    <row r="978" spans="1:18" hidden="1" x14ac:dyDescent="0.3">
      <c r="A978" s="1">
        <v>977</v>
      </c>
      <c r="B978" s="1" t="s">
        <v>17</v>
      </c>
      <c r="C978" s="1">
        <v>2</v>
      </c>
      <c r="D978" s="1">
        <v>240</v>
      </c>
      <c r="E978" s="1">
        <v>25</v>
      </c>
      <c r="F978" s="1">
        <v>7</v>
      </c>
      <c r="G978" s="1">
        <v>25</v>
      </c>
      <c r="H978" s="1">
        <v>150</v>
      </c>
      <c r="I978" s="1">
        <v>100</v>
      </c>
      <c r="J978" s="1">
        <v>4.9569999999999999</v>
      </c>
      <c r="K978" s="1">
        <v>15.086</v>
      </c>
      <c r="L978" s="1">
        <v>39.65</v>
      </c>
      <c r="M978" s="1">
        <v>81.599999999999994</v>
      </c>
      <c r="N978" s="1">
        <v>3.9640000000000002E-2</v>
      </c>
      <c r="O978" s="1">
        <v>1.719E-4</v>
      </c>
      <c r="P9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0.84161989153807371</v>
      </c>
      <c r="Q978" s="1">
        <f>LN(Table13[[#This Row],[qe_mg_g]]-Table13[[#This Row],[qt]])</f>
        <v>1.4147312012997317</v>
      </c>
      <c r="R978" s="1">
        <v>2</v>
      </c>
    </row>
    <row r="979" spans="1:18" hidden="1" x14ac:dyDescent="0.3">
      <c r="A979" s="1">
        <v>978</v>
      </c>
      <c r="B979" s="1" t="s">
        <v>17</v>
      </c>
      <c r="C979" s="1">
        <v>2</v>
      </c>
      <c r="D979" s="1">
        <v>240</v>
      </c>
      <c r="E979" s="1">
        <v>25</v>
      </c>
      <c r="F979" s="1">
        <v>7</v>
      </c>
      <c r="G979" s="1">
        <v>25</v>
      </c>
      <c r="H979" s="1">
        <v>150</v>
      </c>
      <c r="I979" s="1">
        <v>100</v>
      </c>
      <c r="J979" s="1">
        <v>4.5179999999999998</v>
      </c>
      <c r="K979" s="1">
        <v>15.965</v>
      </c>
      <c r="L979" s="1">
        <v>36.14</v>
      </c>
      <c r="M979" s="1">
        <v>76.2</v>
      </c>
      <c r="N979" s="1">
        <v>3.005E-2</v>
      </c>
      <c r="O979" s="1">
        <v>2.0440000000000001E-4</v>
      </c>
      <c r="P9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0.81967769389922396</v>
      </c>
      <c r="Q979" s="1">
        <f>LN(Table13[[#This Row],[qe_mg_g]]-Table13[[#This Row],[qt]])</f>
        <v>1.3078792860357813</v>
      </c>
      <c r="R979" s="1">
        <v>3</v>
      </c>
    </row>
    <row r="980" spans="1:18" hidden="1" x14ac:dyDescent="0.3">
      <c r="A980" s="1">
        <v>979</v>
      </c>
      <c r="B980" s="1" t="s">
        <v>17</v>
      </c>
      <c r="C980" s="1">
        <v>2</v>
      </c>
      <c r="D980" s="1">
        <v>240</v>
      </c>
      <c r="E980" s="1">
        <v>25</v>
      </c>
      <c r="F980" s="1">
        <v>11</v>
      </c>
      <c r="G980" s="1">
        <v>25</v>
      </c>
      <c r="H980" s="1">
        <v>150</v>
      </c>
      <c r="I980" s="1">
        <v>100</v>
      </c>
      <c r="J980" s="1">
        <v>3.593</v>
      </c>
      <c r="K980" s="1">
        <v>17.814</v>
      </c>
      <c r="L980" s="1">
        <v>28.74</v>
      </c>
      <c r="M980" s="1">
        <v>74.900000000000006</v>
      </c>
      <c r="N980" s="1">
        <v>2.9749999999999999E-2</v>
      </c>
      <c r="O980" s="1">
        <v>1.9819999999999999E-4</v>
      </c>
      <c r="P9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0.52445126186717872</v>
      </c>
      <c r="Q980" s="1">
        <f>LN(Table13[[#This Row],[qe_mg_g]]-Table13[[#This Row],[qt]])</f>
        <v>1.1212047260947782</v>
      </c>
      <c r="R980" s="1">
        <v>1</v>
      </c>
    </row>
    <row r="981" spans="1:18" hidden="1" x14ac:dyDescent="0.3">
      <c r="A981" s="1">
        <v>980</v>
      </c>
      <c r="B981" s="1" t="s">
        <v>17</v>
      </c>
      <c r="C981" s="1">
        <v>2</v>
      </c>
      <c r="D981" s="1">
        <v>240</v>
      </c>
      <c r="E981" s="1">
        <v>25</v>
      </c>
      <c r="F981" s="1">
        <v>11</v>
      </c>
      <c r="G981" s="1">
        <v>25</v>
      </c>
      <c r="H981" s="1">
        <v>150</v>
      </c>
      <c r="I981" s="1">
        <v>100</v>
      </c>
      <c r="J981" s="1">
        <v>3.2349999999999999</v>
      </c>
      <c r="K981" s="1">
        <v>18.53</v>
      </c>
      <c r="L981" s="1">
        <v>25.88</v>
      </c>
      <c r="M981" s="1">
        <v>92.8</v>
      </c>
      <c r="N981" s="1">
        <v>3.832E-2</v>
      </c>
      <c r="O981" s="1">
        <v>1.9880000000000001E-4</v>
      </c>
      <c r="P9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0.43255298816565174</v>
      </c>
      <c r="Q981" s="1">
        <f>LN(Table13[[#This Row],[qe_mg_g]]-Table13[[#This Row],[qt]])</f>
        <v>1.0304929683222175</v>
      </c>
      <c r="R981" s="1">
        <v>2</v>
      </c>
    </row>
    <row r="982" spans="1:18" hidden="1" x14ac:dyDescent="0.3">
      <c r="A982" s="1">
        <v>981</v>
      </c>
      <c r="B982" s="1" t="s">
        <v>17</v>
      </c>
      <c r="C982" s="1">
        <v>2</v>
      </c>
      <c r="D982" s="1">
        <v>240</v>
      </c>
      <c r="E982" s="1">
        <v>25</v>
      </c>
      <c r="F982" s="1">
        <v>11</v>
      </c>
      <c r="G982" s="1">
        <v>25</v>
      </c>
      <c r="H982" s="1">
        <v>150</v>
      </c>
      <c r="I982" s="1">
        <v>100</v>
      </c>
      <c r="J982" s="1">
        <v>3.8690000000000002</v>
      </c>
      <c r="K982" s="1">
        <v>17.262</v>
      </c>
      <c r="L982" s="1">
        <v>30.95</v>
      </c>
      <c r="M982" s="1">
        <v>88.6</v>
      </c>
      <c r="N982" s="1">
        <v>3.3790000000000001E-2</v>
      </c>
      <c r="O982" s="1">
        <v>1.6780000000000001E-4</v>
      </c>
      <c r="P9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0.52157086087869242</v>
      </c>
      <c r="Q982" s="1">
        <f>LN(Table13[[#This Row],[qe_mg_g]]-Table13[[#This Row],[qt]])</f>
        <v>1.2081926300607992</v>
      </c>
      <c r="R982" s="1">
        <v>3</v>
      </c>
    </row>
    <row r="983" spans="1:18" hidden="1" x14ac:dyDescent="0.3">
      <c r="A983" s="1">
        <v>982</v>
      </c>
      <c r="B983" s="1" t="s">
        <v>17</v>
      </c>
      <c r="C983" s="1">
        <v>2</v>
      </c>
      <c r="D983" s="1">
        <v>240</v>
      </c>
      <c r="E983" s="1">
        <v>50</v>
      </c>
      <c r="F983" s="1">
        <v>3</v>
      </c>
      <c r="G983" s="1">
        <v>25</v>
      </c>
      <c r="H983" s="1">
        <v>150</v>
      </c>
      <c r="I983" s="1">
        <v>100</v>
      </c>
      <c r="J983" s="1">
        <v>7.8689999999999998</v>
      </c>
      <c r="K983" s="1">
        <v>34.261000000000003</v>
      </c>
      <c r="L983" s="1">
        <v>31.48</v>
      </c>
      <c r="M983" s="1">
        <v>81.400000000000006</v>
      </c>
      <c r="N983" s="1">
        <v>3.8359999999999998E-2</v>
      </c>
      <c r="O983" s="1">
        <v>2.0919999999999999E-4</v>
      </c>
      <c r="P9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2.2284905558962684</v>
      </c>
      <c r="Q983" s="1">
        <f>LN(Table13[[#This Row],[qe_mg_g]]-Table13[[#This Row],[qt]])</f>
        <v>1.7299743883994791</v>
      </c>
      <c r="R983" s="1">
        <v>1</v>
      </c>
    </row>
    <row r="984" spans="1:18" hidden="1" x14ac:dyDescent="0.3">
      <c r="A984" s="1">
        <v>983</v>
      </c>
      <c r="B984" s="1" t="s">
        <v>17</v>
      </c>
      <c r="C984" s="1">
        <v>2</v>
      </c>
      <c r="D984" s="1">
        <v>240</v>
      </c>
      <c r="E984" s="1">
        <v>50</v>
      </c>
      <c r="F984" s="1">
        <v>3</v>
      </c>
      <c r="G984" s="1">
        <v>25</v>
      </c>
      <c r="H984" s="1">
        <v>150</v>
      </c>
      <c r="I984" s="1">
        <v>100</v>
      </c>
      <c r="J984" s="1">
        <v>7.1280000000000001</v>
      </c>
      <c r="K984" s="1">
        <v>35.743000000000002</v>
      </c>
      <c r="L984" s="1">
        <v>28.51</v>
      </c>
      <c r="M984" s="1">
        <v>87.9</v>
      </c>
      <c r="N984" s="1">
        <v>3.7350000000000001E-2</v>
      </c>
      <c r="O984" s="1">
        <v>2.3059999999999999E-4</v>
      </c>
      <c r="P9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2.0164612916884708</v>
      </c>
      <c r="Q984" s="1">
        <f>LN(Table13[[#This Row],[qe_mg_g]]-Table13[[#This Row],[qt]])</f>
        <v>1.6315004759753671</v>
      </c>
      <c r="R984" s="1">
        <v>2</v>
      </c>
    </row>
    <row r="985" spans="1:18" hidden="1" x14ac:dyDescent="0.3">
      <c r="A985" s="1">
        <v>984</v>
      </c>
      <c r="B985" s="1" t="s">
        <v>17</v>
      </c>
      <c r="C985" s="1">
        <v>2</v>
      </c>
      <c r="D985" s="1">
        <v>240</v>
      </c>
      <c r="E985" s="1">
        <v>50</v>
      </c>
      <c r="F985" s="1">
        <v>3</v>
      </c>
      <c r="G985" s="1">
        <v>25</v>
      </c>
      <c r="H985" s="1">
        <v>150</v>
      </c>
      <c r="I985" s="1">
        <v>100</v>
      </c>
      <c r="J985" s="1">
        <v>8.7989999999999995</v>
      </c>
      <c r="K985" s="1">
        <v>32.402000000000001</v>
      </c>
      <c r="L985" s="1">
        <v>35.200000000000003</v>
      </c>
      <c r="M985" s="1">
        <v>95.5</v>
      </c>
      <c r="N985" s="1">
        <v>3.5209999999999998E-2</v>
      </c>
      <c r="O985" s="1">
        <v>2.0780000000000001E-4</v>
      </c>
      <c r="P9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2.6835879250053618</v>
      </c>
      <c r="Q985" s="1">
        <f>LN(Table13[[#This Row],[qe_mg_g]]-Table13[[#This Row],[qt]])</f>
        <v>1.8108121544393638</v>
      </c>
      <c r="R985" s="1">
        <v>3</v>
      </c>
    </row>
    <row r="986" spans="1:18" hidden="1" x14ac:dyDescent="0.3">
      <c r="A986" s="1">
        <v>985</v>
      </c>
      <c r="B986" s="1" t="s">
        <v>17</v>
      </c>
      <c r="C986" s="1">
        <v>2</v>
      </c>
      <c r="D986" s="1">
        <v>240</v>
      </c>
      <c r="E986" s="1">
        <v>50</v>
      </c>
      <c r="F986" s="1">
        <v>7</v>
      </c>
      <c r="G986" s="1">
        <v>25</v>
      </c>
      <c r="H986" s="1">
        <v>150</v>
      </c>
      <c r="I986" s="1">
        <v>100</v>
      </c>
      <c r="J986" s="1">
        <v>13.99</v>
      </c>
      <c r="K986" s="1">
        <v>22.02</v>
      </c>
      <c r="L986" s="1">
        <v>55.96</v>
      </c>
      <c r="M986" s="1">
        <v>68.599999999999994</v>
      </c>
      <c r="N986" s="1">
        <v>3.3779999999999998E-2</v>
      </c>
      <c r="O986" s="1">
        <v>1.8450000000000001E-4</v>
      </c>
      <c r="P9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5.3514097191365213</v>
      </c>
      <c r="Q986" s="1">
        <f>LN(Table13[[#This Row],[qe_mg_g]]-Table13[[#This Row],[qt]])</f>
        <v>2.1562394075665101</v>
      </c>
      <c r="R986" s="1">
        <v>1</v>
      </c>
    </row>
    <row r="987" spans="1:18" hidden="1" x14ac:dyDescent="0.3">
      <c r="A987" s="1">
        <v>986</v>
      </c>
      <c r="B987" s="1" t="s">
        <v>17</v>
      </c>
      <c r="C987" s="1">
        <v>2</v>
      </c>
      <c r="D987" s="1">
        <v>240</v>
      </c>
      <c r="E987" s="1">
        <v>50</v>
      </c>
      <c r="F987" s="1">
        <v>7</v>
      </c>
      <c r="G987" s="1">
        <v>25</v>
      </c>
      <c r="H987" s="1">
        <v>150</v>
      </c>
      <c r="I987" s="1">
        <v>100</v>
      </c>
      <c r="J987" s="1">
        <v>12.907999999999999</v>
      </c>
      <c r="K987" s="1">
        <v>24.184000000000001</v>
      </c>
      <c r="L987" s="1">
        <v>51.63</v>
      </c>
      <c r="M987" s="1">
        <v>101.5</v>
      </c>
      <c r="N987" s="1">
        <v>3.2910000000000002E-2</v>
      </c>
      <c r="O987" s="1">
        <v>1.5220000000000001E-4</v>
      </c>
      <c r="P9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4.1360190521663371</v>
      </c>
      <c r="Q987" s="1">
        <f>LN(Table13[[#This Row],[qe_mg_g]]-Table13[[#This Row],[qt]])</f>
        <v>2.1715626586236958</v>
      </c>
      <c r="R987" s="1">
        <v>2</v>
      </c>
    </row>
    <row r="988" spans="1:18" hidden="1" x14ac:dyDescent="0.3">
      <c r="A988" s="1">
        <v>987</v>
      </c>
      <c r="B988" s="1" t="s">
        <v>17</v>
      </c>
      <c r="C988" s="1">
        <v>2</v>
      </c>
      <c r="D988" s="1">
        <v>240</v>
      </c>
      <c r="E988" s="1">
        <v>50</v>
      </c>
      <c r="F988" s="1">
        <v>7</v>
      </c>
      <c r="G988" s="1">
        <v>25</v>
      </c>
      <c r="H988" s="1">
        <v>150</v>
      </c>
      <c r="I988" s="1">
        <v>100</v>
      </c>
      <c r="J988" s="1">
        <v>11.923999999999999</v>
      </c>
      <c r="K988" s="1">
        <v>26.152999999999999</v>
      </c>
      <c r="L988" s="1">
        <v>47.69</v>
      </c>
      <c r="M988" s="1">
        <v>97.5</v>
      </c>
      <c r="N988" s="1">
        <v>3.6880000000000003E-2</v>
      </c>
      <c r="O988" s="1">
        <v>2.086E-4</v>
      </c>
      <c r="P9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4.4573279577970171</v>
      </c>
      <c r="Q988" s="1">
        <f>LN(Table13[[#This Row],[qe_mg_g]]-Table13[[#This Row],[qt]])</f>
        <v>2.0104493901305247</v>
      </c>
      <c r="R988" s="1">
        <v>3</v>
      </c>
    </row>
    <row r="989" spans="1:18" hidden="1" x14ac:dyDescent="0.3">
      <c r="A989" s="1">
        <v>988</v>
      </c>
      <c r="B989" s="1" t="s">
        <v>17</v>
      </c>
      <c r="C989" s="1">
        <v>2</v>
      </c>
      <c r="D989" s="1">
        <v>240</v>
      </c>
      <c r="E989" s="1">
        <v>50</v>
      </c>
      <c r="F989" s="1">
        <v>11</v>
      </c>
      <c r="G989" s="1">
        <v>25</v>
      </c>
      <c r="H989" s="1">
        <v>150</v>
      </c>
      <c r="I989" s="1">
        <v>100</v>
      </c>
      <c r="J989" s="1">
        <v>9.5</v>
      </c>
      <c r="K989" s="1">
        <v>31.001000000000001</v>
      </c>
      <c r="L989" s="1">
        <v>38</v>
      </c>
      <c r="M989" s="1">
        <v>69.3</v>
      </c>
      <c r="N989" s="1">
        <v>3.6799999999999999E-2</v>
      </c>
      <c r="O989" s="1">
        <v>1.8330000000000001E-4</v>
      </c>
      <c r="P9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2.8000640372826755</v>
      </c>
      <c r="Q989" s="1">
        <f>LN(Table13[[#This Row],[qe_mg_g]]-Table13[[#This Row],[qt]])</f>
        <v>1.9020979685478598</v>
      </c>
      <c r="R989" s="1">
        <v>1</v>
      </c>
    </row>
    <row r="990" spans="1:18" hidden="1" x14ac:dyDescent="0.3">
      <c r="A990" s="1">
        <v>989</v>
      </c>
      <c r="B990" s="1" t="s">
        <v>17</v>
      </c>
      <c r="C990" s="1">
        <v>2</v>
      </c>
      <c r="D990" s="1">
        <v>240</v>
      </c>
      <c r="E990" s="1">
        <v>50</v>
      </c>
      <c r="F990" s="1">
        <v>11</v>
      </c>
      <c r="G990" s="1">
        <v>25</v>
      </c>
      <c r="H990" s="1">
        <v>150</v>
      </c>
      <c r="I990" s="1">
        <v>100</v>
      </c>
      <c r="J990" s="1">
        <v>11.907999999999999</v>
      </c>
      <c r="K990" s="1">
        <v>26.184000000000001</v>
      </c>
      <c r="L990" s="1">
        <v>47.63</v>
      </c>
      <c r="M990" s="1">
        <v>93</v>
      </c>
      <c r="N990" s="1">
        <v>3.2969999999999999E-2</v>
      </c>
      <c r="O990" s="1">
        <v>1.8780000000000001E-4</v>
      </c>
      <c r="P9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4.1590149322343573</v>
      </c>
      <c r="Q990" s="1">
        <f>LN(Table13[[#This Row],[qe_mg_g]]-Table13[[#This Row],[qt]])</f>
        <v>2.0475618757913958</v>
      </c>
      <c r="R990" s="1">
        <v>2</v>
      </c>
    </row>
    <row r="991" spans="1:18" hidden="1" x14ac:dyDescent="0.3">
      <c r="A991" s="1">
        <v>990</v>
      </c>
      <c r="B991" s="1" t="s">
        <v>17</v>
      </c>
      <c r="C991" s="1">
        <v>2</v>
      </c>
      <c r="D991" s="1">
        <v>240</v>
      </c>
      <c r="E991" s="1">
        <v>50</v>
      </c>
      <c r="F991" s="1">
        <v>11</v>
      </c>
      <c r="G991" s="1">
        <v>25</v>
      </c>
      <c r="H991" s="1">
        <v>150</v>
      </c>
      <c r="I991" s="1">
        <v>100</v>
      </c>
      <c r="J991" s="1">
        <v>9.6829999999999998</v>
      </c>
      <c r="K991" s="1">
        <v>30.635000000000002</v>
      </c>
      <c r="L991" s="1">
        <v>38.729999999999997</v>
      </c>
      <c r="M991" s="1">
        <v>82.6</v>
      </c>
      <c r="N991" s="1">
        <v>3.891E-2</v>
      </c>
      <c r="O991" s="1">
        <v>2.0369999999999999E-4</v>
      </c>
      <c r="P9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3.1110473850393978</v>
      </c>
      <c r="Q991" s="1">
        <f>LN(Table13[[#This Row],[qe_mg_g]]-Table13[[#This Row],[qt]])</f>
        <v>1.8828109900091323</v>
      </c>
      <c r="R991" s="1">
        <v>3</v>
      </c>
    </row>
    <row r="992" spans="1:18" hidden="1" x14ac:dyDescent="0.3">
      <c r="A992" s="1">
        <v>991</v>
      </c>
      <c r="B992" s="1" t="s">
        <v>17</v>
      </c>
      <c r="C992" s="1">
        <v>2</v>
      </c>
      <c r="D992" s="1">
        <v>240</v>
      </c>
      <c r="E992" s="1">
        <v>100</v>
      </c>
      <c r="F992" s="1">
        <v>3</v>
      </c>
      <c r="G992" s="1">
        <v>25</v>
      </c>
      <c r="H992" s="1">
        <v>150</v>
      </c>
      <c r="I992" s="1">
        <v>100</v>
      </c>
      <c r="J992" s="1">
        <v>20.283000000000001</v>
      </c>
      <c r="K992" s="1">
        <v>59.433</v>
      </c>
      <c r="L992" s="1">
        <v>40.57</v>
      </c>
      <c r="M992" s="1">
        <v>110</v>
      </c>
      <c r="N992" s="1">
        <v>3.517E-2</v>
      </c>
      <c r="O992" s="1">
        <v>2.154E-4</v>
      </c>
      <c r="P9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10.381850251721074</v>
      </c>
      <c r="Q992" s="1">
        <f>LN(Table13[[#This Row],[qe_mg_g]]-Table13[[#This Row],[qt]])</f>
        <v>2.2926508865870496</v>
      </c>
      <c r="R992" s="1">
        <v>1</v>
      </c>
    </row>
    <row r="993" spans="1:18" hidden="1" x14ac:dyDescent="0.3">
      <c r="A993" s="1">
        <v>992</v>
      </c>
      <c r="B993" s="1" t="s">
        <v>17</v>
      </c>
      <c r="C993" s="1">
        <v>2</v>
      </c>
      <c r="D993" s="1">
        <v>240</v>
      </c>
      <c r="E993" s="1">
        <v>100</v>
      </c>
      <c r="F993" s="1">
        <v>3</v>
      </c>
      <c r="G993" s="1">
        <v>25</v>
      </c>
      <c r="H993" s="1">
        <v>150</v>
      </c>
      <c r="I993" s="1">
        <v>100</v>
      </c>
      <c r="J993" s="1">
        <v>20.553999999999998</v>
      </c>
      <c r="K993" s="1">
        <v>58.893000000000001</v>
      </c>
      <c r="L993" s="1">
        <v>41.11</v>
      </c>
      <c r="M993" s="1">
        <v>90.4</v>
      </c>
      <c r="N993" s="1">
        <v>3.6089999999999997E-2</v>
      </c>
      <c r="O993" s="1">
        <v>1.6220000000000001E-4</v>
      </c>
      <c r="P9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9.135911087793831</v>
      </c>
      <c r="Q993" s="1">
        <f>LN(Table13[[#This Row],[qe_mg_g]]-Table13[[#This Row],[qt]])</f>
        <v>2.435198844532783</v>
      </c>
      <c r="R993" s="1">
        <v>2</v>
      </c>
    </row>
    <row r="994" spans="1:18" hidden="1" x14ac:dyDescent="0.3">
      <c r="A994" s="1">
        <v>993</v>
      </c>
      <c r="B994" s="1" t="s">
        <v>17</v>
      </c>
      <c r="C994" s="1">
        <v>2</v>
      </c>
      <c r="D994" s="1">
        <v>240</v>
      </c>
      <c r="E994" s="1">
        <v>100</v>
      </c>
      <c r="F994" s="1">
        <v>3</v>
      </c>
      <c r="G994" s="1">
        <v>25</v>
      </c>
      <c r="H994" s="1">
        <v>150</v>
      </c>
      <c r="I994" s="1">
        <v>100</v>
      </c>
      <c r="J994" s="1">
        <v>26.295000000000002</v>
      </c>
      <c r="K994" s="1">
        <v>47.41</v>
      </c>
      <c r="L994" s="1">
        <v>52.59</v>
      </c>
      <c r="M994" s="1">
        <v>102.3</v>
      </c>
      <c r="N994" s="1">
        <v>3.3610000000000001E-2</v>
      </c>
      <c r="O994" s="1">
        <v>1.7799999999999999E-4</v>
      </c>
      <c r="P9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13.911105778378261</v>
      </c>
      <c r="Q994" s="1">
        <f>LN(Table13[[#This Row],[qe_mg_g]]-Table13[[#This Row],[qt]])</f>
        <v>2.5163967752751799</v>
      </c>
      <c r="R994" s="1">
        <v>3</v>
      </c>
    </row>
    <row r="995" spans="1:18" hidden="1" x14ac:dyDescent="0.3">
      <c r="A995" s="1">
        <v>994</v>
      </c>
      <c r="B995" s="1" t="s">
        <v>17</v>
      </c>
      <c r="C995" s="1">
        <v>2</v>
      </c>
      <c r="D995" s="1">
        <v>240</v>
      </c>
      <c r="E995" s="1">
        <v>100</v>
      </c>
      <c r="F995" s="1">
        <v>7</v>
      </c>
      <c r="G995" s="1">
        <v>25</v>
      </c>
      <c r="H995" s="1">
        <v>150</v>
      </c>
      <c r="I995" s="1">
        <v>100</v>
      </c>
      <c r="J995" s="1">
        <v>33.231999999999999</v>
      </c>
      <c r="K995" s="1">
        <v>33.536000000000001</v>
      </c>
      <c r="L995" s="1">
        <v>66.459999999999994</v>
      </c>
      <c r="M995" s="1">
        <v>86.8</v>
      </c>
      <c r="N995" s="1">
        <v>3.6240000000000001E-2</v>
      </c>
      <c r="O995" s="1">
        <v>2.0379999999999999E-4</v>
      </c>
      <c r="P9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20.57432942481692</v>
      </c>
      <c r="Q995" s="1">
        <f>LN(Table13[[#This Row],[qe_mg_g]]-Table13[[#This Row],[qt]])</f>
        <v>2.5382634009854694</v>
      </c>
      <c r="R995" s="1">
        <v>1</v>
      </c>
    </row>
    <row r="996" spans="1:18" hidden="1" x14ac:dyDescent="0.3">
      <c r="A996" s="1">
        <v>995</v>
      </c>
      <c r="B996" s="1" t="s">
        <v>17</v>
      </c>
      <c r="C996" s="1">
        <v>2</v>
      </c>
      <c r="D996" s="1">
        <v>240</v>
      </c>
      <c r="E996" s="1">
        <v>100</v>
      </c>
      <c r="F996" s="1">
        <v>7</v>
      </c>
      <c r="G996" s="1">
        <v>25</v>
      </c>
      <c r="H996" s="1">
        <v>150</v>
      </c>
      <c r="I996" s="1">
        <v>100</v>
      </c>
      <c r="J996" s="1">
        <v>33.741999999999997</v>
      </c>
      <c r="K996" s="1">
        <v>32.515999999999998</v>
      </c>
      <c r="L996" s="1">
        <v>67.48</v>
      </c>
      <c r="M996" s="1">
        <v>104.3</v>
      </c>
      <c r="N996" s="1">
        <v>3.6990000000000002E-2</v>
      </c>
      <c r="O996" s="1">
        <v>1.7899999999999999E-4</v>
      </c>
      <c r="P9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19.967260581067187</v>
      </c>
      <c r="Q996" s="1">
        <f>LN(Table13[[#This Row],[qe_mg_g]]-Table13[[#This Row],[qt]])</f>
        <v>2.6228364379041746</v>
      </c>
      <c r="R996" s="1">
        <v>2</v>
      </c>
    </row>
    <row r="997" spans="1:18" hidden="1" x14ac:dyDescent="0.3">
      <c r="A997" s="1">
        <v>996</v>
      </c>
      <c r="B997" s="1" t="s">
        <v>17</v>
      </c>
      <c r="C997" s="1">
        <v>2</v>
      </c>
      <c r="D997" s="1">
        <v>240</v>
      </c>
      <c r="E997" s="1">
        <v>100</v>
      </c>
      <c r="F997" s="1">
        <v>7</v>
      </c>
      <c r="G997" s="1">
        <v>25</v>
      </c>
      <c r="H997" s="1">
        <v>150</v>
      </c>
      <c r="I997" s="1">
        <v>100</v>
      </c>
      <c r="J997" s="1">
        <v>36.491999999999997</v>
      </c>
      <c r="K997" s="1">
        <v>27.015999999999998</v>
      </c>
      <c r="L997" s="1">
        <v>72.98</v>
      </c>
      <c r="M997" s="1">
        <v>106.8</v>
      </c>
      <c r="N997" s="1">
        <v>4.6030000000000001E-2</v>
      </c>
      <c r="O997" s="1">
        <v>1.775E-4</v>
      </c>
      <c r="P9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22.206952309580451</v>
      </c>
      <c r="Q997" s="1">
        <f>LN(Table13[[#This Row],[qe_mg_g]]-Table13[[#This Row],[qt]])</f>
        <v>2.6592133741734565</v>
      </c>
      <c r="R997" s="1">
        <v>3</v>
      </c>
    </row>
    <row r="998" spans="1:18" hidden="1" x14ac:dyDescent="0.3">
      <c r="A998" s="1">
        <v>997</v>
      </c>
      <c r="B998" s="1" t="s">
        <v>17</v>
      </c>
      <c r="C998" s="1">
        <v>2</v>
      </c>
      <c r="D998" s="1">
        <v>240</v>
      </c>
      <c r="E998" s="1">
        <v>100</v>
      </c>
      <c r="F998" s="1">
        <v>11</v>
      </c>
      <c r="G998" s="1">
        <v>25</v>
      </c>
      <c r="H998" s="1">
        <v>150</v>
      </c>
      <c r="I998" s="1">
        <v>100</v>
      </c>
      <c r="J998" s="1">
        <v>26.547000000000001</v>
      </c>
      <c r="K998" s="1">
        <v>46.905999999999999</v>
      </c>
      <c r="L998" s="1">
        <v>53.09</v>
      </c>
      <c r="M998" s="1">
        <v>58.9</v>
      </c>
      <c r="N998" s="1">
        <v>3.6940000000000001E-2</v>
      </c>
      <c r="O998" s="1">
        <v>1.8900000000000001E-4</v>
      </c>
      <c r="P9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14.503021143759058</v>
      </c>
      <c r="Q998" s="1">
        <f>LN(Table13[[#This Row],[qe_mg_g]]-Table13[[#This Row],[qt]])</f>
        <v>2.4885648550750159</v>
      </c>
      <c r="R998" s="1">
        <v>1</v>
      </c>
    </row>
    <row r="999" spans="1:18" hidden="1" x14ac:dyDescent="0.3">
      <c r="A999" s="1">
        <v>998</v>
      </c>
      <c r="B999" s="1" t="s">
        <v>17</v>
      </c>
      <c r="C999" s="1">
        <v>2</v>
      </c>
      <c r="D999" s="1">
        <v>240</v>
      </c>
      <c r="E999" s="1">
        <v>100</v>
      </c>
      <c r="F999" s="1">
        <v>11</v>
      </c>
      <c r="G999" s="1">
        <v>25</v>
      </c>
      <c r="H999" s="1">
        <v>150</v>
      </c>
      <c r="I999" s="1">
        <v>100</v>
      </c>
      <c r="J999" s="1">
        <v>30.902999999999999</v>
      </c>
      <c r="K999" s="1">
        <v>38.194000000000003</v>
      </c>
      <c r="L999" s="1">
        <v>61.81</v>
      </c>
      <c r="M999" s="1">
        <v>75.8</v>
      </c>
      <c r="N999" s="1">
        <v>2.9090000000000001E-2</v>
      </c>
      <c r="O999" s="1">
        <v>1.906E-4</v>
      </c>
      <c r="P9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18.099446612920318</v>
      </c>
      <c r="Q999" s="1">
        <f>LN(Table13[[#This Row],[qe_mg_g]]-Table13[[#This Row],[qt]])</f>
        <v>2.5497227407650991</v>
      </c>
      <c r="R999" s="1">
        <v>2</v>
      </c>
    </row>
    <row r="1000" spans="1:18" hidden="1" x14ac:dyDescent="0.3">
      <c r="A1000" s="1">
        <v>999</v>
      </c>
      <c r="B1000" s="1" t="s">
        <v>17</v>
      </c>
      <c r="C1000" s="1">
        <v>2</v>
      </c>
      <c r="D1000" s="1">
        <v>240</v>
      </c>
      <c r="E1000" s="1">
        <v>100</v>
      </c>
      <c r="F1000" s="1">
        <v>11</v>
      </c>
      <c r="G1000" s="1">
        <v>25</v>
      </c>
      <c r="H1000" s="1">
        <v>150</v>
      </c>
      <c r="I1000" s="1">
        <v>100</v>
      </c>
      <c r="J1000" s="1">
        <v>20.797999999999998</v>
      </c>
      <c r="K1000" s="1">
        <v>58.405000000000001</v>
      </c>
      <c r="L1000" s="1">
        <v>41.6</v>
      </c>
      <c r="M1000" s="1">
        <v>95.4</v>
      </c>
      <c r="N1000" s="1">
        <v>2.777E-2</v>
      </c>
      <c r="O1000" s="1">
        <v>2.006E-4</v>
      </c>
      <c r="P10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10.405749309564404</v>
      </c>
      <c r="Q1000" s="1">
        <f>LN(Table13[[#This Row],[qe_mg_g]]-Table13[[#This Row],[qt]])</f>
        <v>2.3410604024833761</v>
      </c>
      <c r="R1000" s="1">
        <v>3</v>
      </c>
    </row>
    <row r="1001" spans="1:18" hidden="1" x14ac:dyDescent="0.3">
      <c r="A1001" s="1">
        <v>1000</v>
      </c>
      <c r="B1001" s="1" t="s">
        <v>17</v>
      </c>
      <c r="C1001" s="1">
        <v>2</v>
      </c>
      <c r="D1001" s="1">
        <v>240</v>
      </c>
      <c r="E1001" s="1">
        <v>200</v>
      </c>
      <c r="F1001" s="1">
        <v>3</v>
      </c>
      <c r="G1001" s="1">
        <v>25</v>
      </c>
      <c r="H1001" s="1">
        <v>150</v>
      </c>
      <c r="I1001" s="1">
        <v>100</v>
      </c>
      <c r="J1001" s="1">
        <v>41.427999999999997</v>
      </c>
      <c r="K1001" s="1">
        <v>117.14400000000001</v>
      </c>
      <c r="L1001" s="1">
        <v>41.43</v>
      </c>
      <c r="M1001" s="1">
        <v>81.599999999999994</v>
      </c>
      <c r="N1001" s="1">
        <v>4.0750000000000001E-2</v>
      </c>
      <c r="O1001" s="1">
        <v>2.0719999999999999E-4</v>
      </c>
      <c r="P10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27.890020059330887</v>
      </c>
      <c r="Q1001" s="1">
        <f>LN(Table13[[#This Row],[qe_mg_g]]-Table13[[#This Row],[qt]])</f>
        <v>2.6054990643796829</v>
      </c>
      <c r="R1001" s="1">
        <v>1</v>
      </c>
    </row>
    <row r="1002" spans="1:18" hidden="1" x14ac:dyDescent="0.3">
      <c r="A1002" s="1">
        <v>1001</v>
      </c>
      <c r="B1002" s="1" t="s">
        <v>17</v>
      </c>
      <c r="C1002" s="1">
        <v>2</v>
      </c>
      <c r="D1002" s="1">
        <v>240</v>
      </c>
      <c r="E1002" s="1">
        <v>200</v>
      </c>
      <c r="F1002" s="1">
        <v>3</v>
      </c>
      <c r="G1002" s="1">
        <v>25</v>
      </c>
      <c r="H1002" s="1">
        <v>150</v>
      </c>
      <c r="I1002" s="1">
        <v>100</v>
      </c>
      <c r="J1002" s="1">
        <v>47.777999999999999</v>
      </c>
      <c r="K1002" s="1">
        <v>104.444</v>
      </c>
      <c r="L1002" s="1">
        <v>47.78</v>
      </c>
      <c r="M1002" s="1">
        <v>85.3</v>
      </c>
      <c r="N1002" s="1">
        <v>3.5060000000000001E-2</v>
      </c>
      <c r="O1002" s="1">
        <v>2.095E-4</v>
      </c>
      <c r="P10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33.735055171014487</v>
      </c>
      <c r="Q1002" s="1">
        <f>LN(Table13[[#This Row],[qe_mg_g]]-Table13[[#This Row],[qt]])</f>
        <v>2.6421201222583592</v>
      </c>
      <c r="R1002" s="1">
        <v>2</v>
      </c>
    </row>
    <row r="1003" spans="1:18" hidden="1" x14ac:dyDescent="0.3">
      <c r="A1003" s="1">
        <v>1002</v>
      </c>
      <c r="B1003" s="1" t="s">
        <v>17</v>
      </c>
      <c r="C1003" s="1">
        <v>2</v>
      </c>
      <c r="D1003" s="1">
        <v>240</v>
      </c>
      <c r="E1003" s="1">
        <v>200</v>
      </c>
      <c r="F1003" s="1">
        <v>3</v>
      </c>
      <c r="G1003" s="1">
        <v>25</v>
      </c>
      <c r="H1003" s="1">
        <v>150</v>
      </c>
      <c r="I1003" s="1">
        <v>100</v>
      </c>
      <c r="J1003" s="1">
        <v>45.146000000000001</v>
      </c>
      <c r="K1003" s="1">
        <v>109.708</v>
      </c>
      <c r="L1003" s="1">
        <v>45.15</v>
      </c>
      <c r="M1003" s="1">
        <v>93.3</v>
      </c>
      <c r="N1003" s="1">
        <v>2.5530000000000001E-2</v>
      </c>
      <c r="O1003" s="1">
        <v>1.874E-4</v>
      </c>
      <c r="P10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30.248721936035981</v>
      </c>
      <c r="Q1003" s="1">
        <f>LN(Table13[[#This Row],[qe_mg_g]]-Table13[[#This Row],[qt]])</f>
        <v>2.7011785159924693</v>
      </c>
      <c r="R1003" s="1">
        <v>3</v>
      </c>
    </row>
    <row r="1004" spans="1:18" hidden="1" x14ac:dyDescent="0.3">
      <c r="A1004" s="1">
        <v>1003</v>
      </c>
      <c r="B1004" s="1" t="s">
        <v>17</v>
      </c>
      <c r="C1004" s="1">
        <v>2</v>
      </c>
      <c r="D1004" s="1">
        <v>240</v>
      </c>
      <c r="E1004" s="1">
        <v>200</v>
      </c>
      <c r="F1004" s="1">
        <v>7</v>
      </c>
      <c r="G1004" s="1">
        <v>25</v>
      </c>
      <c r="H1004" s="1">
        <v>150</v>
      </c>
      <c r="I1004" s="1">
        <v>100</v>
      </c>
      <c r="J1004" s="1">
        <v>70.313999999999993</v>
      </c>
      <c r="K1004" s="1">
        <v>59.371000000000002</v>
      </c>
      <c r="L1004" s="1">
        <v>70.31</v>
      </c>
      <c r="M1004" s="1">
        <v>93.9</v>
      </c>
      <c r="N1004" s="1">
        <v>3.508E-2</v>
      </c>
      <c r="O1004" s="1">
        <v>1.719E-4</v>
      </c>
      <c r="P10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52.288810496743231</v>
      </c>
      <c r="Q1004" s="1">
        <f>LN(Table13[[#This Row],[qe_mg_g]]-Table13[[#This Row],[qt]])</f>
        <v>2.8917701964725722</v>
      </c>
      <c r="R1004" s="1">
        <v>1</v>
      </c>
    </row>
    <row r="1005" spans="1:18" hidden="1" x14ac:dyDescent="0.3">
      <c r="A1005" s="1">
        <v>1004</v>
      </c>
      <c r="B1005" s="1" t="s">
        <v>17</v>
      </c>
      <c r="C1005" s="1">
        <v>2</v>
      </c>
      <c r="D1005" s="1">
        <v>240</v>
      </c>
      <c r="E1005" s="1">
        <v>200</v>
      </c>
      <c r="F1005" s="1">
        <v>7</v>
      </c>
      <c r="G1005" s="1">
        <v>25</v>
      </c>
      <c r="H1005" s="1">
        <v>150</v>
      </c>
      <c r="I1005" s="1">
        <v>100</v>
      </c>
      <c r="J1005" s="1">
        <v>66.641999999999996</v>
      </c>
      <c r="K1005" s="1">
        <v>66.715000000000003</v>
      </c>
      <c r="L1005" s="1">
        <v>66.64</v>
      </c>
      <c r="M1005" s="1">
        <v>88.3</v>
      </c>
      <c r="N1005" s="1">
        <v>3.4720000000000001E-2</v>
      </c>
      <c r="O1005" s="1">
        <v>1.884E-4</v>
      </c>
      <c r="P10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50.036649159839115</v>
      </c>
      <c r="Q1005" s="1">
        <f>LN(Table13[[#This Row],[qe_mg_g]]-Table13[[#This Row],[qt]])</f>
        <v>2.8097249831909235</v>
      </c>
      <c r="R1005" s="1">
        <v>2</v>
      </c>
    </row>
    <row r="1006" spans="1:18" hidden="1" x14ac:dyDescent="0.3">
      <c r="A1006" s="1">
        <v>1005</v>
      </c>
      <c r="B1006" s="1" t="s">
        <v>17</v>
      </c>
      <c r="C1006" s="1">
        <v>2</v>
      </c>
      <c r="D1006" s="1">
        <v>240</v>
      </c>
      <c r="E1006" s="1">
        <v>200</v>
      </c>
      <c r="F1006" s="1">
        <v>7</v>
      </c>
      <c r="G1006" s="1">
        <v>25</v>
      </c>
      <c r="H1006" s="1">
        <v>150</v>
      </c>
      <c r="I1006" s="1">
        <v>100</v>
      </c>
      <c r="J1006" s="1">
        <v>70.369</v>
      </c>
      <c r="K1006" s="1">
        <v>59.261000000000003</v>
      </c>
      <c r="L1006" s="1">
        <v>70.37</v>
      </c>
      <c r="M1006" s="1">
        <v>94.7</v>
      </c>
      <c r="N1006" s="1">
        <v>3.3189999999999997E-2</v>
      </c>
      <c r="O1006" s="1">
        <v>1.9819999999999999E-4</v>
      </c>
      <c r="P10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54.182218278921503</v>
      </c>
      <c r="Q1006" s="1">
        <f>LN(Table13[[#This Row],[qe_mg_g]]-Table13[[#This Row],[qt]])</f>
        <v>2.7841949660322434</v>
      </c>
      <c r="R1006" s="1">
        <v>3</v>
      </c>
    </row>
    <row r="1007" spans="1:18" hidden="1" x14ac:dyDescent="0.3">
      <c r="A1007" s="1">
        <v>1006</v>
      </c>
      <c r="B1007" s="1" t="s">
        <v>17</v>
      </c>
      <c r="C1007" s="1">
        <v>2</v>
      </c>
      <c r="D1007" s="1">
        <v>240</v>
      </c>
      <c r="E1007" s="1">
        <v>200</v>
      </c>
      <c r="F1007" s="1">
        <v>11</v>
      </c>
      <c r="G1007" s="1">
        <v>25</v>
      </c>
      <c r="H1007" s="1">
        <v>150</v>
      </c>
      <c r="I1007" s="1">
        <v>100</v>
      </c>
      <c r="J1007" s="1">
        <v>74.106999999999999</v>
      </c>
      <c r="K1007" s="1">
        <v>51.784999999999997</v>
      </c>
      <c r="L1007" s="1">
        <v>74.11</v>
      </c>
      <c r="M1007" s="1">
        <v>67.400000000000006</v>
      </c>
      <c r="N1007" s="1">
        <v>2.852E-2</v>
      </c>
      <c r="O1007" s="1">
        <v>2.1570000000000001E-4</v>
      </c>
      <c r="P10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58.784147947670256</v>
      </c>
      <c r="Q1007" s="1">
        <f>LN(Table13[[#This Row],[qe_mg_g]]-Table13[[#This Row],[qt]])</f>
        <v>2.7293453122815121</v>
      </c>
      <c r="R1007" s="1">
        <v>1</v>
      </c>
    </row>
    <row r="1008" spans="1:18" hidden="1" x14ac:dyDescent="0.3">
      <c r="A1008" s="1">
        <v>1007</v>
      </c>
      <c r="B1008" s="1" t="s">
        <v>17</v>
      </c>
      <c r="C1008" s="1">
        <v>2</v>
      </c>
      <c r="D1008" s="1">
        <v>240</v>
      </c>
      <c r="E1008" s="1">
        <v>200</v>
      </c>
      <c r="F1008" s="1">
        <v>11</v>
      </c>
      <c r="G1008" s="1">
        <v>25</v>
      </c>
      <c r="H1008" s="1">
        <v>150</v>
      </c>
      <c r="I1008" s="1">
        <v>100</v>
      </c>
      <c r="J1008" s="1">
        <v>56.761000000000003</v>
      </c>
      <c r="K1008" s="1">
        <v>86.477000000000004</v>
      </c>
      <c r="L1008" s="1">
        <v>56.76</v>
      </c>
      <c r="M1008" s="1">
        <v>81.599999999999994</v>
      </c>
      <c r="N1008" s="1">
        <v>3.227E-2</v>
      </c>
      <c r="O1008" s="1">
        <v>1.9479999999999999E-4</v>
      </c>
      <c r="P10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41.225747755170417</v>
      </c>
      <c r="Q1008" s="1">
        <f>LN(Table13[[#This Row],[qe_mg_g]]-Table13[[#This Row],[qt]])</f>
        <v>2.7431117799085274</v>
      </c>
      <c r="R1008" s="1">
        <v>2</v>
      </c>
    </row>
    <row r="1009" spans="1:18" hidden="1" x14ac:dyDescent="0.3">
      <c r="A1009" s="1">
        <v>1008</v>
      </c>
      <c r="B1009" s="1" t="s">
        <v>17</v>
      </c>
      <c r="C1009" s="1">
        <v>2</v>
      </c>
      <c r="D1009" s="1">
        <v>240</v>
      </c>
      <c r="E1009" s="1">
        <v>200</v>
      </c>
      <c r="F1009" s="1">
        <v>11</v>
      </c>
      <c r="G1009" s="1">
        <v>25</v>
      </c>
      <c r="H1009" s="1">
        <v>150</v>
      </c>
      <c r="I1009" s="1">
        <v>100</v>
      </c>
      <c r="J1009" s="1">
        <v>70.628</v>
      </c>
      <c r="K1009" s="1">
        <v>58.744</v>
      </c>
      <c r="L1009" s="1">
        <v>70.63</v>
      </c>
      <c r="M1009" s="1">
        <v>96</v>
      </c>
      <c r="N1009" s="1">
        <v>3.8019999999999998E-2</v>
      </c>
      <c r="O1009" s="1">
        <v>1.717E-4</v>
      </c>
      <c r="P10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52.566599018911496</v>
      </c>
      <c r="Q1009" s="1">
        <f>LN(Table13[[#This Row],[qe_mg_g]]-Table13[[#This Row],[qt]])</f>
        <v>2.8937771186838375</v>
      </c>
      <c r="R1009" s="1">
        <v>3</v>
      </c>
    </row>
    <row r="1010" spans="1:18" hidden="1" x14ac:dyDescent="0.3">
      <c r="A1010" s="1">
        <v>1009</v>
      </c>
      <c r="B1010" s="1" t="s">
        <v>17</v>
      </c>
      <c r="C1010" s="1">
        <v>4</v>
      </c>
      <c r="D1010" s="1">
        <v>30</v>
      </c>
      <c r="E1010" s="1">
        <v>25</v>
      </c>
      <c r="F1010" s="1">
        <v>3</v>
      </c>
      <c r="G1010" s="1">
        <v>25</v>
      </c>
      <c r="H1010" s="1">
        <v>150</v>
      </c>
      <c r="I1010" s="1">
        <v>100</v>
      </c>
      <c r="J1010" s="1">
        <v>9.9000000000000005E-2</v>
      </c>
      <c r="K1010" s="1">
        <v>24.605</v>
      </c>
      <c r="L1010" s="1">
        <v>1.58</v>
      </c>
      <c r="M1010" s="1">
        <v>49.2</v>
      </c>
      <c r="N1010" s="1">
        <v>3.2169999999999997E-2</v>
      </c>
      <c r="O1010" s="1">
        <v>2.1910000000000001E-4</v>
      </c>
      <c r="P10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6.4380079144238719E-5</v>
      </c>
      <c r="Q1010" s="1">
        <f>LN(Table13[[#This Row],[qe_mg_g]]-Table13[[#This Row],[qt]])</f>
        <v>-2.313285944216537</v>
      </c>
      <c r="R1010" s="1">
        <v>1</v>
      </c>
    </row>
    <row r="1011" spans="1:18" hidden="1" x14ac:dyDescent="0.3">
      <c r="A1011" s="1">
        <v>1010</v>
      </c>
      <c r="B1011" s="1" t="s">
        <v>17</v>
      </c>
      <c r="C1011" s="1">
        <v>4</v>
      </c>
      <c r="D1011" s="1">
        <v>30</v>
      </c>
      <c r="E1011" s="1">
        <v>25</v>
      </c>
      <c r="F1011" s="1">
        <v>3</v>
      </c>
      <c r="G1011" s="1">
        <v>25</v>
      </c>
      <c r="H1011" s="1">
        <v>150</v>
      </c>
      <c r="I1011" s="1">
        <v>100</v>
      </c>
      <c r="J1011" s="1">
        <v>0.11700000000000001</v>
      </c>
      <c r="K1011" s="1">
        <v>24.530999999999999</v>
      </c>
      <c r="L1011" s="1">
        <v>1.88</v>
      </c>
      <c r="M1011" s="1">
        <v>82.9</v>
      </c>
      <c r="N1011" s="1">
        <v>3.492E-2</v>
      </c>
      <c r="O1011" s="1">
        <v>1.862E-4</v>
      </c>
      <c r="P10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7.6416810876250092E-5</v>
      </c>
      <c r="Q1011" s="1">
        <f>LN(Table13[[#This Row],[qe_mg_g]]-Table13[[#This Row],[qt]])</f>
        <v>-2.1462346927057463</v>
      </c>
      <c r="R1011" s="1">
        <v>2</v>
      </c>
    </row>
    <row r="1012" spans="1:18" hidden="1" x14ac:dyDescent="0.3">
      <c r="A1012" s="1">
        <v>1011</v>
      </c>
      <c r="B1012" s="1" t="s">
        <v>17</v>
      </c>
      <c r="C1012" s="1">
        <v>4</v>
      </c>
      <c r="D1012" s="1">
        <v>30</v>
      </c>
      <c r="E1012" s="1">
        <v>25</v>
      </c>
      <c r="F1012" s="1">
        <v>3</v>
      </c>
      <c r="G1012" s="1">
        <v>25</v>
      </c>
      <c r="H1012" s="1">
        <v>150</v>
      </c>
      <c r="I1012" s="1">
        <v>100</v>
      </c>
      <c r="J1012" s="1">
        <v>0.114</v>
      </c>
      <c r="K1012" s="1">
        <v>24.545000000000002</v>
      </c>
      <c r="L1012" s="1">
        <v>1.82</v>
      </c>
      <c r="M1012" s="1">
        <v>95.6</v>
      </c>
      <c r="N1012" s="1">
        <v>2.9340000000000001E-2</v>
      </c>
      <c r="O1012" s="1">
        <v>2.0599999999999999E-4</v>
      </c>
      <c r="P10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8.02587361152321E-5</v>
      </c>
      <c r="Q1012" s="1">
        <f>LN(Table13[[#This Row],[qe_mg_g]]-Table13[[#This Row],[qt]])</f>
        <v>-2.1722611025299274</v>
      </c>
      <c r="R1012" s="1">
        <v>3</v>
      </c>
    </row>
    <row r="1013" spans="1:18" hidden="1" x14ac:dyDescent="0.3">
      <c r="A1013" s="1">
        <v>1012</v>
      </c>
      <c r="B1013" s="1" t="s">
        <v>17</v>
      </c>
      <c r="C1013" s="1">
        <v>4</v>
      </c>
      <c r="D1013" s="1">
        <v>30</v>
      </c>
      <c r="E1013" s="1">
        <v>25</v>
      </c>
      <c r="F1013" s="1">
        <v>7</v>
      </c>
      <c r="G1013" s="1">
        <v>25</v>
      </c>
      <c r="H1013" s="1">
        <v>150</v>
      </c>
      <c r="I1013" s="1">
        <v>100</v>
      </c>
      <c r="J1013" s="1">
        <v>0.215</v>
      </c>
      <c r="K1013" s="1">
        <v>24.14</v>
      </c>
      <c r="L1013" s="1">
        <v>3.44</v>
      </c>
      <c r="M1013" s="1">
        <v>80.400000000000006</v>
      </c>
      <c r="N1013" s="1">
        <v>3.7449999999999997E-2</v>
      </c>
      <c r="O1013" s="1">
        <v>2.563E-4</v>
      </c>
      <c r="P10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3.5483743082379509E-4</v>
      </c>
      <c r="Q1013" s="1">
        <f>LN(Table13[[#This Row],[qe_mg_g]]-Table13[[#This Row],[qt]])</f>
        <v>-1.5387690209308718</v>
      </c>
      <c r="R1013" s="1">
        <v>1</v>
      </c>
    </row>
    <row r="1014" spans="1:18" hidden="1" x14ac:dyDescent="0.3">
      <c r="A1014" s="1">
        <v>1013</v>
      </c>
      <c r="B1014" s="1" t="s">
        <v>17</v>
      </c>
      <c r="C1014" s="1">
        <v>4</v>
      </c>
      <c r="D1014" s="1">
        <v>30</v>
      </c>
      <c r="E1014" s="1">
        <v>25</v>
      </c>
      <c r="F1014" s="1">
        <v>7</v>
      </c>
      <c r="G1014" s="1">
        <v>25</v>
      </c>
      <c r="H1014" s="1">
        <v>150</v>
      </c>
      <c r="I1014" s="1">
        <v>100</v>
      </c>
      <c r="J1014" s="1">
        <v>0.19500000000000001</v>
      </c>
      <c r="K1014" s="1">
        <v>24.222000000000001</v>
      </c>
      <c r="L1014" s="1">
        <v>3.11</v>
      </c>
      <c r="M1014" s="1">
        <v>90.8</v>
      </c>
      <c r="N1014" s="1">
        <v>3.2419999999999997E-2</v>
      </c>
      <c r="O1014" s="1">
        <v>2.0359999999999999E-4</v>
      </c>
      <c r="P10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2.3198039742783962E-4</v>
      </c>
      <c r="Q1014" s="1">
        <f>LN(Table13[[#This Row],[qe_mg_g]]-Table13[[#This Row],[qt]])</f>
        <v>-1.6359460716691478</v>
      </c>
      <c r="R1014" s="1">
        <v>2</v>
      </c>
    </row>
    <row r="1015" spans="1:18" hidden="1" x14ac:dyDescent="0.3">
      <c r="A1015" s="1">
        <v>1014</v>
      </c>
      <c r="B1015" s="1" t="s">
        <v>17</v>
      </c>
      <c r="C1015" s="1">
        <v>4</v>
      </c>
      <c r="D1015" s="1">
        <v>30</v>
      </c>
      <c r="E1015" s="1">
        <v>25</v>
      </c>
      <c r="F1015" s="1">
        <v>7</v>
      </c>
      <c r="G1015" s="1">
        <v>25</v>
      </c>
      <c r="H1015" s="1">
        <v>150</v>
      </c>
      <c r="I1015" s="1">
        <v>100</v>
      </c>
      <c r="J1015" s="1">
        <v>0.20599999999999999</v>
      </c>
      <c r="K1015" s="1">
        <v>24.177</v>
      </c>
      <c r="L1015" s="1">
        <v>3.29</v>
      </c>
      <c r="M1015" s="1">
        <v>88.2</v>
      </c>
      <c r="N1015" s="1">
        <v>3.143E-2</v>
      </c>
      <c r="O1015" s="1">
        <v>2.041E-4</v>
      </c>
      <c r="P10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2.5950830031949159E-4</v>
      </c>
      <c r="Q1015" s="1">
        <f>LN(Table13[[#This Row],[qe_mg_g]]-Table13[[#This Row],[qt]])</f>
        <v>-1.5811396533740671</v>
      </c>
      <c r="R1015" s="1">
        <v>3</v>
      </c>
    </row>
    <row r="1016" spans="1:18" hidden="1" x14ac:dyDescent="0.3">
      <c r="A1016" s="1">
        <v>1015</v>
      </c>
      <c r="B1016" s="1" t="s">
        <v>17</v>
      </c>
      <c r="C1016" s="1">
        <v>4</v>
      </c>
      <c r="D1016" s="1">
        <v>30</v>
      </c>
      <c r="E1016" s="1">
        <v>25</v>
      </c>
      <c r="F1016" s="1">
        <v>11</v>
      </c>
      <c r="G1016" s="1">
        <v>25</v>
      </c>
      <c r="H1016" s="1">
        <v>150</v>
      </c>
      <c r="I1016" s="1">
        <v>100</v>
      </c>
      <c r="J1016" s="1">
        <v>0.16400000000000001</v>
      </c>
      <c r="K1016" s="1">
        <v>24.344999999999999</v>
      </c>
      <c r="L1016" s="1">
        <v>2.62</v>
      </c>
      <c r="M1016" s="1">
        <v>91.5</v>
      </c>
      <c r="N1016" s="1">
        <v>3.8370000000000001E-2</v>
      </c>
      <c r="O1016" s="1">
        <v>1.953E-4</v>
      </c>
      <c r="P10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1.5743239099387141E-4</v>
      </c>
      <c r="Q1016" s="1">
        <f>LN(Table13[[#This Row],[qe_mg_g]]-Table13[[#This Row],[qt]])</f>
        <v>-1.808849265812102</v>
      </c>
      <c r="R1016" s="1">
        <v>1</v>
      </c>
    </row>
    <row r="1017" spans="1:18" hidden="1" x14ac:dyDescent="0.3">
      <c r="A1017" s="1">
        <v>1016</v>
      </c>
      <c r="B1017" s="1" t="s">
        <v>17</v>
      </c>
      <c r="C1017" s="1">
        <v>4</v>
      </c>
      <c r="D1017" s="1">
        <v>30</v>
      </c>
      <c r="E1017" s="1">
        <v>25</v>
      </c>
      <c r="F1017" s="1">
        <v>11</v>
      </c>
      <c r="G1017" s="1">
        <v>25</v>
      </c>
      <c r="H1017" s="1">
        <v>150</v>
      </c>
      <c r="I1017" s="1">
        <v>100</v>
      </c>
      <c r="J1017" s="1">
        <v>0.154</v>
      </c>
      <c r="K1017" s="1">
        <v>24.385999999999999</v>
      </c>
      <c r="L1017" s="1">
        <v>2.46</v>
      </c>
      <c r="M1017" s="1">
        <v>89.3</v>
      </c>
      <c r="N1017" s="1">
        <v>3.1669999999999997E-2</v>
      </c>
      <c r="O1017" s="1">
        <v>2.064E-4</v>
      </c>
      <c r="P10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1.4670957444451612E-4</v>
      </c>
      <c r="Q1017" s="1">
        <f>LN(Table13[[#This Row],[qe_mg_g]]-Table13[[#This Row],[qt]])</f>
        <v>-1.87175579021136</v>
      </c>
      <c r="R1017" s="1">
        <v>2</v>
      </c>
    </row>
    <row r="1018" spans="1:18" hidden="1" x14ac:dyDescent="0.3">
      <c r="A1018" s="1">
        <v>1017</v>
      </c>
      <c r="B1018" s="1" t="s">
        <v>17</v>
      </c>
      <c r="C1018" s="1">
        <v>4</v>
      </c>
      <c r="D1018" s="1">
        <v>30</v>
      </c>
      <c r="E1018" s="1">
        <v>25</v>
      </c>
      <c r="F1018" s="1">
        <v>11</v>
      </c>
      <c r="G1018" s="1">
        <v>25</v>
      </c>
      <c r="H1018" s="1">
        <v>150</v>
      </c>
      <c r="I1018" s="1">
        <v>100</v>
      </c>
      <c r="J1018" s="1">
        <v>0.129</v>
      </c>
      <c r="K1018" s="1">
        <v>24.484999999999999</v>
      </c>
      <c r="L1018" s="1">
        <v>2.06</v>
      </c>
      <c r="M1018" s="1">
        <v>77.599999999999994</v>
      </c>
      <c r="N1018" s="1">
        <v>3.5659999999999997E-2</v>
      </c>
      <c r="O1018" s="1">
        <v>2.0589999999999999E-4</v>
      </c>
      <c r="P10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1.0270961458967765E-4</v>
      </c>
      <c r="Q1018" s="1">
        <f>LN(Table13[[#This Row],[qe_mg_g]]-Table13[[#This Row],[qt]])</f>
        <v>-2.0487393903175972</v>
      </c>
      <c r="R1018" s="1">
        <v>3</v>
      </c>
    </row>
    <row r="1019" spans="1:18" hidden="1" x14ac:dyDescent="0.3">
      <c r="A1019" s="1">
        <v>1018</v>
      </c>
      <c r="B1019" s="1" t="s">
        <v>17</v>
      </c>
      <c r="C1019" s="1">
        <v>4</v>
      </c>
      <c r="D1019" s="1">
        <v>30</v>
      </c>
      <c r="E1019" s="1">
        <v>50</v>
      </c>
      <c r="F1019" s="1">
        <v>3</v>
      </c>
      <c r="G1019" s="1">
        <v>25</v>
      </c>
      <c r="H1019" s="1">
        <v>150</v>
      </c>
      <c r="I1019" s="1">
        <v>100</v>
      </c>
      <c r="J1019" s="1">
        <v>0.38300000000000001</v>
      </c>
      <c r="K1019" s="1">
        <v>48.47</v>
      </c>
      <c r="L1019" s="1">
        <v>3.06</v>
      </c>
      <c r="M1019" s="1">
        <v>99.3</v>
      </c>
      <c r="N1019" s="1">
        <v>3.6999999999999998E-2</v>
      </c>
      <c r="O1019" s="1">
        <v>1.8589999999999999E-4</v>
      </c>
      <c r="P10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8.1634085627805772E-4</v>
      </c>
      <c r="Q1019" s="1">
        <f>LN(Table13[[#This Row],[qe_mg_g]]-Table13[[#This Row],[qt]])</f>
        <v>-0.96185400281597599</v>
      </c>
      <c r="R1019" s="1">
        <v>1</v>
      </c>
    </row>
    <row r="1020" spans="1:18" hidden="1" x14ac:dyDescent="0.3">
      <c r="A1020" s="1">
        <v>1019</v>
      </c>
      <c r="B1020" s="1" t="s">
        <v>17</v>
      </c>
      <c r="C1020" s="1">
        <v>4</v>
      </c>
      <c r="D1020" s="1">
        <v>30</v>
      </c>
      <c r="E1020" s="1">
        <v>50</v>
      </c>
      <c r="F1020" s="1">
        <v>3</v>
      </c>
      <c r="G1020" s="1">
        <v>25</v>
      </c>
      <c r="H1020" s="1">
        <v>150</v>
      </c>
      <c r="I1020" s="1">
        <v>100</v>
      </c>
      <c r="J1020" s="1">
        <v>0.36699999999999999</v>
      </c>
      <c r="K1020" s="1">
        <v>48.53</v>
      </c>
      <c r="L1020" s="1">
        <v>2.94</v>
      </c>
      <c r="M1020" s="1">
        <v>83.9</v>
      </c>
      <c r="N1020" s="1">
        <v>3.3439999999999998E-2</v>
      </c>
      <c r="O1020" s="1">
        <v>2.0230000000000001E-4</v>
      </c>
      <c r="P10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8.1561091205652561E-4</v>
      </c>
      <c r="Q1020" s="1">
        <f>LN(Table13[[#This Row],[qe_mg_g]]-Table13[[#This Row],[qt]])</f>
        <v>-1.0046182771207777</v>
      </c>
      <c r="R1020" s="1">
        <v>2</v>
      </c>
    </row>
    <row r="1021" spans="1:18" hidden="1" x14ac:dyDescent="0.3">
      <c r="A1021" s="1">
        <v>1020</v>
      </c>
      <c r="B1021" s="1" t="s">
        <v>17</v>
      </c>
      <c r="C1021" s="1">
        <v>4</v>
      </c>
      <c r="D1021" s="1">
        <v>30</v>
      </c>
      <c r="E1021" s="1">
        <v>50</v>
      </c>
      <c r="F1021" s="1">
        <v>3</v>
      </c>
      <c r="G1021" s="1">
        <v>25</v>
      </c>
      <c r="H1021" s="1">
        <v>150</v>
      </c>
      <c r="I1021" s="1">
        <v>100</v>
      </c>
      <c r="J1021" s="1">
        <v>0.41799999999999998</v>
      </c>
      <c r="K1021" s="1">
        <v>48.326000000000001</v>
      </c>
      <c r="L1021" s="1">
        <v>3.35</v>
      </c>
      <c r="M1021" s="1">
        <v>59.9</v>
      </c>
      <c r="N1021" s="1">
        <v>3.3640000000000003E-2</v>
      </c>
      <c r="O1021" s="1">
        <v>1.939E-4</v>
      </c>
      <c r="P10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1.0139041938691819E-3</v>
      </c>
      <c r="Q1021" s="1">
        <f>LN(Table13[[#This Row],[qe_mg_g]]-Table13[[#This Row],[qt]])</f>
        <v>-0.87470240112981246</v>
      </c>
      <c r="R1021" s="1">
        <v>3</v>
      </c>
    </row>
    <row r="1022" spans="1:18" hidden="1" x14ac:dyDescent="0.3">
      <c r="A1022" s="1">
        <v>1021</v>
      </c>
      <c r="B1022" s="1" t="s">
        <v>17</v>
      </c>
      <c r="C1022" s="1">
        <v>4</v>
      </c>
      <c r="D1022" s="1">
        <v>30</v>
      </c>
      <c r="E1022" s="1">
        <v>50</v>
      </c>
      <c r="F1022" s="1">
        <v>7</v>
      </c>
      <c r="G1022" s="1">
        <v>25</v>
      </c>
      <c r="H1022" s="1">
        <v>150</v>
      </c>
      <c r="I1022" s="1">
        <v>100</v>
      </c>
      <c r="J1022" s="1">
        <v>0.80700000000000005</v>
      </c>
      <c r="K1022" s="1">
        <v>46.774000000000001</v>
      </c>
      <c r="L1022" s="1">
        <v>6.45</v>
      </c>
      <c r="M1022" s="1">
        <v>76.7</v>
      </c>
      <c r="N1022" s="1">
        <v>4.088E-2</v>
      </c>
      <c r="O1022" s="1">
        <v>1.618E-4</v>
      </c>
      <c r="P10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3.14882812574007E-3</v>
      </c>
      <c r="Q1022" s="1">
        <f>LN(Table13[[#This Row],[qe_mg_g]]-Table13[[#This Row],[qt]])</f>
        <v>-0.21834113654719828</v>
      </c>
      <c r="R1022" s="1">
        <v>1</v>
      </c>
    </row>
    <row r="1023" spans="1:18" hidden="1" x14ac:dyDescent="0.3">
      <c r="A1023" s="1">
        <v>1022</v>
      </c>
      <c r="B1023" s="1" t="s">
        <v>17</v>
      </c>
      <c r="C1023" s="1">
        <v>4</v>
      </c>
      <c r="D1023" s="1">
        <v>30</v>
      </c>
      <c r="E1023" s="1">
        <v>50</v>
      </c>
      <c r="F1023" s="1">
        <v>7</v>
      </c>
      <c r="G1023" s="1">
        <v>25</v>
      </c>
      <c r="H1023" s="1">
        <v>150</v>
      </c>
      <c r="I1023" s="1">
        <v>100</v>
      </c>
      <c r="J1023" s="1">
        <v>0.85799999999999998</v>
      </c>
      <c r="K1023" s="1">
        <v>46.567999999999998</v>
      </c>
      <c r="L1023" s="1">
        <v>6.86</v>
      </c>
      <c r="M1023" s="1">
        <v>82.8</v>
      </c>
      <c r="N1023" s="1">
        <v>3.8010000000000002E-2</v>
      </c>
      <c r="O1023" s="1">
        <v>2.0159999999999999E-4</v>
      </c>
      <c r="P10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4.4293352364603231E-3</v>
      </c>
      <c r="Q1023" s="1">
        <f>LN(Table13[[#This Row],[qe_mg_g]]-Table13[[#This Row],[qt]])</f>
        <v>-0.15832694607583336</v>
      </c>
      <c r="R1023" s="1">
        <v>2</v>
      </c>
    </row>
    <row r="1024" spans="1:18" hidden="1" x14ac:dyDescent="0.3">
      <c r="A1024" s="1">
        <v>1023</v>
      </c>
      <c r="B1024" s="1" t="s">
        <v>17</v>
      </c>
      <c r="C1024" s="1">
        <v>4</v>
      </c>
      <c r="D1024" s="1">
        <v>30</v>
      </c>
      <c r="E1024" s="1">
        <v>50</v>
      </c>
      <c r="F1024" s="1">
        <v>7</v>
      </c>
      <c r="G1024" s="1">
        <v>25</v>
      </c>
      <c r="H1024" s="1">
        <v>150</v>
      </c>
      <c r="I1024" s="1">
        <v>100</v>
      </c>
      <c r="J1024" s="1">
        <v>0.84499999999999997</v>
      </c>
      <c r="K1024" s="1">
        <v>46.62</v>
      </c>
      <c r="L1024" s="1">
        <v>6.76</v>
      </c>
      <c r="M1024" s="1">
        <v>80.7</v>
      </c>
      <c r="N1024" s="1">
        <v>3.1150000000000001E-2</v>
      </c>
      <c r="O1024" s="1">
        <v>2.284E-4</v>
      </c>
      <c r="P10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4.8643350916792814E-3</v>
      </c>
      <c r="Q1024" s="1">
        <f>LN(Table13[[#This Row],[qe_mg_g]]-Table13[[#This Row],[qt]])</f>
        <v>-0.17419189434220345</v>
      </c>
      <c r="R1024" s="1">
        <v>3</v>
      </c>
    </row>
    <row r="1025" spans="1:18" hidden="1" x14ac:dyDescent="0.3">
      <c r="A1025" s="1">
        <v>1024</v>
      </c>
      <c r="B1025" s="1" t="s">
        <v>17</v>
      </c>
      <c r="C1025" s="1">
        <v>4</v>
      </c>
      <c r="D1025" s="1">
        <v>30</v>
      </c>
      <c r="E1025" s="1">
        <v>50</v>
      </c>
      <c r="F1025" s="1">
        <v>11</v>
      </c>
      <c r="G1025" s="1">
        <v>25</v>
      </c>
      <c r="H1025" s="1">
        <v>150</v>
      </c>
      <c r="I1025" s="1">
        <v>100</v>
      </c>
      <c r="J1025" s="1">
        <v>0.54700000000000004</v>
      </c>
      <c r="K1025" s="1">
        <v>47.81</v>
      </c>
      <c r="L1025" s="1">
        <v>4.38</v>
      </c>
      <c r="M1025" s="1">
        <v>88.6</v>
      </c>
      <c r="N1025" s="1">
        <v>3.9320000000000001E-2</v>
      </c>
      <c r="O1025" s="1">
        <v>1.794E-4</v>
      </c>
      <c r="P10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1.6056159784178729E-3</v>
      </c>
      <c r="Q1025" s="1">
        <f>LN(Table13[[#This Row],[qe_mg_g]]-Table13[[#This Row],[qt]])</f>
        <v>-0.60624610561379499</v>
      </c>
      <c r="R1025" s="1">
        <v>1</v>
      </c>
    </row>
    <row r="1026" spans="1:18" hidden="1" x14ac:dyDescent="0.3">
      <c r="A1026" s="1">
        <v>1025</v>
      </c>
      <c r="B1026" s="1" t="s">
        <v>17</v>
      </c>
      <c r="C1026" s="1">
        <v>4</v>
      </c>
      <c r="D1026" s="1">
        <v>30</v>
      </c>
      <c r="E1026" s="1">
        <v>50</v>
      </c>
      <c r="F1026" s="1">
        <v>11</v>
      </c>
      <c r="G1026" s="1">
        <v>25</v>
      </c>
      <c r="H1026" s="1">
        <v>150</v>
      </c>
      <c r="I1026" s="1">
        <v>100</v>
      </c>
      <c r="J1026" s="1">
        <v>0.58699999999999997</v>
      </c>
      <c r="K1026" s="1">
        <v>47.652999999999999</v>
      </c>
      <c r="L1026" s="1">
        <v>4.6900000000000004</v>
      </c>
      <c r="M1026" s="1">
        <v>78.099999999999994</v>
      </c>
      <c r="N1026" s="1">
        <v>3.4540000000000001E-2</v>
      </c>
      <c r="O1026" s="1">
        <v>2.0139999999999999E-4</v>
      </c>
      <c r="P10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2.0745282640342497E-3</v>
      </c>
      <c r="Q1026" s="1">
        <f>LN(Table13[[#This Row],[qe_mg_g]]-Table13[[#This Row],[qt]])</f>
        <v>-0.53627083860812841</v>
      </c>
      <c r="R1026" s="1">
        <v>2</v>
      </c>
    </row>
    <row r="1027" spans="1:18" hidden="1" x14ac:dyDescent="0.3">
      <c r="A1027" s="1">
        <v>1026</v>
      </c>
      <c r="B1027" s="1" t="s">
        <v>17</v>
      </c>
      <c r="C1027" s="1">
        <v>4</v>
      </c>
      <c r="D1027" s="1">
        <v>30</v>
      </c>
      <c r="E1027" s="1">
        <v>50</v>
      </c>
      <c r="F1027" s="1">
        <v>11</v>
      </c>
      <c r="G1027" s="1">
        <v>25</v>
      </c>
      <c r="H1027" s="1">
        <v>150</v>
      </c>
      <c r="I1027" s="1">
        <v>100</v>
      </c>
      <c r="J1027" s="1">
        <v>0.47099999999999997</v>
      </c>
      <c r="K1027" s="1">
        <v>48.116999999999997</v>
      </c>
      <c r="L1027" s="1">
        <v>3.77</v>
      </c>
      <c r="M1027" s="1">
        <v>75.7</v>
      </c>
      <c r="N1027" s="1">
        <v>3.9730000000000001E-2</v>
      </c>
      <c r="O1027" s="1">
        <v>2.1770000000000001E-4</v>
      </c>
      <c r="P10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1.4444004493334049E-3</v>
      </c>
      <c r="Q1027" s="1">
        <f>LN(Table13[[#This Row],[qe_mg_g]]-Table13[[#This Row],[qt]])</f>
        <v>-0.755968564447139</v>
      </c>
      <c r="R1027" s="1">
        <v>3</v>
      </c>
    </row>
    <row r="1028" spans="1:18" hidden="1" x14ac:dyDescent="0.3">
      <c r="A1028" s="1">
        <v>1027</v>
      </c>
      <c r="B1028" s="1" t="s">
        <v>17</v>
      </c>
      <c r="C1028" s="1">
        <v>4</v>
      </c>
      <c r="D1028" s="1">
        <v>30</v>
      </c>
      <c r="E1028" s="1">
        <v>100</v>
      </c>
      <c r="F1028" s="1">
        <v>3</v>
      </c>
      <c r="G1028" s="1">
        <v>25</v>
      </c>
      <c r="H1028" s="1">
        <v>150</v>
      </c>
      <c r="I1028" s="1">
        <v>100</v>
      </c>
      <c r="J1028" s="1">
        <v>1.6359999999999999</v>
      </c>
      <c r="K1028" s="1">
        <v>93.456000000000003</v>
      </c>
      <c r="L1028" s="1">
        <v>6.54</v>
      </c>
      <c r="M1028" s="1">
        <v>88.8</v>
      </c>
      <c r="N1028" s="1">
        <v>3.397E-2</v>
      </c>
      <c r="O1028" s="1">
        <v>2.2709999999999999E-4</v>
      </c>
      <c r="P10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1.8033959509003401E-2</v>
      </c>
      <c r="Q1028" s="1">
        <f>LN(Table13[[#This Row],[qe_mg_g]]-Table13[[#This Row],[qt]])</f>
        <v>0.4811698298443412</v>
      </c>
      <c r="R1028" s="1">
        <v>1</v>
      </c>
    </row>
    <row r="1029" spans="1:18" hidden="1" x14ac:dyDescent="0.3">
      <c r="A1029" s="1">
        <v>1028</v>
      </c>
      <c r="B1029" s="1" t="s">
        <v>17</v>
      </c>
      <c r="C1029" s="1">
        <v>4</v>
      </c>
      <c r="D1029" s="1">
        <v>30</v>
      </c>
      <c r="E1029" s="1">
        <v>100</v>
      </c>
      <c r="F1029" s="1">
        <v>3</v>
      </c>
      <c r="G1029" s="1">
        <v>25</v>
      </c>
      <c r="H1029" s="1">
        <v>150</v>
      </c>
      <c r="I1029" s="1">
        <v>100</v>
      </c>
      <c r="J1029" s="1">
        <v>1.613</v>
      </c>
      <c r="K1029" s="1">
        <v>93.546999999999997</v>
      </c>
      <c r="L1029" s="1">
        <v>6.45</v>
      </c>
      <c r="M1029" s="1">
        <v>88.7</v>
      </c>
      <c r="N1029" s="1">
        <v>3.9010000000000003E-2</v>
      </c>
      <c r="O1029" s="1">
        <v>1.8450000000000001E-4</v>
      </c>
      <c r="P10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1.4273359503652565E-2</v>
      </c>
      <c r="Q1029" s="1">
        <f>LN(Table13[[#This Row],[qe_mg_g]]-Table13[[#This Row],[qt]])</f>
        <v>0.46920746269946373</v>
      </c>
      <c r="R1029" s="1">
        <v>2</v>
      </c>
    </row>
    <row r="1030" spans="1:18" hidden="1" x14ac:dyDescent="0.3">
      <c r="A1030" s="1">
        <v>1029</v>
      </c>
      <c r="B1030" s="1" t="s">
        <v>17</v>
      </c>
      <c r="C1030" s="1">
        <v>4</v>
      </c>
      <c r="D1030" s="1">
        <v>30</v>
      </c>
      <c r="E1030" s="1">
        <v>100</v>
      </c>
      <c r="F1030" s="1">
        <v>3</v>
      </c>
      <c r="G1030" s="1">
        <v>25</v>
      </c>
      <c r="H1030" s="1">
        <v>150</v>
      </c>
      <c r="I1030" s="1">
        <v>100</v>
      </c>
      <c r="J1030" s="1">
        <v>1.903</v>
      </c>
      <c r="K1030" s="1">
        <v>92.388000000000005</v>
      </c>
      <c r="L1030" s="1">
        <v>7.61</v>
      </c>
      <c r="M1030" s="1">
        <v>66</v>
      </c>
      <c r="N1030" s="1">
        <v>4.07E-2</v>
      </c>
      <c r="O1030" s="1">
        <v>1.9249999999999999E-4</v>
      </c>
      <c r="P10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2.0686298178124587E-2</v>
      </c>
      <c r="Q1030" s="1">
        <f>LN(Table13[[#This Row],[qe_mg_g]]-Table13[[#This Row],[qt]])</f>
        <v>0.63250171261910282</v>
      </c>
      <c r="R1030" s="1">
        <v>3</v>
      </c>
    </row>
    <row r="1031" spans="1:18" hidden="1" x14ac:dyDescent="0.3">
      <c r="A1031" s="1">
        <v>1030</v>
      </c>
      <c r="B1031" s="1" t="s">
        <v>17</v>
      </c>
      <c r="C1031" s="1">
        <v>4</v>
      </c>
      <c r="D1031" s="1">
        <v>30</v>
      </c>
      <c r="E1031" s="1">
        <v>100</v>
      </c>
      <c r="F1031" s="1">
        <v>7</v>
      </c>
      <c r="G1031" s="1">
        <v>25</v>
      </c>
      <c r="H1031" s="1">
        <v>150</v>
      </c>
      <c r="I1031" s="1">
        <v>100</v>
      </c>
      <c r="J1031" s="1">
        <v>2.7639999999999998</v>
      </c>
      <c r="K1031" s="1">
        <v>88.944000000000003</v>
      </c>
      <c r="L1031" s="1">
        <v>11.06</v>
      </c>
      <c r="M1031" s="1">
        <v>61.4</v>
      </c>
      <c r="N1031" s="1">
        <v>3.3410000000000002E-2</v>
      </c>
      <c r="O1031" s="1">
        <v>1.7919999999999999E-4</v>
      </c>
      <c r="P10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4.0469656387745204E-2</v>
      </c>
      <c r="Q1031" s="1">
        <f>LN(Table13[[#This Row],[qe_mg_g]]-Table13[[#This Row],[qt]])</f>
        <v>1.0019289591829619</v>
      </c>
      <c r="R1031" s="1">
        <v>1</v>
      </c>
    </row>
    <row r="1032" spans="1:18" hidden="1" x14ac:dyDescent="0.3">
      <c r="A1032" s="1">
        <v>1031</v>
      </c>
      <c r="B1032" s="1" t="s">
        <v>17</v>
      </c>
      <c r="C1032" s="1">
        <v>4</v>
      </c>
      <c r="D1032" s="1">
        <v>30</v>
      </c>
      <c r="E1032" s="1">
        <v>100</v>
      </c>
      <c r="F1032" s="1">
        <v>7</v>
      </c>
      <c r="G1032" s="1">
        <v>25</v>
      </c>
      <c r="H1032" s="1">
        <v>150</v>
      </c>
      <c r="I1032" s="1">
        <v>100</v>
      </c>
      <c r="J1032" s="1">
        <v>2.661</v>
      </c>
      <c r="K1032" s="1">
        <v>89.358000000000004</v>
      </c>
      <c r="L1032" s="1">
        <v>10.64</v>
      </c>
      <c r="M1032" s="1">
        <v>83.9</v>
      </c>
      <c r="N1032" s="1">
        <v>3.8350000000000002E-2</v>
      </c>
      <c r="O1032" s="1">
        <v>2.042E-4</v>
      </c>
      <c r="P10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4.2681951350005479E-2</v>
      </c>
      <c r="Q1032" s="1">
        <f>LN(Table13[[#This Row],[qe_mg_g]]-Table13[[#This Row],[qt]])</f>
        <v>0.96253214546037169</v>
      </c>
      <c r="R1032" s="1">
        <v>2</v>
      </c>
    </row>
    <row r="1033" spans="1:18" hidden="1" x14ac:dyDescent="0.3">
      <c r="A1033" s="1">
        <v>1032</v>
      </c>
      <c r="B1033" s="1" t="s">
        <v>17</v>
      </c>
      <c r="C1033" s="1">
        <v>4</v>
      </c>
      <c r="D1033" s="1">
        <v>30</v>
      </c>
      <c r="E1033" s="1">
        <v>100</v>
      </c>
      <c r="F1033" s="1">
        <v>7</v>
      </c>
      <c r="G1033" s="1">
        <v>25</v>
      </c>
      <c r="H1033" s="1">
        <v>150</v>
      </c>
      <c r="I1033" s="1">
        <v>100</v>
      </c>
      <c r="J1033" s="1">
        <v>2.92</v>
      </c>
      <c r="K1033" s="1">
        <v>88.320999999999998</v>
      </c>
      <c r="L1033" s="1">
        <v>11.68</v>
      </c>
      <c r="M1033" s="1">
        <v>71.599999999999994</v>
      </c>
      <c r="N1033" s="1">
        <v>3.1919999999999997E-2</v>
      </c>
      <c r="O1033" s="1">
        <v>2.3599999999999999E-4</v>
      </c>
      <c r="P10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5.9144188700481708E-2</v>
      </c>
      <c r="Q1033" s="1">
        <f>LN(Table13[[#This Row],[qe_mg_g]]-Table13[[#This Row],[qt]])</f>
        <v>1.051120814790093</v>
      </c>
      <c r="R1033" s="1">
        <v>3</v>
      </c>
    </row>
    <row r="1034" spans="1:18" hidden="1" x14ac:dyDescent="0.3">
      <c r="A1034" s="1">
        <v>1033</v>
      </c>
      <c r="B1034" s="1" t="s">
        <v>17</v>
      </c>
      <c r="C1034" s="1">
        <v>4</v>
      </c>
      <c r="D1034" s="1">
        <v>30</v>
      </c>
      <c r="E1034" s="1">
        <v>100</v>
      </c>
      <c r="F1034" s="1">
        <v>11</v>
      </c>
      <c r="G1034" s="1">
        <v>25</v>
      </c>
      <c r="H1034" s="1">
        <v>150</v>
      </c>
      <c r="I1034" s="1">
        <v>100</v>
      </c>
      <c r="J1034" s="1">
        <v>1.9330000000000001</v>
      </c>
      <c r="K1034" s="1">
        <v>92.266000000000005</v>
      </c>
      <c r="L1034" s="1">
        <v>7.73</v>
      </c>
      <c r="M1034" s="1">
        <v>107</v>
      </c>
      <c r="N1034" s="1">
        <v>3.415E-2</v>
      </c>
      <c r="O1034" s="1">
        <v>2.0000000000000001E-4</v>
      </c>
      <c r="P10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2.2161900280546227E-2</v>
      </c>
      <c r="Q1034" s="1">
        <f>LN(Table13[[#This Row],[qe_mg_g]]-Table13[[#This Row],[qt]])</f>
        <v>0.64754194148050925</v>
      </c>
      <c r="R1034" s="1">
        <v>1</v>
      </c>
    </row>
    <row r="1035" spans="1:18" hidden="1" x14ac:dyDescent="0.3">
      <c r="A1035" s="1">
        <v>1034</v>
      </c>
      <c r="B1035" s="1" t="s">
        <v>17</v>
      </c>
      <c r="C1035" s="1">
        <v>4</v>
      </c>
      <c r="D1035" s="1">
        <v>30</v>
      </c>
      <c r="E1035" s="1">
        <v>100</v>
      </c>
      <c r="F1035" s="1">
        <v>11</v>
      </c>
      <c r="G1035" s="1">
        <v>25</v>
      </c>
      <c r="H1035" s="1">
        <v>150</v>
      </c>
      <c r="I1035" s="1">
        <v>100</v>
      </c>
      <c r="J1035" s="1">
        <v>2.31</v>
      </c>
      <c r="K1035" s="1">
        <v>90.759</v>
      </c>
      <c r="L1035" s="1">
        <v>9.24</v>
      </c>
      <c r="M1035" s="1">
        <v>102.1</v>
      </c>
      <c r="N1035" s="1">
        <v>3.4610000000000002E-2</v>
      </c>
      <c r="O1035" s="1">
        <v>1.9220000000000001E-4</v>
      </c>
      <c r="P10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3.0363526819074414E-2</v>
      </c>
      <c r="Q1035" s="1">
        <f>LN(Table13[[#This Row],[qe_mg_g]]-Table13[[#This Row],[qt]])</f>
        <v>0.82401598866687487</v>
      </c>
      <c r="R1035" s="1">
        <v>2</v>
      </c>
    </row>
    <row r="1036" spans="1:18" hidden="1" x14ac:dyDescent="0.3">
      <c r="A1036" s="1">
        <v>1035</v>
      </c>
      <c r="B1036" s="1" t="s">
        <v>17</v>
      </c>
      <c r="C1036" s="1">
        <v>4</v>
      </c>
      <c r="D1036" s="1">
        <v>30</v>
      </c>
      <c r="E1036" s="1">
        <v>100</v>
      </c>
      <c r="F1036" s="1">
        <v>11</v>
      </c>
      <c r="G1036" s="1">
        <v>25</v>
      </c>
      <c r="H1036" s="1">
        <v>150</v>
      </c>
      <c r="I1036" s="1">
        <v>100</v>
      </c>
      <c r="J1036" s="1">
        <v>2.0750000000000002</v>
      </c>
      <c r="K1036" s="1">
        <v>91.698999999999998</v>
      </c>
      <c r="L1036" s="1">
        <v>8.3000000000000007</v>
      </c>
      <c r="M1036" s="1">
        <v>90.1</v>
      </c>
      <c r="N1036" s="1">
        <v>3.8120000000000001E-2</v>
      </c>
      <c r="O1036" s="1">
        <v>2.0010000000000001E-4</v>
      </c>
      <c r="P10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2.5528675943495737E-2</v>
      </c>
      <c r="Q1036" s="1">
        <f>LN(Table13[[#This Row],[qe_mg_g]]-Table13[[#This Row],[qt]])</f>
        <v>0.71758186918664657</v>
      </c>
      <c r="R1036" s="1">
        <v>3</v>
      </c>
    </row>
    <row r="1037" spans="1:18" hidden="1" x14ac:dyDescent="0.3">
      <c r="A1037" s="1">
        <v>1036</v>
      </c>
      <c r="B1037" s="1" t="s">
        <v>17</v>
      </c>
      <c r="C1037" s="1">
        <v>4</v>
      </c>
      <c r="D1037" s="1">
        <v>30</v>
      </c>
      <c r="E1037" s="1">
        <v>200</v>
      </c>
      <c r="F1037" s="1">
        <v>3</v>
      </c>
      <c r="G1037" s="1">
        <v>25</v>
      </c>
      <c r="H1037" s="1">
        <v>150</v>
      </c>
      <c r="I1037" s="1">
        <v>100</v>
      </c>
      <c r="J1037" s="1">
        <v>6.3250000000000002</v>
      </c>
      <c r="K1037" s="1">
        <v>174.70099999999999</v>
      </c>
      <c r="L1037" s="1">
        <v>12.65</v>
      </c>
      <c r="M1037" s="1">
        <v>106.8</v>
      </c>
      <c r="N1037" s="1">
        <v>3.6330000000000001E-2</v>
      </c>
      <c r="O1037" s="1">
        <v>2.062E-4</v>
      </c>
      <c r="P10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0.23815657492887415</v>
      </c>
      <c r="Q1037" s="1">
        <f>LN(Table13[[#This Row],[qe_mg_g]]-Table13[[#This Row],[qt]])</f>
        <v>1.8061296263406548</v>
      </c>
      <c r="R1037" s="1">
        <v>1</v>
      </c>
    </row>
    <row r="1038" spans="1:18" hidden="1" x14ac:dyDescent="0.3">
      <c r="A1038" s="1">
        <v>1037</v>
      </c>
      <c r="B1038" s="1" t="s">
        <v>17</v>
      </c>
      <c r="C1038" s="1">
        <v>4</v>
      </c>
      <c r="D1038" s="1">
        <v>30</v>
      </c>
      <c r="E1038" s="1">
        <v>200</v>
      </c>
      <c r="F1038" s="1">
        <v>3</v>
      </c>
      <c r="G1038" s="1">
        <v>25</v>
      </c>
      <c r="H1038" s="1">
        <v>150</v>
      </c>
      <c r="I1038" s="1">
        <v>100</v>
      </c>
      <c r="J1038" s="1">
        <v>5.0519999999999996</v>
      </c>
      <c r="K1038" s="1">
        <v>179.79400000000001</v>
      </c>
      <c r="L1038" s="1">
        <v>10.1</v>
      </c>
      <c r="M1038" s="1">
        <v>51.9</v>
      </c>
      <c r="N1038" s="1">
        <v>3.6360000000000003E-2</v>
      </c>
      <c r="O1038" s="1">
        <v>1.9809999999999999E-4</v>
      </c>
      <c r="P10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0.14726008769760396</v>
      </c>
      <c r="Q1038" s="1">
        <f>LN(Table13[[#This Row],[qe_mg_g]]-Table13[[#This Row],[qt]])</f>
        <v>1.5902020665966485</v>
      </c>
      <c r="R1038" s="1">
        <v>2</v>
      </c>
    </row>
    <row r="1039" spans="1:18" hidden="1" x14ac:dyDescent="0.3">
      <c r="A1039" s="1">
        <v>1038</v>
      </c>
      <c r="B1039" s="1" t="s">
        <v>17</v>
      </c>
      <c r="C1039" s="1">
        <v>4</v>
      </c>
      <c r="D1039" s="1">
        <v>30</v>
      </c>
      <c r="E1039" s="1">
        <v>200</v>
      </c>
      <c r="F1039" s="1">
        <v>3</v>
      </c>
      <c r="G1039" s="1">
        <v>25</v>
      </c>
      <c r="H1039" s="1">
        <v>150</v>
      </c>
      <c r="I1039" s="1">
        <v>100</v>
      </c>
      <c r="J1039" s="1">
        <v>5.65</v>
      </c>
      <c r="K1039" s="1">
        <v>177.40199999999999</v>
      </c>
      <c r="L1039" s="1">
        <v>11.3</v>
      </c>
      <c r="M1039" s="1">
        <v>88.8</v>
      </c>
      <c r="N1039" s="1">
        <v>3.4790000000000001E-2</v>
      </c>
      <c r="O1039" s="1">
        <v>2.2259999999999999E-4</v>
      </c>
      <c r="P10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0.20542753047587395</v>
      </c>
      <c r="Q1039" s="1">
        <f>LN(Table13[[#This Row],[qe_mg_g]]-Table13[[#This Row],[qt]])</f>
        <v>1.6946192353084921</v>
      </c>
      <c r="R1039" s="1">
        <v>3</v>
      </c>
    </row>
    <row r="1040" spans="1:18" hidden="1" x14ac:dyDescent="0.3">
      <c r="A1040" s="1">
        <v>1039</v>
      </c>
      <c r="B1040" s="1" t="s">
        <v>17</v>
      </c>
      <c r="C1040" s="1">
        <v>4</v>
      </c>
      <c r="D1040" s="1">
        <v>30</v>
      </c>
      <c r="E1040" s="1">
        <v>200</v>
      </c>
      <c r="F1040" s="1">
        <v>7</v>
      </c>
      <c r="G1040" s="1">
        <v>25</v>
      </c>
      <c r="H1040" s="1">
        <v>150</v>
      </c>
      <c r="I1040" s="1">
        <v>100</v>
      </c>
      <c r="J1040" s="1">
        <v>10.073</v>
      </c>
      <c r="K1040" s="1">
        <v>159.709</v>
      </c>
      <c r="L1040" s="1">
        <v>20.149999999999999</v>
      </c>
      <c r="M1040" s="1">
        <v>76.099999999999994</v>
      </c>
      <c r="N1040" s="1">
        <v>3.8469999999999997E-2</v>
      </c>
      <c r="O1040" s="1">
        <v>1.9570000000000001E-4</v>
      </c>
      <c r="P10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0.56244098375840224</v>
      </c>
      <c r="Q1040" s="1">
        <f>LN(Table13[[#This Row],[qe_mg_g]]-Table13[[#This Row],[qt]])</f>
        <v>2.2524026567688882</v>
      </c>
      <c r="R1040" s="1">
        <v>1</v>
      </c>
    </row>
    <row r="1041" spans="1:18" hidden="1" x14ac:dyDescent="0.3">
      <c r="A1041" s="1">
        <v>1040</v>
      </c>
      <c r="B1041" s="1" t="s">
        <v>17</v>
      </c>
      <c r="C1041" s="1">
        <v>4</v>
      </c>
      <c r="D1041" s="1">
        <v>30</v>
      </c>
      <c r="E1041" s="1">
        <v>200</v>
      </c>
      <c r="F1041" s="1">
        <v>7</v>
      </c>
      <c r="G1041" s="1">
        <v>25</v>
      </c>
      <c r="H1041" s="1">
        <v>150</v>
      </c>
      <c r="I1041" s="1">
        <v>100</v>
      </c>
      <c r="J1041" s="1">
        <v>10.513</v>
      </c>
      <c r="K1041" s="1">
        <v>157.94999999999999</v>
      </c>
      <c r="L1041" s="1">
        <v>21.03</v>
      </c>
      <c r="M1041" s="1">
        <v>79.599999999999994</v>
      </c>
      <c r="N1041" s="1">
        <v>3.2730000000000002E-2</v>
      </c>
      <c r="O1041" s="1">
        <v>2.017E-4</v>
      </c>
      <c r="P10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0.62877659858596668</v>
      </c>
      <c r="Q1041" s="1">
        <f>LN(Table13[[#This Row],[qe_mg_g]]-Table13[[#This Row],[qt]])</f>
        <v>2.2909398901993479</v>
      </c>
      <c r="R1041" s="1">
        <v>2</v>
      </c>
    </row>
    <row r="1042" spans="1:18" hidden="1" x14ac:dyDescent="0.3">
      <c r="A1042" s="1">
        <v>1041</v>
      </c>
      <c r="B1042" s="1" t="s">
        <v>17</v>
      </c>
      <c r="C1042" s="1">
        <v>4</v>
      </c>
      <c r="D1042" s="1">
        <v>30</v>
      </c>
      <c r="E1042" s="1">
        <v>200</v>
      </c>
      <c r="F1042" s="1">
        <v>7</v>
      </c>
      <c r="G1042" s="1">
        <v>25</v>
      </c>
      <c r="H1042" s="1">
        <v>150</v>
      </c>
      <c r="I1042" s="1">
        <v>100</v>
      </c>
      <c r="J1042" s="1">
        <v>10</v>
      </c>
      <c r="K1042" s="1">
        <v>160.00200000000001</v>
      </c>
      <c r="L1042" s="1">
        <v>20</v>
      </c>
      <c r="M1042" s="1">
        <v>91.9</v>
      </c>
      <c r="N1042" s="1">
        <v>3.406E-2</v>
      </c>
      <c r="O1042" s="1">
        <v>1.6330000000000001E-4</v>
      </c>
      <c r="P10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0.46702065796623421</v>
      </c>
      <c r="Q1042" s="1">
        <f>LN(Table13[[#This Row],[qe_mg_g]]-Table13[[#This Row],[qt]])</f>
        <v>2.2547572965137892</v>
      </c>
      <c r="R1042" s="1">
        <v>3</v>
      </c>
    </row>
    <row r="1043" spans="1:18" hidden="1" x14ac:dyDescent="0.3">
      <c r="A1043" s="1">
        <v>1042</v>
      </c>
      <c r="B1043" s="1" t="s">
        <v>17</v>
      </c>
      <c r="C1043" s="1">
        <v>4</v>
      </c>
      <c r="D1043" s="1">
        <v>30</v>
      </c>
      <c r="E1043" s="1">
        <v>200</v>
      </c>
      <c r="F1043" s="1">
        <v>11</v>
      </c>
      <c r="G1043" s="1">
        <v>25</v>
      </c>
      <c r="H1043" s="1">
        <v>150</v>
      </c>
      <c r="I1043" s="1">
        <v>100</v>
      </c>
      <c r="J1043" s="1">
        <v>7.1470000000000002</v>
      </c>
      <c r="K1043" s="1">
        <v>171.41200000000001</v>
      </c>
      <c r="L1043" s="1">
        <v>14.29</v>
      </c>
      <c r="M1043" s="1">
        <v>95.9</v>
      </c>
      <c r="N1043" s="1">
        <v>3.3959999999999997E-2</v>
      </c>
      <c r="O1043" s="1">
        <v>1.951E-4</v>
      </c>
      <c r="P10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0.28696481413372965</v>
      </c>
      <c r="Q1043" s="1">
        <f>LN(Table13[[#This Row],[qe_mg_g]]-Table13[[#This Row],[qt]])</f>
        <v>1.9257125708596647</v>
      </c>
      <c r="R1043" s="1">
        <v>1</v>
      </c>
    </row>
    <row r="1044" spans="1:18" hidden="1" x14ac:dyDescent="0.3">
      <c r="A1044" s="1">
        <v>1043</v>
      </c>
      <c r="B1044" s="1" t="s">
        <v>17</v>
      </c>
      <c r="C1044" s="1">
        <v>4</v>
      </c>
      <c r="D1044" s="1">
        <v>30</v>
      </c>
      <c r="E1044" s="1">
        <v>200</v>
      </c>
      <c r="F1044" s="1">
        <v>11</v>
      </c>
      <c r="G1044" s="1">
        <v>25</v>
      </c>
      <c r="H1044" s="1">
        <v>150</v>
      </c>
      <c r="I1044" s="1">
        <v>100</v>
      </c>
      <c r="J1044" s="1">
        <v>8.2070000000000007</v>
      </c>
      <c r="K1044" s="1">
        <v>167.17099999999999</v>
      </c>
      <c r="L1044" s="1">
        <v>16.41</v>
      </c>
      <c r="M1044" s="1">
        <v>76.599999999999994</v>
      </c>
      <c r="N1044" s="1">
        <v>2.9600000000000001E-2</v>
      </c>
      <c r="O1044" s="1">
        <v>1.9680000000000001E-4</v>
      </c>
      <c r="P10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0.37928509972541224</v>
      </c>
      <c r="Q1044" s="1">
        <f>LN(Table13[[#This Row],[qe_mg_g]]-Table13[[#This Row],[qt]])</f>
        <v>2.0576706283640194</v>
      </c>
      <c r="R1044" s="1">
        <v>2</v>
      </c>
    </row>
    <row r="1045" spans="1:18" hidden="1" x14ac:dyDescent="0.3">
      <c r="A1045" s="1">
        <v>1044</v>
      </c>
      <c r="B1045" s="1" t="s">
        <v>17</v>
      </c>
      <c r="C1045" s="1">
        <v>4</v>
      </c>
      <c r="D1045" s="1">
        <v>30</v>
      </c>
      <c r="E1045" s="1">
        <v>200</v>
      </c>
      <c r="F1045" s="1">
        <v>11</v>
      </c>
      <c r="G1045" s="1">
        <v>25</v>
      </c>
      <c r="H1045" s="1">
        <v>150</v>
      </c>
      <c r="I1045" s="1">
        <v>100</v>
      </c>
      <c r="J1045" s="1">
        <v>7.109</v>
      </c>
      <c r="K1045" s="1">
        <v>171.566</v>
      </c>
      <c r="L1045" s="1">
        <v>14.22</v>
      </c>
      <c r="M1045" s="1">
        <v>73.3</v>
      </c>
      <c r="N1045" s="1">
        <v>3.4389999999999997E-2</v>
      </c>
      <c r="O1045" s="1">
        <v>2.098E-4</v>
      </c>
      <c r="P10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0.30446253724235156</v>
      </c>
      <c r="Q1045" s="1">
        <f>LN(Table13[[#This Row],[qe_mg_g]]-Table13[[#This Row],[qt]])</f>
        <v>1.9175896635887431</v>
      </c>
      <c r="R1045" s="1">
        <v>3</v>
      </c>
    </row>
    <row r="1046" spans="1:18" hidden="1" x14ac:dyDescent="0.3">
      <c r="A1046" s="1">
        <v>1045</v>
      </c>
      <c r="B1046" s="1" t="s">
        <v>17</v>
      </c>
      <c r="C1046" s="1">
        <v>4</v>
      </c>
      <c r="D1046" s="1">
        <v>60</v>
      </c>
      <c r="E1046" s="1">
        <v>25</v>
      </c>
      <c r="F1046" s="1">
        <v>3</v>
      </c>
      <c r="G1046" s="1">
        <v>25</v>
      </c>
      <c r="H1046" s="1">
        <v>150</v>
      </c>
      <c r="I1046" s="1">
        <v>100</v>
      </c>
      <c r="J1046" s="1">
        <v>0.217</v>
      </c>
      <c r="K1046" s="1">
        <v>24.132000000000001</v>
      </c>
      <c r="L1046" s="1">
        <v>3.47</v>
      </c>
      <c r="M1046" s="1">
        <v>89.7</v>
      </c>
      <c r="N1046" s="1">
        <v>4.1349999999999998E-2</v>
      </c>
      <c r="O1046" s="1">
        <v>1.931E-4</v>
      </c>
      <c r="P10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5.44204934633133E-4</v>
      </c>
      <c r="Q1046" s="1">
        <f>LN(Table13[[#This Row],[qe_mg_g]]-Table13[[#This Row],[qt]])</f>
        <v>-1.5303689322237759</v>
      </c>
      <c r="R1046" s="1">
        <v>1</v>
      </c>
    </row>
    <row r="1047" spans="1:18" hidden="1" x14ac:dyDescent="0.3">
      <c r="A1047" s="1">
        <v>1046</v>
      </c>
      <c r="B1047" s="1" t="s">
        <v>17</v>
      </c>
      <c r="C1047" s="1">
        <v>4</v>
      </c>
      <c r="D1047" s="1">
        <v>60</v>
      </c>
      <c r="E1047" s="1">
        <v>25</v>
      </c>
      <c r="F1047" s="1">
        <v>3</v>
      </c>
      <c r="G1047" s="1">
        <v>25</v>
      </c>
      <c r="H1047" s="1">
        <v>150</v>
      </c>
      <c r="I1047" s="1">
        <v>100</v>
      </c>
      <c r="J1047" s="1">
        <v>0.223</v>
      </c>
      <c r="K1047" s="1">
        <v>24.106999999999999</v>
      </c>
      <c r="L1047" s="1">
        <v>3.57</v>
      </c>
      <c r="M1047" s="1">
        <v>79.2</v>
      </c>
      <c r="N1047" s="1">
        <v>3.2039999999999999E-2</v>
      </c>
      <c r="O1047" s="1">
        <v>1.883E-4</v>
      </c>
      <c r="P10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5.6042627378281276E-4</v>
      </c>
      <c r="Q1047" s="1">
        <f>LN(Table13[[#This Row],[qe_mg_g]]-Table13[[#This Row],[qt]])</f>
        <v>-1.5030997930186056</v>
      </c>
      <c r="R1047" s="1">
        <v>2</v>
      </c>
    </row>
    <row r="1048" spans="1:18" hidden="1" x14ac:dyDescent="0.3">
      <c r="A1048" s="1">
        <v>1047</v>
      </c>
      <c r="B1048" s="1" t="s">
        <v>17</v>
      </c>
      <c r="C1048" s="1">
        <v>4</v>
      </c>
      <c r="D1048" s="1">
        <v>60</v>
      </c>
      <c r="E1048" s="1">
        <v>25</v>
      </c>
      <c r="F1048" s="1">
        <v>3</v>
      </c>
      <c r="G1048" s="1">
        <v>25</v>
      </c>
      <c r="H1048" s="1">
        <v>150</v>
      </c>
      <c r="I1048" s="1">
        <v>100</v>
      </c>
      <c r="J1048" s="1">
        <v>0.20699999999999999</v>
      </c>
      <c r="K1048" s="1">
        <v>24.172000000000001</v>
      </c>
      <c r="L1048" s="1">
        <v>3.31</v>
      </c>
      <c r="M1048" s="1">
        <v>90.3</v>
      </c>
      <c r="N1048" s="1">
        <v>4.3220000000000001E-2</v>
      </c>
      <c r="O1048" s="1">
        <v>1.8569999999999999E-4</v>
      </c>
      <c r="P10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4.7632496495876879E-4</v>
      </c>
      <c r="Q1048" s="1">
        <f>LN(Table13[[#This Row],[qe_mg_g]]-Table13[[#This Row],[qt]])</f>
        <v>-1.5773402240726504</v>
      </c>
      <c r="R1048" s="1">
        <v>3</v>
      </c>
    </row>
    <row r="1049" spans="1:18" hidden="1" x14ac:dyDescent="0.3">
      <c r="A1049" s="1">
        <v>1048</v>
      </c>
      <c r="B1049" s="1" t="s">
        <v>17</v>
      </c>
      <c r="C1049" s="1">
        <v>4</v>
      </c>
      <c r="D1049" s="1">
        <v>60</v>
      </c>
      <c r="E1049" s="1">
        <v>25</v>
      </c>
      <c r="F1049" s="1">
        <v>7</v>
      </c>
      <c r="G1049" s="1">
        <v>25</v>
      </c>
      <c r="H1049" s="1">
        <v>150</v>
      </c>
      <c r="I1049" s="1">
        <v>100</v>
      </c>
      <c r="J1049" s="1">
        <v>0.36399999999999999</v>
      </c>
      <c r="K1049" s="1">
        <v>23.545000000000002</v>
      </c>
      <c r="L1049" s="1">
        <v>5.82</v>
      </c>
      <c r="M1049" s="1">
        <v>84.9</v>
      </c>
      <c r="N1049" s="1">
        <v>3.6389999999999999E-2</v>
      </c>
      <c r="O1049" s="1">
        <v>2.053E-4</v>
      </c>
      <c r="P10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1.6248005253946605E-3</v>
      </c>
      <c r="Q1049" s="1">
        <f>LN(Table13[[#This Row],[qe_mg_g]]-Table13[[#This Row],[qt]])</f>
        <v>-1.0150751412758803</v>
      </c>
      <c r="R1049" s="1">
        <v>1</v>
      </c>
    </row>
    <row r="1050" spans="1:18" hidden="1" x14ac:dyDescent="0.3">
      <c r="A1050" s="1">
        <v>1049</v>
      </c>
      <c r="B1050" s="1" t="s">
        <v>17</v>
      </c>
      <c r="C1050" s="1">
        <v>4</v>
      </c>
      <c r="D1050" s="1">
        <v>60</v>
      </c>
      <c r="E1050" s="1">
        <v>25</v>
      </c>
      <c r="F1050" s="1">
        <v>7</v>
      </c>
      <c r="G1050" s="1">
        <v>25</v>
      </c>
      <c r="H1050" s="1">
        <v>150</v>
      </c>
      <c r="I1050" s="1">
        <v>100</v>
      </c>
      <c r="J1050" s="1">
        <v>0.42799999999999999</v>
      </c>
      <c r="K1050" s="1">
        <v>23.286000000000001</v>
      </c>
      <c r="L1050" s="1">
        <v>6.85</v>
      </c>
      <c r="M1050" s="1">
        <v>54.5</v>
      </c>
      <c r="N1050" s="1">
        <v>2.665E-2</v>
      </c>
      <c r="O1050" s="1">
        <v>1.9010000000000001E-4</v>
      </c>
      <c r="P10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2.0792463059196437E-3</v>
      </c>
      <c r="Q1050" s="1">
        <f>LN(Table13[[#This Row],[qe_mg_g]]-Table13[[#This Row],[qt]])</f>
        <v>-0.85350197420971241</v>
      </c>
      <c r="R1050" s="1">
        <v>2</v>
      </c>
    </row>
    <row r="1051" spans="1:18" hidden="1" x14ac:dyDescent="0.3">
      <c r="A1051" s="1">
        <v>1050</v>
      </c>
      <c r="B1051" s="1" t="s">
        <v>17</v>
      </c>
      <c r="C1051" s="1">
        <v>4</v>
      </c>
      <c r="D1051" s="1">
        <v>60</v>
      </c>
      <c r="E1051" s="1">
        <v>25</v>
      </c>
      <c r="F1051" s="1">
        <v>7</v>
      </c>
      <c r="G1051" s="1">
        <v>25</v>
      </c>
      <c r="H1051" s="1">
        <v>150</v>
      </c>
      <c r="I1051" s="1">
        <v>100</v>
      </c>
      <c r="J1051" s="1">
        <v>0.42099999999999999</v>
      </c>
      <c r="K1051" s="1">
        <v>23.315000000000001</v>
      </c>
      <c r="L1051" s="1">
        <v>6.74</v>
      </c>
      <c r="M1051" s="1">
        <v>65.599999999999994</v>
      </c>
      <c r="N1051" s="1">
        <v>2.4469999999999999E-2</v>
      </c>
      <c r="O1051" s="1">
        <v>2.1139999999999999E-4</v>
      </c>
      <c r="P10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2.236183703525785E-3</v>
      </c>
      <c r="Q1051" s="1">
        <f>LN(Table13[[#This Row],[qe_mg_g]]-Table13[[#This Row],[qt]])</f>
        <v>-0.87044820224632169</v>
      </c>
      <c r="R1051" s="1">
        <v>3</v>
      </c>
    </row>
    <row r="1052" spans="1:18" hidden="1" x14ac:dyDescent="0.3">
      <c r="A1052" s="1">
        <v>1051</v>
      </c>
      <c r="B1052" s="1" t="s">
        <v>17</v>
      </c>
      <c r="C1052" s="1">
        <v>4</v>
      </c>
      <c r="D1052" s="1">
        <v>60</v>
      </c>
      <c r="E1052" s="1">
        <v>25</v>
      </c>
      <c r="F1052" s="1">
        <v>11</v>
      </c>
      <c r="G1052" s="1">
        <v>25</v>
      </c>
      <c r="H1052" s="1">
        <v>150</v>
      </c>
      <c r="I1052" s="1">
        <v>100</v>
      </c>
      <c r="J1052" s="1">
        <v>0.28399999999999997</v>
      </c>
      <c r="K1052" s="1">
        <v>23.864000000000001</v>
      </c>
      <c r="L1052" s="1">
        <v>4.54</v>
      </c>
      <c r="M1052" s="1">
        <v>71.7</v>
      </c>
      <c r="N1052" s="1">
        <v>3.1550000000000002E-2</v>
      </c>
      <c r="O1052" s="1">
        <v>1.806E-4</v>
      </c>
      <c r="P10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8.7130703481967697E-4</v>
      </c>
      <c r="Q1052" s="1">
        <f>LN(Table13[[#This Row],[qe_mg_g]]-Table13[[#This Row],[qt]])</f>
        <v>-1.2618537392442797</v>
      </c>
      <c r="R1052" s="1">
        <v>1</v>
      </c>
    </row>
    <row r="1053" spans="1:18" hidden="1" x14ac:dyDescent="0.3">
      <c r="A1053" s="1">
        <v>1052</v>
      </c>
      <c r="B1053" s="1" t="s">
        <v>17</v>
      </c>
      <c r="C1053" s="1">
        <v>4</v>
      </c>
      <c r="D1053" s="1">
        <v>60</v>
      </c>
      <c r="E1053" s="1">
        <v>25</v>
      </c>
      <c r="F1053" s="1">
        <v>11</v>
      </c>
      <c r="G1053" s="1">
        <v>25</v>
      </c>
      <c r="H1053" s="1">
        <v>150</v>
      </c>
      <c r="I1053" s="1">
        <v>100</v>
      </c>
      <c r="J1053" s="1">
        <v>0.28000000000000003</v>
      </c>
      <c r="K1053" s="1">
        <v>23.879000000000001</v>
      </c>
      <c r="L1053" s="1">
        <v>4.4800000000000004</v>
      </c>
      <c r="M1053" s="1">
        <v>77.7</v>
      </c>
      <c r="N1053" s="1">
        <v>3.6729999999999999E-2</v>
      </c>
      <c r="O1053" s="1">
        <v>1.429E-4</v>
      </c>
      <c r="P10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6.705916971009359E-4</v>
      </c>
      <c r="Q1053" s="1">
        <f>LN(Table13[[#This Row],[qe_mg_g]]-Table13[[#This Row],[qt]])</f>
        <v>-1.2753635186884882</v>
      </c>
      <c r="R1053" s="1">
        <v>2</v>
      </c>
    </row>
    <row r="1054" spans="1:18" hidden="1" x14ac:dyDescent="0.3">
      <c r="A1054" s="1">
        <v>1053</v>
      </c>
      <c r="B1054" s="1" t="s">
        <v>17</v>
      </c>
      <c r="C1054" s="1">
        <v>4</v>
      </c>
      <c r="D1054" s="1">
        <v>60</v>
      </c>
      <c r="E1054" s="1">
        <v>25</v>
      </c>
      <c r="F1054" s="1">
        <v>11</v>
      </c>
      <c r="G1054" s="1">
        <v>25</v>
      </c>
      <c r="H1054" s="1">
        <v>150</v>
      </c>
      <c r="I1054" s="1">
        <v>100</v>
      </c>
      <c r="J1054" s="1">
        <v>0.253</v>
      </c>
      <c r="K1054" s="1">
        <v>23.986000000000001</v>
      </c>
      <c r="L1054" s="1">
        <v>4.05</v>
      </c>
      <c r="M1054" s="1">
        <v>71.2</v>
      </c>
      <c r="N1054" s="1">
        <v>3.4099999999999998E-2</v>
      </c>
      <c r="O1054" s="1">
        <v>1.8919999999999999E-4</v>
      </c>
      <c r="P10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7.2454922205948864E-4</v>
      </c>
      <c r="Q1054" s="1">
        <f>LN(Table13[[#This Row],[qe_mg_g]]-Table13[[#This Row],[qt]])</f>
        <v>-1.3772337297817268</v>
      </c>
      <c r="R1054" s="1">
        <v>3</v>
      </c>
    </row>
    <row r="1055" spans="1:18" hidden="1" x14ac:dyDescent="0.3">
      <c r="A1055" s="1">
        <v>1054</v>
      </c>
      <c r="B1055" s="1" t="s">
        <v>17</v>
      </c>
      <c r="C1055" s="1">
        <v>4</v>
      </c>
      <c r="D1055" s="1">
        <v>60</v>
      </c>
      <c r="E1055" s="1">
        <v>50</v>
      </c>
      <c r="F1055" s="1">
        <v>3</v>
      </c>
      <c r="G1055" s="1">
        <v>25</v>
      </c>
      <c r="H1055" s="1">
        <v>150</v>
      </c>
      <c r="I1055" s="1">
        <v>100</v>
      </c>
      <c r="J1055" s="1">
        <v>0.89100000000000001</v>
      </c>
      <c r="K1055" s="1">
        <v>46.436999999999998</v>
      </c>
      <c r="L1055" s="1">
        <v>7.13</v>
      </c>
      <c r="M1055" s="1">
        <v>61.8</v>
      </c>
      <c r="N1055" s="1">
        <v>3.5159999999999997E-2</v>
      </c>
      <c r="O1055" s="1">
        <v>2.1120000000000001E-4</v>
      </c>
      <c r="P10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9.9477425380431056E-3</v>
      </c>
      <c r="Q1055" s="1">
        <f>LN(Table13[[#This Row],[qe_mg_g]]-Table13[[#This Row],[qt]])</f>
        <v>-0.12663833873022037</v>
      </c>
      <c r="R1055" s="1">
        <v>1</v>
      </c>
    </row>
    <row r="1056" spans="1:18" hidden="1" x14ac:dyDescent="0.3">
      <c r="A1056" s="1">
        <v>1055</v>
      </c>
      <c r="B1056" s="1" t="s">
        <v>17</v>
      </c>
      <c r="C1056" s="1">
        <v>4</v>
      </c>
      <c r="D1056" s="1">
        <v>60</v>
      </c>
      <c r="E1056" s="1">
        <v>50</v>
      </c>
      <c r="F1056" s="1">
        <v>3</v>
      </c>
      <c r="G1056" s="1">
        <v>25</v>
      </c>
      <c r="H1056" s="1">
        <v>150</v>
      </c>
      <c r="I1056" s="1">
        <v>100</v>
      </c>
      <c r="J1056" s="1">
        <v>0.97799999999999998</v>
      </c>
      <c r="K1056" s="1">
        <v>46.087000000000003</v>
      </c>
      <c r="L1056" s="1">
        <v>7.83</v>
      </c>
      <c r="M1056" s="1">
        <v>79.5</v>
      </c>
      <c r="N1056" s="1">
        <v>3.6139999999999999E-2</v>
      </c>
      <c r="O1056" s="1">
        <v>1.639E-4</v>
      </c>
      <c r="P10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9.3164611745516508E-3</v>
      </c>
      <c r="Q1056" s="1">
        <f>LN(Table13[[#This Row],[qe_mg_g]]-Table13[[#This Row],[qt]])</f>
        <v>-3.181730575142485E-2</v>
      </c>
      <c r="R1056" s="1">
        <v>2</v>
      </c>
    </row>
    <row r="1057" spans="1:18" hidden="1" x14ac:dyDescent="0.3">
      <c r="A1057" s="1">
        <v>1056</v>
      </c>
      <c r="B1057" s="1" t="s">
        <v>17</v>
      </c>
      <c r="C1057" s="1">
        <v>4</v>
      </c>
      <c r="D1057" s="1">
        <v>60</v>
      </c>
      <c r="E1057" s="1">
        <v>50</v>
      </c>
      <c r="F1057" s="1">
        <v>3</v>
      </c>
      <c r="G1057" s="1">
        <v>25</v>
      </c>
      <c r="H1057" s="1">
        <v>150</v>
      </c>
      <c r="I1057" s="1">
        <v>100</v>
      </c>
      <c r="J1057" s="1">
        <v>0.628</v>
      </c>
      <c r="K1057" s="1">
        <v>47.488999999999997</v>
      </c>
      <c r="L1057" s="1">
        <v>5.0199999999999996</v>
      </c>
      <c r="M1057" s="1">
        <v>96.6</v>
      </c>
      <c r="N1057" s="1">
        <v>3.4979999999999997E-2</v>
      </c>
      <c r="O1057" s="1">
        <v>2.2359999999999999E-4</v>
      </c>
      <c r="P10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5.2468497337742181E-3</v>
      </c>
      <c r="Q1057" s="1">
        <f>LN(Table13[[#This Row],[qe_mg_g]]-Table13[[#This Row],[qt]])</f>
        <v>-0.47360506621558746</v>
      </c>
      <c r="R1057" s="1">
        <v>3</v>
      </c>
    </row>
    <row r="1058" spans="1:18" hidden="1" x14ac:dyDescent="0.3">
      <c r="A1058" s="1">
        <v>1057</v>
      </c>
      <c r="B1058" s="1" t="s">
        <v>17</v>
      </c>
      <c r="C1058" s="1">
        <v>4</v>
      </c>
      <c r="D1058" s="1">
        <v>60</v>
      </c>
      <c r="E1058" s="1">
        <v>50</v>
      </c>
      <c r="F1058" s="1">
        <v>7</v>
      </c>
      <c r="G1058" s="1">
        <v>25</v>
      </c>
      <c r="H1058" s="1">
        <v>150</v>
      </c>
      <c r="I1058" s="1">
        <v>100</v>
      </c>
      <c r="J1058" s="1">
        <v>1.224</v>
      </c>
      <c r="K1058" s="1">
        <v>45.101999999999997</v>
      </c>
      <c r="L1058" s="1">
        <v>9.8000000000000007</v>
      </c>
      <c r="M1058" s="1">
        <v>92.4</v>
      </c>
      <c r="N1058" s="1">
        <v>4.1540000000000001E-2</v>
      </c>
      <c r="O1058" s="1">
        <v>2.084E-4</v>
      </c>
      <c r="P10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1.8450805051569454E-2</v>
      </c>
      <c r="Q1058" s="1">
        <f>LN(Table13[[#This Row],[qe_mg_g]]-Table13[[#This Row],[qt]])</f>
        <v>0.18693522655668771</v>
      </c>
      <c r="R1058" s="1">
        <v>1</v>
      </c>
    </row>
    <row r="1059" spans="1:18" hidden="1" x14ac:dyDescent="0.3">
      <c r="A1059" s="1">
        <v>1058</v>
      </c>
      <c r="B1059" s="1" t="s">
        <v>17</v>
      </c>
      <c r="C1059" s="1">
        <v>4</v>
      </c>
      <c r="D1059" s="1">
        <v>60</v>
      </c>
      <c r="E1059" s="1">
        <v>50</v>
      </c>
      <c r="F1059" s="1">
        <v>7</v>
      </c>
      <c r="G1059" s="1">
        <v>25</v>
      </c>
      <c r="H1059" s="1">
        <v>150</v>
      </c>
      <c r="I1059" s="1">
        <v>100</v>
      </c>
      <c r="J1059" s="1">
        <v>1.4590000000000001</v>
      </c>
      <c r="K1059" s="1">
        <v>44.164999999999999</v>
      </c>
      <c r="L1059" s="1">
        <v>11.67</v>
      </c>
      <c r="M1059" s="1">
        <v>85.8</v>
      </c>
      <c r="N1059" s="1">
        <v>2.9499999999999998E-2</v>
      </c>
      <c r="O1059" s="1">
        <v>2.2709999999999999E-4</v>
      </c>
      <c r="P10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2.8440010400278985E-2</v>
      </c>
      <c r="Q1059" s="1">
        <f>LN(Table13[[#This Row],[qe_mg_g]]-Table13[[#This Row],[qt]])</f>
        <v>0.35806596873479563</v>
      </c>
      <c r="R1059" s="1">
        <v>2</v>
      </c>
    </row>
    <row r="1060" spans="1:18" hidden="1" x14ac:dyDescent="0.3">
      <c r="A1060" s="1">
        <v>1059</v>
      </c>
      <c r="B1060" s="1" t="s">
        <v>17</v>
      </c>
      <c r="C1060" s="1">
        <v>4</v>
      </c>
      <c r="D1060" s="1">
        <v>60</v>
      </c>
      <c r="E1060" s="1">
        <v>50</v>
      </c>
      <c r="F1060" s="1">
        <v>7</v>
      </c>
      <c r="G1060" s="1">
        <v>25</v>
      </c>
      <c r="H1060" s="1">
        <v>150</v>
      </c>
      <c r="I1060" s="1">
        <v>100</v>
      </c>
      <c r="J1060" s="1">
        <v>1.333</v>
      </c>
      <c r="K1060" s="1">
        <v>44.668999999999997</v>
      </c>
      <c r="L1060" s="1">
        <v>10.66</v>
      </c>
      <c r="M1060" s="1">
        <v>92.2</v>
      </c>
      <c r="N1060" s="1">
        <v>2.9530000000000001E-2</v>
      </c>
      <c r="O1060" s="1">
        <v>1.7640000000000001E-4</v>
      </c>
      <c r="P10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1.8544952236628193E-2</v>
      </c>
      <c r="Q1060" s="1">
        <f>LN(Table13[[#This Row],[qe_mg_g]]-Table13[[#This Row],[qt]])</f>
        <v>0.27342216738995462</v>
      </c>
      <c r="R1060" s="1">
        <v>3</v>
      </c>
    </row>
    <row r="1061" spans="1:18" hidden="1" x14ac:dyDescent="0.3">
      <c r="A1061" s="1">
        <v>1060</v>
      </c>
      <c r="B1061" s="1" t="s">
        <v>17</v>
      </c>
      <c r="C1061" s="1">
        <v>4</v>
      </c>
      <c r="D1061" s="1">
        <v>60</v>
      </c>
      <c r="E1061" s="1">
        <v>50</v>
      </c>
      <c r="F1061" s="1">
        <v>11</v>
      </c>
      <c r="G1061" s="1">
        <v>25</v>
      </c>
      <c r="H1061" s="1">
        <v>150</v>
      </c>
      <c r="I1061" s="1">
        <v>100</v>
      </c>
      <c r="J1061" s="1">
        <v>1.196</v>
      </c>
      <c r="K1061" s="1">
        <v>45.216999999999999</v>
      </c>
      <c r="L1061" s="1">
        <v>9.57</v>
      </c>
      <c r="M1061" s="1">
        <v>81.2</v>
      </c>
      <c r="N1061" s="1">
        <v>4.0090000000000001E-2</v>
      </c>
      <c r="O1061" s="1">
        <v>1.984E-4</v>
      </c>
      <c r="P10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1.6788648979369304E-2</v>
      </c>
      <c r="Q1061" s="1">
        <f>LN(Table13[[#This Row],[qe_mg_g]]-Table13[[#This Row],[qt]])</f>
        <v>0.1648458684417396</v>
      </c>
      <c r="R1061" s="1">
        <v>1</v>
      </c>
    </row>
    <row r="1062" spans="1:18" hidden="1" x14ac:dyDescent="0.3">
      <c r="A1062" s="1">
        <v>1061</v>
      </c>
      <c r="B1062" s="1" t="s">
        <v>17</v>
      </c>
      <c r="C1062" s="1">
        <v>4</v>
      </c>
      <c r="D1062" s="1">
        <v>60</v>
      </c>
      <c r="E1062" s="1">
        <v>50</v>
      </c>
      <c r="F1062" s="1">
        <v>11</v>
      </c>
      <c r="G1062" s="1">
        <v>25</v>
      </c>
      <c r="H1062" s="1">
        <v>150</v>
      </c>
      <c r="I1062" s="1">
        <v>100</v>
      </c>
      <c r="J1062" s="1">
        <v>0.85299999999999998</v>
      </c>
      <c r="K1062" s="1">
        <v>46.588000000000001</v>
      </c>
      <c r="L1062" s="1">
        <v>6.82</v>
      </c>
      <c r="M1062" s="1">
        <v>97.2</v>
      </c>
      <c r="N1062" s="1">
        <v>3.2939999999999997E-2</v>
      </c>
      <c r="O1062" s="1">
        <v>2.14E-4</v>
      </c>
      <c r="P10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9.2412842098657608E-3</v>
      </c>
      <c r="Q1062" s="1">
        <f>LN(Table13[[#This Row],[qe_mg_g]]-Table13[[#This Row],[qt]])</f>
        <v>-0.16988870702340556</v>
      </c>
      <c r="R1062" s="1">
        <v>2</v>
      </c>
    </row>
    <row r="1063" spans="1:18" hidden="1" x14ac:dyDescent="0.3">
      <c r="A1063" s="1">
        <v>1062</v>
      </c>
      <c r="B1063" s="1" t="s">
        <v>17</v>
      </c>
      <c r="C1063" s="1">
        <v>4</v>
      </c>
      <c r="D1063" s="1">
        <v>60</v>
      </c>
      <c r="E1063" s="1">
        <v>50</v>
      </c>
      <c r="F1063" s="1">
        <v>11</v>
      </c>
      <c r="G1063" s="1">
        <v>25</v>
      </c>
      <c r="H1063" s="1">
        <v>150</v>
      </c>
      <c r="I1063" s="1">
        <v>100</v>
      </c>
      <c r="J1063" s="1">
        <v>1.048</v>
      </c>
      <c r="K1063" s="1">
        <v>45.807000000000002</v>
      </c>
      <c r="L1063" s="1">
        <v>8.39</v>
      </c>
      <c r="M1063" s="1">
        <v>65.900000000000006</v>
      </c>
      <c r="N1063" s="1">
        <v>3.5580000000000001E-2</v>
      </c>
      <c r="O1063" s="1">
        <v>2.4389999999999999E-4</v>
      </c>
      <c r="P10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1.5829807962608401E-2</v>
      </c>
      <c r="Q1063" s="1">
        <f>LN(Table13[[#This Row],[qe_mg_g]]-Table13[[#This Row],[qt]])</f>
        <v>3.1663568227340337E-2</v>
      </c>
      <c r="R1063" s="1">
        <v>3</v>
      </c>
    </row>
    <row r="1064" spans="1:18" hidden="1" x14ac:dyDescent="0.3">
      <c r="A1064" s="1">
        <v>1063</v>
      </c>
      <c r="B1064" s="1" t="s">
        <v>17</v>
      </c>
      <c r="C1064" s="1">
        <v>4</v>
      </c>
      <c r="D1064" s="1">
        <v>60</v>
      </c>
      <c r="E1064" s="1">
        <v>100</v>
      </c>
      <c r="F1064" s="1">
        <v>3</v>
      </c>
      <c r="G1064" s="1">
        <v>25</v>
      </c>
      <c r="H1064" s="1">
        <v>150</v>
      </c>
      <c r="I1064" s="1">
        <v>100</v>
      </c>
      <c r="J1064" s="1">
        <v>3.1419999999999999</v>
      </c>
      <c r="K1064" s="1">
        <v>87.433000000000007</v>
      </c>
      <c r="L1064" s="1">
        <v>12.57</v>
      </c>
      <c r="M1064" s="1">
        <v>85</v>
      </c>
      <c r="N1064" s="1">
        <v>3.8760000000000003E-2</v>
      </c>
      <c r="O1064" s="1">
        <v>2.042E-4</v>
      </c>
      <c r="P10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0.11647014382872065</v>
      </c>
      <c r="Q1064" s="1">
        <f>LN(Table13[[#This Row],[qe_mg_g]]-Table13[[#This Row],[qt]])</f>
        <v>1.1070862352091326</v>
      </c>
      <c r="R1064" s="1">
        <v>1</v>
      </c>
    </row>
    <row r="1065" spans="1:18" hidden="1" x14ac:dyDescent="0.3">
      <c r="A1065" s="1">
        <v>1064</v>
      </c>
      <c r="B1065" s="1" t="s">
        <v>17</v>
      </c>
      <c r="C1065" s="1">
        <v>4</v>
      </c>
      <c r="D1065" s="1">
        <v>60</v>
      </c>
      <c r="E1065" s="1">
        <v>100</v>
      </c>
      <c r="F1065" s="1">
        <v>3</v>
      </c>
      <c r="G1065" s="1">
        <v>25</v>
      </c>
      <c r="H1065" s="1">
        <v>150</v>
      </c>
      <c r="I1065" s="1">
        <v>100</v>
      </c>
      <c r="J1065" s="1">
        <v>3.0569999999999999</v>
      </c>
      <c r="K1065" s="1">
        <v>87.772000000000006</v>
      </c>
      <c r="L1065" s="1">
        <v>12.23</v>
      </c>
      <c r="M1065" s="1">
        <v>71.7</v>
      </c>
      <c r="N1065" s="1">
        <v>3.5819999999999998E-2</v>
      </c>
      <c r="O1065" s="1">
        <v>2.207E-4</v>
      </c>
      <c r="P10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0.11893519608589719</v>
      </c>
      <c r="Q1065" s="1">
        <f>LN(Table13[[#This Row],[qe_mg_g]]-Table13[[#This Row],[qt]])</f>
        <v>1.0777511346609498</v>
      </c>
      <c r="R1065" s="1">
        <v>2</v>
      </c>
    </row>
    <row r="1066" spans="1:18" hidden="1" x14ac:dyDescent="0.3">
      <c r="A1066" s="1">
        <v>1065</v>
      </c>
      <c r="B1066" s="1" t="s">
        <v>17</v>
      </c>
      <c r="C1066" s="1">
        <v>4</v>
      </c>
      <c r="D1066" s="1">
        <v>60</v>
      </c>
      <c r="E1066" s="1">
        <v>100</v>
      </c>
      <c r="F1066" s="1">
        <v>3</v>
      </c>
      <c r="G1066" s="1">
        <v>25</v>
      </c>
      <c r="H1066" s="1">
        <v>150</v>
      </c>
      <c r="I1066" s="1">
        <v>100</v>
      </c>
      <c r="J1066" s="1">
        <v>2.7440000000000002</v>
      </c>
      <c r="K1066" s="1">
        <v>89.025000000000006</v>
      </c>
      <c r="L1066" s="1">
        <v>10.98</v>
      </c>
      <c r="M1066" s="1">
        <v>104</v>
      </c>
      <c r="N1066" s="1">
        <v>3.4680000000000002E-2</v>
      </c>
      <c r="O1066" s="1">
        <v>1.8220000000000001E-4</v>
      </c>
      <c r="P10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7.9915625915827557E-2</v>
      </c>
      <c r="Q1066" s="1">
        <f>LN(Table13[[#This Row],[qe_mg_g]]-Table13[[#This Row],[qt]])</f>
        <v>0.97986042413011532</v>
      </c>
      <c r="R1066" s="1">
        <v>3</v>
      </c>
    </row>
    <row r="1067" spans="1:18" hidden="1" x14ac:dyDescent="0.3">
      <c r="A1067" s="1">
        <v>1066</v>
      </c>
      <c r="B1067" s="1" t="s">
        <v>17</v>
      </c>
      <c r="C1067" s="1">
        <v>4</v>
      </c>
      <c r="D1067" s="1">
        <v>60</v>
      </c>
      <c r="E1067" s="1">
        <v>100</v>
      </c>
      <c r="F1067" s="1">
        <v>7</v>
      </c>
      <c r="G1067" s="1">
        <v>25</v>
      </c>
      <c r="H1067" s="1">
        <v>150</v>
      </c>
      <c r="I1067" s="1">
        <v>100</v>
      </c>
      <c r="J1067" s="1">
        <v>5.52</v>
      </c>
      <c r="K1067" s="1">
        <v>77.918999999999997</v>
      </c>
      <c r="L1067" s="1">
        <v>22.08</v>
      </c>
      <c r="M1067" s="1">
        <v>82</v>
      </c>
      <c r="N1067" s="1">
        <v>3.7659999999999999E-2</v>
      </c>
      <c r="O1067" s="1">
        <v>1.942E-4</v>
      </c>
      <c r="P10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0.33358521971005983</v>
      </c>
      <c r="Q1067" s="1">
        <f>LN(Table13[[#This Row],[qe_mg_g]]-Table13[[#This Row],[qt]])</f>
        <v>1.646042664691405</v>
      </c>
      <c r="R1067" s="1">
        <v>1</v>
      </c>
    </row>
    <row r="1068" spans="1:18" hidden="1" x14ac:dyDescent="0.3">
      <c r="A1068" s="1">
        <v>1067</v>
      </c>
      <c r="B1068" s="1" t="s">
        <v>17</v>
      </c>
      <c r="C1068" s="1">
        <v>4</v>
      </c>
      <c r="D1068" s="1">
        <v>60</v>
      </c>
      <c r="E1068" s="1">
        <v>100</v>
      </c>
      <c r="F1068" s="1">
        <v>7</v>
      </c>
      <c r="G1068" s="1">
        <v>25</v>
      </c>
      <c r="H1068" s="1">
        <v>150</v>
      </c>
      <c r="I1068" s="1">
        <v>100</v>
      </c>
      <c r="J1068" s="1">
        <v>4.99</v>
      </c>
      <c r="K1068" s="1">
        <v>80.042000000000002</v>
      </c>
      <c r="L1068" s="1">
        <v>19.96</v>
      </c>
      <c r="M1068" s="1">
        <v>92.1</v>
      </c>
      <c r="N1068" s="1">
        <v>3.6020000000000003E-2</v>
      </c>
      <c r="O1068" s="1">
        <v>1.6009999999999999E-4</v>
      </c>
      <c r="P10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0.22824946446528871</v>
      </c>
      <c r="Q1068" s="1">
        <f>LN(Table13[[#This Row],[qe_mg_g]]-Table13[[#This Row],[qt]])</f>
        <v>1.5606153602024702</v>
      </c>
      <c r="R1068" s="1">
        <v>2</v>
      </c>
    </row>
    <row r="1069" spans="1:18" hidden="1" x14ac:dyDescent="0.3">
      <c r="A1069" s="1">
        <v>1068</v>
      </c>
      <c r="B1069" s="1" t="s">
        <v>17</v>
      </c>
      <c r="C1069" s="1">
        <v>4</v>
      </c>
      <c r="D1069" s="1">
        <v>60</v>
      </c>
      <c r="E1069" s="1">
        <v>100</v>
      </c>
      <c r="F1069" s="1">
        <v>7</v>
      </c>
      <c r="G1069" s="1">
        <v>25</v>
      </c>
      <c r="H1069" s="1">
        <v>150</v>
      </c>
      <c r="I1069" s="1">
        <v>100</v>
      </c>
      <c r="J1069" s="1">
        <v>4.4569999999999999</v>
      </c>
      <c r="K1069" s="1">
        <v>82.173000000000002</v>
      </c>
      <c r="L1069" s="1">
        <v>17.829999999999998</v>
      </c>
      <c r="M1069" s="1">
        <v>97.7</v>
      </c>
      <c r="N1069" s="1">
        <v>3.4540000000000001E-2</v>
      </c>
      <c r="O1069" s="1">
        <v>1.895E-4</v>
      </c>
      <c r="P10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0.21496951846501045</v>
      </c>
      <c r="Q1069" s="1">
        <f>LN(Table13[[#This Row],[qe_mg_g]]-Table13[[#This Row],[qt]])</f>
        <v>1.4450420417684866</v>
      </c>
      <c r="R1069" s="1">
        <v>3</v>
      </c>
    </row>
    <row r="1070" spans="1:18" hidden="1" x14ac:dyDescent="0.3">
      <c r="A1070" s="1">
        <v>1069</v>
      </c>
      <c r="B1070" s="1" t="s">
        <v>17</v>
      </c>
      <c r="C1070" s="1">
        <v>4</v>
      </c>
      <c r="D1070" s="1">
        <v>60</v>
      </c>
      <c r="E1070" s="1">
        <v>100</v>
      </c>
      <c r="F1070" s="1">
        <v>11</v>
      </c>
      <c r="G1070" s="1">
        <v>25</v>
      </c>
      <c r="H1070" s="1">
        <v>150</v>
      </c>
      <c r="I1070" s="1">
        <v>100</v>
      </c>
      <c r="J1070" s="1">
        <v>3.2450000000000001</v>
      </c>
      <c r="K1070" s="1">
        <v>87.02</v>
      </c>
      <c r="L1070" s="1">
        <v>12.98</v>
      </c>
      <c r="M1070" s="1">
        <v>71.8</v>
      </c>
      <c r="N1070" s="1">
        <v>2.792E-2</v>
      </c>
      <c r="O1070" s="1">
        <v>1.9799999999999999E-4</v>
      </c>
      <c r="P10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0.12045315558047918</v>
      </c>
      <c r="Q1070" s="1">
        <f>LN(Table13[[#This Row],[qe_mg_g]]-Table13[[#This Row],[qt]])</f>
        <v>1.1392892628876761</v>
      </c>
      <c r="R1070" s="1">
        <v>1</v>
      </c>
    </row>
    <row r="1071" spans="1:18" hidden="1" x14ac:dyDescent="0.3">
      <c r="A1071" s="1">
        <v>1070</v>
      </c>
      <c r="B1071" s="1" t="s">
        <v>17</v>
      </c>
      <c r="C1071" s="1">
        <v>4</v>
      </c>
      <c r="D1071" s="1">
        <v>60</v>
      </c>
      <c r="E1071" s="1">
        <v>100</v>
      </c>
      <c r="F1071" s="1">
        <v>11</v>
      </c>
      <c r="G1071" s="1">
        <v>25</v>
      </c>
      <c r="H1071" s="1">
        <v>150</v>
      </c>
      <c r="I1071" s="1">
        <v>100</v>
      </c>
      <c r="J1071" s="1">
        <v>3.53</v>
      </c>
      <c r="K1071" s="1">
        <v>85.879000000000005</v>
      </c>
      <c r="L1071" s="1">
        <v>14.12</v>
      </c>
      <c r="M1071" s="1">
        <v>73.3</v>
      </c>
      <c r="N1071" s="1">
        <v>3.4759999999999999E-2</v>
      </c>
      <c r="O1071" s="1">
        <v>2.073E-4</v>
      </c>
      <c r="P10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0.14846993255543067</v>
      </c>
      <c r="Q1071" s="1">
        <f>LN(Table13[[#This Row],[qe_mg_g]]-Table13[[#This Row],[qt]])</f>
        <v>1.218328289740944</v>
      </c>
      <c r="R1071" s="1">
        <v>2</v>
      </c>
    </row>
    <row r="1072" spans="1:18" hidden="1" x14ac:dyDescent="0.3">
      <c r="A1072" s="1">
        <v>1071</v>
      </c>
      <c r="B1072" s="1" t="s">
        <v>17</v>
      </c>
      <c r="C1072" s="1">
        <v>4</v>
      </c>
      <c r="D1072" s="1">
        <v>60</v>
      </c>
      <c r="E1072" s="1">
        <v>100</v>
      </c>
      <c r="F1072" s="1">
        <v>11</v>
      </c>
      <c r="G1072" s="1">
        <v>25</v>
      </c>
      <c r="H1072" s="1">
        <v>150</v>
      </c>
      <c r="I1072" s="1">
        <v>100</v>
      </c>
      <c r="J1072" s="1">
        <v>4.5410000000000004</v>
      </c>
      <c r="K1072" s="1">
        <v>81.835999999999999</v>
      </c>
      <c r="L1072" s="1">
        <v>18.16</v>
      </c>
      <c r="M1072" s="1">
        <v>66.3</v>
      </c>
      <c r="N1072" s="1">
        <v>3.9059999999999997E-2</v>
      </c>
      <c r="O1072" s="1">
        <v>2.195E-4</v>
      </c>
      <c r="P10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0.25624938215754928</v>
      </c>
      <c r="Q1072" s="1">
        <f>LN(Table13[[#This Row],[qe_mg_g]]-Table13[[#This Row],[qt]])</f>
        <v>1.4550623514862167</v>
      </c>
      <c r="R1072" s="1">
        <v>3</v>
      </c>
    </row>
    <row r="1073" spans="1:18" hidden="1" x14ac:dyDescent="0.3">
      <c r="A1073" s="1">
        <v>1072</v>
      </c>
      <c r="B1073" s="1" t="s">
        <v>17</v>
      </c>
      <c r="C1073" s="1">
        <v>4</v>
      </c>
      <c r="D1073" s="1">
        <v>60</v>
      </c>
      <c r="E1073" s="1">
        <v>200</v>
      </c>
      <c r="F1073" s="1">
        <v>3</v>
      </c>
      <c r="G1073" s="1">
        <v>25</v>
      </c>
      <c r="H1073" s="1">
        <v>150</v>
      </c>
      <c r="I1073" s="1">
        <v>100</v>
      </c>
      <c r="J1073" s="1">
        <v>9.3019999999999996</v>
      </c>
      <c r="K1073" s="1">
        <v>162.792</v>
      </c>
      <c r="L1073" s="1">
        <v>18.600000000000001</v>
      </c>
      <c r="M1073" s="1">
        <v>88.3</v>
      </c>
      <c r="N1073" s="1">
        <v>3.3399999999999999E-2</v>
      </c>
      <c r="O1073" s="1">
        <v>2.0369999999999999E-4</v>
      </c>
      <c r="P10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0.94957878322092937</v>
      </c>
      <c r="Q1073" s="1">
        <f>LN(Table13[[#This Row],[qe_mg_g]]-Table13[[#This Row],[qt]])</f>
        <v>2.122551462912051</v>
      </c>
      <c r="R1073" s="1">
        <v>1</v>
      </c>
    </row>
    <row r="1074" spans="1:18" hidden="1" x14ac:dyDescent="0.3">
      <c r="A1074" s="1">
        <v>1073</v>
      </c>
      <c r="B1074" s="1" t="s">
        <v>17</v>
      </c>
      <c r="C1074" s="1">
        <v>4</v>
      </c>
      <c r="D1074" s="1">
        <v>60</v>
      </c>
      <c r="E1074" s="1">
        <v>200</v>
      </c>
      <c r="F1074" s="1">
        <v>3</v>
      </c>
      <c r="G1074" s="1">
        <v>25</v>
      </c>
      <c r="H1074" s="1">
        <v>150</v>
      </c>
      <c r="I1074" s="1">
        <v>100</v>
      </c>
      <c r="J1074" s="1">
        <v>11.61</v>
      </c>
      <c r="K1074" s="1">
        <v>153.559</v>
      </c>
      <c r="L1074" s="1">
        <v>23.22</v>
      </c>
      <c r="M1074" s="1">
        <v>93.5</v>
      </c>
      <c r="N1074" s="1">
        <v>3.678E-2</v>
      </c>
      <c r="O1074" s="1">
        <v>1.9139999999999999E-4</v>
      </c>
      <c r="P10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1.3658453534649824</v>
      </c>
      <c r="Q1074" s="1">
        <f>LN(Table13[[#This Row],[qe_mg_g]]-Table13[[#This Row],[qt]])</f>
        <v>2.3267072645270224</v>
      </c>
      <c r="R1074" s="1">
        <v>2</v>
      </c>
    </row>
    <row r="1075" spans="1:18" hidden="1" x14ac:dyDescent="0.3">
      <c r="A1075" s="1">
        <v>1074</v>
      </c>
      <c r="B1075" s="1" t="s">
        <v>17</v>
      </c>
      <c r="C1075" s="1">
        <v>4</v>
      </c>
      <c r="D1075" s="1">
        <v>60</v>
      </c>
      <c r="E1075" s="1">
        <v>200</v>
      </c>
      <c r="F1075" s="1">
        <v>3</v>
      </c>
      <c r="G1075" s="1">
        <v>25</v>
      </c>
      <c r="H1075" s="1">
        <v>150</v>
      </c>
      <c r="I1075" s="1">
        <v>100</v>
      </c>
      <c r="J1075" s="1">
        <v>8.5909999999999993</v>
      </c>
      <c r="K1075" s="1">
        <v>165.637</v>
      </c>
      <c r="L1075" s="1">
        <v>17.18</v>
      </c>
      <c r="M1075" s="1">
        <v>83</v>
      </c>
      <c r="N1075" s="1">
        <v>3.9219999999999998E-2</v>
      </c>
      <c r="O1075" s="1">
        <v>1.695E-4</v>
      </c>
      <c r="P10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0.69028884679018365</v>
      </c>
      <c r="Q1075" s="1">
        <f>LN(Table13[[#This Row],[qe_mg_g]]-Table13[[#This Row],[qt]])</f>
        <v>2.0669527748151211</v>
      </c>
      <c r="R1075" s="1">
        <v>3</v>
      </c>
    </row>
    <row r="1076" spans="1:18" hidden="1" x14ac:dyDescent="0.3">
      <c r="A1076" s="1">
        <v>1075</v>
      </c>
      <c r="B1076" s="1" t="s">
        <v>17</v>
      </c>
      <c r="C1076" s="1">
        <v>4</v>
      </c>
      <c r="D1076" s="1">
        <v>60</v>
      </c>
      <c r="E1076" s="1">
        <v>200</v>
      </c>
      <c r="F1076" s="1">
        <v>7</v>
      </c>
      <c r="G1076" s="1">
        <v>25</v>
      </c>
      <c r="H1076" s="1">
        <v>150</v>
      </c>
      <c r="I1076" s="1">
        <v>100</v>
      </c>
      <c r="J1076" s="1">
        <v>14.555999999999999</v>
      </c>
      <c r="K1076" s="1">
        <v>141.77699999999999</v>
      </c>
      <c r="L1076" s="1">
        <v>29.11</v>
      </c>
      <c r="M1076" s="1">
        <v>87.3</v>
      </c>
      <c r="N1076" s="1">
        <v>3.1550000000000002E-2</v>
      </c>
      <c r="O1076" s="1">
        <v>1.841E-4</v>
      </c>
      <c r="P10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2.0162163388701515</v>
      </c>
      <c r="Q1076" s="1">
        <f>LN(Table13[[#This Row],[qe_mg_g]]-Table13[[#This Row],[qt]])</f>
        <v>2.528906283152438</v>
      </c>
      <c r="R1076" s="1">
        <v>1</v>
      </c>
    </row>
    <row r="1077" spans="1:18" hidden="1" x14ac:dyDescent="0.3">
      <c r="A1077" s="1">
        <v>1076</v>
      </c>
      <c r="B1077" s="1" t="s">
        <v>17</v>
      </c>
      <c r="C1077" s="1">
        <v>4</v>
      </c>
      <c r="D1077" s="1">
        <v>60</v>
      </c>
      <c r="E1077" s="1">
        <v>200</v>
      </c>
      <c r="F1077" s="1">
        <v>7</v>
      </c>
      <c r="G1077" s="1">
        <v>25</v>
      </c>
      <c r="H1077" s="1">
        <v>150</v>
      </c>
      <c r="I1077" s="1">
        <v>100</v>
      </c>
      <c r="J1077" s="1">
        <v>15.583</v>
      </c>
      <c r="K1077" s="1">
        <v>137.667</v>
      </c>
      <c r="L1077" s="1">
        <v>31.17</v>
      </c>
      <c r="M1077" s="1">
        <v>68.2</v>
      </c>
      <c r="N1077" s="1">
        <v>3.159E-2</v>
      </c>
      <c r="O1077" s="1">
        <v>2.141E-4</v>
      </c>
      <c r="P10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2.5991057896271625</v>
      </c>
      <c r="Q1077" s="1">
        <f>LN(Table13[[#This Row],[qe_mg_g]]-Table13[[#This Row],[qt]])</f>
        <v>2.5637096824875414</v>
      </c>
      <c r="R1077" s="1">
        <v>2</v>
      </c>
    </row>
    <row r="1078" spans="1:18" hidden="1" x14ac:dyDescent="0.3">
      <c r="A1078" s="1">
        <v>1077</v>
      </c>
      <c r="B1078" s="1" t="s">
        <v>17</v>
      </c>
      <c r="C1078" s="1">
        <v>4</v>
      </c>
      <c r="D1078" s="1">
        <v>60</v>
      </c>
      <c r="E1078" s="1">
        <v>200</v>
      </c>
      <c r="F1078" s="1">
        <v>7</v>
      </c>
      <c r="G1078" s="1">
        <v>25</v>
      </c>
      <c r="H1078" s="1">
        <v>150</v>
      </c>
      <c r="I1078" s="1">
        <v>100</v>
      </c>
      <c r="J1078" s="1">
        <v>14.145</v>
      </c>
      <c r="K1078" s="1">
        <v>143.41900000000001</v>
      </c>
      <c r="L1078" s="1">
        <v>28.29</v>
      </c>
      <c r="M1078" s="1">
        <v>65.2</v>
      </c>
      <c r="N1078" s="1">
        <v>3.279E-2</v>
      </c>
      <c r="O1078" s="1">
        <v>2.1460000000000001E-4</v>
      </c>
      <c r="P10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2.179321271765629</v>
      </c>
      <c r="Q1078" s="1">
        <f>LN(Table13[[#This Row],[qe_mg_g]]-Table13[[#This Row],[qt]])</f>
        <v>2.4820424458889021</v>
      </c>
      <c r="R1078" s="1">
        <v>3</v>
      </c>
    </row>
    <row r="1079" spans="1:18" hidden="1" x14ac:dyDescent="0.3">
      <c r="A1079" s="1">
        <v>1078</v>
      </c>
      <c r="B1079" s="1" t="s">
        <v>17</v>
      </c>
      <c r="C1079" s="1">
        <v>4</v>
      </c>
      <c r="D1079" s="1">
        <v>60</v>
      </c>
      <c r="E1079" s="1">
        <v>200</v>
      </c>
      <c r="F1079" s="1">
        <v>11</v>
      </c>
      <c r="G1079" s="1">
        <v>25</v>
      </c>
      <c r="H1079" s="1">
        <v>150</v>
      </c>
      <c r="I1079" s="1">
        <v>100</v>
      </c>
      <c r="J1079" s="1">
        <v>12.204000000000001</v>
      </c>
      <c r="K1079" s="1">
        <v>151.185</v>
      </c>
      <c r="L1079" s="1">
        <v>24.41</v>
      </c>
      <c r="M1079" s="1">
        <v>79.7</v>
      </c>
      <c r="N1079" s="1">
        <v>3.5159999999999997E-2</v>
      </c>
      <c r="O1079" s="1">
        <v>1.651E-4</v>
      </c>
      <c r="P10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1.3162507534226127</v>
      </c>
      <c r="Q1079" s="1">
        <f>LN(Table13[[#This Row],[qe_mg_g]]-Table13[[#This Row],[qt]])</f>
        <v>2.3876382348283975</v>
      </c>
      <c r="R1079" s="1">
        <v>1</v>
      </c>
    </row>
    <row r="1080" spans="1:18" hidden="1" x14ac:dyDescent="0.3">
      <c r="A1080" s="1">
        <v>1079</v>
      </c>
      <c r="B1080" s="1" t="s">
        <v>17</v>
      </c>
      <c r="C1080" s="1">
        <v>4</v>
      </c>
      <c r="D1080" s="1">
        <v>60</v>
      </c>
      <c r="E1080" s="1">
        <v>200</v>
      </c>
      <c r="F1080" s="1">
        <v>11</v>
      </c>
      <c r="G1080" s="1">
        <v>25</v>
      </c>
      <c r="H1080" s="1">
        <v>150</v>
      </c>
      <c r="I1080" s="1">
        <v>100</v>
      </c>
      <c r="J1080" s="1">
        <v>13.065</v>
      </c>
      <c r="K1080" s="1">
        <v>147.74100000000001</v>
      </c>
      <c r="L1080" s="1">
        <v>26.13</v>
      </c>
      <c r="M1080" s="1">
        <v>90.6</v>
      </c>
      <c r="N1080" s="1">
        <v>3.3570000000000003E-2</v>
      </c>
      <c r="O1080" s="1">
        <v>2.2010000000000001E-4</v>
      </c>
      <c r="P10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1.9224886788801496</v>
      </c>
      <c r="Q1080" s="1">
        <f>LN(Table13[[#This Row],[qe_mg_g]]-Table13[[#This Row],[qt]])</f>
        <v>2.4107676418685582</v>
      </c>
      <c r="R1080" s="1">
        <v>2</v>
      </c>
    </row>
    <row r="1081" spans="1:18" hidden="1" x14ac:dyDescent="0.3">
      <c r="A1081" s="1">
        <v>1080</v>
      </c>
      <c r="B1081" s="1" t="s">
        <v>17</v>
      </c>
      <c r="C1081" s="1">
        <v>4</v>
      </c>
      <c r="D1081" s="1">
        <v>60</v>
      </c>
      <c r="E1081" s="1">
        <v>200</v>
      </c>
      <c r="F1081" s="1">
        <v>11</v>
      </c>
      <c r="G1081" s="1">
        <v>25</v>
      </c>
      <c r="H1081" s="1">
        <v>150</v>
      </c>
      <c r="I1081" s="1">
        <v>100</v>
      </c>
      <c r="J1081" s="1">
        <v>11.045</v>
      </c>
      <c r="K1081" s="1">
        <v>155.81800000000001</v>
      </c>
      <c r="L1081" s="1">
        <v>22.09</v>
      </c>
      <c r="M1081" s="1">
        <v>100.2</v>
      </c>
      <c r="N1081" s="1">
        <v>3.5540000000000002E-2</v>
      </c>
      <c r="O1081" s="1">
        <v>1.9330000000000001E-4</v>
      </c>
      <c r="P10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1.2542005308288697</v>
      </c>
      <c r="Q1081" s="1">
        <f>LN(Table13[[#This Row],[qe_mg_g]]-Table13[[#This Row],[qt]])</f>
        <v>2.2814431150235075</v>
      </c>
      <c r="R1081" s="1">
        <v>3</v>
      </c>
    </row>
    <row r="1082" spans="1:18" hidden="1" x14ac:dyDescent="0.3">
      <c r="A1082" s="1">
        <v>1081</v>
      </c>
      <c r="B1082" s="1" t="s">
        <v>17</v>
      </c>
      <c r="C1082" s="1">
        <v>4</v>
      </c>
      <c r="D1082" s="1">
        <v>120</v>
      </c>
      <c r="E1082" s="1">
        <v>25</v>
      </c>
      <c r="F1082" s="1">
        <v>3</v>
      </c>
      <c r="G1082" s="1">
        <v>25</v>
      </c>
      <c r="H1082" s="1">
        <v>150</v>
      </c>
      <c r="I1082" s="1">
        <v>100</v>
      </c>
      <c r="J1082" s="1">
        <v>0.41199999999999998</v>
      </c>
      <c r="K1082" s="1">
        <v>23.352</v>
      </c>
      <c r="L1082" s="1">
        <v>6.59</v>
      </c>
      <c r="M1082" s="1">
        <v>84.3</v>
      </c>
      <c r="N1082" s="1">
        <v>3.9269999999999999E-2</v>
      </c>
      <c r="O1082" s="1">
        <v>1.785E-4</v>
      </c>
      <c r="P10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3.6041100645162411E-3</v>
      </c>
      <c r="Q1082" s="1">
        <f>LN(Table13[[#This Row],[qe_mg_g]]-Table13[[#This Row],[qt]])</f>
        <v>-0.89551825656331574</v>
      </c>
      <c r="R1082" s="1">
        <v>1</v>
      </c>
    </row>
    <row r="1083" spans="1:18" hidden="1" x14ac:dyDescent="0.3">
      <c r="A1083" s="1">
        <v>1082</v>
      </c>
      <c r="B1083" s="1" t="s">
        <v>17</v>
      </c>
      <c r="C1083" s="1">
        <v>4</v>
      </c>
      <c r="D1083" s="1">
        <v>120</v>
      </c>
      <c r="E1083" s="1">
        <v>25</v>
      </c>
      <c r="F1083" s="1">
        <v>3</v>
      </c>
      <c r="G1083" s="1">
        <v>25</v>
      </c>
      <c r="H1083" s="1">
        <v>150</v>
      </c>
      <c r="I1083" s="1">
        <v>100</v>
      </c>
      <c r="J1083" s="1">
        <v>0.38100000000000001</v>
      </c>
      <c r="K1083" s="1">
        <v>23.474</v>
      </c>
      <c r="L1083" s="1">
        <v>6.1</v>
      </c>
      <c r="M1083" s="1">
        <v>99</v>
      </c>
      <c r="N1083" s="1">
        <v>3.2919999999999998E-2</v>
      </c>
      <c r="O1083" s="1">
        <v>2.1800000000000001E-4</v>
      </c>
      <c r="P10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3.7599366220851427E-3</v>
      </c>
      <c r="Q1083" s="1">
        <f>LN(Table13[[#This Row],[qe_mg_g]]-Table13[[#This Row],[qt]])</f>
        <v>-0.97487352130223937</v>
      </c>
      <c r="R1083" s="1">
        <v>2</v>
      </c>
    </row>
    <row r="1084" spans="1:18" hidden="1" x14ac:dyDescent="0.3">
      <c r="A1084" s="1">
        <v>1083</v>
      </c>
      <c r="B1084" s="1" t="s">
        <v>17</v>
      </c>
      <c r="C1084" s="1">
        <v>4</v>
      </c>
      <c r="D1084" s="1">
        <v>120</v>
      </c>
      <c r="E1084" s="1">
        <v>25</v>
      </c>
      <c r="F1084" s="1">
        <v>3</v>
      </c>
      <c r="G1084" s="1">
        <v>25</v>
      </c>
      <c r="H1084" s="1">
        <v>150</v>
      </c>
      <c r="I1084" s="1">
        <v>100</v>
      </c>
      <c r="J1084" s="1">
        <v>0.48299999999999998</v>
      </c>
      <c r="K1084" s="1">
        <v>23.068000000000001</v>
      </c>
      <c r="L1084" s="1">
        <v>7.73</v>
      </c>
      <c r="M1084" s="1">
        <v>80.5</v>
      </c>
      <c r="N1084" s="1">
        <v>3.7379999999999997E-2</v>
      </c>
      <c r="O1084" s="1">
        <v>1.7689999999999999E-4</v>
      </c>
      <c r="P10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4.9019980976569601E-3</v>
      </c>
      <c r="Q1084" s="1">
        <f>LN(Table13[[#This Row],[qe_mg_g]]-Table13[[#This Row],[qt]])</f>
        <v>-0.73793954260511441</v>
      </c>
      <c r="R1084" s="1">
        <v>3</v>
      </c>
    </row>
    <row r="1085" spans="1:18" hidden="1" x14ac:dyDescent="0.3">
      <c r="A1085" s="1">
        <v>1084</v>
      </c>
      <c r="B1085" s="1" t="s">
        <v>17</v>
      </c>
      <c r="C1085" s="1">
        <v>4</v>
      </c>
      <c r="D1085" s="1">
        <v>120</v>
      </c>
      <c r="E1085" s="1">
        <v>25</v>
      </c>
      <c r="F1085" s="1">
        <v>7</v>
      </c>
      <c r="G1085" s="1">
        <v>25</v>
      </c>
      <c r="H1085" s="1">
        <v>150</v>
      </c>
      <c r="I1085" s="1">
        <v>100</v>
      </c>
      <c r="J1085" s="1">
        <v>0.76400000000000001</v>
      </c>
      <c r="K1085" s="1">
        <v>21.943999999999999</v>
      </c>
      <c r="L1085" s="1">
        <v>12.22</v>
      </c>
      <c r="M1085" s="1">
        <v>88.3</v>
      </c>
      <c r="N1085" s="1">
        <v>3.6659999999999998E-2</v>
      </c>
      <c r="O1085" s="1">
        <v>1.8709999999999999E-4</v>
      </c>
      <c r="P10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1.2884136768021271E-2</v>
      </c>
      <c r="Q1085" s="1">
        <f>LN(Table13[[#This Row],[qe_mg_g]]-Table13[[#This Row],[qt]])</f>
        <v>-0.28619536051322331</v>
      </c>
      <c r="R1085" s="1">
        <v>1</v>
      </c>
    </row>
    <row r="1086" spans="1:18" hidden="1" x14ac:dyDescent="0.3">
      <c r="A1086" s="1">
        <v>1085</v>
      </c>
      <c r="B1086" s="1" t="s">
        <v>17</v>
      </c>
      <c r="C1086" s="1">
        <v>4</v>
      </c>
      <c r="D1086" s="1">
        <v>120</v>
      </c>
      <c r="E1086" s="1">
        <v>25</v>
      </c>
      <c r="F1086" s="1">
        <v>7</v>
      </c>
      <c r="G1086" s="1">
        <v>25</v>
      </c>
      <c r="H1086" s="1">
        <v>150</v>
      </c>
      <c r="I1086" s="1">
        <v>100</v>
      </c>
      <c r="J1086" s="1">
        <v>0.59199999999999997</v>
      </c>
      <c r="K1086" s="1">
        <v>22.63</v>
      </c>
      <c r="L1086" s="1">
        <v>9.48</v>
      </c>
      <c r="M1086" s="1">
        <v>92.2</v>
      </c>
      <c r="N1086" s="1">
        <v>2.7779999999999999E-2</v>
      </c>
      <c r="O1086" s="1">
        <v>1.9369999999999999E-4</v>
      </c>
      <c r="P10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8.0356116004241668E-3</v>
      </c>
      <c r="Q1086" s="1">
        <f>LN(Table13[[#This Row],[qe_mg_g]]-Table13[[#This Row],[qt]])</f>
        <v>-0.53791527678104034</v>
      </c>
      <c r="R1086" s="1">
        <v>2</v>
      </c>
    </row>
    <row r="1087" spans="1:18" hidden="1" x14ac:dyDescent="0.3">
      <c r="A1087" s="1">
        <v>1086</v>
      </c>
      <c r="B1087" s="1" t="s">
        <v>17</v>
      </c>
      <c r="C1087" s="1">
        <v>4</v>
      </c>
      <c r="D1087" s="1">
        <v>120</v>
      </c>
      <c r="E1087" s="1">
        <v>25</v>
      </c>
      <c r="F1087" s="1">
        <v>7</v>
      </c>
      <c r="G1087" s="1">
        <v>25</v>
      </c>
      <c r="H1087" s="1">
        <v>150</v>
      </c>
      <c r="I1087" s="1">
        <v>100</v>
      </c>
      <c r="J1087" s="1">
        <v>0.77700000000000002</v>
      </c>
      <c r="K1087" s="1">
        <v>21.890999999999998</v>
      </c>
      <c r="L1087" s="1">
        <v>12.44</v>
      </c>
      <c r="M1087" s="1">
        <v>88.2</v>
      </c>
      <c r="N1087" s="1">
        <v>4.1820000000000003E-2</v>
      </c>
      <c r="O1087" s="1">
        <v>2.2049999999999999E-4</v>
      </c>
      <c r="P10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1.5652855705354227E-2</v>
      </c>
      <c r="Q1087" s="1">
        <f>LN(Table13[[#This Row],[qe_mg_g]]-Table13[[#This Row],[qt]])</f>
        <v>-0.27266585654679099</v>
      </c>
      <c r="R1087" s="1">
        <v>3</v>
      </c>
    </row>
    <row r="1088" spans="1:18" hidden="1" x14ac:dyDescent="0.3">
      <c r="A1088" s="1">
        <v>1087</v>
      </c>
      <c r="B1088" s="1" t="s">
        <v>17</v>
      </c>
      <c r="C1088" s="1">
        <v>4</v>
      </c>
      <c r="D1088" s="1">
        <v>120</v>
      </c>
      <c r="E1088" s="1">
        <v>25</v>
      </c>
      <c r="F1088" s="1">
        <v>11</v>
      </c>
      <c r="G1088" s="1">
        <v>25</v>
      </c>
      <c r="H1088" s="1">
        <v>150</v>
      </c>
      <c r="I1088" s="1">
        <v>100</v>
      </c>
      <c r="J1088" s="1">
        <v>0.48899999999999999</v>
      </c>
      <c r="K1088" s="1">
        <v>23.042999999999999</v>
      </c>
      <c r="L1088" s="1">
        <v>7.83</v>
      </c>
      <c r="M1088" s="1">
        <v>86.1</v>
      </c>
      <c r="N1088" s="1">
        <v>3.483E-2</v>
      </c>
      <c r="O1088" s="1">
        <v>1.684E-4</v>
      </c>
      <c r="P10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4.7848744170544992E-3</v>
      </c>
      <c r="Q1088" s="1">
        <f>LN(Table13[[#This Row],[qe_mg_g]]-Table13[[#This Row],[qt]])</f>
        <v>-0.72522599667003829</v>
      </c>
      <c r="R1088" s="1">
        <v>1</v>
      </c>
    </row>
    <row r="1089" spans="1:18" hidden="1" x14ac:dyDescent="0.3">
      <c r="A1089" s="1">
        <v>1088</v>
      </c>
      <c r="B1089" s="1" t="s">
        <v>17</v>
      </c>
      <c r="C1089" s="1">
        <v>4</v>
      </c>
      <c r="D1089" s="1">
        <v>120</v>
      </c>
      <c r="E1089" s="1">
        <v>25</v>
      </c>
      <c r="F1089" s="1">
        <v>11</v>
      </c>
      <c r="G1089" s="1">
        <v>25</v>
      </c>
      <c r="H1089" s="1">
        <v>150</v>
      </c>
      <c r="I1089" s="1">
        <v>100</v>
      </c>
      <c r="J1089" s="1">
        <v>0.47399999999999998</v>
      </c>
      <c r="K1089" s="1">
        <v>23.103000000000002</v>
      </c>
      <c r="L1089" s="1">
        <v>7.59</v>
      </c>
      <c r="M1089" s="1">
        <v>78.5</v>
      </c>
      <c r="N1089" s="1">
        <v>2.7869999999999999E-2</v>
      </c>
      <c r="O1089" s="1">
        <v>2.009E-4</v>
      </c>
      <c r="P10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5.3552930461454318E-3</v>
      </c>
      <c r="Q1089" s="1">
        <f>LN(Table13[[#This Row],[qe_mg_g]]-Table13[[#This Row],[qt]])</f>
        <v>-0.75791035209463786</v>
      </c>
      <c r="R1089" s="1">
        <v>2</v>
      </c>
    </row>
    <row r="1090" spans="1:18" hidden="1" x14ac:dyDescent="0.3">
      <c r="A1090" s="1">
        <v>1089</v>
      </c>
      <c r="B1090" s="1" t="s">
        <v>17</v>
      </c>
      <c r="C1090" s="1">
        <v>4</v>
      </c>
      <c r="D1090" s="1">
        <v>120</v>
      </c>
      <c r="E1090" s="1">
        <v>25</v>
      </c>
      <c r="F1090" s="1">
        <v>11</v>
      </c>
      <c r="G1090" s="1">
        <v>25</v>
      </c>
      <c r="H1090" s="1">
        <v>150</v>
      </c>
      <c r="I1090" s="1">
        <v>100</v>
      </c>
      <c r="J1090" s="1">
        <v>0.51</v>
      </c>
      <c r="K1090" s="1">
        <v>22.959</v>
      </c>
      <c r="L1090" s="1">
        <v>8.17</v>
      </c>
      <c r="M1090" s="1">
        <v>64.2</v>
      </c>
      <c r="N1090" s="1">
        <v>3.6409999999999998E-2</v>
      </c>
      <c r="O1090" s="1">
        <v>2.143E-4</v>
      </c>
      <c r="P10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6.6021434325392982E-3</v>
      </c>
      <c r="Q1090" s="1">
        <f>LN(Table13[[#This Row],[qe_mg_g]]-Table13[[#This Row],[qt]])</f>
        <v>-0.6863744542012683</v>
      </c>
      <c r="R1090" s="1">
        <v>3</v>
      </c>
    </row>
    <row r="1091" spans="1:18" hidden="1" x14ac:dyDescent="0.3">
      <c r="A1091" s="1">
        <v>1090</v>
      </c>
      <c r="B1091" s="1" t="s">
        <v>17</v>
      </c>
      <c r="C1091" s="1">
        <v>4</v>
      </c>
      <c r="D1091" s="1">
        <v>120</v>
      </c>
      <c r="E1091" s="1">
        <v>50</v>
      </c>
      <c r="F1091" s="1">
        <v>3</v>
      </c>
      <c r="G1091" s="1">
        <v>25</v>
      </c>
      <c r="H1091" s="1">
        <v>150</v>
      </c>
      <c r="I1091" s="1">
        <v>100</v>
      </c>
      <c r="J1091" s="1">
        <v>1.534</v>
      </c>
      <c r="K1091" s="1">
        <v>43.863</v>
      </c>
      <c r="L1091" s="1">
        <v>12.27</v>
      </c>
      <c r="M1091" s="1">
        <v>81.5</v>
      </c>
      <c r="N1091" s="1">
        <v>3.7069999999999999E-2</v>
      </c>
      <c r="O1091" s="1">
        <v>2.1359999999999999E-4</v>
      </c>
      <c r="P10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5.8034218821460225E-2</v>
      </c>
      <c r="Q1091" s="1">
        <f>LN(Table13[[#This Row],[qe_mg_g]]-Table13[[#This Row],[qt]])</f>
        <v>0.38931254242616553</v>
      </c>
      <c r="R1091" s="1">
        <v>1</v>
      </c>
    </row>
    <row r="1092" spans="1:18" hidden="1" x14ac:dyDescent="0.3">
      <c r="A1092" s="1">
        <v>1091</v>
      </c>
      <c r="B1092" s="1" t="s">
        <v>17</v>
      </c>
      <c r="C1092" s="1">
        <v>4</v>
      </c>
      <c r="D1092" s="1">
        <v>120</v>
      </c>
      <c r="E1092" s="1">
        <v>50</v>
      </c>
      <c r="F1092" s="1">
        <v>3</v>
      </c>
      <c r="G1092" s="1">
        <v>25</v>
      </c>
      <c r="H1092" s="1">
        <v>150</v>
      </c>
      <c r="I1092" s="1">
        <v>100</v>
      </c>
      <c r="J1092" s="1">
        <v>1.546</v>
      </c>
      <c r="K1092" s="1">
        <v>43.814999999999998</v>
      </c>
      <c r="L1092" s="1">
        <v>12.37</v>
      </c>
      <c r="M1092" s="1">
        <v>75.099999999999994</v>
      </c>
      <c r="N1092" s="1">
        <v>3.5970000000000002E-2</v>
      </c>
      <c r="O1092" s="1">
        <v>2.2389999999999999E-4</v>
      </c>
      <c r="P10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6.165655129939733E-2</v>
      </c>
      <c r="Q1092" s="1">
        <f>LN(Table13[[#This Row],[qe_mg_g]]-Table13[[#This Row],[qt]])</f>
        <v>0.39497255240273965</v>
      </c>
      <c r="R1092" s="1">
        <v>2</v>
      </c>
    </row>
    <row r="1093" spans="1:18" hidden="1" x14ac:dyDescent="0.3">
      <c r="A1093" s="1">
        <v>1092</v>
      </c>
      <c r="B1093" s="1" t="s">
        <v>17</v>
      </c>
      <c r="C1093" s="1">
        <v>4</v>
      </c>
      <c r="D1093" s="1">
        <v>120</v>
      </c>
      <c r="E1093" s="1">
        <v>50</v>
      </c>
      <c r="F1093" s="1">
        <v>3</v>
      </c>
      <c r="G1093" s="1">
        <v>25</v>
      </c>
      <c r="H1093" s="1">
        <v>150</v>
      </c>
      <c r="I1093" s="1">
        <v>100</v>
      </c>
      <c r="J1093" s="1">
        <v>1.411</v>
      </c>
      <c r="K1093" s="1">
        <v>44.356999999999999</v>
      </c>
      <c r="L1093" s="1">
        <v>11.29</v>
      </c>
      <c r="M1093" s="1">
        <v>112.7</v>
      </c>
      <c r="N1093" s="1">
        <v>3.3160000000000002E-2</v>
      </c>
      <c r="O1093" s="1">
        <v>2.006E-4</v>
      </c>
      <c r="P10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4.6351107505712828E-2</v>
      </c>
      <c r="Q1093" s="1">
        <f>LN(Table13[[#This Row],[qe_mg_g]]-Table13[[#This Row],[qt]])</f>
        <v>0.31089717393386246</v>
      </c>
      <c r="R1093" s="1">
        <v>3</v>
      </c>
    </row>
    <row r="1094" spans="1:18" hidden="1" x14ac:dyDescent="0.3">
      <c r="A1094" s="1">
        <v>1093</v>
      </c>
      <c r="B1094" s="1" t="s">
        <v>17</v>
      </c>
      <c r="C1094" s="1">
        <v>4</v>
      </c>
      <c r="D1094" s="1">
        <v>120</v>
      </c>
      <c r="E1094" s="1">
        <v>50</v>
      </c>
      <c r="F1094" s="1">
        <v>7</v>
      </c>
      <c r="G1094" s="1">
        <v>25</v>
      </c>
      <c r="H1094" s="1">
        <v>150</v>
      </c>
      <c r="I1094" s="1">
        <v>100</v>
      </c>
      <c r="J1094" s="1">
        <v>2.3460000000000001</v>
      </c>
      <c r="K1094" s="1">
        <v>40.616999999999997</v>
      </c>
      <c r="L1094" s="1">
        <v>18.77</v>
      </c>
      <c r="M1094" s="1">
        <v>88.6</v>
      </c>
      <c r="N1094" s="1">
        <v>2.8899999999999999E-2</v>
      </c>
      <c r="O1094" s="1">
        <v>1.8909999999999999E-4</v>
      </c>
      <c r="P10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0.11857778391944568</v>
      </c>
      <c r="Q1094" s="1">
        <f>LN(Table13[[#This Row],[qe_mg_g]]-Table13[[#This Row],[qt]])</f>
        <v>0.80084495992395965</v>
      </c>
      <c r="R1094" s="1">
        <v>1</v>
      </c>
    </row>
    <row r="1095" spans="1:18" hidden="1" x14ac:dyDescent="0.3">
      <c r="A1095" s="1">
        <v>1094</v>
      </c>
      <c r="B1095" s="1" t="s">
        <v>17</v>
      </c>
      <c r="C1095" s="1">
        <v>4</v>
      </c>
      <c r="D1095" s="1">
        <v>120</v>
      </c>
      <c r="E1095" s="1">
        <v>50</v>
      </c>
      <c r="F1095" s="1">
        <v>7</v>
      </c>
      <c r="G1095" s="1">
        <v>25</v>
      </c>
      <c r="H1095" s="1">
        <v>150</v>
      </c>
      <c r="I1095" s="1">
        <v>100</v>
      </c>
      <c r="J1095" s="1">
        <v>2.2400000000000002</v>
      </c>
      <c r="K1095" s="1">
        <v>41.039000000000001</v>
      </c>
      <c r="L1095" s="1">
        <v>17.920000000000002</v>
      </c>
      <c r="M1095" s="1">
        <v>87.5</v>
      </c>
      <c r="N1095" s="1">
        <v>3.848E-2</v>
      </c>
      <c r="O1095" s="1">
        <v>2.129E-4</v>
      </c>
      <c r="P10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0.12125076426311719</v>
      </c>
      <c r="Q1095" s="1">
        <f>LN(Table13[[#This Row],[qe_mg_g]]-Table13[[#This Row],[qt]])</f>
        <v>0.75082593143240284</v>
      </c>
      <c r="R1095" s="1">
        <v>2</v>
      </c>
    </row>
    <row r="1096" spans="1:18" hidden="1" x14ac:dyDescent="0.3">
      <c r="A1096" s="1">
        <v>1095</v>
      </c>
      <c r="B1096" s="1" t="s">
        <v>17</v>
      </c>
      <c r="C1096" s="1">
        <v>4</v>
      </c>
      <c r="D1096" s="1">
        <v>120</v>
      </c>
      <c r="E1096" s="1">
        <v>50</v>
      </c>
      <c r="F1096" s="1">
        <v>7</v>
      </c>
      <c r="G1096" s="1">
        <v>25</v>
      </c>
      <c r="H1096" s="1">
        <v>150</v>
      </c>
      <c r="I1096" s="1">
        <v>100</v>
      </c>
      <c r="J1096" s="1">
        <v>1.9179999999999999</v>
      </c>
      <c r="K1096" s="1">
        <v>42.326000000000001</v>
      </c>
      <c r="L1096" s="1">
        <v>15.35</v>
      </c>
      <c r="M1096" s="1">
        <v>112</v>
      </c>
      <c r="N1096" s="1">
        <v>3.603E-2</v>
      </c>
      <c r="O1096" s="1">
        <v>1.8450000000000001E-4</v>
      </c>
      <c r="P10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7.8129229146331039E-2</v>
      </c>
      <c r="Q1096" s="1">
        <f>LN(Table13[[#This Row],[qe_mg_g]]-Table13[[#This Row],[qt]])</f>
        <v>0.60969533592272362</v>
      </c>
      <c r="R1096" s="1">
        <v>3</v>
      </c>
    </row>
    <row r="1097" spans="1:18" hidden="1" x14ac:dyDescent="0.3">
      <c r="A1097" s="1">
        <v>1096</v>
      </c>
      <c r="B1097" s="1" t="s">
        <v>17</v>
      </c>
      <c r="C1097" s="1">
        <v>4</v>
      </c>
      <c r="D1097" s="1">
        <v>120</v>
      </c>
      <c r="E1097" s="1">
        <v>50</v>
      </c>
      <c r="F1097" s="1">
        <v>11</v>
      </c>
      <c r="G1097" s="1">
        <v>25</v>
      </c>
      <c r="H1097" s="1">
        <v>150</v>
      </c>
      <c r="I1097" s="1">
        <v>100</v>
      </c>
      <c r="J1097" s="1">
        <v>1.911</v>
      </c>
      <c r="K1097" s="1">
        <v>42.356000000000002</v>
      </c>
      <c r="L1097" s="1">
        <v>15.29</v>
      </c>
      <c r="M1097" s="1">
        <v>88</v>
      </c>
      <c r="N1097" s="1">
        <v>3.2669999999999998E-2</v>
      </c>
      <c r="O1097" s="1">
        <v>2.04E-4</v>
      </c>
      <c r="P10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8.5403730261588165E-2</v>
      </c>
      <c r="Q1097" s="1">
        <f>LN(Table13[[#This Row],[qe_mg_g]]-Table13[[#This Row],[qt]])</f>
        <v>0.60190665681640643</v>
      </c>
      <c r="R1097" s="1">
        <v>1</v>
      </c>
    </row>
    <row r="1098" spans="1:18" hidden="1" x14ac:dyDescent="0.3">
      <c r="A1098" s="1">
        <v>1097</v>
      </c>
      <c r="B1098" s="1" t="s">
        <v>17</v>
      </c>
      <c r="C1098" s="1">
        <v>4</v>
      </c>
      <c r="D1098" s="1">
        <v>120</v>
      </c>
      <c r="E1098" s="1">
        <v>50</v>
      </c>
      <c r="F1098" s="1">
        <v>11</v>
      </c>
      <c r="G1098" s="1">
        <v>25</v>
      </c>
      <c r="H1098" s="1">
        <v>150</v>
      </c>
      <c r="I1098" s="1">
        <v>100</v>
      </c>
      <c r="J1098" s="1">
        <v>1.7669999999999999</v>
      </c>
      <c r="K1098" s="1">
        <v>42.930999999999997</v>
      </c>
      <c r="L1098" s="1">
        <v>14.14</v>
      </c>
      <c r="M1098" s="1">
        <v>80.5</v>
      </c>
      <c r="N1098" s="1">
        <v>3.2599999999999997E-2</v>
      </c>
      <c r="O1098" s="1">
        <v>1.7129999999999999E-4</v>
      </c>
      <c r="P10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6.1932241803828052E-2</v>
      </c>
      <c r="Q1098" s="1">
        <f>LN(Table13[[#This Row],[qe_mg_g]]-Table13[[#This Row],[qt]])</f>
        <v>0.53360485082335252</v>
      </c>
      <c r="R1098" s="1">
        <v>2</v>
      </c>
    </row>
    <row r="1099" spans="1:18" hidden="1" x14ac:dyDescent="0.3">
      <c r="A1099" s="1">
        <v>1098</v>
      </c>
      <c r="B1099" s="1" t="s">
        <v>17</v>
      </c>
      <c r="C1099" s="1">
        <v>4</v>
      </c>
      <c r="D1099" s="1">
        <v>120</v>
      </c>
      <c r="E1099" s="1">
        <v>50</v>
      </c>
      <c r="F1099" s="1">
        <v>11</v>
      </c>
      <c r="G1099" s="1">
        <v>25</v>
      </c>
      <c r="H1099" s="1">
        <v>150</v>
      </c>
      <c r="I1099" s="1">
        <v>100</v>
      </c>
      <c r="J1099" s="1">
        <v>1.909</v>
      </c>
      <c r="K1099" s="1">
        <v>42.363999999999997</v>
      </c>
      <c r="L1099" s="1">
        <v>15.27</v>
      </c>
      <c r="M1099" s="1">
        <v>93.2</v>
      </c>
      <c r="N1099" s="1">
        <v>3.6799999999999999E-2</v>
      </c>
      <c r="O1099" s="1">
        <v>2.164E-4</v>
      </c>
      <c r="P10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9.0164949882014497E-2</v>
      </c>
      <c r="Q1099" s="1">
        <f>LN(Table13[[#This Row],[qe_mg_g]]-Table13[[#This Row],[qt]])</f>
        <v>0.59819621379578258</v>
      </c>
      <c r="R1099" s="1">
        <v>3</v>
      </c>
    </row>
    <row r="1100" spans="1:18" hidden="1" x14ac:dyDescent="0.3">
      <c r="A1100" s="1">
        <v>1099</v>
      </c>
      <c r="B1100" s="1" t="s">
        <v>17</v>
      </c>
      <c r="C1100" s="1">
        <v>4</v>
      </c>
      <c r="D1100" s="1">
        <v>120</v>
      </c>
      <c r="E1100" s="1">
        <v>100</v>
      </c>
      <c r="F1100" s="1">
        <v>3</v>
      </c>
      <c r="G1100" s="1">
        <v>25</v>
      </c>
      <c r="H1100" s="1">
        <v>150</v>
      </c>
      <c r="I1100" s="1">
        <v>100</v>
      </c>
      <c r="J1100" s="1">
        <v>5.234</v>
      </c>
      <c r="K1100" s="1">
        <v>79.064999999999998</v>
      </c>
      <c r="L1100" s="1">
        <v>20.93</v>
      </c>
      <c r="M1100" s="1">
        <v>78.900000000000006</v>
      </c>
      <c r="N1100" s="1">
        <v>3.7940000000000002E-2</v>
      </c>
      <c r="O1100" s="1">
        <v>1.728E-4</v>
      </c>
      <c r="P11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0.51244126974156423</v>
      </c>
      <c r="Q1100" s="1">
        <f>LN(Table13[[#This Row],[qe_mg_g]]-Table13[[#This Row],[qt]])</f>
        <v>1.5521389845419482</v>
      </c>
      <c r="R1100" s="1">
        <v>1</v>
      </c>
    </row>
    <row r="1101" spans="1:18" hidden="1" x14ac:dyDescent="0.3">
      <c r="A1101" s="1">
        <v>1100</v>
      </c>
      <c r="B1101" s="1" t="s">
        <v>17</v>
      </c>
      <c r="C1101" s="1">
        <v>4</v>
      </c>
      <c r="D1101" s="1">
        <v>120</v>
      </c>
      <c r="E1101" s="1">
        <v>100</v>
      </c>
      <c r="F1101" s="1">
        <v>3</v>
      </c>
      <c r="G1101" s="1">
        <v>25</v>
      </c>
      <c r="H1101" s="1">
        <v>150</v>
      </c>
      <c r="I1101" s="1">
        <v>100</v>
      </c>
      <c r="J1101" s="1">
        <v>4.6130000000000004</v>
      </c>
      <c r="K1101" s="1">
        <v>81.549000000000007</v>
      </c>
      <c r="L1101" s="1">
        <v>18.45</v>
      </c>
      <c r="M1101" s="1">
        <v>73.3</v>
      </c>
      <c r="N1101" s="1">
        <v>3.8780000000000002E-2</v>
      </c>
      <c r="O1101" s="1">
        <v>2.1890000000000001E-4</v>
      </c>
      <c r="P11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0.49856385404929615</v>
      </c>
      <c r="Q1101" s="1">
        <f>LN(Table13[[#This Row],[qe_mg_g]]-Table13[[#This Row],[qt]])</f>
        <v>1.4145018006700749</v>
      </c>
      <c r="R1101" s="1">
        <v>2</v>
      </c>
    </row>
    <row r="1102" spans="1:18" hidden="1" x14ac:dyDescent="0.3">
      <c r="A1102" s="1">
        <v>1101</v>
      </c>
      <c r="B1102" s="1" t="s">
        <v>17</v>
      </c>
      <c r="C1102" s="1">
        <v>4</v>
      </c>
      <c r="D1102" s="1">
        <v>120</v>
      </c>
      <c r="E1102" s="1">
        <v>100</v>
      </c>
      <c r="F1102" s="1">
        <v>3</v>
      </c>
      <c r="G1102" s="1">
        <v>25</v>
      </c>
      <c r="H1102" s="1">
        <v>150</v>
      </c>
      <c r="I1102" s="1">
        <v>100</v>
      </c>
      <c r="J1102" s="1">
        <v>5.3159999999999998</v>
      </c>
      <c r="K1102" s="1">
        <v>78.734999999999999</v>
      </c>
      <c r="L1102" s="1">
        <v>21.27</v>
      </c>
      <c r="M1102" s="1">
        <v>99.5</v>
      </c>
      <c r="N1102" s="1">
        <v>3.1919999999999997E-2</v>
      </c>
      <c r="O1102" s="1">
        <v>2.0699999999999999E-4</v>
      </c>
      <c r="P11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0.6200920191612832</v>
      </c>
      <c r="Q1102" s="1">
        <f>LN(Table13[[#This Row],[qe_mg_g]]-Table13[[#This Row],[qt]])</f>
        <v>1.5466914871120681</v>
      </c>
      <c r="R1102" s="1">
        <v>3</v>
      </c>
    </row>
    <row r="1103" spans="1:18" hidden="1" x14ac:dyDescent="0.3">
      <c r="A1103" s="1">
        <v>1102</v>
      </c>
      <c r="B1103" s="1" t="s">
        <v>17</v>
      </c>
      <c r="C1103" s="1">
        <v>4</v>
      </c>
      <c r="D1103" s="1">
        <v>120</v>
      </c>
      <c r="E1103" s="1">
        <v>100</v>
      </c>
      <c r="F1103" s="1">
        <v>7</v>
      </c>
      <c r="G1103" s="1">
        <v>25</v>
      </c>
      <c r="H1103" s="1">
        <v>150</v>
      </c>
      <c r="I1103" s="1">
        <v>100</v>
      </c>
      <c r="J1103" s="1">
        <v>8.0730000000000004</v>
      </c>
      <c r="K1103" s="1">
        <v>67.706999999999994</v>
      </c>
      <c r="L1103" s="1">
        <v>32.29</v>
      </c>
      <c r="M1103" s="1">
        <v>96.6</v>
      </c>
      <c r="N1103" s="1">
        <v>3.4599999999999999E-2</v>
      </c>
      <c r="O1103" s="1">
        <v>1.9230000000000001E-4</v>
      </c>
      <c r="P11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1.2677646357464942</v>
      </c>
      <c r="Q1103" s="1">
        <f>LN(Table13[[#This Row],[qe_mg_g]]-Table13[[#This Row],[qt]])</f>
        <v>1.9176922224639485</v>
      </c>
      <c r="R1103" s="1">
        <v>1</v>
      </c>
    </row>
    <row r="1104" spans="1:18" hidden="1" x14ac:dyDescent="0.3">
      <c r="A1104" s="1">
        <v>1103</v>
      </c>
      <c r="B1104" s="1" t="s">
        <v>17</v>
      </c>
      <c r="C1104" s="1">
        <v>4</v>
      </c>
      <c r="D1104" s="1">
        <v>120</v>
      </c>
      <c r="E1104" s="1">
        <v>100</v>
      </c>
      <c r="F1104" s="1">
        <v>7</v>
      </c>
      <c r="G1104" s="1">
        <v>25</v>
      </c>
      <c r="H1104" s="1">
        <v>150</v>
      </c>
      <c r="I1104" s="1">
        <v>100</v>
      </c>
      <c r="J1104" s="1">
        <v>8.6180000000000003</v>
      </c>
      <c r="K1104" s="1">
        <v>65.528999999999996</v>
      </c>
      <c r="L1104" s="1">
        <v>34.47</v>
      </c>
      <c r="M1104" s="1">
        <v>97</v>
      </c>
      <c r="N1104" s="1">
        <v>3.2660000000000002E-2</v>
      </c>
      <c r="O1104" s="1">
        <v>1.9880000000000001E-4</v>
      </c>
      <c r="P11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1.4696387872727068</v>
      </c>
      <c r="Q1104" s="1">
        <f>LN(Table13[[#This Row],[qe_mg_g]]-Table13[[#This Row],[qt]])</f>
        <v>1.9668831294181872</v>
      </c>
      <c r="R1104" s="1">
        <v>2</v>
      </c>
    </row>
    <row r="1105" spans="1:18" hidden="1" x14ac:dyDescent="0.3">
      <c r="A1105" s="1">
        <v>1104</v>
      </c>
      <c r="B1105" s="1" t="s">
        <v>17</v>
      </c>
      <c r="C1105" s="1">
        <v>4</v>
      </c>
      <c r="D1105" s="1">
        <v>120</v>
      </c>
      <c r="E1105" s="1">
        <v>100</v>
      </c>
      <c r="F1105" s="1">
        <v>7</v>
      </c>
      <c r="G1105" s="1">
        <v>25</v>
      </c>
      <c r="H1105" s="1">
        <v>150</v>
      </c>
      <c r="I1105" s="1">
        <v>100</v>
      </c>
      <c r="J1105" s="1">
        <v>7.31</v>
      </c>
      <c r="K1105" s="1">
        <v>70.759</v>
      </c>
      <c r="L1105" s="1">
        <v>29.24</v>
      </c>
      <c r="M1105" s="1">
        <v>53.6</v>
      </c>
      <c r="N1105" s="1">
        <v>3.5700000000000003E-2</v>
      </c>
      <c r="O1105" s="1">
        <v>2.1220000000000001E-4</v>
      </c>
      <c r="P11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1.1471620041663819</v>
      </c>
      <c r="Q1105" s="1">
        <f>LN(Table13[[#This Row],[qe_mg_g]]-Table13[[#This Row],[qt]])</f>
        <v>1.8185373850588524</v>
      </c>
      <c r="R1105" s="1">
        <v>3</v>
      </c>
    </row>
    <row r="1106" spans="1:18" hidden="1" x14ac:dyDescent="0.3">
      <c r="A1106" s="1">
        <v>1105</v>
      </c>
      <c r="B1106" s="1" t="s">
        <v>17</v>
      </c>
      <c r="C1106" s="1">
        <v>4</v>
      </c>
      <c r="D1106" s="1">
        <v>120</v>
      </c>
      <c r="E1106" s="1">
        <v>100</v>
      </c>
      <c r="F1106" s="1">
        <v>11</v>
      </c>
      <c r="G1106" s="1">
        <v>25</v>
      </c>
      <c r="H1106" s="1">
        <v>150</v>
      </c>
      <c r="I1106" s="1">
        <v>100</v>
      </c>
      <c r="J1106" s="1">
        <v>6.4189999999999996</v>
      </c>
      <c r="K1106" s="1">
        <v>74.322999999999993</v>
      </c>
      <c r="L1106" s="1">
        <v>25.68</v>
      </c>
      <c r="M1106" s="1">
        <v>60.6</v>
      </c>
      <c r="N1106" s="1">
        <v>3.3770000000000001E-2</v>
      </c>
      <c r="O1106" s="1">
        <v>1.5559999999999999E-4</v>
      </c>
      <c r="P11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0.68701081905233674</v>
      </c>
      <c r="Q1106" s="1">
        <f>LN(Table13[[#This Row],[qe_mg_g]]-Table13[[#This Row],[qt]])</f>
        <v>1.7460626224811822</v>
      </c>
      <c r="R1106" s="1">
        <v>1</v>
      </c>
    </row>
    <row r="1107" spans="1:18" hidden="1" x14ac:dyDescent="0.3">
      <c r="A1107" s="1">
        <v>1106</v>
      </c>
      <c r="B1107" s="1" t="s">
        <v>17</v>
      </c>
      <c r="C1107" s="1">
        <v>4</v>
      </c>
      <c r="D1107" s="1">
        <v>120</v>
      </c>
      <c r="E1107" s="1">
        <v>100</v>
      </c>
      <c r="F1107" s="1">
        <v>11</v>
      </c>
      <c r="G1107" s="1">
        <v>25</v>
      </c>
      <c r="H1107" s="1">
        <v>150</v>
      </c>
      <c r="I1107" s="1">
        <v>100</v>
      </c>
      <c r="J1107" s="1">
        <v>7.1120000000000001</v>
      </c>
      <c r="K1107" s="1">
        <v>71.552000000000007</v>
      </c>
      <c r="L1107" s="1">
        <v>28.45</v>
      </c>
      <c r="M1107" s="1">
        <v>71.8</v>
      </c>
      <c r="N1107" s="1">
        <v>3.9390000000000001E-2</v>
      </c>
      <c r="O1107" s="1">
        <v>2.1890000000000001E-4</v>
      </c>
      <c r="P11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1.1195058651620604</v>
      </c>
      <c r="Q1107" s="1">
        <f>LN(Table13[[#This Row],[qe_mg_g]]-Table13[[#This Row],[qt]])</f>
        <v>1.7905077085754753</v>
      </c>
      <c r="R1107" s="1">
        <v>2</v>
      </c>
    </row>
    <row r="1108" spans="1:18" hidden="1" x14ac:dyDescent="0.3">
      <c r="A1108" s="1">
        <v>1107</v>
      </c>
      <c r="B1108" s="1" t="s">
        <v>17</v>
      </c>
      <c r="C1108" s="1">
        <v>4</v>
      </c>
      <c r="D1108" s="1">
        <v>120</v>
      </c>
      <c r="E1108" s="1">
        <v>100</v>
      </c>
      <c r="F1108" s="1">
        <v>11</v>
      </c>
      <c r="G1108" s="1">
        <v>25</v>
      </c>
      <c r="H1108" s="1">
        <v>150</v>
      </c>
      <c r="I1108" s="1">
        <v>100</v>
      </c>
      <c r="J1108" s="1">
        <v>5.6920000000000002</v>
      </c>
      <c r="K1108" s="1">
        <v>77.233000000000004</v>
      </c>
      <c r="L1108" s="1">
        <v>22.77</v>
      </c>
      <c r="M1108" s="1">
        <v>71.099999999999994</v>
      </c>
      <c r="N1108" s="1">
        <v>3.6229999999999998E-2</v>
      </c>
      <c r="O1108" s="1">
        <v>1.8310000000000001E-4</v>
      </c>
      <c r="P11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0.63273506661071599</v>
      </c>
      <c r="Q1108" s="1">
        <f>LN(Table13[[#This Row],[qe_mg_g]]-Table13[[#This Row],[qt]])</f>
        <v>1.6212212026654846</v>
      </c>
      <c r="R1108" s="1">
        <v>3</v>
      </c>
    </row>
    <row r="1109" spans="1:18" hidden="1" x14ac:dyDescent="0.3">
      <c r="A1109" s="1">
        <v>1108</v>
      </c>
      <c r="B1109" s="1" t="s">
        <v>17</v>
      </c>
      <c r="C1109" s="1">
        <v>4</v>
      </c>
      <c r="D1109" s="1">
        <v>120</v>
      </c>
      <c r="E1109" s="1">
        <v>200</v>
      </c>
      <c r="F1109" s="1">
        <v>3</v>
      </c>
      <c r="G1109" s="1">
        <v>25</v>
      </c>
      <c r="H1109" s="1">
        <v>150</v>
      </c>
      <c r="I1109" s="1">
        <v>100</v>
      </c>
      <c r="J1109" s="1">
        <v>15.603</v>
      </c>
      <c r="K1109" s="1">
        <v>137.58699999999999</v>
      </c>
      <c r="L1109" s="1">
        <v>31.21</v>
      </c>
      <c r="M1109" s="1">
        <v>79.5</v>
      </c>
      <c r="N1109" s="1">
        <v>2.877E-2</v>
      </c>
      <c r="O1109" s="1">
        <v>1.5540000000000001E-4</v>
      </c>
      <c r="P11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3.5166900736307021</v>
      </c>
      <c r="Q1109" s="1">
        <f>LN(Table13[[#This Row],[qe_mg_g]]-Table13[[#This Row],[qt]])</f>
        <v>2.492073401030181</v>
      </c>
      <c r="R1109" s="1">
        <v>1</v>
      </c>
    </row>
    <row r="1110" spans="1:18" hidden="1" x14ac:dyDescent="0.3">
      <c r="A1110" s="1">
        <v>1109</v>
      </c>
      <c r="B1110" s="1" t="s">
        <v>17</v>
      </c>
      <c r="C1110" s="1">
        <v>4</v>
      </c>
      <c r="D1110" s="1">
        <v>120</v>
      </c>
      <c r="E1110" s="1">
        <v>200</v>
      </c>
      <c r="F1110" s="1">
        <v>3</v>
      </c>
      <c r="G1110" s="1">
        <v>25</v>
      </c>
      <c r="H1110" s="1">
        <v>150</v>
      </c>
      <c r="I1110" s="1">
        <v>100</v>
      </c>
      <c r="J1110" s="1">
        <v>15.795</v>
      </c>
      <c r="K1110" s="1">
        <v>136.82</v>
      </c>
      <c r="L1110" s="1">
        <v>31.59</v>
      </c>
      <c r="M1110" s="1">
        <v>78.5</v>
      </c>
      <c r="N1110" s="1">
        <v>3.3059999999999999E-2</v>
      </c>
      <c r="O1110" s="1">
        <v>2.139E-4</v>
      </c>
      <c r="P11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4.5564151682942322</v>
      </c>
      <c r="Q1110" s="1">
        <f>LN(Table13[[#This Row],[qe_mg_g]]-Table13[[#This Row],[qt]])</f>
        <v>2.4193529318863773</v>
      </c>
      <c r="R1110" s="1">
        <v>2</v>
      </c>
    </row>
    <row r="1111" spans="1:18" hidden="1" x14ac:dyDescent="0.3">
      <c r="A1111" s="1">
        <v>1110</v>
      </c>
      <c r="B1111" s="1" t="s">
        <v>17</v>
      </c>
      <c r="C1111" s="1">
        <v>4</v>
      </c>
      <c r="D1111" s="1">
        <v>120</v>
      </c>
      <c r="E1111" s="1">
        <v>200</v>
      </c>
      <c r="F1111" s="1">
        <v>3</v>
      </c>
      <c r="G1111" s="1">
        <v>25</v>
      </c>
      <c r="H1111" s="1">
        <v>150</v>
      </c>
      <c r="I1111" s="1">
        <v>100</v>
      </c>
      <c r="J1111" s="1">
        <v>17.257000000000001</v>
      </c>
      <c r="K1111" s="1">
        <v>130.971</v>
      </c>
      <c r="L1111" s="1">
        <v>34.51</v>
      </c>
      <c r="M1111" s="1">
        <v>82.2</v>
      </c>
      <c r="N1111" s="1">
        <v>3.381E-2</v>
      </c>
      <c r="O1111" s="1">
        <v>2.1000000000000001E-4</v>
      </c>
      <c r="P11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5.2301801289644194</v>
      </c>
      <c r="Q1111" s="1">
        <f>LN(Table13[[#This Row],[qe_mg_g]]-Table13[[#This Row],[qt]])</f>
        <v>2.4871391451676472</v>
      </c>
      <c r="R1111" s="1">
        <v>3</v>
      </c>
    </row>
    <row r="1112" spans="1:18" hidden="1" x14ac:dyDescent="0.3">
      <c r="A1112" s="1">
        <v>1111</v>
      </c>
      <c r="B1112" s="1" t="s">
        <v>17</v>
      </c>
      <c r="C1112" s="1">
        <v>4</v>
      </c>
      <c r="D1112" s="1">
        <v>120</v>
      </c>
      <c r="E1112" s="1">
        <v>200</v>
      </c>
      <c r="F1112" s="1">
        <v>7</v>
      </c>
      <c r="G1112" s="1">
        <v>25</v>
      </c>
      <c r="H1112" s="1">
        <v>150</v>
      </c>
      <c r="I1112" s="1">
        <v>100</v>
      </c>
      <c r="J1112" s="1">
        <v>20.524000000000001</v>
      </c>
      <c r="K1112" s="1">
        <v>117.90600000000001</v>
      </c>
      <c r="L1112" s="1">
        <v>41.05</v>
      </c>
      <c r="M1112" s="1">
        <v>88.6</v>
      </c>
      <c r="N1112" s="1">
        <v>3.6929999999999998E-2</v>
      </c>
      <c r="O1112" s="1">
        <v>2.1359999999999999E-4</v>
      </c>
      <c r="P11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7.0750859320553001</v>
      </c>
      <c r="Q1112" s="1">
        <f>LN(Table13[[#This Row],[qe_mg_g]]-Table13[[#This Row],[qt]])</f>
        <v>2.5988983643455512</v>
      </c>
      <c r="R1112" s="1">
        <v>1</v>
      </c>
    </row>
    <row r="1113" spans="1:18" hidden="1" x14ac:dyDescent="0.3">
      <c r="A1113" s="1">
        <v>1112</v>
      </c>
      <c r="B1113" s="1" t="s">
        <v>17</v>
      </c>
      <c r="C1113" s="1">
        <v>4</v>
      </c>
      <c r="D1113" s="1">
        <v>120</v>
      </c>
      <c r="E1113" s="1">
        <v>200</v>
      </c>
      <c r="F1113" s="1">
        <v>7</v>
      </c>
      <c r="G1113" s="1">
        <v>25</v>
      </c>
      <c r="H1113" s="1">
        <v>150</v>
      </c>
      <c r="I1113" s="1">
        <v>100</v>
      </c>
      <c r="J1113" s="1">
        <v>19.146999999999998</v>
      </c>
      <c r="K1113" s="1">
        <v>123.413</v>
      </c>
      <c r="L1113" s="1">
        <v>38.29</v>
      </c>
      <c r="M1113" s="1">
        <v>75.900000000000006</v>
      </c>
      <c r="N1113" s="1">
        <v>3.193E-2</v>
      </c>
      <c r="O1113" s="1">
        <v>2.02E-4</v>
      </c>
      <c r="P11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6.0695493088259616</v>
      </c>
      <c r="Q1113" s="1">
        <f>LN(Table13[[#This Row],[qe_mg_g]]-Table13[[#This Row],[qt]])</f>
        <v>2.5708894257469401</v>
      </c>
      <c r="R1113" s="1">
        <v>2</v>
      </c>
    </row>
    <row r="1114" spans="1:18" hidden="1" x14ac:dyDescent="0.3">
      <c r="A1114" s="1">
        <v>1113</v>
      </c>
      <c r="B1114" s="1" t="s">
        <v>17</v>
      </c>
      <c r="C1114" s="1">
        <v>4</v>
      </c>
      <c r="D1114" s="1">
        <v>120</v>
      </c>
      <c r="E1114" s="1">
        <v>200</v>
      </c>
      <c r="F1114" s="1">
        <v>7</v>
      </c>
      <c r="G1114" s="1">
        <v>25</v>
      </c>
      <c r="H1114" s="1">
        <v>150</v>
      </c>
      <c r="I1114" s="1">
        <v>100</v>
      </c>
      <c r="J1114" s="1">
        <v>24.887</v>
      </c>
      <c r="K1114" s="1">
        <v>100.45099999999999</v>
      </c>
      <c r="L1114" s="1">
        <v>49.77</v>
      </c>
      <c r="M1114" s="1">
        <v>105</v>
      </c>
      <c r="N1114" s="1">
        <v>3.3270000000000001E-2</v>
      </c>
      <c r="O1114" s="1">
        <v>1.9000000000000001E-4</v>
      </c>
      <c r="P11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9.00935211974606</v>
      </c>
      <c r="Q1114" s="1">
        <f>LN(Table13[[#This Row],[qe_mg_g]]-Table13[[#This Row],[qt]])</f>
        <v>2.7649123264764621</v>
      </c>
      <c r="R1114" s="1">
        <v>3</v>
      </c>
    </row>
    <row r="1115" spans="1:18" hidden="1" x14ac:dyDescent="0.3">
      <c r="A1115" s="1">
        <v>1114</v>
      </c>
      <c r="B1115" s="1" t="s">
        <v>17</v>
      </c>
      <c r="C1115" s="1">
        <v>4</v>
      </c>
      <c r="D1115" s="1">
        <v>120</v>
      </c>
      <c r="E1115" s="1">
        <v>200</v>
      </c>
      <c r="F1115" s="1">
        <v>11</v>
      </c>
      <c r="G1115" s="1">
        <v>25</v>
      </c>
      <c r="H1115" s="1">
        <v>150</v>
      </c>
      <c r="I1115" s="1">
        <v>100</v>
      </c>
      <c r="J1115" s="1">
        <v>20.817</v>
      </c>
      <c r="K1115" s="1">
        <v>116.73099999999999</v>
      </c>
      <c r="L1115" s="1">
        <v>41.63</v>
      </c>
      <c r="M1115" s="1">
        <v>89.5</v>
      </c>
      <c r="N1115" s="1">
        <v>3.9440000000000003E-2</v>
      </c>
      <c r="O1115" s="1">
        <v>2.0579999999999999E-4</v>
      </c>
      <c r="P11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7.068207776281481</v>
      </c>
      <c r="Q1115" s="1">
        <f>LN(Table13[[#This Row],[qe_mg_g]]-Table13[[#This Row],[qt]])</f>
        <v>2.6209509819795564</v>
      </c>
      <c r="R1115" s="1">
        <v>1</v>
      </c>
    </row>
    <row r="1116" spans="1:18" hidden="1" x14ac:dyDescent="0.3">
      <c r="A1116" s="1">
        <v>1115</v>
      </c>
      <c r="B1116" s="1" t="s">
        <v>17</v>
      </c>
      <c r="C1116" s="1">
        <v>4</v>
      </c>
      <c r="D1116" s="1">
        <v>120</v>
      </c>
      <c r="E1116" s="1">
        <v>200</v>
      </c>
      <c r="F1116" s="1">
        <v>11</v>
      </c>
      <c r="G1116" s="1">
        <v>25</v>
      </c>
      <c r="H1116" s="1">
        <v>150</v>
      </c>
      <c r="I1116" s="1">
        <v>100</v>
      </c>
      <c r="J1116" s="1">
        <v>16.510000000000002</v>
      </c>
      <c r="K1116" s="1">
        <v>133.959</v>
      </c>
      <c r="L1116" s="1">
        <v>33.020000000000003</v>
      </c>
      <c r="M1116" s="1">
        <v>68.599999999999994</v>
      </c>
      <c r="N1116" s="1">
        <v>2.9569999999999999E-2</v>
      </c>
      <c r="O1116" s="1">
        <v>2.1320000000000001E-4</v>
      </c>
      <c r="P11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4.9027905548164581</v>
      </c>
      <c r="Q1116" s="1">
        <f>LN(Table13[[#This Row],[qe_mg_g]]-Table13[[#This Row],[qt]])</f>
        <v>2.4516264089538908</v>
      </c>
      <c r="R1116" s="1">
        <v>2</v>
      </c>
    </row>
    <row r="1117" spans="1:18" hidden="1" x14ac:dyDescent="0.3">
      <c r="A1117" s="1">
        <v>1116</v>
      </c>
      <c r="B1117" s="1" t="s">
        <v>17</v>
      </c>
      <c r="C1117" s="1">
        <v>4</v>
      </c>
      <c r="D1117" s="1">
        <v>120</v>
      </c>
      <c r="E1117" s="1">
        <v>200</v>
      </c>
      <c r="F1117" s="1">
        <v>11</v>
      </c>
      <c r="G1117" s="1">
        <v>25</v>
      </c>
      <c r="H1117" s="1">
        <v>150</v>
      </c>
      <c r="I1117" s="1">
        <v>100</v>
      </c>
      <c r="J1117" s="1">
        <v>20.89</v>
      </c>
      <c r="K1117" s="1">
        <v>116.44</v>
      </c>
      <c r="L1117" s="1">
        <v>41.78</v>
      </c>
      <c r="M1117" s="1">
        <v>109.5</v>
      </c>
      <c r="N1117" s="1">
        <v>3.7949999999999998E-2</v>
      </c>
      <c r="O1117" s="1">
        <v>2.2330000000000001E-4</v>
      </c>
      <c r="P11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7.4969863549745881</v>
      </c>
      <c r="Q1117" s="1">
        <f>LN(Table13[[#This Row],[qe_mg_g]]-Table13[[#This Row],[qt]])</f>
        <v>2.5947332012221627</v>
      </c>
      <c r="R1117" s="1">
        <v>3</v>
      </c>
    </row>
    <row r="1118" spans="1:18" hidden="1" x14ac:dyDescent="0.3">
      <c r="A1118" s="1">
        <v>1117</v>
      </c>
      <c r="B1118" s="1" t="s">
        <v>17</v>
      </c>
      <c r="C1118" s="1">
        <v>4</v>
      </c>
      <c r="D1118" s="1">
        <v>240</v>
      </c>
      <c r="E1118" s="1">
        <v>25</v>
      </c>
      <c r="F1118" s="1">
        <v>3</v>
      </c>
      <c r="G1118" s="1">
        <v>25</v>
      </c>
      <c r="H1118" s="1">
        <v>150</v>
      </c>
      <c r="I1118" s="1">
        <v>100</v>
      </c>
      <c r="J1118" s="1">
        <v>0.70699999999999996</v>
      </c>
      <c r="K1118" s="1">
        <v>22.170999999999999</v>
      </c>
      <c r="L1118" s="1">
        <v>11.32</v>
      </c>
      <c r="M1118" s="1">
        <v>70.8</v>
      </c>
      <c r="N1118" s="1">
        <v>3.798E-2</v>
      </c>
      <c r="O1118" s="1">
        <v>2.084E-4</v>
      </c>
      <c r="P11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2.4146592396529488E-2</v>
      </c>
      <c r="Q1118" s="1">
        <f>LN(Table13[[#This Row],[qe_mg_g]]-Table13[[#This Row],[qt]])</f>
        <v>-0.38147507260366814</v>
      </c>
      <c r="R1118" s="1">
        <v>1</v>
      </c>
    </row>
    <row r="1119" spans="1:18" hidden="1" x14ac:dyDescent="0.3">
      <c r="A1119" s="1">
        <v>1118</v>
      </c>
      <c r="B1119" s="1" t="s">
        <v>17</v>
      </c>
      <c r="C1119" s="1">
        <v>4</v>
      </c>
      <c r="D1119" s="1">
        <v>240</v>
      </c>
      <c r="E1119" s="1">
        <v>25</v>
      </c>
      <c r="F1119" s="1">
        <v>3</v>
      </c>
      <c r="G1119" s="1">
        <v>25</v>
      </c>
      <c r="H1119" s="1">
        <v>150</v>
      </c>
      <c r="I1119" s="1">
        <v>100</v>
      </c>
      <c r="J1119" s="1">
        <v>0.75900000000000001</v>
      </c>
      <c r="K1119" s="1">
        <v>21.963999999999999</v>
      </c>
      <c r="L1119" s="1">
        <v>12.14</v>
      </c>
      <c r="M1119" s="1">
        <v>90.7</v>
      </c>
      <c r="N1119" s="1">
        <v>3.6130000000000002E-2</v>
      </c>
      <c r="O1119" s="1">
        <v>2.2570000000000001E-4</v>
      </c>
      <c r="P11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2.9972865829062455E-2</v>
      </c>
      <c r="Q1119" s="1">
        <f>LN(Table13[[#This Row],[qe_mg_g]]-Table13[[#This Row],[qt]])</f>
        <v>-0.31604432658120396</v>
      </c>
      <c r="R1119" s="1">
        <v>2</v>
      </c>
    </row>
    <row r="1120" spans="1:18" hidden="1" x14ac:dyDescent="0.3">
      <c r="A1120" s="1">
        <v>1119</v>
      </c>
      <c r="B1120" s="1" t="s">
        <v>17</v>
      </c>
      <c r="C1120" s="1">
        <v>4</v>
      </c>
      <c r="D1120" s="1">
        <v>240</v>
      </c>
      <c r="E1120" s="1">
        <v>25</v>
      </c>
      <c r="F1120" s="1">
        <v>3</v>
      </c>
      <c r="G1120" s="1">
        <v>25</v>
      </c>
      <c r="H1120" s="1">
        <v>150</v>
      </c>
      <c r="I1120" s="1">
        <v>100</v>
      </c>
      <c r="J1120" s="1">
        <v>0.84799999999999998</v>
      </c>
      <c r="K1120" s="1">
        <v>21.608000000000001</v>
      </c>
      <c r="L1120" s="1">
        <v>13.57</v>
      </c>
      <c r="M1120" s="1">
        <v>92.7</v>
      </c>
      <c r="N1120" s="1">
        <v>3.7960000000000001E-2</v>
      </c>
      <c r="O1120" s="1">
        <v>2.1029999999999999E-4</v>
      </c>
      <c r="P11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3.4804956058622216E-2</v>
      </c>
      <c r="Q1120" s="1">
        <f>LN(Table13[[#This Row],[qe_mg_g]]-Table13[[#This Row],[qt]])</f>
        <v>-0.20678429176031721</v>
      </c>
      <c r="R1120" s="1">
        <v>3</v>
      </c>
    </row>
    <row r="1121" spans="1:18" hidden="1" x14ac:dyDescent="0.3">
      <c r="A1121" s="1">
        <v>1120</v>
      </c>
      <c r="B1121" s="1" t="s">
        <v>17</v>
      </c>
      <c r="C1121" s="1">
        <v>4</v>
      </c>
      <c r="D1121" s="1">
        <v>240</v>
      </c>
      <c r="E1121" s="1">
        <v>25</v>
      </c>
      <c r="F1121" s="1">
        <v>7</v>
      </c>
      <c r="G1121" s="1">
        <v>25</v>
      </c>
      <c r="H1121" s="1">
        <v>150</v>
      </c>
      <c r="I1121" s="1">
        <v>100</v>
      </c>
      <c r="J1121" s="1">
        <v>1.2010000000000001</v>
      </c>
      <c r="K1121" s="1">
        <v>20.198</v>
      </c>
      <c r="L1121" s="1">
        <v>19.21</v>
      </c>
      <c r="M1121" s="1">
        <v>95.4</v>
      </c>
      <c r="N1121" s="1">
        <v>3.0120000000000001E-2</v>
      </c>
      <c r="O1121" s="1">
        <v>2.2110000000000001E-4</v>
      </c>
      <c r="P11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7.1953951143370373E-2</v>
      </c>
      <c r="Q1121" s="1">
        <f>LN(Table13[[#This Row],[qe_mg_g]]-Table13[[#This Row],[qt]])</f>
        <v>0.12137307163125481</v>
      </c>
      <c r="R1121" s="1">
        <v>1</v>
      </c>
    </row>
    <row r="1122" spans="1:18" hidden="1" x14ac:dyDescent="0.3">
      <c r="A1122" s="1">
        <v>1121</v>
      </c>
      <c r="B1122" s="1" t="s">
        <v>17</v>
      </c>
      <c r="C1122" s="1">
        <v>4</v>
      </c>
      <c r="D1122" s="1">
        <v>240</v>
      </c>
      <c r="E1122" s="1">
        <v>25</v>
      </c>
      <c r="F1122" s="1">
        <v>7</v>
      </c>
      <c r="G1122" s="1">
        <v>25</v>
      </c>
      <c r="H1122" s="1">
        <v>150</v>
      </c>
      <c r="I1122" s="1">
        <v>100</v>
      </c>
      <c r="J1122" s="1">
        <v>1.1080000000000001</v>
      </c>
      <c r="K1122" s="1">
        <v>20.567</v>
      </c>
      <c r="L1122" s="1">
        <v>17.73</v>
      </c>
      <c r="M1122" s="1">
        <v>89.4</v>
      </c>
      <c r="N1122" s="1">
        <v>3.2039999999999999E-2</v>
      </c>
      <c r="O1122" s="1">
        <v>2.1110000000000001E-4</v>
      </c>
      <c r="P11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5.8892401979491069E-2</v>
      </c>
      <c r="Q1122" s="1">
        <f>LN(Table13[[#This Row],[qe_mg_g]]-Table13[[#This Row],[qt]])</f>
        <v>4.7939896146871989E-2</v>
      </c>
      <c r="R1122" s="1">
        <v>2</v>
      </c>
    </row>
    <row r="1123" spans="1:18" hidden="1" x14ac:dyDescent="0.3">
      <c r="A1123" s="1">
        <v>1122</v>
      </c>
      <c r="B1123" s="1" t="s">
        <v>17</v>
      </c>
      <c r="C1123" s="1">
        <v>4</v>
      </c>
      <c r="D1123" s="1">
        <v>240</v>
      </c>
      <c r="E1123" s="1">
        <v>25</v>
      </c>
      <c r="F1123" s="1">
        <v>7</v>
      </c>
      <c r="G1123" s="1">
        <v>25</v>
      </c>
      <c r="H1123" s="1">
        <v>150</v>
      </c>
      <c r="I1123" s="1">
        <v>100</v>
      </c>
      <c r="J1123" s="1">
        <v>1.254</v>
      </c>
      <c r="K1123" s="1">
        <v>19.983000000000001</v>
      </c>
      <c r="L1123" s="1">
        <v>20.07</v>
      </c>
      <c r="M1123" s="1">
        <v>65.2</v>
      </c>
      <c r="N1123" s="1">
        <v>3.6470000000000002E-2</v>
      </c>
      <c r="O1123" s="1">
        <v>1.884E-4</v>
      </c>
      <c r="P11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6.7287617412225373E-2</v>
      </c>
      <c r="Q1123" s="1">
        <f>LN(Table13[[#This Row],[qe_mg_g]]-Table13[[#This Row],[qt]])</f>
        <v>0.17118678010639304</v>
      </c>
      <c r="R1123" s="1">
        <v>3</v>
      </c>
    </row>
    <row r="1124" spans="1:18" hidden="1" x14ac:dyDescent="0.3">
      <c r="A1124" s="1">
        <v>1123</v>
      </c>
      <c r="B1124" s="1" t="s">
        <v>17</v>
      </c>
      <c r="C1124" s="1">
        <v>4</v>
      </c>
      <c r="D1124" s="1">
        <v>240</v>
      </c>
      <c r="E1124" s="1">
        <v>25</v>
      </c>
      <c r="F1124" s="1">
        <v>11</v>
      </c>
      <c r="G1124" s="1">
        <v>25</v>
      </c>
      <c r="H1124" s="1">
        <v>150</v>
      </c>
      <c r="I1124" s="1">
        <v>100</v>
      </c>
      <c r="J1124" s="1">
        <v>1.0249999999999999</v>
      </c>
      <c r="K1124" s="1">
        <v>20.902000000000001</v>
      </c>
      <c r="L1124" s="1">
        <v>16.39</v>
      </c>
      <c r="M1124" s="1">
        <v>85.7</v>
      </c>
      <c r="N1124" s="1">
        <v>3.6380000000000003E-2</v>
      </c>
      <c r="O1124" s="1">
        <v>1.808E-4</v>
      </c>
      <c r="P11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4.3647422326661543E-2</v>
      </c>
      <c r="Q1124" s="1">
        <f>LN(Table13[[#This Row],[qe_mg_g]]-Table13[[#This Row],[qt]])</f>
        <v>-1.8823477592940913E-2</v>
      </c>
      <c r="R1124" s="1">
        <v>1</v>
      </c>
    </row>
    <row r="1125" spans="1:18" hidden="1" x14ac:dyDescent="0.3">
      <c r="A1125" s="1">
        <v>1124</v>
      </c>
      <c r="B1125" s="1" t="s">
        <v>17</v>
      </c>
      <c r="C1125" s="1">
        <v>4</v>
      </c>
      <c r="D1125" s="1">
        <v>240</v>
      </c>
      <c r="E1125" s="1">
        <v>25</v>
      </c>
      <c r="F1125" s="1">
        <v>11</v>
      </c>
      <c r="G1125" s="1">
        <v>25</v>
      </c>
      <c r="H1125" s="1">
        <v>150</v>
      </c>
      <c r="I1125" s="1">
        <v>100</v>
      </c>
      <c r="J1125" s="1">
        <v>0.88600000000000001</v>
      </c>
      <c r="K1125" s="1">
        <v>21.456</v>
      </c>
      <c r="L1125" s="1">
        <v>14.18</v>
      </c>
      <c r="M1125" s="1">
        <v>79.8</v>
      </c>
      <c r="N1125" s="1">
        <v>3.7999999999999999E-2</v>
      </c>
      <c r="O1125" s="1">
        <v>2.3350000000000001E-4</v>
      </c>
      <c r="P11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4.1910270556100027E-2</v>
      </c>
      <c r="Q1125" s="1">
        <f>LN(Table13[[#This Row],[qe_mg_g]]-Table13[[#This Row],[qt]])</f>
        <v>-0.16949647553017605</v>
      </c>
      <c r="R1125" s="1">
        <v>2</v>
      </c>
    </row>
    <row r="1126" spans="1:18" hidden="1" x14ac:dyDescent="0.3">
      <c r="A1126" s="1">
        <v>1125</v>
      </c>
      <c r="B1126" s="1" t="s">
        <v>17</v>
      </c>
      <c r="C1126" s="1">
        <v>4</v>
      </c>
      <c r="D1126" s="1">
        <v>240</v>
      </c>
      <c r="E1126" s="1">
        <v>25</v>
      </c>
      <c r="F1126" s="1">
        <v>11</v>
      </c>
      <c r="G1126" s="1">
        <v>25</v>
      </c>
      <c r="H1126" s="1">
        <v>150</v>
      </c>
      <c r="I1126" s="1">
        <v>100</v>
      </c>
      <c r="J1126" s="1">
        <v>0.86599999999999999</v>
      </c>
      <c r="K1126" s="1">
        <v>21.536999999999999</v>
      </c>
      <c r="L1126" s="1">
        <v>13.85</v>
      </c>
      <c r="M1126" s="1">
        <v>99.6</v>
      </c>
      <c r="N1126" s="1">
        <v>2.741E-2</v>
      </c>
      <c r="O1126" s="1">
        <v>1.761E-4</v>
      </c>
      <c r="P11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3.0577002994356672E-2</v>
      </c>
      <c r="Q1126" s="1">
        <f>LN(Table13[[#This Row],[qe_mg_g]]-Table13[[#This Row],[qt]])</f>
        <v>-0.17981709916096211</v>
      </c>
      <c r="R1126" s="1">
        <v>3</v>
      </c>
    </row>
    <row r="1127" spans="1:18" hidden="1" x14ac:dyDescent="0.3">
      <c r="A1127" s="1">
        <v>1126</v>
      </c>
      <c r="B1127" s="1" t="s">
        <v>17</v>
      </c>
      <c r="C1127" s="1">
        <v>4</v>
      </c>
      <c r="D1127" s="1">
        <v>240</v>
      </c>
      <c r="E1127" s="1">
        <v>50</v>
      </c>
      <c r="F1127" s="1">
        <v>3</v>
      </c>
      <c r="G1127" s="1">
        <v>25</v>
      </c>
      <c r="H1127" s="1">
        <v>150</v>
      </c>
      <c r="I1127" s="1">
        <v>100</v>
      </c>
      <c r="J1127" s="1">
        <v>2.2959999999999998</v>
      </c>
      <c r="K1127" s="1">
        <v>40.814999999999998</v>
      </c>
      <c r="L1127" s="1">
        <v>18.37</v>
      </c>
      <c r="M1127" s="1">
        <v>68.3</v>
      </c>
      <c r="N1127" s="1">
        <v>2.946E-2</v>
      </c>
      <c r="O1127" s="1">
        <v>2.0829999999999999E-4</v>
      </c>
      <c r="P11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0.23640381174848776</v>
      </c>
      <c r="Q1127" s="1">
        <f>LN(Table13[[#This Row],[qe_mg_g]]-Table13[[#This Row],[qt]])</f>
        <v>0.72250993846542944</v>
      </c>
      <c r="R1127" s="1">
        <v>1</v>
      </c>
    </row>
    <row r="1128" spans="1:18" hidden="1" x14ac:dyDescent="0.3">
      <c r="A1128" s="1">
        <v>1127</v>
      </c>
      <c r="B1128" s="1" t="s">
        <v>17</v>
      </c>
      <c r="C1128" s="1">
        <v>4</v>
      </c>
      <c r="D1128" s="1">
        <v>240</v>
      </c>
      <c r="E1128" s="1">
        <v>50</v>
      </c>
      <c r="F1128" s="1">
        <v>3</v>
      </c>
      <c r="G1128" s="1">
        <v>25</v>
      </c>
      <c r="H1128" s="1">
        <v>150</v>
      </c>
      <c r="I1128" s="1">
        <v>100</v>
      </c>
      <c r="J1128" s="1">
        <v>2.4849999999999999</v>
      </c>
      <c r="K1128" s="1">
        <v>40.058999999999997</v>
      </c>
      <c r="L1128" s="1">
        <v>19.88</v>
      </c>
      <c r="M1128" s="1">
        <v>90.6</v>
      </c>
      <c r="N1128" s="1">
        <v>3.7420000000000002E-2</v>
      </c>
      <c r="O1128" s="1">
        <v>2.053E-4</v>
      </c>
      <c r="P11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0.27107501230443376</v>
      </c>
      <c r="Q1128" s="1">
        <f>LN(Table13[[#This Row],[qe_mg_g]]-Table13[[#This Row],[qt]])</f>
        <v>0.79476695281616305</v>
      </c>
      <c r="R1128" s="1">
        <v>2</v>
      </c>
    </row>
    <row r="1129" spans="1:18" hidden="1" x14ac:dyDescent="0.3">
      <c r="A1129" s="1">
        <v>1128</v>
      </c>
      <c r="B1129" s="1" t="s">
        <v>17</v>
      </c>
      <c r="C1129" s="1">
        <v>4</v>
      </c>
      <c r="D1129" s="1">
        <v>240</v>
      </c>
      <c r="E1129" s="1">
        <v>50</v>
      </c>
      <c r="F1129" s="1">
        <v>3</v>
      </c>
      <c r="G1129" s="1">
        <v>25</v>
      </c>
      <c r="H1129" s="1">
        <v>150</v>
      </c>
      <c r="I1129" s="1">
        <v>100</v>
      </c>
      <c r="J1129" s="1">
        <v>2.7069999999999999</v>
      </c>
      <c r="K1129" s="1">
        <v>39.173000000000002</v>
      </c>
      <c r="L1129" s="1">
        <v>21.65</v>
      </c>
      <c r="M1129" s="1">
        <v>84.8</v>
      </c>
      <c r="N1129" s="1">
        <v>3.0849999999999999E-2</v>
      </c>
      <c r="O1129" s="1">
        <v>2.2120000000000001E-4</v>
      </c>
      <c r="P11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0.34013964587306433</v>
      </c>
      <c r="Q1129" s="1">
        <f>LN(Table13[[#This Row],[qe_mg_g]]-Table13[[#This Row],[qt]])</f>
        <v>0.86156433180241332</v>
      </c>
      <c r="R1129" s="1">
        <v>3</v>
      </c>
    </row>
    <row r="1130" spans="1:18" hidden="1" x14ac:dyDescent="0.3">
      <c r="A1130" s="1">
        <v>1129</v>
      </c>
      <c r="B1130" s="1" t="s">
        <v>17</v>
      </c>
      <c r="C1130" s="1">
        <v>4</v>
      </c>
      <c r="D1130" s="1">
        <v>240</v>
      </c>
      <c r="E1130" s="1">
        <v>50</v>
      </c>
      <c r="F1130" s="1">
        <v>7</v>
      </c>
      <c r="G1130" s="1">
        <v>25</v>
      </c>
      <c r="H1130" s="1">
        <v>150</v>
      </c>
      <c r="I1130" s="1">
        <v>100</v>
      </c>
      <c r="J1130" s="1">
        <v>3.8540000000000001</v>
      </c>
      <c r="K1130" s="1">
        <v>34.582999999999998</v>
      </c>
      <c r="L1130" s="1">
        <v>30.83</v>
      </c>
      <c r="M1130" s="1">
        <v>73.7</v>
      </c>
      <c r="N1130" s="1">
        <v>3.4380000000000001E-2</v>
      </c>
      <c r="O1130" s="1">
        <v>1.817E-4</v>
      </c>
      <c r="P11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0.55452673907513417</v>
      </c>
      <c r="Q1130" s="1">
        <f>LN(Table13[[#This Row],[qe_mg_g]]-Table13[[#This Row],[qt]])</f>
        <v>1.1937628378305858</v>
      </c>
      <c r="R1130" s="1">
        <v>1</v>
      </c>
    </row>
    <row r="1131" spans="1:18" hidden="1" x14ac:dyDescent="0.3">
      <c r="A1131" s="1">
        <v>1130</v>
      </c>
      <c r="B1131" s="1" t="s">
        <v>17</v>
      </c>
      <c r="C1131" s="1">
        <v>4</v>
      </c>
      <c r="D1131" s="1">
        <v>240</v>
      </c>
      <c r="E1131" s="1">
        <v>50</v>
      </c>
      <c r="F1131" s="1">
        <v>7</v>
      </c>
      <c r="G1131" s="1">
        <v>25</v>
      </c>
      <c r="H1131" s="1">
        <v>150</v>
      </c>
      <c r="I1131" s="1">
        <v>100</v>
      </c>
      <c r="J1131" s="1">
        <v>3.9249999999999998</v>
      </c>
      <c r="K1131" s="1">
        <v>34.302</v>
      </c>
      <c r="L1131" s="1">
        <v>31.4</v>
      </c>
      <c r="M1131" s="1">
        <v>90.1</v>
      </c>
      <c r="N1131" s="1">
        <v>3.6220000000000002E-2</v>
      </c>
      <c r="O1131" s="1">
        <v>1.8200000000000001E-4</v>
      </c>
      <c r="P11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0.57443437330337599</v>
      </c>
      <c r="Q1131" s="1">
        <f>LN(Table13[[#This Row],[qe_mg_g]]-Table13[[#This Row],[qt]])</f>
        <v>1.2091291753745037</v>
      </c>
      <c r="R1131" s="1">
        <v>2</v>
      </c>
    </row>
    <row r="1132" spans="1:18" hidden="1" x14ac:dyDescent="0.3">
      <c r="A1132" s="1">
        <v>1131</v>
      </c>
      <c r="B1132" s="1" t="s">
        <v>17</v>
      </c>
      <c r="C1132" s="1">
        <v>4</v>
      </c>
      <c r="D1132" s="1">
        <v>240</v>
      </c>
      <c r="E1132" s="1">
        <v>50</v>
      </c>
      <c r="F1132" s="1">
        <v>7</v>
      </c>
      <c r="G1132" s="1">
        <v>25</v>
      </c>
      <c r="H1132" s="1">
        <v>150</v>
      </c>
      <c r="I1132" s="1">
        <v>100</v>
      </c>
      <c r="J1132" s="1">
        <v>3.8959999999999999</v>
      </c>
      <c r="K1132" s="1">
        <v>34.417000000000002</v>
      </c>
      <c r="L1132" s="1">
        <v>31.17</v>
      </c>
      <c r="M1132" s="1">
        <v>99.5</v>
      </c>
      <c r="N1132" s="1">
        <v>3.6740000000000002E-2</v>
      </c>
      <c r="O1132" s="1">
        <v>2.4149999999999999E-4</v>
      </c>
      <c r="P11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0.71769901137218273</v>
      </c>
      <c r="Q1132" s="1">
        <f>LN(Table13[[#This Row],[qe_mg_g]]-Table13[[#This Row],[qt]])</f>
        <v>1.1563467737077868</v>
      </c>
      <c r="R1132" s="1">
        <v>3</v>
      </c>
    </row>
    <row r="1133" spans="1:18" hidden="1" x14ac:dyDescent="0.3">
      <c r="A1133" s="1">
        <v>1132</v>
      </c>
      <c r="B1133" s="1" t="s">
        <v>17</v>
      </c>
      <c r="C1133" s="1">
        <v>4</v>
      </c>
      <c r="D1133" s="1">
        <v>240</v>
      </c>
      <c r="E1133" s="1">
        <v>50</v>
      </c>
      <c r="F1133" s="1">
        <v>11</v>
      </c>
      <c r="G1133" s="1">
        <v>25</v>
      </c>
      <c r="H1133" s="1">
        <v>150</v>
      </c>
      <c r="I1133" s="1">
        <v>100</v>
      </c>
      <c r="J1133" s="1">
        <v>3.5030000000000001</v>
      </c>
      <c r="K1133" s="1">
        <v>35.985999999999997</v>
      </c>
      <c r="L1133" s="1">
        <v>28.03</v>
      </c>
      <c r="M1133" s="1">
        <v>100.4</v>
      </c>
      <c r="N1133" s="1">
        <v>3.014E-2</v>
      </c>
      <c r="O1133" s="1">
        <v>2.153E-4</v>
      </c>
      <c r="P11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0.53688722290198487</v>
      </c>
      <c r="Q1133" s="1">
        <f>LN(Table13[[#This Row],[qe_mg_g]]-Table13[[#This Row],[qt]])</f>
        <v>1.0872522662895741</v>
      </c>
      <c r="R1133" s="1">
        <v>1</v>
      </c>
    </row>
    <row r="1134" spans="1:18" hidden="1" x14ac:dyDescent="0.3">
      <c r="A1134" s="1">
        <v>1133</v>
      </c>
      <c r="B1134" s="1" t="s">
        <v>17</v>
      </c>
      <c r="C1134" s="1">
        <v>4</v>
      </c>
      <c r="D1134" s="1">
        <v>240</v>
      </c>
      <c r="E1134" s="1">
        <v>50</v>
      </c>
      <c r="F1134" s="1">
        <v>11</v>
      </c>
      <c r="G1134" s="1">
        <v>25</v>
      </c>
      <c r="H1134" s="1">
        <v>150</v>
      </c>
      <c r="I1134" s="1">
        <v>100</v>
      </c>
      <c r="J1134" s="1">
        <v>3.117</v>
      </c>
      <c r="K1134" s="1">
        <v>37.531999999999996</v>
      </c>
      <c r="L1134" s="1">
        <v>24.94</v>
      </c>
      <c r="M1134" s="1">
        <v>78.599999999999994</v>
      </c>
      <c r="N1134" s="1">
        <v>3.5589999999999997E-2</v>
      </c>
      <c r="O1134" s="1">
        <v>2.1890000000000001E-4</v>
      </c>
      <c r="P11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0.43860053329176119</v>
      </c>
      <c r="Q1134" s="1">
        <f>LN(Table13[[#This Row],[qe_mg_g]]-Table13[[#This Row],[qt]])</f>
        <v>0.98521940220466553</v>
      </c>
      <c r="R1134" s="1">
        <v>2</v>
      </c>
    </row>
    <row r="1135" spans="1:18" hidden="1" x14ac:dyDescent="0.3">
      <c r="A1135" s="1">
        <v>1134</v>
      </c>
      <c r="B1135" s="1" t="s">
        <v>17</v>
      </c>
      <c r="C1135" s="1">
        <v>4</v>
      </c>
      <c r="D1135" s="1">
        <v>240</v>
      </c>
      <c r="E1135" s="1">
        <v>50</v>
      </c>
      <c r="F1135" s="1">
        <v>11</v>
      </c>
      <c r="G1135" s="1">
        <v>25</v>
      </c>
      <c r="H1135" s="1">
        <v>150</v>
      </c>
      <c r="I1135" s="1">
        <v>100</v>
      </c>
      <c r="J1135" s="1">
        <v>3.2909999999999999</v>
      </c>
      <c r="K1135" s="1">
        <v>36.838000000000001</v>
      </c>
      <c r="L1135" s="1">
        <v>26.32</v>
      </c>
      <c r="M1135" s="1">
        <v>74.400000000000006</v>
      </c>
      <c r="N1135" s="1">
        <v>3.7600000000000001E-2</v>
      </c>
      <c r="O1135" s="1">
        <v>1.872E-4</v>
      </c>
      <c r="P11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0.42392074247842881</v>
      </c>
      <c r="Q1135" s="1">
        <f>LN(Table13[[#This Row],[qe_mg_g]]-Table13[[#This Row],[qt]])</f>
        <v>1.0532938312772577</v>
      </c>
      <c r="R1135" s="1">
        <v>3</v>
      </c>
    </row>
    <row r="1136" spans="1:18" hidden="1" x14ac:dyDescent="0.3">
      <c r="A1136" s="1">
        <v>1135</v>
      </c>
      <c r="B1136" s="1" t="s">
        <v>17</v>
      </c>
      <c r="C1136" s="1">
        <v>4</v>
      </c>
      <c r="D1136" s="1">
        <v>240</v>
      </c>
      <c r="E1136" s="1">
        <v>100</v>
      </c>
      <c r="F1136" s="1">
        <v>3</v>
      </c>
      <c r="G1136" s="1">
        <v>25</v>
      </c>
      <c r="H1136" s="1">
        <v>150</v>
      </c>
      <c r="I1136" s="1">
        <v>100</v>
      </c>
      <c r="J1136" s="1">
        <v>7.9260000000000002</v>
      </c>
      <c r="K1136" s="1">
        <v>68.298000000000002</v>
      </c>
      <c r="L1136" s="1">
        <v>31.7</v>
      </c>
      <c r="M1136" s="1">
        <v>81.8</v>
      </c>
      <c r="N1136" s="1">
        <v>3.4229999999999997E-2</v>
      </c>
      <c r="O1136" s="1">
        <v>2.153E-4</v>
      </c>
      <c r="P11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2.3029378706659274</v>
      </c>
      <c r="Q1136" s="1">
        <f>LN(Table13[[#This Row],[qe_mg_g]]-Table13[[#This Row],[qt]])</f>
        <v>1.726876378392554</v>
      </c>
      <c r="R1136" s="1">
        <v>1</v>
      </c>
    </row>
    <row r="1137" spans="1:18" hidden="1" x14ac:dyDescent="0.3">
      <c r="A1137" s="1">
        <v>1136</v>
      </c>
      <c r="B1137" s="1" t="s">
        <v>17</v>
      </c>
      <c r="C1137" s="1">
        <v>4</v>
      </c>
      <c r="D1137" s="1">
        <v>240</v>
      </c>
      <c r="E1137" s="1">
        <v>100</v>
      </c>
      <c r="F1137" s="1">
        <v>3</v>
      </c>
      <c r="G1137" s="1">
        <v>25</v>
      </c>
      <c r="H1137" s="1">
        <v>150</v>
      </c>
      <c r="I1137" s="1">
        <v>100</v>
      </c>
      <c r="J1137" s="1">
        <v>6.9509999999999996</v>
      </c>
      <c r="K1137" s="1">
        <v>72.197999999999993</v>
      </c>
      <c r="L1137" s="1">
        <v>27.8</v>
      </c>
      <c r="M1137" s="1">
        <v>110.7</v>
      </c>
      <c r="N1137" s="1">
        <v>2.8629999999999999E-2</v>
      </c>
      <c r="O1137" s="1">
        <v>1.8799999999999999E-4</v>
      </c>
      <c r="P11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1.6595521368466617</v>
      </c>
      <c r="Q1137" s="1">
        <f>LN(Table13[[#This Row],[qe_mg_g]]-Table13[[#This Row],[qt]])</f>
        <v>1.6660919065603326</v>
      </c>
      <c r="R1137" s="1">
        <v>2</v>
      </c>
    </row>
    <row r="1138" spans="1:18" hidden="1" x14ac:dyDescent="0.3">
      <c r="A1138" s="1">
        <v>1137</v>
      </c>
      <c r="B1138" s="1" t="s">
        <v>17</v>
      </c>
      <c r="C1138" s="1">
        <v>4</v>
      </c>
      <c r="D1138" s="1">
        <v>240</v>
      </c>
      <c r="E1138" s="1">
        <v>100</v>
      </c>
      <c r="F1138" s="1">
        <v>3</v>
      </c>
      <c r="G1138" s="1">
        <v>25</v>
      </c>
      <c r="H1138" s="1">
        <v>150</v>
      </c>
      <c r="I1138" s="1">
        <v>100</v>
      </c>
      <c r="J1138" s="1">
        <v>8.0449999999999999</v>
      </c>
      <c r="K1138" s="1">
        <v>67.820999999999998</v>
      </c>
      <c r="L1138" s="1">
        <v>32.18</v>
      </c>
      <c r="M1138" s="1">
        <v>93.2</v>
      </c>
      <c r="N1138" s="1">
        <v>3.465E-2</v>
      </c>
      <c r="O1138" s="1">
        <v>1.9890000000000001E-4</v>
      </c>
      <c r="P11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2.2322904299636344</v>
      </c>
      <c r="Q1138" s="1">
        <f>LN(Table13[[#This Row],[qe_mg_g]]-Table13[[#This Row],[qt]])</f>
        <v>1.7600468253235266</v>
      </c>
      <c r="R1138" s="1">
        <v>3</v>
      </c>
    </row>
    <row r="1139" spans="1:18" hidden="1" x14ac:dyDescent="0.3">
      <c r="A1139" s="1">
        <v>1138</v>
      </c>
      <c r="B1139" s="1" t="s">
        <v>17</v>
      </c>
      <c r="C1139" s="1">
        <v>4</v>
      </c>
      <c r="D1139" s="1">
        <v>240</v>
      </c>
      <c r="E1139" s="1">
        <v>100</v>
      </c>
      <c r="F1139" s="1">
        <v>7</v>
      </c>
      <c r="G1139" s="1">
        <v>25</v>
      </c>
      <c r="H1139" s="1">
        <v>150</v>
      </c>
      <c r="I1139" s="1">
        <v>100</v>
      </c>
      <c r="J1139" s="1">
        <v>12.414</v>
      </c>
      <c r="K1139" s="1">
        <v>50.344999999999999</v>
      </c>
      <c r="L1139" s="1">
        <v>49.65</v>
      </c>
      <c r="M1139" s="1">
        <v>82.7</v>
      </c>
      <c r="N1139" s="1">
        <v>3.9879999999999999E-2</v>
      </c>
      <c r="O1139" s="1">
        <v>2.1680000000000001E-4</v>
      </c>
      <c r="P11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4.8717376675614368</v>
      </c>
      <c r="Q1139" s="1">
        <f>LN(Table13[[#This Row],[qe_mg_g]]-Table13[[#This Row],[qt]])</f>
        <v>2.0205221811056338</v>
      </c>
      <c r="R1139" s="1">
        <v>1</v>
      </c>
    </row>
    <row r="1140" spans="1:18" hidden="1" x14ac:dyDescent="0.3">
      <c r="A1140" s="1">
        <v>1139</v>
      </c>
      <c r="B1140" s="1" t="s">
        <v>17</v>
      </c>
      <c r="C1140" s="1">
        <v>4</v>
      </c>
      <c r="D1140" s="1">
        <v>240</v>
      </c>
      <c r="E1140" s="1">
        <v>100</v>
      </c>
      <c r="F1140" s="1">
        <v>7</v>
      </c>
      <c r="G1140" s="1">
        <v>25</v>
      </c>
      <c r="H1140" s="1">
        <v>150</v>
      </c>
      <c r="I1140" s="1">
        <v>100</v>
      </c>
      <c r="J1140" s="1">
        <v>12.965</v>
      </c>
      <c r="K1140" s="1">
        <v>48.14</v>
      </c>
      <c r="L1140" s="1">
        <v>51.86</v>
      </c>
      <c r="M1140" s="1">
        <v>73.3</v>
      </c>
      <c r="N1140" s="1">
        <v>3.4720000000000001E-2</v>
      </c>
      <c r="O1140" s="1">
        <v>1.94E-4</v>
      </c>
      <c r="P11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4.8803201969706116</v>
      </c>
      <c r="Q1140" s="1">
        <f>LN(Table13[[#This Row],[qe_mg_g]]-Table13[[#This Row],[qt]])</f>
        <v>2.0899708884141917</v>
      </c>
      <c r="R1140" s="1">
        <v>2</v>
      </c>
    </row>
    <row r="1141" spans="1:18" hidden="1" x14ac:dyDescent="0.3">
      <c r="A1141" s="1">
        <v>1140</v>
      </c>
      <c r="B1141" s="1" t="s">
        <v>17</v>
      </c>
      <c r="C1141" s="1">
        <v>4</v>
      </c>
      <c r="D1141" s="1">
        <v>240</v>
      </c>
      <c r="E1141" s="1">
        <v>100</v>
      </c>
      <c r="F1141" s="1">
        <v>7</v>
      </c>
      <c r="G1141" s="1">
        <v>25</v>
      </c>
      <c r="H1141" s="1">
        <v>150</v>
      </c>
      <c r="I1141" s="1">
        <v>100</v>
      </c>
      <c r="J1141" s="1">
        <v>10.725</v>
      </c>
      <c r="K1141" s="1">
        <v>57.1</v>
      </c>
      <c r="L1141" s="1">
        <v>42.9</v>
      </c>
      <c r="M1141" s="1">
        <v>90.3</v>
      </c>
      <c r="N1141" s="1">
        <v>3.3119999999999997E-2</v>
      </c>
      <c r="O1141" s="1">
        <v>2.131E-4</v>
      </c>
      <c r="P11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3.7990292953385021</v>
      </c>
      <c r="Q1141" s="1">
        <f>LN(Table13[[#This Row],[qe_mg_g]]-Table13[[#This Row],[qt]])</f>
        <v>1.9352782162082898</v>
      </c>
      <c r="R1141" s="1">
        <v>3</v>
      </c>
    </row>
    <row r="1142" spans="1:18" hidden="1" x14ac:dyDescent="0.3">
      <c r="A1142" s="1">
        <v>1141</v>
      </c>
      <c r="B1142" s="1" t="s">
        <v>17</v>
      </c>
      <c r="C1142" s="1">
        <v>4</v>
      </c>
      <c r="D1142" s="1">
        <v>240</v>
      </c>
      <c r="E1142" s="1">
        <v>100</v>
      </c>
      <c r="F1142" s="1">
        <v>11</v>
      </c>
      <c r="G1142" s="1">
        <v>25</v>
      </c>
      <c r="H1142" s="1">
        <v>150</v>
      </c>
      <c r="I1142" s="1">
        <v>100</v>
      </c>
      <c r="J1142" s="1">
        <v>8.3729999999999993</v>
      </c>
      <c r="K1142" s="1">
        <v>66.507000000000005</v>
      </c>
      <c r="L1142" s="1">
        <v>33.49</v>
      </c>
      <c r="M1142" s="1">
        <v>107.8</v>
      </c>
      <c r="N1142" s="1">
        <v>3.1859999999999999E-2</v>
      </c>
      <c r="O1142" s="1">
        <v>2.0440000000000001E-4</v>
      </c>
      <c r="P11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2.4378418179192307</v>
      </c>
      <c r="Q1142" s="1">
        <f>LN(Table13[[#This Row],[qe_mg_g]]-Table13[[#This Row],[qt]])</f>
        <v>1.780893680121082</v>
      </c>
      <c r="R1142" s="1">
        <v>1</v>
      </c>
    </row>
    <row r="1143" spans="1:18" hidden="1" x14ac:dyDescent="0.3">
      <c r="A1143" s="1">
        <v>1142</v>
      </c>
      <c r="B1143" s="1" t="s">
        <v>17</v>
      </c>
      <c r="C1143" s="1">
        <v>4</v>
      </c>
      <c r="D1143" s="1">
        <v>240</v>
      </c>
      <c r="E1143" s="1">
        <v>100</v>
      </c>
      <c r="F1143" s="1">
        <v>11</v>
      </c>
      <c r="G1143" s="1">
        <v>25</v>
      </c>
      <c r="H1143" s="1">
        <v>150</v>
      </c>
      <c r="I1143" s="1">
        <v>100</v>
      </c>
      <c r="J1143" s="1">
        <v>10.119</v>
      </c>
      <c r="K1143" s="1">
        <v>59.523000000000003</v>
      </c>
      <c r="L1143" s="1">
        <v>40.479999999999997</v>
      </c>
      <c r="M1143" s="1">
        <v>78.400000000000006</v>
      </c>
      <c r="N1143" s="1">
        <v>3.798E-2</v>
      </c>
      <c r="O1143" s="1">
        <v>1.7540000000000001E-4</v>
      </c>
      <c r="P11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3.0227749129184689</v>
      </c>
      <c r="Q1143" s="1">
        <f>LN(Table13[[#This Row],[qe_mg_g]]-Table13[[#This Row],[qt]])</f>
        <v>1.9595629647806287</v>
      </c>
      <c r="R1143" s="1">
        <v>2</v>
      </c>
    </row>
    <row r="1144" spans="1:18" hidden="1" x14ac:dyDescent="0.3">
      <c r="A1144" s="1">
        <v>1143</v>
      </c>
      <c r="B1144" s="1" t="s">
        <v>17</v>
      </c>
      <c r="C1144" s="1">
        <v>4</v>
      </c>
      <c r="D1144" s="1">
        <v>240</v>
      </c>
      <c r="E1144" s="1">
        <v>100</v>
      </c>
      <c r="F1144" s="1">
        <v>11</v>
      </c>
      <c r="G1144" s="1">
        <v>25</v>
      </c>
      <c r="H1144" s="1">
        <v>150</v>
      </c>
      <c r="I1144" s="1">
        <v>100</v>
      </c>
      <c r="J1144" s="1">
        <v>10.738</v>
      </c>
      <c r="K1144" s="1">
        <v>57.045999999999999</v>
      </c>
      <c r="L1144" s="1">
        <v>42.95</v>
      </c>
      <c r="M1144" s="1">
        <v>85.9</v>
      </c>
      <c r="N1144" s="1">
        <v>3.2910000000000002E-2</v>
      </c>
      <c r="O1144" s="1">
        <v>1.94E-4</v>
      </c>
      <c r="P11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3.5791485395142995</v>
      </c>
      <c r="Q1144" s="1">
        <f>LN(Table13[[#This Row],[qe_mg_g]]-Table13[[#This Row],[qt]])</f>
        <v>1.9683495575587164</v>
      </c>
      <c r="R1144" s="1">
        <v>3</v>
      </c>
    </row>
    <row r="1145" spans="1:18" hidden="1" x14ac:dyDescent="0.3">
      <c r="A1145" s="1">
        <v>1144</v>
      </c>
      <c r="B1145" s="1" t="s">
        <v>17</v>
      </c>
      <c r="C1145" s="1">
        <v>4</v>
      </c>
      <c r="D1145" s="1">
        <v>240</v>
      </c>
      <c r="E1145" s="1">
        <v>200</v>
      </c>
      <c r="F1145" s="1">
        <v>3</v>
      </c>
      <c r="G1145" s="1">
        <v>25</v>
      </c>
      <c r="H1145" s="1">
        <v>150</v>
      </c>
      <c r="I1145" s="1">
        <v>100</v>
      </c>
      <c r="J1145" s="1">
        <v>22.728999999999999</v>
      </c>
      <c r="K1145" s="1">
        <v>109.083</v>
      </c>
      <c r="L1145" s="1">
        <v>45.46</v>
      </c>
      <c r="M1145" s="1">
        <v>78.2</v>
      </c>
      <c r="N1145" s="1">
        <v>3.2379999999999999E-2</v>
      </c>
      <c r="O1145" s="1">
        <v>1.9560000000000001E-4</v>
      </c>
      <c r="P11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11.732818081039587</v>
      </c>
      <c r="Q1145" s="1">
        <f>LN(Table13[[#This Row],[qe_mg_g]]-Table13[[#This Row],[qt]])</f>
        <v>2.3975481142694948</v>
      </c>
      <c r="R1145" s="1">
        <v>1</v>
      </c>
    </row>
    <row r="1146" spans="1:18" hidden="1" x14ac:dyDescent="0.3">
      <c r="A1146" s="1">
        <v>1145</v>
      </c>
      <c r="B1146" s="1" t="s">
        <v>17</v>
      </c>
      <c r="C1146" s="1">
        <v>4</v>
      </c>
      <c r="D1146" s="1">
        <v>240</v>
      </c>
      <c r="E1146" s="1">
        <v>200</v>
      </c>
      <c r="F1146" s="1">
        <v>3</v>
      </c>
      <c r="G1146" s="1">
        <v>25</v>
      </c>
      <c r="H1146" s="1">
        <v>150</v>
      </c>
      <c r="I1146" s="1">
        <v>100</v>
      </c>
      <c r="J1146" s="1">
        <v>18.553000000000001</v>
      </c>
      <c r="K1146" s="1">
        <v>125.78700000000001</v>
      </c>
      <c r="L1146" s="1">
        <v>37.11</v>
      </c>
      <c r="M1146" s="1">
        <v>109.1</v>
      </c>
      <c r="N1146" s="1">
        <v>3.3020000000000001E-2</v>
      </c>
      <c r="O1146" s="1">
        <v>2.1660000000000001E-4</v>
      </c>
      <c r="P11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9.1086702560542729</v>
      </c>
      <c r="Q1146" s="1">
        <f>LN(Table13[[#This Row],[qe_mg_g]]-Table13[[#This Row],[qt]])</f>
        <v>2.2454145343216614</v>
      </c>
      <c r="R1146" s="1">
        <v>2</v>
      </c>
    </row>
    <row r="1147" spans="1:18" hidden="1" x14ac:dyDescent="0.3">
      <c r="A1147" s="1">
        <v>1146</v>
      </c>
      <c r="B1147" s="1" t="s">
        <v>17</v>
      </c>
      <c r="C1147" s="1">
        <v>4</v>
      </c>
      <c r="D1147" s="1">
        <v>240</v>
      </c>
      <c r="E1147" s="1">
        <v>200</v>
      </c>
      <c r="F1147" s="1">
        <v>3</v>
      </c>
      <c r="G1147" s="1">
        <v>25</v>
      </c>
      <c r="H1147" s="1">
        <v>150</v>
      </c>
      <c r="I1147" s="1">
        <v>100</v>
      </c>
      <c r="J1147" s="1">
        <v>21.469000000000001</v>
      </c>
      <c r="K1147" s="1">
        <v>114.125</v>
      </c>
      <c r="L1147" s="1">
        <v>42.94</v>
      </c>
      <c r="M1147" s="1">
        <v>73.099999999999994</v>
      </c>
      <c r="N1147" s="1">
        <v>3.4979999999999997E-2</v>
      </c>
      <c r="O1147" s="1">
        <v>2.1570000000000001E-4</v>
      </c>
      <c r="P11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11.30089974849721</v>
      </c>
      <c r="Q1147" s="1">
        <f>LN(Table13[[#This Row],[qe_mg_g]]-Table13[[#This Row],[qt]])</f>
        <v>2.3192553933490507</v>
      </c>
      <c r="R1147" s="1">
        <v>3</v>
      </c>
    </row>
    <row r="1148" spans="1:18" hidden="1" x14ac:dyDescent="0.3">
      <c r="A1148" s="1">
        <v>1147</v>
      </c>
      <c r="B1148" s="1" t="s">
        <v>17</v>
      </c>
      <c r="C1148" s="1">
        <v>4</v>
      </c>
      <c r="D1148" s="1">
        <v>240</v>
      </c>
      <c r="E1148" s="1">
        <v>200</v>
      </c>
      <c r="F1148" s="1">
        <v>7</v>
      </c>
      <c r="G1148" s="1">
        <v>25</v>
      </c>
      <c r="H1148" s="1">
        <v>150</v>
      </c>
      <c r="I1148" s="1">
        <v>100</v>
      </c>
      <c r="J1148" s="1">
        <v>30.242999999999999</v>
      </c>
      <c r="K1148" s="1">
        <v>79.028000000000006</v>
      </c>
      <c r="L1148" s="1">
        <v>60.49</v>
      </c>
      <c r="M1148" s="1">
        <v>101.1</v>
      </c>
      <c r="N1148" s="1">
        <v>3.8580000000000003E-2</v>
      </c>
      <c r="O1148" s="1">
        <v>2.184E-4</v>
      </c>
      <c r="P11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18.544562704199485</v>
      </c>
      <c r="Q1148" s="1">
        <f>LN(Table13[[#This Row],[qe_mg_g]]-Table13[[#This Row],[qt]])</f>
        <v>2.459455268421689</v>
      </c>
      <c r="R1148" s="1">
        <v>1</v>
      </c>
    </row>
    <row r="1149" spans="1:18" hidden="1" x14ac:dyDescent="0.3">
      <c r="A1149" s="1">
        <v>1148</v>
      </c>
      <c r="B1149" s="1" t="s">
        <v>17</v>
      </c>
      <c r="C1149" s="1">
        <v>4</v>
      </c>
      <c r="D1149" s="1">
        <v>240</v>
      </c>
      <c r="E1149" s="1">
        <v>200</v>
      </c>
      <c r="F1149" s="1">
        <v>7</v>
      </c>
      <c r="G1149" s="1">
        <v>25</v>
      </c>
      <c r="H1149" s="1">
        <v>150</v>
      </c>
      <c r="I1149" s="1">
        <v>100</v>
      </c>
      <c r="J1149" s="1">
        <v>29.407</v>
      </c>
      <c r="K1149" s="1">
        <v>82.373999999999995</v>
      </c>
      <c r="L1149" s="1">
        <v>58.81</v>
      </c>
      <c r="M1149" s="1">
        <v>71.8</v>
      </c>
      <c r="N1149" s="1">
        <v>3.2849999999999997E-2</v>
      </c>
      <c r="O1149" s="1">
        <v>2.039E-4</v>
      </c>
      <c r="P11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17.350310733630245</v>
      </c>
      <c r="Q1149" s="1">
        <f>LN(Table13[[#This Row],[qe_mg_g]]-Table13[[#This Row],[qt]])</f>
        <v>2.4896196317511285</v>
      </c>
      <c r="R1149" s="1">
        <v>2</v>
      </c>
    </row>
    <row r="1150" spans="1:18" hidden="1" x14ac:dyDescent="0.3">
      <c r="A1150" s="1">
        <v>1149</v>
      </c>
      <c r="B1150" s="1" t="s">
        <v>17</v>
      </c>
      <c r="C1150" s="1">
        <v>4</v>
      </c>
      <c r="D1150" s="1">
        <v>240</v>
      </c>
      <c r="E1150" s="1">
        <v>200</v>
      </c>
      <c r="F1150" s="1">
        <v>7</v>
      </c>
      <c r="G1150" s="1">
        <v>25</v>
      </c>
      <c r="H1150" s="1">
        <v>150</v>
      </c>
      <c r="I1150" s="1">
        <v>100</v>
      </c>
      <c r="J1150" s="1">
        <v>32.506</v>
      </c>
      <c r="K1150" s="1">
        <v>69.977999999999994</v>
      </c>
      <c r="L1150" s="1">
        <v>65.010000000000005</v>
      </c>
      <c r="M1150" s="1">
        <v>57.8</v>
      </c>
      <c r="N1150" s="1">
        <v>3.4970000000000001E-2</v>
      </c>
      <c r="O1150" s="1">
        <v>2.0320000000000001E-4</v>
      </c>
      <c r="P11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19.932373771208663</v>
      </c>
      <c r="Q1150" s="1">
        <f>LN(Table13[[#This Row],[qe_mg_g]]-Table13[[#This Row],[qt]])</f>
        <v>2.5316014637986233</v>
      </c>
      <c r="R1150" s="1">
        <v>3</v>
      </c>
    </row>
    <row r="1151" spans="1:18" hidden="1" x14ac:dyDescent="0.3">
      <c r="A1151" s="1">
        <v>1150</v>
      </c>
      <c r="B1151" s="1" t="s">
        <v>17</v>
      </c>
      <c r="C1151" s="1">
        <v>4</v>
      </c>
      <c r="D1151" s="1">
        <v>240</v>
      </c>
      <c r="E1151" s="1">
        <v>200</v>
      </c>
      <c r="F1151" s="1">
        <v>11</v>
      </c>
      <c r="G1151" s="1">
        <v>25</v>
      </c>
      <c r="H1151" s="1">
        <v>150</v>
      </c>
      <c r="I1151" s="1">
        <v>100</v>
      </c>
      <c r="J1151" s="1">
        <v>24.2</v>
      </c>
      <c r="K1151" s="1">
        <v>103.20099999999999</v>
      </c>
      <c r="L1151" s="1">
        <v>48.4</v>
      </c>
      <c r="M1151" s="1">
        <v>102.3</v>
      </c>
      <c r="N1151" s="1">
        <v>3.6479999999999999E-2</v>
      </c>
      <c r="O1151" s="1">
        <v>2.262E-4</v>
      </c>
      <c r="P11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13.740877363070204</v>
      </c>
      <c r="Q1151" s="1">
        <f>LN(Table13[[#This Row],[qe_mg_g]]-Table13[[#This Row],[qt]])</f>
        <v>2.3474745771962455</v>
      </c>
      <c r="R1151" s="1">
        <v>1</v>
      </c>
    </row>
    <row r="1152" spans="1:18" hidden="1" x14ac:dyDescent="0.3">
      <c r="A1152" s="1">
        <v>1151</v>
      </c>
      <c r="B1152" s="1" t="s">
        <v>17</v>
      </c>
      <c r="C1152" s="1">
        <v>4</v>
      </c>
      <c r="D1152" s="1">
        <v>240</v>
      </c>
      <c r="E1152" s="1">
        <v>200</v>
      </c>
      <c r="F1152" s="1">
        <v>11</v>
      </c>
      <c r="G1152" s="1">
        <v>25</v>
      </c>
      <c r="H1152" s="1">
        <v>150</v>
      </c>
      <c r="I1152" s="1">
        <v>100</v>
      </c>
      <c r="J1152" s="1">
        <v>24.353000000000002</v>
      </c>
      <c r="K1152" s="1">
        <v>102.58799999999999</v>
      </c>
      <c r="L1152" s="1">
        <v>48.71</v>
      </c>
      <c r="M1152" s="1">
        <v>97.8</v>
      </c>
      <c r="N1152" s="1">
        <v>4.0719999999999999E-2</v>
      </c>
      <c r="O1152" s="1">
        <v>2.262E-4</v>
      </c>
      <c r="P11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13.865400315995906</v>
      </c>
      <c r="Q1152" s="1">
        <f>LN(Table13[[#This Row],[qe_mg_g]]-Table13[[#This Row],[qt]])</f>
        <v>2.3501935767783397</v>
      </c>
      <c r="R1152" s="1">
        <v>2</v>
      </c>
    </row>
    <row r="1153" spans="1:18" hidden="1" x14ac:dyDescent="0.3">
      <c r="A1153" s="1">
        <v>1152</v>
      </c>
      <c r="B1153" s="1" t="s">
        <v>17</v>
      </c>
      <c r="C1153" s="1">
        <v>4</v>
      </c>
      <c r="D1153" s="1">
        <v>240</v>
      </c>
      <c r="E1153" s="1">
        <v>200</v>
      </c>
      <c r="F1153" s="1">
        <v>11</v>
      </c>
      <c r="G1153" s="1">
        <v>25</v>
      </c>
      <c r="H1153" s="1">
        <v>150</v>
      </c>
      <c r="I1153" s="1">
        <v>100</v>
      </c>
      <c r="J1153" s="1">
        <v>22.172000000000001</v>
      </c>
      <c r="K1153" s="1">
        <v>111.31100000000001</v>
      </c>
      <c r="L1153" s="1">
        <v>44.34</v>
      </c>
      <c r="M1153" s="1">
        <v>82.5</v>
      </c>
      <c r="N1153" s="1">
        <v>3.3790000000000001E-2</v>
      </c>
      <c r="O1153" s="1">
        <v>2.098E-4</v>
      </c>
      <c r="P11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11.69574201668696</v>
      </c>
      <c r="Q1153" s="1">
        <f>LN(Table13[[#This Row],[qe_mg_g]]-Table13[[#This Row],[qt]])</f>
        <v>2.3491115524698762</v>
      </c>
      <c r="R1153" s="1">
        <v>3</v>
      </c>
    </row>
    <row r="1154" spans="1:18" hidden="1" x14ac:dyDescent="0.3">
      <c r="A1154" s="1">
        <v>1153</v>
      </c>
      <c r="B1154" s="1" t="s">
        <v>18</v>
      </c>
      <c r="C1154" s="1">
        <v>0.5</v>
      </c>
      <c r="D1154" s="1">
        <v>30</v>
      </c>
      <c r="E1154" s="1">
        <v>25</v>
      </c>
      <c r="F1154" s="1">
        <v>3</v>
      </c>
      <c r="G1154" s="1">
        <v>25</v>
      </c>
      <c r="H1154" s="1">
        <v>150</v>
      </c>
      <c r="I1154" s="1">
        <v>100</v>
      </c>
      <c r="J1154" s="1">
        <v>5.4029999999999996</v>
      </c>
      <c r="K1154" s="1">
        <v>22.298999999999999</v>
      </c>
      <c r="L1154" s="1">
        <v>10.81</v>
      </c>
      <c r="M1154" s="1">
        <v>87.4</v>
      </c>
      <c r="N1154" s="1">
        <v>3.0200000000000001E-2</v>
      </c>
      <c r="O1154" s="1">
        <v>1.995E-4</v>
      </c>
      <c r="P11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0.16924374063989597</v>
      </c>
      <c r="Q1154" s="1">
        <f>LN(Table13[[#This Row],[qe_mg_g]]-Table13[[#This Row],[qt]])</f>
        <v>1.6551292343113517</v>
      </c>
      <c r="R1154" s="1">
        <v>1</v>
      </c>
    </row>
    <row r="1155" spans="1:18" hidden="1" x14ac:dyDescent="0.3">
      <c r="A1155" s="1">
        <v>1154</v>
      </c>
      <c r="B1155" s="1" t="s">
        <v>18</v>
      </c>
      <c r="C1155" s="1">
        <v>0.5</v>
      </c>
      <c r="D1155" s="1">
        <v>30</v>
      </c>
      <c r="E1155" s="1">
        <v>25</v>
      </c>
      <c r="F1155" s="1">
        <v>3</v>
      </c>
      <c r="G1155" s="1">
        <v>25</v>
      </c>
      <c r="H1155" s="1">
        <v>150</v>
      </c>
      <c r="I1155" s="1">
        <v>100</v>
      </c>
      <c r="J1155" s="1">
        <v>5.7489999999999997</v>
      </c>
      <c r="K1155" s="1">
        <v>22.126000000000001</v>
      </c>
      <c r="L1155" s="1">
        <v>11.5</v>
      </c>
      <c r="M1155" s="1">
        <v>92.3</v>
      </c>
      <c r="N1155" s="1">
        <v>3.0169999999999999E-2</v>
      </c>
      <c r="O1155" s="1">
        <v>2.4230000000000001E-4</v>
      </c>
      <c r="P11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0.23061062781934544</v>
      </c>
      <c r="Q1155" s="1">
        <f>LN(Table13[[#This Row],[qe_mg_g]]-Table13[[#This Row],[qt]])</f>
        <v>1.7080860373107649</v>
      </c>
      <c r="R1155" s="1">
        <v>2</v>
      </c>
    </row>
    <row r="1156" spans="1:18" hidden="1" x14ac:dyDescent="0.3">
      <c r="A1156" s="1">
        <v>1155</v>
      </c>
      <c r="B1156" s="1" t="s">
        <v>18</v>
      </c>
      <c r="C1156" s="1">
        <v>0.5</v>
      </c>
      <c r="D1156" s="1">
        <v>30</v>
      </c>
      <c r="E1156" s="1">
        <v>25</v>
      </c>
      <c r="F1156" s="1">
        <v>3</v>
      </c>
      <c r="G1156" s="1">
        <v>25</v>
      </c>
      <c r="H1156" s="1">
        <v>150</v>
      </c>
      <c r="I1156" s="1">
        <v>100</v>
      </c>
      <c r="J1156" s="1">
        <v>5.6130000000000004</v>
      </c>
      <c r="K1156" s="1">
        <v>22.193000000000001</v>
      </c>
      <c r="L1156" s="1">
        <v>11.23</v>
      </c>
      <c r="M1156" s="1">
        <v>57.4</v>
      </c>
      <c r="N1156" s="1">
        <v>2.9950000000000001E-2</v>
      </c>
      <c r="O1156" s="1">
        <v>2.474E-4</v>
      </c>
      <c r="P11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0.22448388918259435</v>
      </c>
      <c r="Q1156" s="1">
        <f>LN(Table13[[#This Row],[qe_mg_g]]-Table13[[#This Row],[qt]])</f>
        <v>1.6842700429022619</v>
      </c>
      <c r="R1156" s="1">
        <v>3</v>
      </c>
    </row>
    <row r="1157" spans="1:18" hidden="1" x14ac:dyDescent="0.3">
      <c r="A1157" s="1">
        <v>1156</v>
      </c>
      <c r="B1157" s="1" t="s">
        <v>18</v>
      </c>
      <c r="C1157" s="1">
        <v>0.5</v>
      </c>
      <c r="D1157" s="1">
        <v>30</v>
      </c>
      <c r="E1157" s="1">
        <v>25</v>
      </c>
      <c r="F1157" s="1">
        <v>7</v>
      </c>
      <c r="G1157" s="1">
        <v>25</v>
      </c>
      <c r="H1157" s="1">
        <v>150</v>
      </c>
      <c r="I1157" s="1">
        <v>100</v>
      </c>
      <c r="J1157" s="1">
        <v>8.1929999999999996</v>
      </c>
      <c r="K1157" s="1">
        <v>20.904</v>
      </c>
      <c r="L1157" s="1">
        <v>16.39</v>
      </c>
      <c r="M1157" s="1">
        <v>125.9</v>
      </c>
      <c r="N1157" s="1">
        <v>2.734E-2</v>
      </c>
      <c r="O1157" s="1">
        <v>2.6929999999999999E-4</v>
      </c>
      <c r="P11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0.50863753402301193</v>
      </c>
      <c r="Q1157" s="1">
        <f>LN(Table13[[#This Row],[qe_mg_g]]-Table13[[#This Row],[qt]])</f>
        <v>2.0391874153160212</v>
      </c>
      <c r="R1157" s="1">
        <v>1</v>
      </c>
    </row>
    <row r="1158" spans="1:18" hidden="1" x14ac:dyDescent="0.3">
      <c r="A1158" s="1">
        <v>1157</v>
      </c>
      <c r="B1158" s="1" t="s">
        <v>18</v>
      </c>
      <c r="C1158" s="1">
        <v>0.5</v>
      </c>
      <c r="D1158" s="1">
        <v>30</v>
      </c>
      <c r="E1158" s="1">
        <v>25</v>
      </c>
      <c r="F1158" s="1">
        <v>7</v>
      </c>
      <c r="G1158" s="1">
        <v>25</v>
      </c>
      <c r="H1158" s="1">
        <v>150</v>
      </c>
      <c r="I1158" s="1">
        <v>100</v>
      </c>
      <c r="J1158" s="1">
        <v>8.8149999999999995</v>
      </c>
      <c r="K1158" s="1">
        <v>20.591999999999999</v>
      </c>
      <c r="L1158" s="1">
        <v>17.63</v>
      </c>
      <c r="M1158" s="1">
        <v>118.9</v>
      </c>
      <c r="N1158" s="1">
        <v>2.8000000000000001E-2</v>
      </c>
      <c r="O1158" s="1">
        <v>2.3169999999999999E-4</v>
      </c>
      <c r="P11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0.50893788393187944</v>
      </c>
      <c r="Q1158" s="1">
        <f>LN(Table13[[#This Row],[qe_mg_g]]-Table13[[#This Row],[qt]])</f>
        <v>2.1169856236381133</v>
      </c>
      <c r="R1158" s="1">
        <v>2</v>
      </c>
    </row>
    <row r="1159" spans="1:18" hidden="1" x14ac:dyDescent="0.3">
      <c r="A1159" s="1">
        <v>1158</v>
      </c>
      <c r="B1159" s="1" t="s">
        <v>18</v>
      </c>
      <c r="C1159" s="1">
        <v>0.5</v>
      </c>
      <c r="D1159" s="1">
        <v>30</v>
      </c>
      <c r="E1159" s="1">
        <v>25</v>
      </c>
      <c r="F1159" s="1">
        <v>7</v>
      </c>
      <c r="G1159" s="1">
        <v>25</v>
      </c>
      <c r="H1159" s="1">
        <v>150</v>
      </c>
      <c r="I1159" s="1">
        <v>100</v>
      </c>
      <c r="J1159" s="1">
        <v>9.3840000000000003</v>
      </c>
      <c r="K1159" s="1">
        <v>20.308</v>
      </c>
      <c r="L1159" s="1">
        <v>18.77</v>
      </c>
      <c r="M1159" s="1">
        <v>106.4</v>
      </c>
      <c r="N1159" s="1">
        <v>2.537E-2</v>
      </c>
      <c r="O1159" s="1">
        <v>2.365E-4</v>
      </c>
      <c r="P11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0.58578085556268167</v>
      </c>
      <c r="Q1159" s="1">
        <f>LN(Table13[[#This Row],[qe_mg_g]]-Table13[[#This Row],[qt]])</f>
        <v>2.1745493310542945</v>
      </c>
      <c r="R1159" s="1">
        <v>3</v>
      </c>
    </row>
    <row r="1160" spans="1:18" hidden="1" x14ac:dyDescent="0.3">
      <c r="A1160" s="1">
        <v>1159</v>
      </c>
      <c r="B1160" s="1" t="s">
        <v>18</v>
      </c>
      <c r="C1160" s="1">
        <v>0.5</v>
      </c>
      <c r="D1160" s="1">
        <v>30</v>
      </c>
      <c r="E1160" s="1">
        <v>25</v>
      </c>
      <c r="F1160" s="1">
        <v>11</v>
      </c>
      <c r="G1160" s="1">
        <v>25</v>
      </c>
      <c r="H1160" s="1">
        <v>150</v>
      </c>
      <c r="I1160" s="1">
        <v>100</v>
      </c>
      <c r="J1160" s="1">
        <v>6.6070000000000002</v>
      </c>
      <c r="K1160" s="1">
        <v>21.696999999999999</v>
      </c>
      <c r="L1160" s="1">
        <v>13.21</v>
      </c>
      <c r="M1160" s="1">
        <v>112.6</v>
      </c>
      <c r="N1160" s="1">
        <v>2.7959999999999999E-2</v>
      </c>
      <c r="O1160" s="1">
        <v>1.771E-4</v>
      </c>
      <c r="P11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0.22406027569579307</v>
      </c>
      <c r="Q1160" s="1">
        <f>LN(Table13[[#This Row],[qe_mg_g]]-Table13[[#This Row],[qt]])</f>
        <v>1.8536287630684696</v>
      </c>
      <c r="R1160" s="1">
        <v>1</v>
      </c>
    </row>
    <row r="1161" spans="1:18" hidden="1" x14ac:dyDescent="0.3">
      <c r="A1161" s="1">
        <v>1160</v>
      </c>
      <c r="B1161" s="1" t="s">
        <v>18</v>
      </c>
      <c r="C1161" s="1">
        <v>0.5</v>
      </c>
      <c r="D1161" s="1">
        <v>30</v>
      </c>
      <c r="E1161" s="1">
        <v>25</v>
      </c>
      <c r="F1161" s="1">
        <v>11</v>
      </c>
      <c r="G1161" s="1">
        <v>25</v>
      </c>
      <c r="H1161" s="1">
        <v>150</v>
      </c>
      <c r="I1161" s="1">
        <v>100</v>
      </c>
      <c r="J1161" s="1">
        <v>6.6849999999999996</v>
      </c>
      <c r="K1161" s="1">
        <v>21.657</v>
      </c>
      <c r="L1161" s="1">
        <v>13.37</v>
      </c>
      <c r="M1161" s="1">
        <v>81.7</v>
      </c>
      <c r="N1161" s="1">
        <v>2.3949999999999999E-2</v>
      </c>
      <c r="O1161" s="1">
        <v>1.7919999999999999E-4</v>
      </c>
      <c r="P11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0.23191459694289202</v>
      </c>
      <c r="Q1161" s="1">
        <f>LN(Table13[[#This Row],[qe_mg_g]]-Table13[[#This Row],[qt]])</f>
        <v>1.8645583734945324</v>
      </c>
      <c r="R1161" s="1">
        <v>2</v>
      </c>
    </row>
    <row r="1162" spans="1:18" hidden="1" x14ac:dyDescent="0.3">
      <c r="A1162" s="1">
        <v>1161</v>
      </c>
      <c r="B1162" s="1" t="s">
        <v>18</v>
      </c>
      <c r="C1162" s="1">
        <v>0.5</v>
      </c>
      <c r="D1162" s="1">
        <v>30</v>
      </c>
      <c r="E1162" s="1">
        <v>25</v>
      </c>
      <c r="F1162" s="1">
        <v>11</v>
      </c>
      <c r="G1162" s="1">
        <v>25</v>
      </c>
      <c r="H1162" s="1">
        <v>150</v>
      </c>
      <c r="I1162" s="1">
        <v>100</v>
      </c>
      <c r="J1162" s="1">
        <v>6.8520000000000003</v>
      </c>
      <c r="K1162" s="1">
        <v>21.574000000000002</v>
      </c>
      <c r="L1162" s="1">
        <v>13.7</v>
      </c>
      <c r="M1162" s="1">
        <v>101.9</v>
      </c>
      <c r="N1162" s="1">
        <v>2.9319999999999999E-2</v>
      </c>
      <c r="O1162" s="1">
        <v>2.8469999999999998E-4</v>
      </c>
      <c r="P11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0.37882894922865967</v>
      </c>
      <c r="Q1162" s="1">
        <f>LN(Table13[[#This Row],[qe_mg_g]]-Table13[[#This Row],[qt]])</f>
        <v>1.8676661044840204</v>
      </c>
      <c r="R1162" s="1">
        <v>3</v>
      </c>
    </row>
    <row r="1163" spans="1:18" hidden="1" x14ac:dyDescent="0.3">
      <c r="A1163" s="1">
        <v>1162</v>
      </c>
      <c r="B1163" s="1" t="s">
        <v>18</v>
      </c>
      <c r="C1163" s="1">
        <v>0.5</v>
      </c>
      <c r="D1163" s="1">
        <v>30</v>
      </c>
      <c r="E1163" s="1">
        <v>50</v>
      </c>
      <c r="F1163" s="1">
        <v>3</v>
      </c>
      <c r="G1163" s="1">
        <v>25</v>
      </c>
      <c r="H1163" s="1">
        <v>150</v>
      </c>
      <c r="I1163" s="1">
        <v>100</v>
      </c>
      <c r="J1163" s="1">
        <v>14.795</v>
      </c>
      <c r="K1163" s="1">
        <v>42.601999999999997</v>
      </c>
      <c r="L1163" s="1">
        <v>14.8</v>
      </c>
      <c r="M1163" s="1">
        <v>124.2</v>
      </c>
      <c r="N1163" s="1">
        <v>2.5819999999999999E-2</v>
      </c>
      <c r="O1163" s="1">
        <v>2.4909999999999998E-4</v>
      </c>
      <c r="P11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1.4729286418442695</v>
      </c>
      <c r="Q1163" s="1">
        <f>LN(Table13[[#This Row],[qe_mg_g]]-Table13[[#This Row],[qt]])</f>
        <v>2.5894221603912744</v>
      </c>
      <c r="R1163" s="1">
        <v>1</v>
      </c>
    </row>
    <row r="1164" spans="1:18" hidden="1" x14ac:dyDescent="0.3">
      <c r="A1164" s="1">
        <v>1163</v>
      </c>
      <c r="B1164" s="1" t="s">
        <v>18</v>
      </c>
      <c r="C1164" s="1">
        <v>0.5</v>
      </c>
      <c r="D1164" s="1">
        <v>30</v>
      </c>
      <c r="E1164" s="1">
        <v>50</v>
      </c>
      <c r="F1164" s="1">
        <v>3</v>
      </c>
      <c r="G1164" s="1">
        <v>25</v>
      </c>
      <c r="H1164" s="1">
        <v>150</v>
      </c>
      <c r="I1164" s="1">
        <v>100</v>
      </c>
      <c r="J1164" s="1">
        <v>11.957000000000001</v>
      </c>
      <c r="K1164" s="1">
        <v>44.021999999999998</v>
      </c>
      <c r="L1164" s="1">
        <v>11.96</v>
      </c>
      <c r="M1164" s="1">
        <v>96.6</v>
      </c>
      <c r="N1164" s="1">
        <v>2.9250000000000002E-2</v>
      </c>
      <c r="O1164" s="1">
        <v>2.6570000000000001E-4</v>
      </c>
      <c r="P11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1.0404483204175854</v>
      </c>
      <c r="Q1164" s="1">
        <f>LN(Table13[[#This Row],[qe_mg_g]]-Table13[[#This Row],[qt]])</f>
        <v>2.3902801401896538</v>
      </c>
      <c r="R1164" s="1">
        <v>2</v>
      </c>
    </row>
    <row r="1165" spans="1:18" hidden="1" x14ac:dyDescent="0.3">
      <c r="A1165" s="1">
        <v>1164</v>
      </c>
      <c r="B1165" s="1" t="s">
        <v>18</v>
      </c>
      <c r="C1165" s="1">
        <v>0.5</v>
      </c>
      <c r="D1165" s="1">
        <v>30</v>
      </c>
      <c r="E1165" s="1">
        <v>50</v>
      </c>
      <c r="F1165" s="1">
        <v>3</v>
      </c>
      <c r="G1165" s="1">
        <v>25</v>
      </c>
      <c r="H1165" s="1">
        <v>150</v>
      </c>
      <c r="I1165" s="1">
        <v>100</v>
      </c>
      <c r="J1165" s="1">
        <v>14.05</v>
      </c>
      <c r="K1165" s="1">
        <v>42.975000000000001</v>
      </c>
      <c r="L1165" s="1">
        <v>14.05</v>
      </c>
      <c r="M1165" s="1">
        <v>109.4</v>
      </c>
      <c r="N1165" s="1">
        <v>3.211E-2</v>
      </c>
      <c r="O1165" s="1">
        <v>3.0390000000000001E-4</v>
      </c>
      <c r="P11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1.5953624713936703</v>
      </c>
      <c r="Q1165" s="1">
        <f>LN(Table13[[#This Row],[qe_mg_g]]-Table13[[#This Row],[qt]])</f>
        <v>2.5220930458102351</v>
      </c>
      <c r="R1165" s="1">
        <v>3</v>
      </c>
    </row>
    <row r="1166" spans="1:18" hidden="1" x14ac:dyDescent="0.3">
      <c r="A1166" s="1">
        <v>1165</v>
      </c>
      <c r="B1166" s="1" t="s">
        <v>18</v>
      </c>
      <c r="C1166" s="1">
        <v>0.5</v>
      </c>
      <c r="D1166" s="1">
        <v>30</v>
      </c>
      <c r="E1166" s="1">
        <v>50</v>
      </c>
      <c r="F1166" s="1">
        <v>7</v>
      </c>
      <c r="G1166" s="1">
        <v>25</v>
      </c>
      <c r="H1166" s="1">
        <v>150</v>
      </c>
      <c r="I1166" s="1">
        <v>100</v>
      </c>
      <c r="J1166" s="1">
        <v>22.135999999999999</v>
      </c>
      <c r="K1166" s="1">
        <v>38.932000000000002</v>
      </c>
      <c r="L1166" s="1">
        <v>22.14</v>
      </c>
      <c r="M1166" s="1">
        <v>85.9</v>
      </c>
      <c r="N1166" s="1">
        <v>3.074E-2</v>
      </c>
      <c r="O1166" s="1">
        <v>2.299E-4</v>
      </c>
      <c r="P11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2.9319244662552713</v>
      </c>
      <c r="Q1166" s="1">
        <f>LN(Table13[[#This Row],[qe_mg_g]]-Table13[[#This Row],[qt]])</f>
        <v>2.9551225238907404</v>
      </c>
      <c r="R1166" s="1">
        <v>1</v>
      </c>
    </row>
    <row r="1167" spans="1:18" hidden="1" x14ac:dyDescent="0.3">
      <c r="A1167" s="1">
        <v>1166</v>
      </c>
      <c r="B1167" s="1" t="s">
        <v>18</v>
      </c>
      <c r="C1167" s="1">
        <v>0.5</v>
      </c>
      <c r="D1167" s="1">
        <v>30</v>
      </c>
      <c r="E1167" s="1">
        <v>50</v>
      </c>
      <c r="F1167" s="1">
        <v>7</v>
      </c>
      <c r="G1167" s="1">
        <v>25</v>
      </c>
      <c r="H1167" s="1">
        <v>150</v>
      </c>
      <c r="I1167" s="1">
        <v>100</v>
      </c>
      <c r="J1167" s="1">
        <v>25.821000000000002</v>
      </c>
      <c r="K1167" s="1">
        <v>37.090000000000003</v>
      </c>
      <c r="L1167" s="1">
        <v>25.82</v>
      </c>
      <c r="M1167" s="1">
        <v>95.8</v>
      </c>
      <c r="N1167" s="1">
        <v>2.8299999999999999E-2</v>
      </c>
      <c r="O1167" s="1">
        <v>2.3819999999999999E-4</v>
      </c>
      <c r="P11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4.0222390526822602</v>
      </c>
      <c r="Q1167" s="1">
        <f>LN(Table13[[#This Row],[qe_mg_g]]-Table13[[#This Row],[qt]])</f>
        <v>3.0818531309007415</v>
      </c>
      <c r="R1167" s="1">
        <v>2</v>
      </c>
    </row>
    <row r="1168" spans="1:18" hidden="1" x14ac:dyDescent="0.3">
      <c r="A1168" s="1">
        <v>1167</v>
      </c>
      <c r="B1168" s="1" t="s">
        <v>18</v>
      </c>
      <c r="C1168" s="1">
        <v>0.5</v>
      </c>
      <c r="D1168" s="1">
        <v>30</v>
      </c>
      <c r="E1168" s="1">
        <v>50</v>
      </c>
      <c r="F1168" s="1">
        <v>7</v>
      </c>
      <c r="G1168" s="1">
        <v>25</v>
      </c>
      <c r="H1168" s="1">
        <v>150</v>
      </c>
      <c r="I1168" s="1">
        <v>100</v>
      </c>
      <c r="J1168" s="1">
        <v>24.254999999999999</v>
      </c>
      <c r="K1168" s="1">
        <v>37.872</v>
      </c>
      <c r="L1168" s="1">
        <v>24.26</v>
      </c>
      <c r="M1168" s="1">
        <v>97.6</v>
      </c>
      <c r="N1168" s="1">
        <v>2.8070000000000001E-2</v>
      </c>
      <c r="O1168" s="1">
        <v>2.9159999999999999E-4</v>
      </c>
      <c r="P11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4.2456406850835036</v>
      </c>
      <c r="Q1168" s="1">
        <f>LN(Table13[[#This Row],[qe_mg_g]]-Table13[[#This Row],[qt]])</f>
        <v>2.9962001298379946</v>
      </c>
      <c r="R1168" s="1">
        <v>3</v>
      </c>
    </row>
    <row r="1169" spans="1:18" hidden="1" x14ac:dyDescent="0.3">
      <c r="A1169" s="1">
        <v>1168</v>
      </c>
      <c r="B1169" s="1" t="s">
        <v>18</v>
      </c>
      <c r="C1169" s="1">
        <v>0.5</v>
      </c>
      <c r="D1169" s="1">
        <v>30</v>
      </c>
      <c r="E1169" s="1">
        <v>50</v>
      </c>
      <c r="F1169" s="1">
        <v>11</v>
      </c>
      <c r="G1169" s="1">
        <v>25</v>
      </c>
      <c r="H1169" s="1">
        <v>150</v>
      </c>
      <c r="I1169" s="1">
        <v>100</v>
      </c>
      <c r="J1169" s="1">
        <v>16</v>
      </c>
      <c r="K1169" s="1">
        <v>42</v>
      </c>
      <c r="L1169" s="1">
        <v>16</v>
      </c>
      <c r="M1169" s="1">
        <v>100.5</v>
      </c>
      <c r="N1169" s="1">
        <v>3.1960000000000002E-2</v>
      </c>
      <c r="O1169" s="1">
        <v>2.0919999999999999E-4</v>
      </c>
      <c r="P11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1.4600442014656274</v>
      </c>
      <c r="Q1169" s="1">
        <f>LN(Table13[[#This Row],[qe_mg_g]]-Table13[[#This Row],[qt]])</f>
        <v>2.6769004321099938</v>
      </c>
      <c r="R1169" s="1">
        <v>1</v>
      </c>
    </row>
    <row r="1170" spans="1:18" hidden="1" x14ac:dyDescent="0.3">
      <c r="A1170" s="1">
        <v>1169</v>
      </c>
      <c r="B1170" s="1" t="s">
        <v>18</v>
      </c>
      <c r="C1170" s="1">
        <v>0.5</v>
      </c>
      <c r="D1170" s="1">
        <v>30</v>
      </c>
      <c r="E1170" s="1">
        <v>50</v>
      </c>
      <c r="F1170" s="1">
        <v>11</v>
      </c>
      <c r="G1170" s="1">
        <v>25</v>
      </c>
      <c r="H1170" s="1">
        <v>150</v>
      </c>
      <c r="I1170" s="1">
        <v>100</v>
      </c>
      <c r="J1170" s="1">
        <v>18.085000000000001</v>
      </c>
      <c r="K1170" s="1">
        <v>40.957999999999998</v>
      </c>
      <c r="L1170" s="1">
        <v>18.079999999999998</v>
      </c>
      <c r="M1170" s="1">
        <v>84.2</v>
      </c>
      <c r="N1170" s="1">
        <v>3.2469999999999999E-2</v>
      </c>
      <c r="O1170" s="1">
        <v>2.2589999999999999E-4</v>
      </c>
      <c r="P11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1.9745319144698146</v>
      </c>
      <c r="Q1170" s="1">
        <f>LN(Table13[[#This Row],[qe_mg_g]]-Table13[[#This Row],[qt]])</f>
        <v>2.7794692523552436</v>
      </c>
      <c r="R1170" s="1">
        <v>2</v>
      </c>
    </row>
    <row r="1171" spans="1:18" hidden="1" x14ac:dyDescent="0.3">
      <c r="A1171" s="1">
        <v>1170</v>
      </c>
      <c r="B1171" s="1" t="s">
        <v>18</v>
      </c>
      <c r="C1171" s="1">
        <v>0.5</v>
      </c>
      <c r="D1171" s="1">
        <v>30</v>
      </c>
      <c r="E1171" s="1">
        <v>50</v>
      </c>
      <c r="F1171" s="1">
        <v>11</v>
      </c>
      <c r="G1171" s="1">
        <v>25</v>
      </c>
      <c r="H1171" s="1">
        <v>150</v>
      </c>
      <c r="I1171" s="1">
        <v>100</v>
      </c>
      <c r="J1171" s="1">
        <v>18.416</v>
      </c>
      <c r="K1171" s="1">
        <v>40.792000000000002</v>
      </c>
      <c r="L1171" s="1">
        <v>18.420000000000002</v>
      </c>
      <c r="M1171" s="1">
        <v>116.6</v>
      </c>
      <c r="N1171" s="1">
        <v>3.2579999999999998E-2</v>
      </c>
      <c r="O1171" s="1">
        <v>2.563E-4</v>
      </c>
      <c r="P11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2.2842638982159489</v>
      </c>
      <c r="Q1171" s="1">
        <f>LN(Table13[[#This Row],[qe_mg_g]]-Table13[[#This Row],[qt]])</f>
        <v>2.7807885181979253</v>
      </c>
      <c r="R1171" s="1">
        <v>3</v>
      </c>
    </row>
    <row r="1172" spans="1:18" hidden="1" x14ac:dyDescent="0.3">
      <c r="A1172" s="1">
        <v>1171</v>
      </c>
      <c r="B1172" s="1" t="s">
        <v>18</v>
      </c>
      <c r="C1172" s="1">
        <v>0.5</v>
      </c>
      <c r="D1172" s="1">
        <v>30</v>
      </c>
      <c r="E1172" s="1">
        <v>100</v>
      </c>
      <c r="F1172" s="1">
        <v>3</v>
      </c>
      <c r="G1172" s="1">
        <v>25</v>
      </c>
      <c r="H1172" s="1">
        <v>150</v>
      </c>
      <c r="I1172" s="1">
        <v>100</v>
      </c>
      <c r="J1172" s="1">
        <v>24.989000000000001</v>
      </c>
      <c r="K1172" s="1">
        <v>87.504999999999995</v>
      </c>
      <c r="L1172" s="1">
        <v>12.49</v>
      </c>
      <c r="M1172" s="1">
        <v>91.4</v>
      </c>
      <c r="N1172" s="1">
        <v>3.4410000000000003E-2</v>
      </c>
      <c r="O1172" s="1">
        <v>2.3250000000000001E-4</v>
      </c>
      <c r="P11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3.7090573040099213</v>
      </c>
      <c r="Q1172" s="1">
        <f>LN(Table13[[#This Row],[qe_mg_g]]-Table13[[#This Row],[qt]])</f>
        <v>3.0577649716122091</v>
      </c>
      <c r="R1172" s="1">
        <v>1</v>
      </c>
    </row>
    <row r="1173" spans="1:18" hidden="1" x14ac:dyDescent="0.3">
      <c r="A1173" s="1">
        <v>1172</v>
      </c>
      <c r="B1173" s="1" t="s">
        <v>18</v>
      </c>
      <c r="C1173" s="1">
        <v>0.5</v>
      </c>
      <c r="D1173" s="1">
        <v>30</v>
      </c>
      <c r="E1173" s="1">
        <v>100</v>
      </c>
      <c r="F1173" s="1">
        <v>3</v>
      </c>
      <c r="G1173" s="1">
        <v>25</v>
      </c>
      <c r="H1173" s="1">
        <v>150</v>
      </c>
      <c r="I1173" s="1">
        <v>100</v>
      </c>
      <c r="J1173" s="1">
        <v>23.138999999999999</v>
      </c>
      <c r="K1173" s="1">
        <v>88.430999999999997</v>
      </c>
      <c r="L1173" s="1">
        <v>11.57</v>
      </c>
      <c r="M1173" s="1">
        <v>110</v>
      </c>
      <c r="N1173" s="1">
        <v>2.7609999999999999E-2</v>
      </c>
      <c r="O1173" s="1">
        <v>2.262E-4</v>
      </c>
      <c r="P11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3.1402316800534762</v>
      </c>
      <c r="Q1173" s="1">
        <f>LN(Table13[[#This Row],[qe_mg_g]]-Table13[[#This Row],[qt]])</f>
        <v>2.9956706876549446</v>
      </c>
      <c r="R1173" s="1">
        <v>2</v>
      </c>
    </row>
    <row r="1174" spans="1:18" hidden="1" x14ac:dyDescent="0.3">
      <c r="A1174" s="1">
        <v>1173</v>
      </c>
      <c r="B1174" s="1" t="s">
        <v>18</v>
      </c>
      <c r="C1174" s="1">
        <v>0.5</v>
      </c>
      <c r="D1174" s="1">
        <v>30</v>
      </c>
      <c r="E1174" s="1">
        <v>100</v>
      </c>
      <c r="F1174" s="1">
        <v>3</v>
      </c>
      <c r="G1174" s="1">
        <v>25</v>
      </c>
      <c r="H1174" s="1">
        <v>150</v>
      </c>
      <c r="I1174" s="1">
        <v>100</v>
      </c>
      <c r="J1174" s="1">
        <v>22.204999999999998</v>
      </c>
      <c r="K1174" s="1">
        <v>88.897999999999996</v>
      </c>
      <c r="L1174" s="1">
        <v>11.1</v>
      </c>
      <c r="M1174" s="1">
        <v>92.8</v>
      </c>
      <c r="N1174" s="1">
        <v>2.9749999999999999E-2</v>
      </c>
      <c r="O1174" s="1">
        <v>2.5609999999999999E-4</v>
      </c>
      <c r="P11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3.2361116123541032</v>
      </c>
      <c r="Q1174" s="1">
        <f>LN(Table13[[#This Row],[qe_mg_g]]-Table13[[#This Row],[qt]])</f>
        <v>2.9428001837927451</v>
      </c>
      <c r="R1174" s="1">
        <v>3</v>
      </c>
    </row>
    <row r="1175" spans="1:18" hidden="1" x14ac:dyDescent="0.3">
      <c r="A1175" s="1">
        <v>1174</v>
      </c>
      <c r="B1175" s="1" t="s">
        <v>18</v>
      </c>
      <c r="C1175" s="1">
        <v>0.5</v>
      </c>
      <c r="D1175" s="1">
        <v>30</v>
      </c>
      <c r="E1175" s="1">
        <v>100</v>
      </c>
      <c r="F1175" s="1">
        <v>7</v>
      </c>
      <c r="G1175" s="1">
        <v>25</v>
      </c>
      <c r="H1175" s="1">
        <v>150</v>
      </c>
      <c r="I1175" s="1">
        <v>100</v>
      </c>
      <c r="J1175" s="1">
        <v>44.08</v>
      </c>
      <c r="K1175" s="1">
        <v>77.959999999999994</v>
      </c>
      <c r="L1175" s="1">
        <v>22.04</v>
      </c>
      <c r="M1175" s="1">
        <v>107.9</v>
      </c>
      <c r="N1175" s="1">
        <v>2.9430000000000001E-2</v>
      </c>
      <c r="O1175" s="1">
        <v>2.4499999999999999E-4</v>
      </c>
      <c r="P11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10.786646888038259</v>
      </c>
      <c r="Q1175" s="1">
        <f>LN(Table13[[#This Row],[qe_mg_g]]-Table13[[#This Row],[qt]])</f>
        <v>3.5053577708150243</v>
      </c>
      <c r="R1175" s="1">
        <v>1</v>
      </c>
    </row>
    <row r="1176" spans="1:18" hidden="1" x14ac:dyDescent="0.3">
      <c r="A1176" s="1">
        <v>1175</v>
      </c>
      <c r="B1176" s="1" t="s">
        <v>18</v>
      </c>
      <c r="C1176" s="1">
        <v>0.5</v>
      </c>
      <c r="D1176" s="1">
        <v>30</v>
      </c>
      <c r="E1176" s="1">
        <v>100</v>
      </c>
      <c r="F1176" s="1">
        <v>7</v>
      </c>
      <c r="G1176" s="1">
        <v>25</v>
      </c>
      <c r="H1176" s="1">
        <v>150</v>
      </c>
      <c r="I1176" s="1">
        <v>100</v>
      </c>
      <c r="J1176" s="1">
        <v>42.468000000000004</v>
      </c>
      <c r="K1176" s="1">
        <v>78.766000000000005</v>
      </c>
      <c r="L1176" s="1">
        <v>21.23</v>
      </c>
      <c r="M1176" s="1">
        <v>119.1</v>
      </c>
      <c r="N1176" s="1">
        <v>3.0380000000000001E-2</v>
      </c>
      <c r="O1176" s="1">
        <v>2.3829999999999999E-4</v>
      </c>
      <c r="P11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9.8906155099715551</v>
      </c>
      <c r="Q1176" s="1">
        <f>LN(Table13[[#This Row],[qe_mg_g]]-Table13[[#This Row],[qt]])</f>
        <v>3.4836183203327931</v>
      </c>
      <c r="R1176" s="1">
        <v>2</v>
      </c>
    </row>
    <row r="1177" spans="1:18" hidden="1" x14ac:dyDescent="0.3">
      <c r="A1177" s="1">
        <v>1176</v>
      </c>
      <c r="B1177" s="1" t="s">
        <v>18</v>
      </c>
      <c r="C1177" s="1">
        <v>0.5</v>
      </c>
      <c r="D1177" s="1">
        <v>30</v>
      </c>
      <c r="E1177" s="1">
        <v>100</v>
      </c>
      <c r="F1177" s="1">
        <v>7</v>
      </c>
      <c r="G1177" s="1">
        <v>25</v>
      </c>
      <c r="H1177" s="1">
        <v>150</v>
      </c>
      <c r="I1177" s="1">
        <v>100</v>
      </c>
      <c r="J1177" s="1">
        <v>36.975000000000001</v>
      </c>
      <c r="K1177" s="1">
        <v>81.512</v>
      </c>
      <c r="L1177" s="1">
        <v>18.489999999999998</v>
      </c>
      <c r="M1177" s="1">
        <v>78.3</v>
      </c>
      <c r="N1177" s="1">
        <v>3.2000000000000001E-2</v>
      </c>
      <c r="O1177" s="1">
        <v>2.6439999999999998E-4</v>
      </c>
      <c r="P11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8.3850295085610256</v>
      </c>
      <c r="Q1177" s="1">
        <f>LN(Table13[[#This Row],[qe_mg_g]]-Table13[[#This Row],[qt]])</f>
        <v>3.3530559742049357</v>
      </c>
      <c r="R1177" s="1">
        <v>3</v>
      </c>
    </row>
    <row r="1178" spans="1:18" hidden="1" x14ac:dyDescent="0.3">
      <c r="A1178" s="1">
        <v>1177</v>
      </c>
      <c r="B1178" s="1" t="s">
        <v>18</v>
      </c>
      <c r="C1178" s="1">
        <v>0.5</v>
      </c>
      <c r="D1178" s="1">
        <v>30</v>
      </c>
      <c r="E1178" s="1">
        <v>100</v>
      </c>
      <c r="F1178" s="1">
        <v>11</v>
      </c>
      <c r="G1178" s="1">
        <v>25</v>
      </c>
      <c r="H1178" s="1">
        <v>150</v>
      </c>
      <c r="I1178" s="1">
        <v>100</v>
      </c>
      <c r="J1178" s="1">
        <v>32.936999999999998</v>
      </c>
      <c r="K1178" s="1">
        <v>83.531999999999996</v>
      </c>
      <c r="L1178" s="1">
        <v>16.47</v>
      </c>
      <c r="M1178" s="1">
        <v>98.1</v>
      </c>
      <c r="N1178" s="1">
        <v>3.422E-2</v>
      </c>
      <c r="O1178" s="1">
        <v>2.3790000000000001E-4</v>
      </c>
      <c r="P11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6.2689054860221596</v>
      </c>
      <c r="Q1178" s="1">
        <f>LN(Table13[[#This Row],[qe_mg_g]]-Table13[[#This Row],[qt]])</f>
        <v>3.2834678888464972</v>
      </c>
      <c r="R1178" s="1">
        <v>1</v>
      </c>
    </row>
    <row r="1179" spans="1:18" hidden="1" x14ac:dyDescent="0.3">
      <c r="A1179" s="1">
        <v>1178</v>
      </c>
      <c r="B1179" s="1" t="s">
        <v>18</v>
      </c>
      <c r="C1179" s="1">
        <v>0.5</v>
      </c>
      <c r="D1179" s="1">
        <v>30</v>
      </c>
      <c r="E1179" s="1">
        <v>100</v>
      </c>
      <c r="F1179" s="1">
        <v>11</v>
      </c>
      <c r="G1179" s="1">
        <v>25</v>
      </c>
      <c r="H1179" s="1">
        <v>150</v>
      </c>
      <c r="I1179" s="1">
        <v>100</v>
      </c>
      <c r="J1179" s="1">
        <v>34.000999999999998</v>
      </c>
      <c r="K1179" s="1">
        <v>82.998999999999995</v>
      </c>
      <c r="L1179" s="1">
        <v>17</v>
      </c>
      <c r="M1179" s="1">
        <v>99.4</v>
      </c>
      <c r="N1179" s="1">
        <v>2.8170000000000001E-2</v>
      </c>
      <c r="O1179" s="1">
        <v>2.6479999999999999E-4</v>
      </c>
      <c r="P11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7.2307500841395704</v>
      </c>
      <c r="Q1179" s="1">
        <f>LN(Table13[[#This Row],[qe_mg_g]]-Table13[[#This Row],[qt]])</f>
        <v>3.2872911931577327</v>
      </c>
      <c r="R1179" s="1">
        <v>2</v>
      </c>
    </row>
    <row r="1180" spans="1:18" hidden="1" x14ac:dyDescent="0.3">
      <c r="A1180" s="1">
        <v>1179</v>
      </c>
      <c r="B1180" s="1" t="s">
        <v>18</v>
      </c>
      <c r="C1180" s="1">
        <v>0.5</v>
      </c>
      <c r="D1180" s="1">
        <v>30</v>
      </c>
      <c r="E1180" s="1">
        <v>100</v>
      </c>
      <c r="F1180" s="1">
        <v>11</v>
      </c>
      <c r="G1180" s="1">
        <v>25</v>
      </c>
      <c r="H1180" s="1">
        <v>150</v>
      </c>
      <c r="I1180" s="1">
        <v>100</v>
      </c>
      <c r="J1180" s="1">
        <v>32.463999999999999</v>
      </c>
      <c r="K1180" s="1">
        <v>83.768000000000001</v>
      </c>
      <c r="L1180" s="1">
        <v>16.23</v>
      </c>
      <c r="M1180" s="1">
        <v>105.4</v>
      </c>
      <c r="N1180" s="1">
        <v>3.024E-2</v>
      </c>
      <c r="O1180" s="1">
        <v>2.4909999999999998E-4</v>
      </c>
      <c r="P11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6.3382078776358037</v>
      </c>
      <c r="Q1180" s="1">
        <f>LN(Table13[[#This Row],[qe_mg_g]]-Table13[[#This Row],[qt]])</f>
        <v>3.2629230302985897</v>
      </c>
      <c r="R1180" s="1">
        <v>3</v>
      </c>
    </row>
    <row r="1181" spans="1:18" hidden="1" x14ac:dyDescent="0.3">
      <c r="A1181" s="1">
        <v>1180</v>
      </c>
      <c r="B1181" s="1" t="s">
        <v>18</v>
      </c>
      <c r="C1181" s="1">
        <v>0.5</v>
      </c>
      <c r="D1181" s="1">
        <v>30</v>
      </c>
      <c r="E1181" s="1">
        <v>200</v>
      </c>
      <c r="F1181" s="1">
        <v>3</v>
      </c>
      <c r="G1181" s="1">
        <v>25</v>
      </c>
      <c r="H1181" s="1">
        <v>150</v>
      </c>
      <c r="I1181" s="1">
        <v>100</v>
      </c>
      <c r="J1181" s="1">
        <v>38.573999999999998</v>
      </c>
      <c r="K1181" s="1">
        <v>180.71299999999999</v>
      </c>
      <c r="L1181" s="1">
        <v>9.64</v>
      </c>
      <c r="M1181" s="1">
        <v>117.8</v>
      </c>
      <c r="N1181" s="1">
        <v>3.2169999999999997E-2</v>
      </c>
      <c r="O1181" s="1">
        <v>2.5280000000000002E-4</v>
      </c>
      <c r="P11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8.7305565966243144</v>
      </c>
      <c r="Q1181" s="1">
        <f>LN(Table13[[#This Row],[qe_mg_g]]-Table13[[#This Row],[qt]])</f>
        <v>3.3959651642334907</v>
      </c>
      <c r="R1181" s="1">
        <v>1</v>
      </c>
    </row>
    <row r="1182" spans="1:18" hidden="1" x14ac:dyDescent="0.3">
      <c r="A1182" s="1">
        <v>1181</v>
      </c>
      <c r="B1182" s="1" t="s">
        <v>18</v>
      </c>
      <c r="C1182" s="1">
        <v>0.5</v>
      </c>
      <c r="D1182" s="1">
        <v>30</v>
      </c>
      <c r="E1182" s="1">
        <v>200</v>
      </c>
      <c r="F1182" s="1">
        <v>3</v>
      </c>
      <c r="G1182" s="1">
        <v>25</v>
      </c>
      <c r="H1182" s="1">
        <v>150</v>
      </c>
      <c r="I1182" s="1">
        <v>100</v>
      </c>
      <c r="J1182" s="1">
        <v>34.627000000000002</v>
      </c>
      <c r="K1182" s="1">
        <v>182.68600000000001</v>
      </c>
      <c r="L1182" s="1">
        <v>8.66</v>
      </c>
      <c r="M1182" s="1">
        <v>107.8</v>
      </c>
      <c r="N1182" s="1">
        <v>3.0079999999999999E-2</v>
      </c>
      <c r="O1182" s="1">
        <v>2.4240000000000001E-4</v>
      </c>
      <c r="P11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6.9653996477976188</v>
      </c>
      <c r="Q1182" s="1">
        <f>LN(Table13[[#This Row],[qe_mg_g]]-Table13[[#This Row],[qt]])</f>
        <v>3.3200451825600967</v>
      </c>
      <c r="R1182" s="1">
        <v>2</v>
      </c>
    </row>
    <row r="1183" spans="1:18" hidden="1" x14ac:dyDescent="0.3">
      <c r="A1183" s="1">
        <v>1182</v>
      </c>
      <c r="B1183" s="1" t="s">
        <v>18</v>
      </c>
      <c r="C1183" s="1">
        <v>0.5</v>
      </c>
      <c r="D1183" s="1">
        <v>30</v>
      </c>
      <c r="E1183" s="1">
        <v>200</v>
      </c>
      <c r="F1183" s="1">
        <v>3</v>
      </c>
      <c r="G1183" s="1">
        <v>25</v>
      </c>
      <c r="H1183" s="1">
        <v>150</v>
      </c>
      <c r="I1183" s="1">
        <v>100</v>
      </c>
      <c r="J1183" s="1">
        <v>31.518000000000001</v>
      </c>
      <c r="K1183" s="1">
        <v>184.24100000000001</v>
      </c>
      <c r="L1183" s="1">
        <v>7.88</v>
      </c>
      <c r="M1183" s="1">
        <v>52.4</v>
      </c>
      <c r="N1183" s="1">
        <v>3.0630000000000001E-2</v>
      </c>
      <c r="O1183" s="1">
        <v>2.3780000000000001E-4</v>
      </c>
      <c r="P11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5.7858571821039506</v>
      </c>
      <c r="Q1183" s="1">
        <f>LN(Table13[[#This Row],[qe_mg_g]]-Table13[[#This Row],[qt]])</f>
        <v>3.2477409037391674</v>
      </c>
      <c r="R1183" s="1">
        <v>3</v>
      </c>
    </row>
    <row r="1184" spans="1:18" hidden="1" x14ac:dyDescent="0.3">
      <c r="A1184" s="1">
        <v>1183</v>
      </c>
      <c r="B1184" s="1" t="s">
        <v>18</v>
      </c>
      <c r="C1184" s="1">
        <v>0.5</v>
      </c>
      <c r="D1184" s="1">
        <v>30</v>
      </c>
      <c r="E1184" s="1">
        <v>200</v>
      </c>
      <c r="F1184" s="1">
        <v>7</v>
      </c>
      <c r="G1184" s="1">
        <v>25</v>
      </c>
      <c r="H1184" s="1">
        <v>150</v>
      </c>
      <c r="I1184" s="1">
        <v>100</v>
      </c>
      <c r="J1184" s="1">
        <v>57.223999999999997</v>
      </c>
      <c r="K1184" s="1">
        <v>171.38800000000001</v>
      </c>
      <c r="L1184" s="1">
        <v>14.31</v>
      </c>
      <c r="M1184" s="1">
        <v>100.3</v>
      </c>
      <c r="N1184" s="1">
        <v>2.6429999999999999E-2</v>
      </c>
      <c r="O1184" s="1">
        <v>2.4879999999999998E-4</v>
      </c>
      <c r="P11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17.126459102077877</v>
      </c>
      <c r="Q1184" s="1">
        <f>LN(Table13[[#This Row],[qe_mg_g]]-Table13[[#This Row],[qt]])</f>
        <v>3.6913150081907715</v>
      </c>
      <c r="R1184" s="1">
        <v>1</v>
      </c>
    </row>
    <row r="1185" spans="1:18" hidden="1" x14ac:dyDescent="0.3">
      <c r="A1185" s="1">
        <v>1184</v>
      </c>
      <c r="B1185" s="1" t="s">
        <v>18</v>
      </c>
      <c r="C1185" s="1">
        <v>0.5</v>
      </c>
      <c r="D1185" s="1">
        <v>30</v>
      </c>
      <c r="E1185" s="1">
        <v>200</v>
      </c>
      <c r="F1185" s="1">
        <v>7</v>
      </c>
      <c r="G1185" s="1">
        <v>25</v>
      </c>
      <c r="H1185" s="1">
        <v>150</v>
      </c>
      <c r="I1185" s="1">
        <v>100</v>
      </c>
      <c r="J1185" s="1">
        <v>45.337000000000003</v>
      </c>
      <c r="K1185" s="1">
        <v>177.33099999999999</v>
      </c>
      <c r="L1185" s="1">
        <v>11.33</v>
      </c>
      <c r="M1185" s="1">
        <v>107.1</v>
      </c>
      <c r="N1185" s="1">
        <v>3.0870000000000002E-2</v>
      </c>
      <c r="O1185" s="1">
        <v>2.7389999999999999E-4</v>
      </c>
      <c r="P11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12.30539878726251</v>
      </c>
      <c r="Q1185" s="1">
        <f>LN(Table13[[#This Row],[qe_mg_g]]-Table13[[#This Row],[qt]])</f>
        <v>3.4974647157553269</v>
      </c>
      <c r="R1185" s="1">
        <v>2</v>
      </c>
    </row>
    <row r="1186" spans="1:18" hidden="1" x14ac:dyDescent="0.3">
      <c r="A1186" s="1">
        <v>1185</v>
      </c>
      <c r="B1186" s="1" t="s">
        <v>18</v>
      </c>
      <c r="C1186" s="1">
        <v>0.5</v>
      </c>
      <c r="D1186" s="1">
        <v>30</v>
      </c>
      <c r="E1186" s="1">
        <v>200</v>
      </c>
      <c r="F1186" s="1">
        <v>7</v>
      </c>
      <c r="G1186" s="1">
        <v>25</v>
      </c>
      <c r="H1186" s="1">
        <v>150</v>
      </c>
      <c r="I1186" s="1">
        <v>100</v>
      </c>
      <c r="J1186" s="1">
        <v>46.487000000000002</v>
      </c>
      <c r="K1186" s="1">
        <v>176.756</v>
      </c>
      <c r="L1186" s="1">
        <v>11.62</v>
      </c>
      <c r="M1186" s="1">
        <v>100.5</v>
      </c>
      <c r="N1186" s="1">
        <v>2.5899999999999999E-2</v>
      </c>
      <c r="O1186" s="1">
        <v>2.675E-4</v>
      </c>
      <c r="P11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12.630459289334187</v>
      </c>
      <c r="Q1186" s="1">
        <f>LN(Table13[[#This Row],[qe_mg_g]]-Table13[[#This Row],[qt]])</f>
        <v>3.522132207004621</v>
      </c>
      <c r="R1186" s="1">
        <v>3</v>
      </c>
    </row>
    <row r="1187" spans="1:18" hidden="1" x14ac:dyDescent="0.3">
      <c r="A1187" s="1">
        <v>1186</v>
      </c>
      <c r="B1187" s="1" t="s">
        <v>18</v>
      </c>
      <c r="C1187" s="1">
        <v>0.5</v>
      </c>
      <c r="D1187" s="1">
        <v>30</v>
      </c>
      <c r="E1187" s="1">
        <v>200</v>
      </c>
      <c r="F1187" s="1">
        <v>11</v>
      </c>
      <c r="G1187" s="1">
        <v>25</v>
      </c>
      <c r="H1187" s="1">
        <v>150</v>
      </c>
      <c r="I1187" s="1">
        <v>100</v>
      </c>
      <c r="J1187" s="1">
        <v>40.61</v>
      </c>
      <c r="K1187" s="1">
        <v>179.69499999999999</v>
      </c>
      <c r="L1187" s="1">
        <v>10.15</v>
      </c>
      <c r="M1187" s="1">
        <v>107.4</v>
      </c>
      <c r="N1187" s="1">
        <v>0.03</v>
      </c>
      <c r="O1187" s="1">
        <v>2.6039999999999999E-4</v>
      </c>
      <c r="P11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9.7805110783768043</v>
      </c>
      <c r="Q1187" s="1">
        <f>LN(Table13[[#This Row],[qe_mg_g]]-Table13[[#This Row],[qt]])</f>
        <v>3.4284716644535891</v>
      </c>
      <c r="R1187" s="1">
        <v>1</v>
      </c>
    </row>
    <row r="1188" spans="1:18" hidden="1" x14ac:dyDescent="0.3">
      <c r="A1188" s="1">
        <v>1187</v>
      </c>
      <c r="B1188" s="1" t="s">
        <v>18</v>
      </c>
      <c r="C1188" s="1">
        <v>0.5</v>
      </c>
      <c r="D1188" s="1">
        <v>30</v>
      </c>
      <c r="E1188" s="1">
        <v>200</v>
      </c>
      <c r="F1188" s="1">
        <v>11</v>
      </c>
      <c r="G1188" s="1">
        <v>25</v>
      </c>
      <c r="H1188" s="1">
        <v>150</v>
      </c>
      <c r="I1188" s="1">
        <v>100</v>
      </c>
      <c r="J1188" s="1">
        <v>44.4</v>
      </c>
      <c r="K1188" s="1">
        <v>177.8</v>
      </c>
      <c r="L1188" s="1">
        <v>11.1</v>
      </c>
      <c r="M1188" s="1">
        <v>95.7</v>
      </c>
      <c r="N1188" s="1">
        <v>3.0419999999999999E-2</v>
      </c>
      <c r="O1188" s="1">
        <v>2.2279999999999999E-4</v>
      </c>
      <c r="P11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10.161072745690522</v>
      </c>
      <c r="Q1188" s="1">
        <f>LN(Table13[[#This Row],[qe_mg_g]]-Table13[[#This Row],[qt]])</f>
        <v>3.5333632205931811</v>
      </c>
      <c r="R1188" s="1">
        <v>2</v>
      </c>
    </row>
    <row r="1189" spans="1:18" hidden="1" x14ac:dyDescent="0.3">
      <c r="A1189" s="1">
        <v>1188</v>
      </c>
      <c r="B1189" s="1" t="s">
        <v>18</v>
      </c>
      <c r="C1189" s="1">
        <v>0.5</v>
      </c>
      <c r="D1189" s="1">
        <v>30</v>
      </c>
      <c r="E1189" s="1">
        <v>200</v>
      </c>
      <c r="F1189" s="1">
        <v>11</v>
      </c>
      <c r="G1189" s="1">
        <v>25</v>
      </c>
      <c r="H1189" s="1">
        <v>150</v>
      </c>
      <c r="I1189" s="1">
        <v>100</v>
      </c>
      <c r="J1189" s="1">
        <v>35.765999999999998</v>
      </c>
      <c r="K1189" s="1">
        <v>182.11699999999999</v>
      </c>
      <c r="L1189" s="1">
        <v>8.94</v>
      </c>
      <c r="M1189" s="1">
        <v>101.5</v>
      </c>
      <c r="N1189" s="1">
        <v>3.3309999999999999E-2</v>
      </c>
      <c r="O1189" s="1">
        <v>2.4360000000000001E-4</v>
      </c>
      <c r="P11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7.4112942404744535</v>
      </c>
      <c r="Q1189" s="1">
        <f>LN(Table13[[#This Row],[qe_mg_g]]-Table13[[#This Row],[qt]])</f>
        <v>3.3447930043895977</v>
      </c>
      <c r="R1189" s="1">
        <v>3</v>
      </c>
    </row>
    <row r="1190" spans="1:18" hidden="1" x14ac:dyDescent="0.3">
      <c r="A1190" s="1">
        <v>1189</v>
      </c>
      <c r="B1190" s="1" t="s">
        <v>18</v>
      </c>
      <c r="C1190" s="1">
        <v>0.5</v>
      </c>
      <c r="D1190" s="1">
        <v>60</v>
      </c>
      <c r="E1190" s="1">
        <v>25</v>
      </c>
      <c r="F1190" s="1">
        <v>3</v>
      </c>
      <c r="G1190" s="1">
        <v>25</v>
      </c>
      <c r="H1190" s="1">
        <v>150</v>
      </c>
      <c r="I1190" s="1">
        <v>100</v>
      </c>
      <c r="J1190" s="1">
        <v>8.4610000000000003</v>
      </c>
      <c r="K1190" s="1">
        <v>20.768999999999998</v>
      </c>
      <c r="L1190" s="1">
        <v>16.920000000000002</v>
      </c>
      <c r="M1190" s="1">
        <v>93.9</v>
      </c>
      <c r="N1190" s="1">
        <v>2.8400000000000002E-2</v>
      </c>
      <c r="O1190" s="1">
        <v>2.5740000000000002E-4</v>
      </c>
      <c r="P11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0.97783745181682657</v>
      </c>
      <c r="Q1190" s="1">
        <f>LN(Table13[[#This Row],[qe_mg_g]]-Table13[[#This Row],[qt]])</f>
        <v>2.0126555031906626</v>
      </c>
      <c r="R1190" s="1">
        <v>1</v>
      </c>
    </row>
    <row r="1191" spans="1:18" hidden="1" x14ac:dyDescent="0.3">
      <c r="A1191" s="1">
        <v>1190</v>
      </c>
      <c r="B1191" s="1" t="s">
        <v>18</v>
      </c>
      <c r="C1191" s="1">
        <v>0.5</v>
      </c>
      <c r="D1191" s="1">
        <v>60</v>
      </c>
      <c r="E1191" s="1">
        <v>25</v>
      </c>
      <c r="F1191" s="1">
        <v>3</v>
      </c>
      <c r="G1191" s="1">
        <v>25</v>
      </c>
      <c r="H1191" s="1">
        <v>150</v>
      </c>
      <c r="I1191" s="1">
        <v>100</v>
      </c>
      <c r="J1191" s="1">
        <v>7.48</v>
      </c>
      <c r="K1191" s="1">
        <v>21.26</v>
      </c>
      <c r="L1191" s="1">
        <v>14.96</v>
      </c>
      <c r="M1191" s="1">
        <v>119.2</v>
      </c>
      <c r="N1191" s="1">
        <v>2.8000000000000001E-2</v>
      </c>
      <c r="O1191" s="1">
        <v>2.6800000000000001E-4</v>
      </c>
      <c r="P11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0.80308826091800045</v>
      </c>
      <c r="Q1191" s="1">
        <f>LN(Table13[[#This Row],[qe_mg_g]]-Table13[[#This Row],[qt]])</f>
        <v>1.8986555661395703</v>
      </c>
      <c r="R1191" s="1">
        <v>2</v>
      </c>
    </row>
    <row r="1192" spans="1:18" hidden="1" x14ac:dyDescent="0.3">
      <c r="A1192" s="1">
        <v>1191</v>
      </c>
      <c r="B1192" s="1" t="s">
        <v>18</v>
      </c>
      <c r="C1192" s="1">
        <v>0.5</v>
      </c>
      <c r="D1192" s="1">
        <v>60</v>
      </c>
      <c r="E1192" s="1">
        <v>25</v>
      </c>
      <c r="F1192" s="1">
        <v>3</v>
      </c>
      <c r="G1192" s="1">
        <v>25</v>
      </c>
      <c r="H1192" s="1">
        <v>150</v>
      </c>
      <c r="I1192" s="1">
        <v>100</v>
      </c>
      <c r="J1192" s="1">
        <v>7.657</v>
      </c>
      <c r="K1192" s="1">
        <v>21.172000000000001</v>
      </c>
      <c r="L1192" s="1">
        <v>15.31</v>
      </c>
      <c r="M1192" s="1">
        <v>110</v>
      </c>
      <c r="N1192" s="1">
        <v>3.202E-2</v>
      </c>
      <c r="O1192" s="1">
        <v>2.5960000000000002E-4</v>
      </c>
      <c r="P11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0.81590602793136213</v>
      </c>
      <c r="Q1192" s="1">
        <f>LN(Table13[[#This Row],[qe_mg_g]]-Table13[[#This Row],[qt]])</f>
        <v>1.9229476562827661</v>
      </c>
      <c r="R1192" s="1">
        <v>3</v>
      </c>
    </row>
    <row r="1193" spans="1:18" hidden="1" x14ac:dyDescent="0.3">
      <c r="A1193" s="1">
        <v>1192</v>
      </c>
      <c r="B1193" s="1" t="s">
        <v>18</v>
      </c>
      <c r="C1193" s="1">
        <v>0.5</v>
      </c>
      <c r="D1193" s="1">
        <v>60</v>
      </c>
      <c r="E1193" s="1">
        <v>25</v>
      </c>
      <c r="F1193" s="1">
        <v>7</v>
      </c>
      <c r="G1193" s="1">
        <v>25</v>
      </c>
      <c r="H1193" s="1">
        <v>150</v>
      </c>
      <c r="I1193" s="1">
        <v>100</v>
      </c>
      <c r="J1193" s="1">
        <v>12.717000000000001</v>
      </c>
      <c r="K1193" s="1">
        <v>18.641999999999999</v>
      </c>
      <c r="L1193" s="1">
        <v>25.43</v>
      </c>
      <c r="M1193" s="1">
        <v>103.7</v>
      </c>
      <c r="N1193" s="1">
        <v>2.6450000000000001E-2</v>
      </c>
      <c r="O1193" s="1">
        <v>2.4369999999999999E-4</v>
      </c>
      <c r="P11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1.9939326489865061</v>
      </c>
      <c r="Q1193" s="1">
        <f>LN(Table13[[#This Row],[qe_mg_g]]-Table13[[#This Row],[qt]])</f>
        <v>2.3723972482043409</v>
      </c>
      <c r="R1193" s="1">
        <v>1</v>
      </c>
    </row>
    <row r="1194" spans="1:18" hidden="1" x14ac:dyDescent="0.3">
      <c r="A1194" s="1">
        <v>1193</v>
      </c>
      <c r="B1194" s="1" t="s">
        <v>18</v>
      </c>
      <c r="C1194" s="1">
        <v>0.5</v>
      </c>
      <c r="D1194" s="1">
        <v>60</v>
      </c>
      <c r="E1194" s="1">
        <v>25</v>
      </c>
      <c r="F1194" s="1">
        <v>7</v>
      </c>
      <c r="G1194" s="1">
        <v>25</v>
      </c>
      <c r="H1194" s="1">
        <v>150</v>
      </c>
      <c r="I1194" s="1">
        <v>100</v>
      </c>
      <c r="J1194" s="1">
        <v>15.260999999999999</v>
      </c>
      <c r="K1194" s="1">
        <v>17.37</v>
      </c>
      <c r="L1194" s="1">
        <v>30.52</v>
      </c>
      <c r="M1194" s="1">
        <v>112</v>
      </c>
      <c r="N1194" s="1">
        <v>3.005E-2</v>
      </c>
      <c r="O1194" s="1">
        <v>2.2560000000000001E-4</v>
      </c>
      <c r="P11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2.612779531437444</v>
      </c>
      <c r="Q1194" s="1">
        <f>LN(Table13[[#This Row],[qe_mg_g]]-Table13[[#This Row],[qt]])</f>
        <v>2.5375165308560224</v>
      </c>
      <c r="R1194" s="1">
        <v>2</v>
      </c>
    </row>
    <row r="1195" spans="1:18" hidden="1" x14ac:dyDescent="0.3">
      <c r="A1195" s="1">
        <v>1194</v>
      </c>
      <c r="B1195" s="1" t="s">
        <v>18</v>
      </c>
      <c r="C1195" s="1">
        <v>0.5</v>
      </c>
      <c r="D1195" s="1">
        <v>60</v>
      </c>
      <c r="E1195" s="1">
        <v>25</v>
      </c>
      <c r="F1195" s="1">
        <v>7</v>
      </c>
      <c r="G1195" s="1">
        <v>25</v>
      </c>
      <c r="H1195" s="1">
        <v>150</v>
      </c>
      <c r="I1195" s="1">
        <v>100</v>
      </c>
      <c r="J1195" s="1">
        <v>14.778</v>
      </c>
      <c r="K1195" s="1">
        <v>17.611000000000001</v>
      </c>
      <c r="L1195" s="1">
        <v>29.56</v>
      </c>
      <c r="M1195" s="1">
        <v>100.3</v>
      </c>
      <c r="N1195" s="1">
        <v>2.3040000000000001E-2</v>
      </c>
      <c r="O1195" s="1">
        <v>2.6959999999999999E-4</v>
      </c>
      <c r="P11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2.8511102170002438</v>
      </c>
      <c r="Q1195" s="1">
        <f>LN(Table13[[#This Row],[qe_mg_g]]-Table13[[#This Row],[qt]])</f>
        <v>2.4787954965879377</v>
      </c>
      <c r="R1195" s="1">
        <v>3</v>
      </c>
    </row>
    <row r="1196" spans="1:18" hidden="1" x14ac:dyDescent="0.3">
      <c r="A1196" s="1">
        <v>1195</v>
      </c>
      <c r="B1196" s="1" t="s">
        <v>18</v>
      </c>
      <c r="C1196" s="1">
        <v>0.5</v>
      </c>
      <c r="D1196" s="1">
        <v>60</v>
      </c>
      <c r="E1196" s="1">
        <v>25</v>
      </c>
      <c r="F1196" s="1">
        <v>11</v>
      </c>
      <c r="G1196" s="1">
        <v>25</v>
      </c>
      <c r="H1196" s="1">
        <v>150</v>
      </c>
      <c r="I1196" s="1">
        <v>100</v>
      </c>
      <c r="J1196" s="1">
        <v>10.651999999999999</v>
      </c>
      <c r="K1196" s="1">
        <v>19.673999999999999</v>
      </c>
      <c r="L1196" s="1">
        <v>21.3</v>
      </c>
      <c r="M1196" s="1">
        <v>118</v>
      </c>
      <c r="N1196" s="1">
        <v>2.6710000000000001E-2</v>
      </c>
      <c r="O1196" s="1">
        <v>1.706E-4</v>
      </c>
      <c r="P11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1.0472437622211777</v>
      </c>
      <c r="Q1196" s="1">
        <f>LN(Table13[[#This Row],[qe_mg_g]]-Table13[[#This Row],[qt]])</f>
        <v>2.262258417218499</v>
      </c>
      <c r="R1196" s="1">
        <v>1</v>
      </c>
    </row>
    <row r="1197" spans="1:18" hidden="1" x14ac:dyDescent="0.3">
      <c r="A1197" s="1">
        <v>1196</v>
      </c>
      <c r="B1197" s="1" t="s">
        <v>18</v>
      </c>
      <c r="C1197" s="1">
        <v>0.5</v>
      </c>
      <c r="D1197" s="1">
        <v>60</v>
      </c>
      <c r="E1197" s="1">
        <v>25</v>
      </c>
      <c r="F1197" s="1">
        <v>11</v>
      </c>
      <c r="G1197" s="1">
        <v>25</v>
      </c>
      <c r="H1197" s="1">
        <v>150</v>
      </c>
      <c r="I1197" s="1">
        <v>100</v>
      </c>
      <c r="J1197" s="1">
        <v>10.943</v>
      </c>
      <c r="K1197" s="1">
        <v>19.527999999999999</v>
      </c>
      <c r="L1197" s="1">
        <v>21.89</v>
      </c>
      <c r="M1197" s="1">
        <v>104.4</v>
      </c>
      <c r="N1197" s="1">
        <v>2.4930000000000001E-2</v>
      </c>
      <c r="O1197" s="1">
        <v>2.2550000000000001E-4</v>
      </c>
      <c r="P11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1.4112581629813576</v>
      </c>
      <c r="Q1197" s="1">
        <f>LN(Table13[[#This Row],[qe_mg_g]]-Table13[[#This Row],[qt]])</f>
        <v>2.2546274750487658</v>
      </c>
      <c r="R1197" s="1">
        <v>2</v>
      </c>
    </row>
    <row r="1198" spans="1:18" hidden="1" x14ac:dyDescent="0.3">
      <c r="A1198" s="1">
        <v>1197</v>
      </c>
      <c r="B1198" s="1" t="s">
        <v>18</v>
      </c>
      <c r="C1198" s="1">
        <v>0.5</v>
      </c>
      <c r="D1198" s="1">
        <v>60</v>
      </c>
      <c r="E1198" s="1">
        <v>25</v>
      </c>
      <c r="F1198" s="1">
        <v>11</v>
      </c>
      <c r="G1198" s="1">
        <v>25</v>
      </c>
      <c r="H1198" s="1">
        <v>150</v>
      </c>
      <c r="I1198" s="1">
        <v>100</v>
      </c>
      <c r="J1198" s="1">
        <v>13.321999999999999</v>
      </c>
      <c r="K1198" s="1">
        <v>18.338999999999999</v>
      </c>
      <c r="L1198" s="1">
        <v>26.64</v>
      </c>
      <c r="M1198" s="1">
        <v>95.4</v>
      </c>
      <c r="N1198" s="1">
        <v>3.2190000000000003E-2</v>
      </c>
      <c r="O1198" s="1">
        <v>2.3369999999999999E-4</v>
      </c>
      <c r="P11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2.0968670104854734</v>
      </c>
      <c r="Q1198" s="1">
        <f>LN(Table13[[#This Row],[qe_mg_g]]-Table13[[#This Row],[qt]])</f>
        <v>2.418155281176356</v>
      </c>
      <c r="R1198" s="1">
        <v>3</v>
      </c>
    </row>
    <row r="1199" spans="1:18" hidden="1" x14ac:dyDescent="0.3">
      <c r="A1199" s="1">
        <v>1198</v>
      </c>
      <c r="B1199" s="1" t="s">
        <v>18</v>
      </c>
      <c r="C1199" s="1">
        <v>0.5</v>
      </c>
      <c r="D1199" s="1">
        <v>60</v>
      </c>
      <c r="E1199" s="1">
        <v>50</v>
      </c>
      <c r="F1199" s="1">
        <v>3</v>
      </c>
      <c r="G1199" s="1">
        <v>25</v>
      </c>
      <c r="H1199" s="1">
        <v>150</v>
      </c>
      <c r="I1199" s="1">
        <v>100</v>
      </c>
      <c r="J1199" s="1">
        <v>17.809999999999999</v>
      </c>
      <c r="K1199" s="1">
        <v>41.094999999999999</v>
      </c>
      <c r="L1199" s="1">
        <v>17.809999999999999</v>
      </c>
      <c r="M1199" s="1">
        <v>97.4</v>
      </c>
      <c r="N1199" s="1">
        <v>2.92E-2</v>
      </c>
      <c r="O1199" s="1">
        <v>2.4000000000000001E-4</v>
      </c>
      <c r="P11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3.6353002075666301</v>
      </c>
      <c r="Q1199" s="1">
        <f>LN(Table13[[#This Row],[qe_mg_g]]-Table13[[#This Row],[qt]])</f>
        <v>2.6514586707252321</v>
      </c>
      <c r="R1199" s="1">
        <v>1</v>
      </c>
    </row>
    <row r="1200" spans="1:18" hidden="1" x14ac:dyDescent="0.3">
      <c r="A1200" s="1">
        <v>1199</v>
      </c>
      <c r="B1200" s="1" t="s">
        <v>18</v>
      </c>
      <c r="C1200" s="1">
        <v>0.5</v>
      </c>
      <c r="D1200" s="1">
        <v>60</v>
      </c>
      <c r="E1200" s="1">
        <v>50</v>
      </c>
      <c r="F1200" s="1">
        <v>3</v>
      </c>
      <c r="G1200" s="1">
        <v>25</v>
      </c>
      <c r="H1200" s="1">
        <v>150</v>
      </c>
      <c r="I1200" s="1">
        <v>100</v>
      </c>
      <c r="J1200" s="1">
        <v>21.710999999999999</v>
      </c>
      <c r="K1200" s="1">
        <v>39.145000000000003</v>
      </c>
      <c r="L1200" s="1">
        <v>21.71</v>
      </c>
      <c r="M1200" s="1">
        <v>104</v>
      </c>
      <c r="N1200" s="1">
        <v>2.955E-2</v>
      </c>
      <c r="O1200" s="1">
        <v>2.184E-4</v>
      </c>
      <c r="P12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4.8087158082960499</v>
      </c>
      <c r="Q1200" s="1">
        <f>LN(Table13[[#This Row],[qe_mg_g]]-Table13[[#This Row],[qt]])</f>
        <v>2.8274487720682591</v>
      </c>
      <c r="R1200" s="1">
        <v>2</v>
      </c>
    </row>
    <row r="1201" spans="1:18" hidden="1" x14ac:dyDescent="0.3">
      <c r="A1201" s="1">
        <v>1200</v>
      </c>
      <c r="B1201" s="1" t="s">
        <v>18</v>
      </c>
      <c r="C1201" s="1">
        <v>0.5</v>
      </c>
      <c r="D1201" s="1">
        <v>60</v>
      </c>
      <c r="E1201" s="1">
        <v>50</v>
      </c>
      <c r="F1201" s="1">
        <v>3</v>
      </c>
      <c r="G1201" s="1">
        <v>25</v>
      </c>
      <c r="H1201" s="1">
        <v>150</v>
      </c>
      <c r="I1201" s="1">
        <v>100</v>
      </c>
      <c r="J1201" s="1">
        <v>22.896999999999998</v>
      </c>
      <c r="K1201" s="1">
        <v>38.551000000000002</v>
      </c>
      <c r="L1201" s="1">
        <v>22.9</v>
      </c>
      <c r="M1201" s="1">
        <v>70.8</v>
      </c>
      <c r="N1201" s="1">
        <v>2.385E-2</v>
      </c>
      <c r="O1201" s="1">
        <v>2.6850000000000002E-4</v>
      </c>
      <c r="P12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6.1700728316357303</v>
      </c>
      <c r="Q1201" s="1">
        <f>LN(Table13[[#This Row],[qe_mg_g]]-Table13[[#This Row],[qt]])</f>
        <v>2.8170198261842216</v>
      </c>
      <c r="R1201" s="1">
        <v>3</v>
      </c>
    </row>
    <row r="1202" spans="1:18" hidden="1" x14ac:dyDescent="0.3">
      <c r="A1202" s="1">
        <v>1201</v>
      </c>
      <c r="B1202" s="1" t="s">
        <v>18</v>
      </c>
      <c r="C1202" s="1">
        <v>0.5</v>
      </c>
      <c r="D1202" s="1">
        <v>60</v>
      </c>
      <c r="E1202" s="1">
        <v>50</v>
      </c>
      <c r="F1202" s="1">
        <v>7</v>
      </c>
      <c r="G1202" s="1">
        <v>25</v>
      </c>
      <c r="H1202" s="1">
        <v>150</v>
      </c>
      <c r="I1202" s="1">
        <v>100</v>
      </c>
      <c r="J1202" s="1">
        <v>35.643999999999998</v>
      </c>
      <c r="K1202" s="1">
        <v>32.177999999999997</v>
      </c>
      <c r="L1202" s="1">
        <v>35.64</v>
      </c>
      <c r="M1202" s="1">
        <v>99.1</v>
      </c>
      <c r="N1202" s="1">
        <v>2.581E-2</v>
      </c>
      <c r="O1202" s="1">
        <v>2.3230000000000001E-4</v>
      </c>
      <c r="P12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11.830627869318262</v>
      </c>
      <c r="Q1202" s="1">
        <f>LN(Table13[[#This Row],[qe_mg_g]]-Table13[[#This Row],[qt]])</f>
        <v>3.1702472771267631</v>
      </c>
      <c r="R1202" s="1">
        <v>1</v>
      </c>
    </row>
    <row r="1203" spans="1:18" hidden="1" x14ac:dyDescent="0.3">
      <c r="A1203" s="1">
        <v>1202</v>
      </c>
      <c r="B1203" s="1" t="s">
        <v>18</v>
      </c>
      <c r="C1203" s="1">
        <v>0.5</v>
      </c>
      <c r="D1203" s="1">
        <v>60</v>
      </c>
      <c r="E1203" s="1">
        <v>50</v>
      </c>
      <c r="F1203" s="1">
        <v>7</v>
      </c>
      <c r="G1203" s="1">
        <v>25</v>
      </c>
      <c r="H1203" s="1">
        <v>150</v>
      </c>
      <c r="I1203" s="1">
        <v>100</v>
      </c>
      <c r="J1203" s="1">
        <v>33.281999999999996</v>
      </c>
      <c r="K1203" s="1">
        <v>33.359000000000002</v>
      </c>
      <c r="L1203" s="1">
        <v>33.28</v>
      </c>
      <c r="M1203" s="1">
        <v>76.099999999999994</v>
      </c>
      <c r="N1203" s="1">
        <v>2.7779999999999999E-2</v>
      </c>
      <c r="O1203" s="1">
        <v>2.6630000000000002E-4</v>
      </c>
      <c r="P12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11.554333864886674</v>
      </c>
      <c r="Q1203" s="1">
        <f>LN(Table13[[#This Row],[qe_mg_g]]-Table13[[#This Row],[qt]])</f>
        <v>3.0785863856062319</v>
      </c>
      <c r="R1203" s="1">
        <v>2</v>
      </c>
    </row>
    <row r="1204" spans="1:18" hidden="1" x14ac:dyDescent="0.3">
      <c r="A1204" s="1">
        <v>1203</v>
      </c>
      <c r="B1204" s="1" t="s">
        <v>18</v>
      </c>
      <c r="C1204" s="1">
        <v>0.5</v>
      </c>
      <c r="D1204" s="1">
        <v>60</v>
      </c>
      <c r="E1204" s="1">
        <v>50</v>
      </c>
      <c r="F1204" s="1">
        <v>7</v>
      </c>
      <c r="G1204" s="1">
        <v>25</v>
      </c>
      <c r="H1204" s="1">
        <v>150</v>
      </c>
      <c r="I1204" s="1">
        <v>100</v>
      </c>
      <c r="J1204" s="1">
        <v>38.466999999999999</v>
      </c>
      <c r="K1204" s="1">
        <v>30.765999999999998</v>
      </c>
      <c r="L1204" s="1">
        <v>38.47</v>
      </c>
      <c r="M1204" s="1">
        <v>93.7</v>
      </c>
      <c r="N1204" s="1">
        <v>3.227E-2</v>
      </c>
      <c r="O1204" s="1">
        <v>2.0210000000000001E-4</v>
      </c>
      <c r="P12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12.235639971908448</v>
      </c>
      <c r="Q1204" s="1">
        <f>LN(Table13[[#This Row],[qe_mg_g]]-Table13[[#This Row],[qt]])</f>
        <v>3.2669556426334134</v>
      </c>
      <c r="R1204" s="1">
        <v>3</v>
      </c>
    </row>
    <row r="1205" spans="1:18" hidden="1" x14ac:dyDescent="0.3">
      <c r="A1205" s="1">
        <v>1204</v>
      </c>
      <c r="B1205" s="1" t="s">
        <v>18</v>
      </c>
      <c r="C1205" s="1">
        <v>0.5</v>
      </c>
      <c r="D1205" s="1">
        <v>60</v>
      </c>
      <c r="E1205" s="1">
        <v>50</v>
      </c>
      <c r="F1205" s="1">
        <v>11</v>
      </c>
      <c r="G1205" s="1">
        <v>25</v>
      </c>
      <c r="H1205" s="1">
        <v>150</v>
      </c>
      <c r="I1205" s="1">
        <v>100</v>
      </c>
      <c r="J1205" s="1">
        <v>28.222999999999999</v>
      </c>
      <c r="K1205" s="1">
        <v>35.887999999999998</v>
      </c>
      <c r="L1205" s="1">
        <v>28.22</v>
      </c>
      <c r="M1205" s="1">
        <v>87.9</v>
      </c>
      <c r="N1205" s="1">
        <v>3.092E-2</v>
      </c>
      <c r="O1205" s="1">
        <v>2.4379999999999999E-4</v>
      </c>
      <c r="P12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8.2470089004347287</v>
      </c>
      <c r="Q1205" s="1">
        <f>LN(Table13[[#This Row],[qe_mg_g]]-Table13[[#This Row],[qt]])</f>
        <v>2.9945311074209688</v>
      </c>
      <c r="R1205" s="1">
        <v>1</v>
      </c>
    </row>
    <row r="1206" spans="1:18" hidden="1" x14ac:dyDescent="0.3">
      <c r="A1206" s="1">
        <v>1205</v>
      </c>
      <c r="B1206" s="1" t="s">
        <v>18</v>
      </c>
      <c r="C1206" s="1">
        <v>0.5</v>
      </c>
      <c r="D1206" s="1">
        <v>60</v>
      </c>
      <c r="E1206" s="1">
        <v>50</v>
      </c>
      <c r="F1206" s="1">
        <v>11</v>
      </c>
      <c r="G1206" s="1">
        <v>25</v>
      </c>
      <c r="H1206" s="1">
        <v>150</v>
      </c>
      <c r="I1206" s="1">
        <v>100</v>
      </c>
      <c r="J1206" s="1">
        <v>29.808</v>
      </c>
      <c r="K1206" s="1">
        <v>35.095999999999997</v>
      </c>
      <c r="L1206" s="1">
        <v>29.81</v>
      </c>
      <c r="M1206" s="1">
        <v>86.9</v>
      </c>
      <c r="N1206" s="1">
        <v>3.1879999999999999E-2</v>
      </c>
      <c r="O1206" s="1">
        <v>2.43E-4</v>
      </c>
      <c r="P12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9.0300920799254616</v>
      </c>
      <c r="Q1206" s="1">
        <f>LN(Table13[[#This Row],[qe_mg_g]]-Table13[[#This Row],[qt]])</f>
        <v>3.0338903030317508</v>
      </c>
      <c r="R1206" s="1">
        <v>2</v>
      </c>
    </row>
    <row r="1207" spans="1:18" hidden="1" x14ac:dyDescent="0.3">
      <c r="A1207" s="1">
        <v>1206</v>
      </c>
      <c r="B1207" s="1" t="s">
        <v>18</v>
      </c>
      <c r="C1207" s="1">
        <v>0.5</v>
      </c>
      <c r="D1207" s="1">
        <v>60</v>
      </c>
      <c r="E1207" s="1">
        <v>50</v>
      </c>
      <c r="F1207" s="1">
        <v>11</v>
      </c>
      <c r="G1207" s="1">
        <v>25</v>
      </c>
      <c r="H1207" s="1">
        <v>150</v>
      </c>
      <c r="I1207" s="1">
        <v>100</v>
      </c>
      <c r="J1207" s="1">
        <v>26.262</v>
      </c>
      <c r="K1207" s="1">
        <v>36.869</v>
      </c>
      <c r="L1207" s="1">
        <v>26.26</v>
      </c>
      <c r="M1207" s="1">
        <v>97.2</v>
      </c>
      <c r="N1207" s="1">
        <v>2.7459999999999998E-2</v>
      </c>
      <c r="O1207" s="1">
        <v>2.496E-4</v>
      </c>
      <c r="P12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7.4132198173769517</v>
      </c>
      <c r="Q1207" s="1">
        <f>LN(Table13[[#This Row],[qe_mg_g]]-Table13[[#This Row],[qt]])</f>
        <v>2.9364482000029355</v>
      </c>
      <c r="R1207" s="1">
        <v>3</v>
      </c>
    </row>
    <row r="1208" spans="1:18" hidden="1" x14ac:dyDescent="0.3">
      <c r="A1208" s="1">
        <v>1207</v>
      </c>
      <c r="B1208" s="1" t="s">
        <v>18</v>
      </c>
      <c r="C1208" s="1">
        <v>0.5</v>
      </c>
      <c r="D1208" s="1">
        <v>60</v>
      </c>
      <c r="E1208" s="1">
        <v>100</v>
      </c>
      <c r="F1208" s="1">
        <v>3</v>
      </c>
      <c r="G1208" s="1">
        <v>25</v>
      </c>
      <c r="H1208" s="1">
        <v>150</v>
      </c>
      <c r="I1208" s="1">
        <v>100</v>
      </c>
      <c r="J1208" s="1">
        <v>37.534999999999997</v>
      </c>
      <c r="K1208" s="1">
        <v>81.231999999999999</v>
      </c>
      <c r="L1208" s="1">
        <v>18.77</v>
      </c>
      <c r="M1208" s="1">
        <v>103.6</v>
      </c>
      <c r="N1208" s="1">
        <v>3.0249999999999999E-2</v>
      </c>
      <c r="O1208" s="1">
        <v>2.699E-4</v>
      </c>
      <c r="P12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14.190041414242627</v>
      </c>
      <c r="Q1208" s="1">
        <f>LN(Table13[[#This Row],[qe_mg_g]]-Table13[[#This Row],[qt]])</f>
        <v>3.1503810544122186</v>
      </c>
      <c r="R1208" s="1">
        <v>1</v>
      </c>
    </row>
    <row r="1209" spans="1:18" hidden="1" x14ac:dyDescent="0.3">
      <c r="A1209" s="1">
        <v>1208</v>
      </c>
      <c r="B1209" s="1" t="s">
        <v>18</v>
      </c>
      <c r="C1209" s="1">
        <v>0.5</v>
      </c>
      <c r="D1209" s="1">
        <v>60</v>
      </c>
      <c r="E1209" s="1">
        <v>100</v>
      </c>
      <c r="F1209" s="1">
        <v>3</v>
      </c>
      <c r="G1209" s="1">
        <v>25</v>
      </c>
      <c r="H1209" s="1">
        <v>150</v>
      </c>
      <c r="I1209" s="1">
        <v>100</v>
      </c>
      <c r="J1209" s="1">
        <v>40.886000000000003</v>
      </c>
      <c r="K1209" s="1">
        <v>79.557000000000002</v>
      </c>
      <c r="L1209" s="1">
        <v>20.440000000000001</v>
      </c>
      <c r="M1209" s="1">
        <v>84.2</v>
      </c>
      <c r="N1209" s="1">
        <v>3.261E-2</v>
      </c>
      <c r="O1209" s="1">
        <v>2.2029999999999999E-4</v>
      </c>
      <c r="P12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14.344080191974928</v>
      </c>
      <c r="Q1209" s="1">
        <f>LN(Table13[[#This Row],[qe_mg_g]]-Table13[[#This Row],[qt]])</f>
        <v>3.2787253626867452</v>
      </c>
      <c r="R1209" s="1">
        <v>2</v>
      </c>
    </row>
    <row r="1210" spans="1:18" hidden="1" x14ac:dyDescent="0.3">
      <c r="A1210" s="1">
        <v>1209</v>
      </c>
      <c r="B1210" s="1" t="s">
        <v>18</v>
      </c>
      <c r="C1210" s="1">
        <v>0.5</v>
      </c>
      <c r="D1210" s="1">
        <v>60</v>
      </c>
      <c r="E1210" s="1">
        <v>100</v>
      </c>
      <c r="F1210" s="1">
        <v>3</v>
      </c>
      <c r="G1210" s="1">
        <v>25</v>
      </c>
      <c r="H1210" s="1">
        <v>150</v>
      </c>
      <c r="I1210" s="1">
        <v>100</v>
      </c>
      <c r="J1210" s="1">
        <v>39.744999999999997</v>
      </c>
      <c r="K1210" s="1">
        <v>80.126999999999995</v>
      </c>
      <c r="L1210" s="1">
        <v>19.87</v>
      </c>
      <c r="M1210" s="1">
        <v>109.3</v>
      </c>
      <c r="N1210" s="1">
        <v>2.427E-2</v>
      </c>
      <c r="O1210" s="1">
        <v>2.5230000000000001E-4</v>
      </c>
      <c r="P12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14.930117493832848</v>
      </c>
      <c r="Q1210" s="1">
        <f>LN(Table13[[#This Row],[qe_mg_g]]-Table13[[#This Row],[qt]])</f>
        <v>3.2114435742374292</v>
      </c>
      <c r="R1210" s="1">
        <v>3</v>
      </c>
    </row>
    <row r="1211" spans="1:18" hidden="1" x14ac:dyDescent="0.3">
      <c r="A1211" s="1">
        <v>1210</v>
      </c>
      <c r="B1211" s="1" t="s">
        <v>18</v>
      </c>
      <c r="C1211" s="1">
        <v>0.5</v>
      </c>
      <c r="D1211" s="1">
        <v>60</v>
      </c>
      <c r="E1211" s="1">
        <v>100</v>
      </c>
      <c r="F1211" s="1">
        <v>7</v>
      </c>
      <c r="G1211" s="1">
        <v>25</v>
      </c>
      <c r="H1211" s="1">
        <v>150</v>
      </c>
      <c r="I1211" s="1">
        <v>100</v>
      </c>
      <c r="J1211" s="1">
        <v>54.768999999999998</v>
      </c>
      <c r="K1211" s="1">
        <v>72.614999999999995</v>
      </c>
      <c r="L1211" s="1">
        <v>27.38</v>
      </c>
      <c r="M1211" s="1">
        <v>88.6</v>
      </c>
      <c r="N1211" s="1">
        <v>3.4049999999999997E-2</v>
      </c>
      <c r="O1211" s="1">
        <v>2.3369999999999999E-4</v>
      </c>
      <c r="P12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23.790549256049466</v>
      </c>
      <c r="Q1211" s="1">
        <f>LN(Table13[[#This Row],[qe_mg_g]]-Table13[[#This Row],[qt]])</f>
        <v>3.4332918254732752</v>
      </c>
      <c r="R1211" s="1">
        <v>1</v>
      </c>
    </row>
    <row r="1212" spans="1:18" hidden="1" x14ac:dyDescent="0.3">
      <c r="A1212" s="1">
        <v>1211</v>
      </c>
      <c r="B1212" s="1" t="s">
        <v>18</v>
      </c>
      <c r="C1212" s="1">
        <v>0.5</v>
      </c>
      <c r="D1212" s="1">
        <v>60</v>
      </c>
      <c r="E1212" s="1">
        <v>100</v>
      </c>
      <c r="F1212" s="1">
        <v>7</v>
      </c>
      <c r="G1212" s="1">
        <v>25</v>
      </c>
      <c r="H1212" s="1">
        <v>150</v>
      </c>
      <c r="I1212" s="1">
        <v>100</v>
      </c>
      <c r="J1212" s="1">
        <v>53.030999999999999</v>
      </c>
      <c r="K1212" s="1">
        <v>73.484999999999999</v>
      </c>
      <c r="L1212" s="1">
        <v>26.52</v>
      </c>
      <c r="M1212" s="1">
        <v>101.1</v>
      </c>
      <c r="N1212" s="1">
        <v>3.2059999999999998E-2</v>
      </c>
      <c r="O1212" s="1">
        <v>2.4649999999999997E-4</v>
      </c>
      <c r="P12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23.310575595410679</v>
      </c>
      <c r="Q1212" s="1">
        <f>LN(Table13[[#This Row],[qe_mg_g]]-Table13[[#This Row],[qt]])</f>
        <v>3.3918344998481813</v>
      </c>
      <c r="R1212" s="1">
        <v>2</v>
      </c>
    </row>
    <row r="1213" spans="1:18" hidden="1" x14ac:dyDescent="0.3">
      <c r="A1213" s="1">
        <v>1212</v>
      </c>
      <c r="B1213" s="1" t="s">
        <v>18</v>
      </c>
      <c r="C1213" s="1">
        <v>0.5</v>
      </c>
      <c r="D1213" s="1">
        <v>60</v>
      </c>
      <c r="E1213" s="1">
        <v>100</v>
      </c>
      <c r="F1213" s="1">
        <v>7</v>
      </c>
      <c r="G1213" s="1">
        <v>25</v>
      </c>
      <c r="H1213" s="1">
        <v>150</v>
      </c>
      <c r="I1213" s="1">
        <v>100</v>
      </c>
      <c r="J1213" s="1">
        <v>63.183</v>
      </c>
      <c r="K1213" s="1">
        <v>68.409000000000006</v>
      </c>
      <c r="L1213" s="1">
        <v>31.59</v>
      </c>
      <c r="M1213" s="1">
        <v>108</v>
      </c>
      <c r="N1213" s="1">
        <v>2.3470000000000001E-2</v>
      </c>
      <c r="O1213" s="1">
        <v>2.3680000000000001E-4</v>
      </c>
      <c r="P12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29.888556889190497</v>
      </c>
      <c r="Q1213" s="1">
        <f>LN(Table13[[#This Row],[qe_mg_g]]-Table13[[#This Row],[qt]])</f>
        <v>3.505390509512194</v>
      </c>
      <c r="R1213" s="1">
        <v>3</v>
      </c>
    </row>
    <row r="1214" spans="1:18" hidden="1" x14ac:dyDescent="0.3">
      <c r="A1214" s="1">
        <v>1213</v>
      </c>
      <c r="B1214" s="1" t="s">
        <v>18</v>
      </c>
      <c r="C1214" s="1">
        <v>0.5</v>
      </c>
      <c r="D1214" s="1">
        <v>60</v>
      </c>
      <c r="E1214" s="1">
        <v>100</v>
      </c>
      <c r="F1214" s="1">
        <v>11</v>
      </c>
      <c r="G1214" s="1">
        <v>25</v>
      </c>
      <c r="H1214" s="1">
        <v>150</v>
      </c>
      <c r="I1214" s="1">
        <v>100</v>
      </c>
      <c r="J1214" s="1">
        <v>43.045000000000002</v>
      </c>
      <c r="K1214" s="1">
        <v>78.477999999999994</v>
      </c>
      <c r="L1214" s="1">
        <v>21.52</v>
      </c>
      <c r="M1214" s="1">
        <v>107.2</v>
      </c>
      <c r="N1214" s="1">
        <v>2.213E-2</v>
      </c>
      <c r="O1214" s="1">
        <v>3.1369999999999998E-4</v>
      </c>
      <c r="P12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19.265767488443316</v>
      </c>
      <c r="Q1214" s="1">
        <f>LN(Table13[[#This Row],[qe_mg_g]]-Table13[[#This Row],[qt]])</f>
        <v>3.1688126162067589</v>
      </c>
      <c r="R1214" s="1">
        <v>1</v>
      </c>
    </row>
    <row r="1215" spans="1:18" hidden="1" x14ac:dyDescent="0.3">
      <c r="A1215" s="1">
        <v>1214</v>
      </c>
      <c r="B1215" s="1" t="s">
        <v>18</v>
      </c>
      <c r="C1215" s="1">
        <v>0.5</v>
      </c>
      <c r="D1215" s="1">
        <v>60</v>
      </c>
      <c r="E1215" s="1">
        <v>100</v>
      </c>
      <c r="F1215" s="1">
        <v>11</v>
      </c>
      <c r="G1215" s="1">
        <v>25</v>
      </c>
      <c r="H1215" s="1">
        <v>150</v>
      </c>
      <c r="I1215" s="1">
        <v>100</v>
      </c>
      <c r="J1215" s="1">
        <v>47.503999999999998</v>
      </c>
      <c r="K1215" s="1">
        <v>76.248000000000005</v>
      </c>
      <c r="L1215" s="1">
        <v>23.75</v>
      </c>
      <c r="M1215" s="1">
        <v>102.2</v>
      </c>
      <c r="N1215" s="1">
        <v>3.354E-2</v>
      </c>
      <c r="O1215" s="1">
        <v>3.0860000000000002E-4</v>
      </c>
      <c r="P12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22.230323280851138</v>
      </c>
      <c r="Q1215" s="1">
        <f>LN(Table13[[#This Row],[qe_mg_g]]-Table13[[#This Row],[qt]])</f>
        <v>3.2297634082104816</v>
      </c>
      <c r="R1215" s="1">
        <v>2</v>
      </c>
    </row>
    <row r="1216" spans="1:18" hidden="1" x14ac:dyDescent="0.3">
      <c r="A1216" s="1">
        <v>1215</v>
      </c>
      <c r="B1216" s="1" t="s">
        <v>18</v>
      </c>
      <c r="C1216" s="1">
        <v>0.5</v>
      </c>
      <c r="D1216" s="1">
        <v>60</v>
      </c>
      <c r="E1216" s="1">
        <v>100</v>
      </c>
      <c r="F1216" s="1">
        <v>11</v>
      </c>
      <c r="G1216" s="1">
        <v>25</v>
      </c>
      <c r="H1216" s="1">
        <v>150</v>
      </c>
      <c r="I1216" s="1">
        <v>100</v>
      </c>
      <c r="J1216" s="1">
        <v>48.89</v>
      </c>
      <c r="K1216" s="1">
        <v>75.555000000000007</v>
      </c>
      <c r="L1216" s="1">
        <v>24.44</v>
      </c>
      <c r="M1216" s="1">
        <v>114.2</v>
      </c>
      <c r="N1216" s="1">
        <v>3.039E-2</v>
      </c>
      <c r="O1216" s="1">
        <v>2.4649999999999997E-4</v>
      </c>
      <c r="P12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20.516440999856592</v>
      </c>
      <c r="Q1216" s="1">
        <f>LN(Table13[[#This Row],[qe_mg_g]]-Table13[[#This Row],[qt]])</f>
        <v>3.3454576903760938</v>
      </c>
      <c r="R1216" s="1">
        <v>3</v>
      </c>
    </row>
    <row r="1217" spans="1:18" hidden="1" x14ac:dyDescent="0.3">
      <c r="A1217" s="1">
        <v>1216</v>
      </c>
      <c r="B1217" s="1" t="s">
        <v>18</v>
      </c>
      <c r="C1217" s="1">
        <v>0.5</v>
      </c>
      <c r="D1217" s="1">
        <v>60</v>
      </c>
      <c r="E1217" s="1">
        <v>200</v>
      </c>
      <c r="F1217" s="1">
        <v>3</v>
      </c>
      <c r="G1217" s="1">
        <v>25</v>
      </c>
      <c r="H1217" s="1">
        <v>150</v>
      </c>
      <c r="I1217" s="1">
        <v>100</v>
      </c>
      <c r="J1217" s="1">
        <v>43.94</v>
      </c>
      <c r="K1217" s="1">
        <v>178.03</v>
      </c>
      <c r="L1217" s="1">
        <v>10.99</v>
      </c>
      <c r="M1217" s="1">
        <v>87.6</v>
      </c>
      <c r="N1217" s="1">
        <v>2.794E-2</v>
      </c>
      <c r="O1217" s="1">
        <v>2.162E-4</v>
      </c>
      <c r="P12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15.952554885074148</v>
      </c>
      <c r="Q1217" s="1">
        <f>LN(Table13[[#This Row],[qe_mg_g]]-Table13[[#This Row],[qt]])</f>
        <v>3.3317560208662589</v>
      </c>
      <c r="R1217" s="1">
        <v>1</v>
      </c>
    </row>
    <row r="1218" spans="1:18" hidden="1" x14ac:dyDescent="0.3">
      <c r="A1218" s="1">
        <v>1217</v>
      </c>
      <c r="B1218" s="1" t="s">
        <v>18</v>
      </c>
      <c r="C1218" s="1">
        <v>0.5</v>
      </c>
      <c r="D1218" s="1">
        <v>60</v>
      </c>
      <c r="E1218" s="1">
        <v>200</v>
      </c>
      <c r="F1218" s="1">
        <v>3</v>
      </c>
      <c r="G1218" s="1">
        <v>25</v>
      </c>
      <c r="H1218" s="1">
        <v>150</v>
      </c>
      <c r="I1218" s="1">
        <v>100</v>
      </c>
      <c r="J1218" s="1">
        <v>45.593000000000004</v>
      </c>
      <c r="K1218" s="1">
        <v>177.20400000000001</v>
      </c>
      <c r="L1218" s="1">
        <v>11.4</v>
      </c>
      <c r="M1218" s="1">
        <v>74.7</v>
      </c>
      <c r="N1218" s="1">
        <v>3.057E-2</v>
      </c>
      <c r="O1218" s="1">
        <v>2.4909999999999998E-4</v>
      </c>
      <c r="P12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18.477438097419071</v>
      </c>
      <c r="Q1218" s="1">
        <f>LN(Table13[[#This Row],[qe_mg_g]]-Table13[[#This Row],[qt]])</f>
        <v>3.3001078030206239</v>
      </c>
      <c r="R1218" s="1">
        <v>2</v>
      </c>
    </row>
    <row r="1219" spans="1:18" hidden="1" x14ac:dyDescent="0.3">
      <c r="A1219" s="1">
        <v>1218</v>
      </c>
      <c r="B1219" s="1" t="s">
        <v>18</v>
      </c>
      <c r="C1219" s="1">
        <v>0.5</v>
      </c>
      <c r="D1219" s="1">
        <v>60</v>
      </c>
      <c r="E1219" s="1">
        <v>200</v>
      </c>
      <c r="F1219" s="1">
        <v>3</v>
      </c>
      <c r="G1219" s="1">
        <v>25</v>
      </c>
      <c r="H1219" s="1">
        <v>150</v>
      </c>
      <c r="I1219" s="1">
        <v>100</v>
      </c>
      <c r="J1219" s="1">
        <v>46.512999999999998</v>
      </c>
      <c r="K1219" s="1">
        <v>176.74299999999999</v>
      </c>
      <c r="L1219" s="1">
        <v>11.63</v>
      </c>
      <c r="M1219" s="1">
        <v>92.2</v>
      </c>
      <c r="N1219" s="1">
        <v>3.9230000000000001E-2</v>
      </c>
      <c r="O1219" s="1">
        <v>2.8400000000000002E-4</v>
      </c>
      <c r="P12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20.565505015225188</v>
      </c>
      <c r="Q1219" s="1">
        <f>LN(Table13[[#This Row],[qe_mg_g]]-Table13[[#This Row],[qt]])</f>
        <v>3.2560750725737275</v>
      </c>
      <c r="R1219" s="1">
        <v>3</v>
      </c>
    </row>
    <row r="1220" spans="1:18" hidden="1" x14ac:dyDescent="0.3">
      <c r="A1220" s="1">
        <v>1219</v>
      </c>
      <c r="B1220" s="1" t="s">
        <v>18</v>
      </c>
      <c r="C1220" s="1">
        <v>0.5</v>
      </c>
      <c r="D1220" s="1">
        <v>60</v>
      </c>
      <c r="E1220" s="1">
        <v>200</v>
      </c>
      <c r="F1220" s="1">
        <v>7</v>
      </c>
      <c r="G1220" s="1">
        <v>25</v>
      </c>
      <c r="H1220" s="1">
        <v>150</v>
      </c>
      <c r="I1220" s="1">
        <v>100</v>
      </c>
      <c r="J1220" s="1">
        <v>61.170999999999999</v>
      </c>
      <c r="K1220" s="1">
        <v>169.41399999999999</v>
      </c>
      <c r="L1220" s="1">
        <v>15.29</v>
      </c>
      <c r="M1220" s="1">
        <v>103.5</v>
      </c>
      <c r="N1220" s="1">
        <v>2.818E-2</v>
      </c>
      <c r="O1220" s="1">
        <v>2.2460000000000001E-4</v>
      </c>
      <c r="P12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27.640525021688987</v>
      </c>
      <c r="Q1220" s="1">
        <f>LN(Table13[[#This Row],[qe_mg_g]]-Table13[[#This Row],[qt]])</f>
        <v>3.5124547261490835</v>
      </c>
      <c r="R1220" s="1">
        <v>1</v>
      </c>
    </row>
    <row r="1221" spans="1:18" hidden="1" x14ac:dyDescent="0.3">
      <c r="A1221" s="1">
        <v>1220</v>
      </c>
      <c r="B1221" s="1" t="s">
        <v>18</v>
      </c>
      <c r="C1221" s="1">
        <v>0.5</v>
      </c>
      <c r="D1221" s="1">
        <v>60</v>
      </c>
      <c r="E1221" s="1">
        <v>200</v>
      </c>
      <c r="F1221" s="1">
        <v>7</v>
      </c>
      <c r="G1221" s="1">
        <v>25</v>
      </c>
      <c r="H1221" s="1">
        <v>150</v>
      </c>
      <c r="I1221" s="1">
        <v>100</v>
      </c>
      <c r="J1221" s="1">
        <v>60.579000000000001</v>
      </c>
      <c r="K1221" s="1">
        <v>169.71100000000001</v>
      </c>
      <c r="L1221" s="1">
        <v>15.14</v>
      </c>
      <c r="M1221" s="1">
        <v>106.5</v>
      </c>
      <c r="N1221" s="1">
        <v>2.7959999999999999E-2</v>
      </c>
      <c r="O1221" s="1">
        <v>2.742E-4</v>
      </c>
      <c r="P12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30.238614744229832</v>
      </c>
      <c r="Q1221" s="1">
        <f>LN(Table13[[#This Row],[qe_mg_g]]-Table13[[#This Row],[qt]])</f>
        <v>3.4124796717886858</v>
      </c>
      <c r="R1221" s="1">
        <v>2</v>
      </c>
    </row>
    <row r="1222" spans="1:18" hidden="1" x14ac:dyDescent="0.3">
      <c r="A1222" s="1">
        <v>1221</v>
      </c>
      <c r="B1222" s="1" t="s">
        <v>18</v>
      </c>
      <c r="C1222" s="1">
        <v>0.5</v>
      </c>
      <c r="D1222" s="1">
        <v>60</v>
      </c>
      <c r="E1222" s="1">
        <v>200</v>
      </c>
      <c r="F1222" s="1">
        <v>7</v>
      </c>
      <c r="G1222" s="1">
        <v>25</v>
      </c>
      <c r="H1222" s="1">
        <v>150</v>
      </c>
      <c r="I1222" s="1">
        <v>100</v>
      </c>
      <c r="J1222" s="1">
        <v>75.048000000000002</v>
      </c>
      <c r="K1222" s="1">
        <v>162.476</v>
      </c>
      <c r="L1222" s="1">
        <v>18.760000000000002</v>
      </c>
      <c r="M1222" s="1">
        <v>120.6</v>
      </c>
      <c r="N1222" s="1">
        <v>2.7439999999999999E-2</v>
      </c>
      <c r="O1222" s="1">
        <v>2.6190000000000002E-4</v>
      </c>
      <c r="P12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40.611321760881673</v>
      </c>
      <c r="Q1222" s="1">
        <f>LN(Table13[[#This Row],[qe_mg_g]]-Table13[[#This Row],[qt]])</f>
        <v>3.5391222242434734</v>
      </c>
      <c r="R1222" s="1">
        <v>3</v>
      </c>
    </row>
    <row r="1223" spans="1:18" hidden="1" x14ac:dyDescent="0.3">
      <c r="A1223" s="1">
        <v>1222</v>
      </c>
      <c r="B1223" s="1" t="s">
        <v>18</v>
      </c>
      <c r="C1223" s="1">
        <v>0.5</v>
      </c>
      <c r="D1223" s="1">
        <v>60</v>
      </c>
      <c r="E1223" s="1">
        <v>200</v>
      </c>
      <c r="F1223" s="1">
        <v>11</v>
      </c>
      <c r="G1223" s="1">
        <v>25</v>
      </c>
      <c r="H1223" s="1">
        <v>150</v>
      </c>
      <c r="I1223" s="1">
        <v>100</v>
      </c>
      <c r="J1223" s="1">
        <v>58.033000000000001</v>
      </c>
      <c r="K1223" s="1">
        <v>170.98400000000001</v>
      </c>
      <c r="L1223" s="1">
        <v>14.51</v>
      </c>
      <c r="M1223" s="1">
        <v>92.9</v>
      </c>
      <c r="N1223" s="1">
        <v>2.768E-2</v>
      </c>
      <c r="O1223" s="1">
        <v>2.9020000000000001E-4</v>
      </c>
      <c r="P12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29.167618872088195</v>
      </c>
      <c r="Q1223" s="1">
        <f>LN(Table13[[#This Row],[qe_mg_g]]-Table13[[#This Row],[qt]])</f>
        <v>3.3626429922335155</v>
      </c>
      <c r="R1223" s="1">
        <v>1</v>
      </c>
    </row>
    <row r="1224" spans="1:18" hidden="1" x14ac:dyDescent="0.3">
      <c r="A1224" s="1">
        <v>1223</v>
      </c>
      <c r="B1224" s="1" t="s">
        <v>18</v>
      </c>
      <c r="C1224" s="1">
        <v>0.5</v>
      </c>
      <c r="D1224" s="1">
        <v>60</v>
      </c>
      <c r="E1224" s="1">
        <v>200</v>
      </c>
      <c r="F1224" s="1">
        <v>11</v>
      </c>
      <c r="G1224" s="1">
        <v>25</v>
      </c>
      <c r="H1224" s="1">
        <v>150</v>
      </c>
      <c r="I1224" s="1">
        <v>100</v>
      </c>
      <c r="J1224" s="1">
        <v>56.030999999999999</v>
      </c>
      <c r="K1224" s="1">
        <v>171.98400000000001</v>
      </c>
      <c r="L1224" s="1">
        <v>14.01</v>
      </c>
      <c r="M1224" s="1">
        <v>109.5</v>
      </c>
      <c r="N1224" s="1">
        <v>2.7529999999999999E-2</v>
      </c>
      <c r="O1224" s="1">
        <v>2.195E-4</v>
      </c>
      <c r="P12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23.790889192665006</v>
      </c>
      <c r="Q1224" s="1">
        <f>LN(Table13[[#This Row],[qe_mg_g]]-Table13[[#This Row],[qt]])</f>
        <v>3.4732113545845991</v>
      </c>
      <c r="R1224" s="1">
        <v>2</v>
      </c>
    </row>
    <row r="1225" spans="1:18" hidden="1" x14ac:dyDescent="0.3">
      <c r="A1225" s="1">
        <v>1224</v>
      </c>
      <c r="B1225" s="1" t="s">
        <v>18</v>
      </c>
      <c r="C1225" s="1">
        <v>0.5</v>
      </c>
      <c r="D1225" s="1">
        <v>60</v>
      </c>
      <c r="E1225" s="1">
        <v>200</v>
      </c>
      <c r="F1225" s="1">
        <v>11</v>
      </c>
      <c r="G1225" s="1">
        <v>25</v>
      </c>
      <c r="H1225" s="1">
        <v>150</v>
      </c>
      <c r="I1225" s="1">
        <v>100</v>
      </c>
      <c r="J1225" s="1">
        <v>52.093000000000004</v>
      </c>
      <c r="K1225" s="1">
        <v>173.953</v>
      </c>
      <c r="L1225" s="1">
        <v>13.02</v>
      </c>
      <c r="M1225" s="1">
        <v>98.1</v>
      </c>
      <c r="N1225" s="1">
        <v>2.681E-2</v>
      </c>
      <c r="O1225" s="1">
        <v>2.498E-4</v>
      </c>
      <c r="P12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22.839922177846084</v>
      </c>
      <c r="Q1225" s="1">
        <f>LN(Table13[[#This Row],[qe_mg_g]]-Table13[[#This Row],[qt]])</f>
        <v>3.3759847928311593</v>
      </c>
      <c r="R1225" s="1">
        <v>3</v>
      </c>
    </row>
    <row r="1226" spans="1:18" hidden="1" x14ac:dyDescent="0.3">
      <c r="A1226" s="1">
        <v>1225</v>
      </c>
      <c r="B1226" s="1" t="s">
        <v>18</v>
      </c>
      <c r="C1226" s="1">
        <v>0.5</v>
      </c>
      <c r="D1226" s="1">
        <v>120</v>
      </c>
      <c r="E1226" s="1">
        <v>25</v>
      </c>
      <c r="F1226" s="1">
        <v>3</v>
      </c>
      <c r="G1226" s="1">
        <v>25</v>
      </c>
      <c r="H1226" s="1">
        <v>150</v>
      </c>
      <c r="I1226" s="1">
        <v>100</v>
      </c>
      <c r="J1226" s="1">
        <v>11.269</v>
      </c>
      <c r="K1226" s="1">
        <v>19.364999999999998</v>
      </c>
      <c r="L1226" s="1">
        <v>22.54</v>
      </c>
      <c r="M1226" s="1">
        <v>83.2</v>
      </c>
      <c r="N1226" s="1">
        <v>3.2009999999999997E-2</v>
      </c>
      <c r="O1226" s="1">
        <v>2.6509999999999999E-4</v>
      </c>
      <c r="P12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2.973756939779439</v>
      </c>
      <c r="Q1226" s="1">
        <f>LN(Table13[[#This Row],[qe_mg_g]]-Table13[[#This Row],[qt]])</f>
        <v>2.1156822252288516</v>
      </c>
      <c r="R1226" s="1">
        <v>1</v>
      </c>
    </row>
    <row r="1227" spans="1:18" hidden="1" x14ac:dyDescent="0.3">
      <c r="A1227" s="1">
        <v>1226</v>
      </c>
      <c r="B1227" s="1" t="s">
        <v>18</v>
      </c>
      <c r="C1227" s="1">
        <v>0.5</v>
      </c>
      <c r="D1227" s="1">
        <v>120</v>
      </c>
      <c r="E1227" s="1">
        <v>25</v>
      </c>
      <c r="F1227" s="1">
        <v>3</v>
      </c>
      <c r="G1227" s="1">
        <v>25</v>
      </c>
      <c r="H1227" s="1">
        <v>150</v>
      </c>
      <c r="I1227" s="1">
        <v>100</v>
      </c>
      <c r="J1227" s="1">
        <v>12.82</v>
      </c>
      <c r="K1227" s="1">
        <v>18.59</v>
      </c>
      <c r="L1227" s="1">
        <v>25.64</v>
      </c>
      <c r="M1227" s="1">
        <v>84.7</v>
      </c>
      <c r="N1227" s="1">
        <v>2.6919999999999999E-2</v>
      </c>
      <c r="O1227" s="1">
        <v>2.407E-4</v>
      </c>
      <c r="P12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3.4643358298701807</v>
      </c>
      <c r="Q1227" s="1">
        <f>LN(Table13[[#This Row],[qe_mg_g]]-Table13[[#This Row],[qt]])</f>
        <v>2.235981953478499</v>
      </c>
      <c r="R1227" s="1">
        <v>2</v>
      </c>
    </row>
    <row r="1228" spans="1:18" hidden="1" x14ac:dyDescent="0.3">
      <c r="A1228" s="1">
        <v>1227</v>
      </c>
      <c r="B1228" s="1" t="s">
        <v>18</v>
      </c>
      <c r="C1228" s="1">
        <v>0.5</v>
      </c>
      <c r="D1228" s="1">
        <v>120</v>
      </c>
      <c r="E1228" s="1">
        <v>25</v>
      </c>
      <c r="F1228" s="1">
        <v>3</v>
      </c>
      <c r="G1228" s="1">
        <v>25</v>
      </c>
      <c r="H1228" s="1">
        <v>150</v>
      </c>
      <c r="I1228" s="1">
        <v>100</v>
      </c>
      <c r="J1228" s="1">
        <v>14.06</v>
      </c>
      <c r="K1228" s="1">
        <v>17.97</v>
      </c>
      <c r="L1228" s="1">
        <v>28.12</v>
      </c>
      <c r="M1228" s="1">
        <v>113.9</v>
      </c>
      <c r="N1228" s="1">
        <v>2.8510000000000001E-2</v>
      </c>
      <c r="O1228" s="1">
        <v>2.2120000000000001E-4</v>
      </c>
      <c r="P12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3.8212062796225927</v>
      </c>
      <c r="Q1228" s="1">
        <f>LN(Table13[[#This Row],[qe_mg_g]]-Table13[[#This Row],[qt]])</f>
        <v>2.3261838119279155</v>
      </c>
      <c r="R1228" s="1">
        <v>3</v>
      </c>
    </row>
    <row r="1229" spans="1:18" hidden="1" x14ac:dyDescent="0.3">
      <c r="A1229" s="1">
        <v>1228</v>
      </c>
      <c r="B1229" s="1" t="s">
        <v>18</v>
      </c>
      <c r="C1229" s="1">
        <v>0.5</v>
      </c>
      <c r="D1229" s="1">
        <v>120</v>
      </c>
      <c r="E1229" s="1">
        <v>25</v>
      </c>
      <c r="F1229" s="1">
        <v>7</v>
      </c>
      <c r="G1229" s="1">
        <v>25</v>
      </c>
      <c r="H1229" s="1">
        <v>150</v>
      </c>
      <c r="I1229" s="1">
        <v>100</v>
      </c>
      <c r="J1229" s="1">
        <v>20.96</v>
      </c>
      <c r="K1229" s="1">
        <v>14.52</v>
      </c>
      <c r="L1229" s="1">
        <v>41.92</v>
      </c>
      <c r="M1229" s="1">
        <v>87.6</v>
      </c>
      <c r="N1229" s="1">
        <v>2.845E-2</v>
      </c>
      <c r="O1229" s="1">
        <v>2.831E-4</v>
      </c>
      <c r="P12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8.7173892099796539</v>
      </c>
      <c r="Q1229" s="1">
        <f>LN(Table13[[#This Row],[qe_mg_g]]-Table13[[#This Row],[qt]])</f>
        <v>2.5049225541772673</v>
      </c>
      <c r="R1229" s="1">
        <v>1</v>
      </c>
    </row>
    <row r="1230" spans="1:18" hidden="1" x14ac:dyDescent="0.3">
      <c r="A1230" s="1">
        <v>1229</v>
      </c>
      <c r="B1230" s="1" t="s">
        <v>18</v>
      </c>
      <c r="C1230" s="1">
        <v>0.5</v>
      </c>
      <c r="D1230" s="1">
        <v>120</v>
      </c>
      <c r="E1230" s="1">
        <v>25</v>
      </c>
      <c r="F1230" s="1">
        <v>7</v>
      </c>
      <c r="G1230" s="1">
        <v>25</v>
      </c>
      <c r="H1230" s="1">
        <v>150</v>
      </c>
      <c r="I1230" s="1">
        <v>100</v>
      </c>
      <c r="J1230" s="1">
        <v>21.991</v>
      </c>
      <c r="K1230" s="1">
        <v>14.005000000000001</v>
      </c>
      <c r="L1230" s="1">
        <v>43.98</v>
      </c>
      <c r="M1230" s="1">
        <v>102.4</v>
      </c>
      <c r="N1230" s="1">
        <v>2.6179999999999998E-2</v>
      </c>
      <c r="O1230" s="1">
        <v>2.5530000000000003E-4</v>
      </c>
      <c r="P12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8.851974995979548</v>
      </c>
      <c r="Q1230" s="1">
        <f>LN(Table13[[#This Row],[qe_mg_g]]-Table13[[#This Row],[qt]])</f>
        <v>2.5755868096961918</v>
      </c>
      <c r="R1230" s="1">
        <v>2</v>
      </c>
    </row>
    <row r="1231" spans="1:18" hidden="1" x14ac:dyDescent="0.3">
      <c r="A1231" s="1">
        <v>1230</v>
      </c>
      <c r="B1231" s="1" t="s">
        <v>18</v>
      </c>
      <c r="C1231" s="1">
        <v>0.5</v>
      </c>
      <c r="D1231" s="1">
        <v>120</v>
      </c>
      <c r="E1231" s="1">
        <v>25</v>
      </c>
      <c r="F1231" s="1">
        <v>7</v>
      </c>
      <c r="G1231" s="1">
        <v>25</v>
      </c>
      <c r="H1231" s="1">
        <v>150</v>
      </c>
      <c r="I1231" s="1">
        <v>100</v>
      </c>
      <c r="J1231" s="1">
        <v>22.425000000000001</v>
      </c>
      <c r="K1231" s="1">
        <v>13.788</v>
      </c>
      <c r="L1231" s="1">
        <v>44.85</v>
      </c>
      <c r="M1231" s="1">
        <v>94.4</v>
      </c>
      <c r="N1231" s="1">
        <v>3.4049999999999997E-2</v>
      </c>
      <c r="O1231" s="1">
        <v>2.8229999999999998E-4</v>
      </c>
      <c r="P12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9.6811281827216042</v>
      </c>
      <c r="Q1231" s="1">
        <f>LN(Table13[[#This Row],[qe_mg_g]]-Table13[[#This Row],[qt]])</f>
        <v>2.5450505142770616</v>
      </c>
      <c r="R1231" s="1">
        <v>3</v>
      </c>
    </row>
    <row r="1232" spans="1:18" hidden="1" x14ac:dyDescent="0.3">
      <c r="A1232" s="1">
        <v>1231</v>
      </c>
      <c r="B1232" s="1" t="s">
        <v>18</v>
      </c>
      <c r="C1232" s="1">
        <v>0.5</v>
      </c>
      <c r="D1232" s="1">
        <v>120</v>
      </c>
      <c r="E1232" s="1">
        <v>25</v>
      </c>
      <c r="F1232" s="1">
        <v>11</v>
      </c>
      <c r="G1232" s="1">
        <v>25</v>
      </c>
      <c r="H1232" s="1">
        <v>150</v>
      </c>
      <c r="I1232" s="1">
        <v>100</v>
      </c>
      <c r="J1232" s="1">
        <v>18.484000000000002</v>
      </c>
      <c r="K1232" s="1">
        <v>15.757999999999999</v>
      </c>
      <c r="L1232" s="1">
        <v>36.97</v>
      </c>
      <c r="M1232" s="1">
        <v>104.6</v>
      </c>
      <c r="N1232" s="1">
        <v>3.1759999999999997E-2</v>
      </c>
      <c r="O1232" s="1">
        <v>2.854E-4</v>
      </c>
      <c r="P12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7.1652327696814231</v>
      </c>
      <c r="Q1232" s="1">
        <f>LN(Table13[[#This Row],[qe_mg_g]]-Table13[[#This Row],[qt]])</f>
        <v>2.4264621649294726</v>
      </c>
      <c r="R1232" s="1">
        <v>1</v>
      </c>
    </row>
    <row r="1233" spans="1:18" hidden="1" x14ac:dyDescent="0.3">
      <c r="A1233" s="1">
        <v>1232</v>
      </c>
      <c r="B1233" s="1" t="s">
        <v>18</v>
      </c>
      <c r="C1233" s="1">
        <v>0.5</v>
      </c>
      <c r="D1233" s="1">
        <v>120</v>
      </c>
      <c r="E1233" s="1">
        <v>25</v>
      </c>
      <c r="F1233" s="1">
        <v>11</v>
      </c>
      <c r="G1233" s="1">
        <v>25</v>
      </c>
      <c r="H1233" s="1">
        <v>150</v>
      </c>
      <c r="I1233" s="1">
        <v>100</v>
      </c>
      <c r="J1233" s="1">
        <v>16.724</v>
      </c>
      <c r="K1233" s="1">
        <v>16.638000000000002</v>
      </c>
      <c r="L1233" s="1">
        <v>33.450000000000003</v>
      </c>
      <c r="M1233" s="1">
        <v>92.5</v>
      </c>
      <c r="N1233" s="1">
        <v>2.8649999999999998E-2</v>
      </c>
      <c r="O1233" s="1">
        <v>2.5599999999999999E-4</v>
      </c>
      <c r="P12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5.6760228711359302</v>
      </c>
      <c r="Q1233" s="1">
        <f>LN(Table13[[#This Row],[qe_mg_g]]-Table13[[#This Row],[qt]])</f>
        <v>2.4022473459441014</v>
      </c>
      <c r="R1233" s="1">
        <v>2</v>
      </c>
    </row>
    <row r="1234" spans="1:18" hidden="1" x14ac:dyDescent="0.3">
      <c r="A1234" s="1">
        <v>1233</v>
      </c>
      <c r="B1234" s="1" t="s">
        <v>18</v>
      </c>
      <c r="C1234" s="1">
        <v>0.5</v>
      </c>
      <c r="D1234" s="1">
        <v>120</v>
      </c>
      <c r="E1234" s="1">
        <v>25</v>
      </c>
      <c r="F1234" s="1">
        <v>11</v>
      </c>
      <c r="G1234" s="1">
        <v>25</v>
      </c>
      <c r="H1234" s="1">
        <v>150</v>
      </c>
      <c r="I1234" s="1">
        <v>100</v>
      </c>
      <c r="J1234" s="1">
        <v>14.209</v>
      </c>
      <c r="K1234" s="1">
        <v>17.895</v>
      </c>
      <c r="L1234" s="1">
        <v>28.42</v>
      </c>
      <c r="M1234" s="1">
        <v>97.9</v>
      </c>
      <c r="N1234" s="1">
        <v>3.329E-2</v>
      </c>
      <c r="O1234" s="1">
        <v>1.952E-4</v>
      </c>
      <c r="P12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3.5482384833704304</v>
      </c>
      <c r="Q1234" s="1">
        <f>LN(Table13[[#This Row],[qe_mg_g]]-Table13[[#This Row],[qt]])</f>
        <v>2.3665698530182517</v>
      </c>
      <c r="R1234" s="1">
        <v>3</v>
      </c>
    </row>
    <row r="1235" spans="1:18" hidden="1" x14ac:dyDescent="0.3">
      <c r="A1235" s="1">
        <v>1234</v>
      </c>
      <c r="B1235" s="1" t="s">
        <v>18</v>
      </c>
      <c r="C1235" s="1">
        <v>0.5</v>
      </c>
      <c r="D1235" s="1">
        <v>120</v>
      </c>
      <c r="E1235" s="1">
        <v>50</v>
      </c>
      <c r="F1235" s="1">
        <v>3</v>
      </c>
      <c r="G1235" s="1">
        <v>25</v>
      </c>
      <c r="H1235" s="1">
        <v>150</v>
      </c>
      <c r="I1235" s="1">
        <v>100</v>
      </c>
      <c r="J1235" s="1">
        <v>34.863999999999997</v>
      </c>
      <c r="K1235" s="1">
        <v>32.567999999999998</v>
      </c>
      <c r="L1235" s="1">
        <v>34.86</v>
      </c>
      <c r="M1235" s="1">
        <v>116.8</v>
      </c>
      <c r="N1235" s="1">
        <v>2.862E-2</v>
      </c>
      <c r="O1235" s="1">
        <v>2.6360000000000001E-4</v>
      </c>
      <c r="P12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18.284343936481186</v>
      </c>
      <c r="Q1235" s="1">
        <f>LN(Table13[[#This Row],[qe_mg_g]]-Table13[[#This Row],[qt]])</f>
        <v>2.8081764054340153</v>
      </c>
      <c r="R1235" s="1">
        <v>1</v>
      </c>
    </row>
    <row r="1236" spans="1:18" hidden="1" x14ac:dyDescent="0.3">
      <c r="A1236" s="1">
        <v>1235</v>
      </c>
      <c r="B1236" s="1" t="s">
        <v>18</v>
      </c>
      <c r="C1236" s="1">
        <v>0.5</v>
      </c>
      <c r="D1236" s="1">
        <v>120</v>
      </c>
      <c r="E1236" s="1">
        <v>50</v>
      </c>
      <c r="F1236" s="1">
        <v>3</v>
      </c>
      <c r="G1236" s="1">
        <v>25</v>
      </c>
      <c r="H1236" s="1">
        <v>150</v>
      </c>
      <c r="I1236" s="1">
        <v>100</v>
      </c>
      <c r="J1236" s="1">
        <v>30.641999999999999</v>
      </c>
      <c r="K1236" s="1">
        <v>34.679000000000002</v>
      </c>
      <c r="L1236" s="1">
        <v>30.64</v>
      </c>
      <c r="M1236" s="1">
        <v>118.4</v>
      </c>
      <c r="N1236" s="1">
        <v>3.295E-2</v>
      </c>
      <c r="O1236" s="1">
        <v>2.1499999999999999E-4</v>
      </c>
      <c r="P12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13.528952465692923</v>
      </c>
      <c r="Q1236" s="1">
        <f>LN(Table13[[#This Row],[qe_mg_g]]-Table13[[#This Row],[qt]])</f>
        <v>2.8398411862638158</v>
      </c>
      <c r="R1236" s="1">
        <v>2</v>
      </c>
    </row>
    <row r="1237" spans="1:18" hidden="1" x14ac:dyDescent="0.3">
      <c r="A1237" s="1">
        <v>1236</v>
      </c>
      <c r="B1237" s="1" t="s">
        <v>18</v>
      </c>
      <c r="C1237" s="1">
        <v>0.5</v>
      </c>
      <c r="D1237" s="1">
        <v>120</v>
      </c>
      <c r="E1237" s="1">
        <v>50</v>
      </c>
      <c r="F1237" s="1">
        <v>3</v>
      </c>
      <c r="G1237" s="1">
        <v>25</v>
      </c>
      <c r="H1237" s="1">
        <v>150</v>
      </c>
      <c r="I1237" s="1">
        <v>100</v>
      </c>
      <c r="J1237" s="1">
        <v>32.253</v>
      </c>
      <c r="K1237" s="1">
        <v>33.874000000000002</v>
      </c>
      <c r="L1237" s="1">
        <v>32.25</v>
      </c>
      <c r="M1237" s="1">
        <v>96.9</v>
      </c>
      <c r="N1237" s="1">
        <v>3.0249999999999999E-2</v>
      </c>
      <c r="O1237" s="1">
        <v>2.318E-4</v>
      </c>
      <c r="P12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15.252230749057993</v>
      </c>
      <c r="Q1237" s="1">
        <f>LN(Table13[[#This Row],[qe_mg_g]]-Table13[[#This Row],[qt]])</f>
        <v>2.8332585930878755</v>
      </c>
      <c r="R1237" s="1">
        <v>3</v>
      </c>
    </row>
    <row r="1238" spans="1:18" hidden="1" x14ac:dyDescent="0.3">
      <c r="A1238" s="1">
        <v>1237</v>
      </c>
      <c r="B1238" s="1" t="s">
        <v>18</v>
      </c>
      <c r="C1238" s="1">
        <v>0.5</v>
      </c>
      <c r="D1238" s="1">
        <v>120</v>
      </c>
      <c r="E1238" s="1">
        <v>50</v>
      </c>
      <c r="F1238" s="1">
        <v>7</v>
      </c>
      <c r="G1238" s="1">
        <v>25</v>
      </c>
      <c r="H1238" s="1">
        <v>150</v>
      </c>
      <c r="I1238" s="1">
        <v>100</v>
      </c>
      <c r="J1238" s="1">
        <v>52.470999999999997</v>
      </c>
      <c r="K1238" s="1">
        <v>23.763999999999999</v>
      </c>
      <c r="L1238" s="1">
        <v>52.47</v>
      </c>
      <c r="M1238" s="1">
        <v>115.6</v>
      </c>
      <c r="N1238" s="1">
        <v>2.7779999999999999E-2</v>
      </c>
      <c r="O1238" s="1">
        <v>2.1660000000000001E-4</v>
      </c>
      <c r="P12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30.273513869386651</v>
      </c>
      <c r="Q1238" s="1">
        <f>LN(Table13[[#This Row],[qe_mg_g]]-Table13[[#This Row],[qt]])</f>
        <v>3.0999790451066405</v>
      </c>
      <c r="R1238" s="1">
        <v>1</v>
      </c>
    </row>
    <row r="1239" spans="1:18" hidden="1" x14ac:dyDescent="0.3">
      <c r="A1239" s="1">
        <v>1238</v>
      </c>
      <c r="B1239" s="1" t="s">
        <v>18</v>
      </c>
      <c r="C1239" s="1">
        <v>0.5</v>
      </c>
      <c r="D1239" s="1">
        <v>120</v>
      </c>
      <c r="E1239" s="1">
        <v>50</v>
      </c>
      <c r="F1239" s="1">
        <v>7</v>
      </c>
      <c r="G1239" s="1">
        <v>25</v>
      </c>
      <c r="H1239" s="1">
        <v>150</v>
      </c>
      <c r="I1239" s="1">
        <v>100</v>
      </c>
      <c r="J1239" s="1">
        <v>43.764000000000003</v>
      </c>
      <c r="K1239" s="1">
        <v>28.117999999999999</v>
      </c>
      <c r="L1239" s="1">
        <v>43.76</v>
      </c>
      <c r="M1239" s="1">
        <v>106.5</v>
      </c>
      <c r="N1239" s="1">
        <v>3.0720000000000001E-2</v>
      </c>
      <c r="O1239" s="1">
        <v>2.8130000000000001E-4</v>
      </c>
      <c r="P12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26.097975424407473</v>
      </c>
      <c r="Q1239" s="1">
        <f>LN(Table13[[#This Row],[qe_mg_g]]-Table13[[#This Row],[qt]])</f>
        <v>2.8716432794457436</v>
      </c>
      <c r="R1239" s="1">
        <v>2</v>
      </c>
    </row>
    <row r="1240" spans="1:18" hidden="1" x14ac:dyDescent="0.3">
      <c r="A1240" s="1">
        <v>1239</v>
      </c>
      <c r="B1240" s="1" t="s">
        <v>18</v>
      </c>
      <c r="C1240" s="1">
        <v>0.5</v>
      </c>
      <c r="D1240" s="1">
        <v>120</v>
      </c>
      <c r="E1240" s="1">
        <v>50</v>
      </c>
      <c r="F1240" s="1">
        <v>7</v>
      </c>
      <c r="G1240" s="1">
        <v>25</v>
      </c>
      <c r="H1240" s="1">
        <v>150</v>
      </c>
      <c r="I1240" s="1">
        <v>100</v>
      </c>
      <c r="J1240" s="1">
        <v>48.561</v>
      </c>
      <c r="K1240" s="1">
        <v>25.719000000000001</v>
      </c>
      <c r="L1240" s="1">
        <v>48.56</v>
      </c>
      <c r="M1240" s="1">
        <v>114.5</v>
      </c>
      <c r="N1240" s="1">
        <v>3.0980000000000001E-2</v>
      </c>
      <c r="O1240" s="1">
        <v>2.153E-4</v>
      </c>
      <c r="P12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27.022578000146506</v>
      </c>
      <c r="Q1240" s="1">
        <f>LN(Table13[[#This Row],[qe_mg_g]]-Table13[[#This Row],[qt]])</f>
        <v>3.0698384099849401</v>
      </c>
      <c r="R1240" s="1">
        <v>3</v>
      </c>
    </row>
    <row r="1241" spans="1:18" hidden="1" x14ac:dyDescent="0.3">
      <c r="A1241" s="1">
        <v>1240</v>
      </c>
      <c r="B1241" s="1" t="s">
        <v>18</v>
      </c>
      <c r="C1241" s="1">
        <v>0.5</v>
      </c>
      <c r="D1241" s="1">
        <v>120</v>
      </c>
      <c r="E1241" s="1">
        <v>50</v>
      </c>
      <c r="F1241" s="1">
        <v>11</v>
      </c>
      <c r="G1241" s="1">
        <v>25</v>
      </c>
      <c r="H1241" s="1">
        <v>150</v>
      </c>
      <c r="I1241" s="1">
        <v>100</v>
      </c>
      <c r="J1241" s="1">
        <v>35.774999999999999</v>
      </c>
      <c r="K1241" s="1">
        <v>32.112000000000002</v>
      </c>
      <c r="L1241" s="1">
        <v>35.78</v>
      </c>
      <c r="M1241" s="1">
        <v>115.9</v>
      </c>
      <c r="N1241" s="1">
        <v>2.9850000000000002E-2</v>
      </c>
      <c r="O1241" s="1">
        <v>2.6259999999999999E-4</v>
      </c>
      <c r="P12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18.95823834938043</v>
      </c>
      <c r="Q1241" s="1">
        <f>LN(Table13[[#This Row],[qe_mg_g]]-Table13[[#This Row],[qt]])</f>
        <v>2.8223761063189015</v>
      </c>
      <c r="R1241" s="1">
        <v>1</v>
      </c>
    </row>
    <row r="1242" spans="1:18" hidden="1" x14ac:dyDescent="0.3">
      <c r="A1242" s="1">
        <v>1241</v>
      </c>
      <c r="B1242" s="1" t="s">
        <v>18</v>
      </c>
      <c r="C1242" s="1">
        <v>0.5</v>
      </c>
      <c r="D1242" s="1">
        <v>120</v>
      </c>
      <c r="E1242" s="1">
        <v>50</v>
      </c>
      <c r="F1242" s="1">
        <v>11</v>
      </c>
      <c r="G1242" s="1">
        <v>25</v>
      </c>
      <c r="H1242" s="1">
        <v>150</v>
      </c>
      <c r="I1242" s="1">
        <v>100</v>
      </c>
      <c r="J1242" s="1">
        <v>35.372</v>
      </c>
      <c r="K1242" s="1">
        <v>32.314</v>
      </c>
      <c r="L1242" s="1">
        <v>35.369999999999997</v>
      </c>
      <c r="M1242" s="1">
        <v>84.6</v>
      </c>
      <c r="N1242" s="1">
        <v>2.963E-2</v>
      </c>
      <c r="O1242" s="1">
        <v>2.5769999999999998E-4</v>
      </c>
      <c r="P12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18.478666688164608</v>
      </c>
      <c r="Q1242" s="1">
        <f>LN(Table13[[#This Row],[qe_mg_g]]-Table13[[#This Row],[qt]])</f>
        <v>2.8269190655122589</v>
      </c>
      <c r="R1242" s="1">
        <v>2</v>
      </c>
    </row>
    <row r="1243" spans="1:18" hidden="1" x14ac:dyDescent="0.3">
      <c r="A1243" s="1">
        <v>1242</v>
      </c>
      <c r="B1243" s="1" t="s">
        <v>18</v>
      </c>
      <c r="C1243" s="1">
        <v>0.5</v>
      </c>
      <c r="D1243" s="1">
        <v>120</v>
      </c>
      <c r="E1243" s="1">
        <v>50</v>
      </c>
      <c r="F1243" s="1">
        <v>11</v>
      </c>
      <c r="G1243" s="1">
        <v>25</v>
      </c>
      <c r="H1243" s="1">
        <v>150</v>
      </c>
      <c r="I1243" s="1">
        <v>100</v>
      </c>
      <c r="J1243" s="1">
        <v>34.267000000000003</v>
      </c>
      <c r="K1243" s="1">
        <v>32.866</v>
      </c>
      <c r="L1243" s="1">
        <v>34.270000000000003</v>
      </c>
      <c r="M1243" s="1">
        <v>96.5</v>
      </c>
      <c r="N1243" s="1">
        <v>2.7179999999999999E-2</v>
      </c>
      <c r="O1243" s="1">
        <v>2.7799999999999998E-4</v>
      </c>
      <c r="P12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18.277897021386011</v>
      </c>
      <c r="Q1243" s="1">
        <f>LN(Table13[[#This Row],[qe_mg_g]]-Table13[[#This Row],[qt]])</f>
        <v>2.7719074263738239</v>
      </c>
      <c r="R1243" s="1">
        <v>3</v>
      </c>
    </row>
    <row r="1244" spans="1:18" hidden="1" x14ac:dyDescent="0.3">
      <c r="A1244" s="1">
        <v>1243</v>
      </c>
      <c r="B1244" s="1" t="s">
        <v>18</v>
      </c>
      <c r="C1244" s="1">
        <v>0.5</v>
      </c>
      <c r="D1244" s="1">
        <v>120</v>
      </c>
      <c r="E1244" s="1">
        <v>100</v>
      </c>
      <c r="F1244" s="1">
        <v>3</v>
      </c>
      <c r="G1244" s="1">
        <v>25</v>
      </c>
      <c r="H1244" s="1">
        <v>150</v>
      </c>
      <c r="I1244" s="1">
        <v>100</v>
      </c>
      <c r="J1244" s="1">
        <v>48.325000000000003</v>
      </c>
      <c r="K1244" s="1">
        <v>75.837000000000003</v>
      </c>
      <c r="L1244" s="1">
        <v>24.16</v>
      </c>
      <c r="M1244" s="1">
        <v>121.8</v>
      </c>
      <c r="N1244" s="1">
        <v>3.4590000000000003E-2</v>
      </c>
      <c r="O1244" s="1">
        <v>2.4800000000000001E-4</v>
      </c>
      <c r="P12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28.504660661025241</v>
      </c>
      <c r="Q1244" s="1">
        <f>LN(Table13[[#This Row],[qe_mg_g]]-Table13[[#This Row],[qt]])</f>
        <v>2.9867086497933593</v>
      </c>
      <c r="R1244" s="1">
        <v>1</v>
      </c>
    </row>
    <row r="1245" spans="1:18" hidden="1" x14ac:dyDescent="0.3">
      <c r="A1245" s="1">
        <v>1244</v>
      </c>
      <c r="B1245" s="1" t="s">
        <v>18</v>
      </c>
      <c r="C1245" s="1">
        <v>0.5</v>
      </c>
      <c r="D1245" s="1">
        <v>120</v>
      </c>
      <c r="E1245" s="1">
        <v>100</v>
      </c>
      <c r="F1245" s="1">
        <v>3</v>
      </c>
      <c r="G1245" s="1">
        <v>25</v>
      </c>
      <c r="H1245" s="1">
        <v>150</v>
      </c>
      <c r="I1245" s="1">
        <v>100</v>
      </c>
      <c r="J1245" s="1">
        <v>45.134999999999998</v>
      </c>
      <c r="K1245" s="1">
        <v>77.432000000000002</v>
      </c>
      <c r="L1245" s="1">
        <v>22.57</v>
      </c>
      <c r="M1245" s="1">
        <v>68.7</v>
      </c>
      <c r="N1245" s="1">
        <v>2.5579999999999999E-2</v>
      </c>
      <c r="O1245" s="1">
        <v>2.1570000000000001E-4</v>
      </c>
      <c r="P12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24.318907143410645</v>
      </c>
      <c r="Q1245" s="1">
        <f>LN(Table13[[#This Row],[qe_mg_g]]-Table13[[#This Row],[qt]])</f>
        <v>3.0357263825878977</v>
      </c>
      <c r="R1245" s="1">
        <v>2</v>
      </c>
    </row>
    <row r="1246" spans="1:18" hidden="1" x14ac:dyDescent="0.3">
      <c r="A1246" s="1">
        <v>1245</v>
      </c>
      <c r="B1246" s="1" t="s">
        <v>18</v>
      </c>
      <c r="C1246" s="1">
        <v>0.5</v>
      </c>
      <c r="D1246" s="1">
        <v>120</v>
      </c>
      <c r="E1246" s="1">
        <v>100</v>
      </c>
      <c r="F1246" s="1">
        <v>3</v>
      </c>
      <c r="G1246" s="1">
        <v>25</v>
      </c>
      <c r="H1246" s="1">
        <v>150</v>
      </c>
      <c r="I1246" s="1">
        <v>100</v>
      </c>
      <c r="J1246" s="1">
        <v>55.798999999999999</v>
      </c>
      <c r="K1246" s="1">
        <v>72.099999999999994</v>
      </c>
      <c r="L1246" s="1">
        <v>27.9</v>
      </c>
      <c r="M1246" s="1">
        <v>101.7</v>
      </c>
      <c r="N1246" s="1">
        <v>3.117E-2</v>
      </c>
      <c r="O1246" s="1">
        <v>1.9450000000000001E-4</v>
      </c>
      <c r="P12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31.563313646569934</v>
      </c>
      <c r="Q1246" s="1">
        <f>LN(Table13[[#This Row],[qe_mg_g]]-Table13[[#This Row],[qt]])</f>
        <v>3.1878261896485349</v>
      </c>
      <c r="R1246" s="1">
        <v>3</v>
      </c>
    </row>
    <row r="1247" spans="1:18" hidden="1" x14ac:dyDescent="0.3">
      <c r="A1247" s="1">
        <v>1246</v>
      </c>
      <c r="B1247" s="1" t="s">
        <v>18</v>
      </c>
      <c r="C1247" s="1">
        <v>0.5</v>
      </c>
      <c r="D1247" s="1">
        <v>120</v>
      </c>
      <c r="E1247" s="1">
        <v>100</v>
      </c>
      <c r="F1247" s="1">
        <v>7</v>
      </c>
      <c r="G1247" s="1">
        <v>25</v>
      </c>
      <c r="H1247" s="1">
        <v>150</v>
      </c>
      <c r="I1247" s="1">
        <v>100</v>
      </c>
      <c r="J1247" s="1">
        <v>64.099999999999994</v>
      </c>
      <c r="K1247" s="1">
        <v>67.95</v>
      </c>
      <c r="L1247" s="1">
        <v>32.049999999999997</v>
      </c>
      <c r="M1247" s="1">
        <v>113.3</v>
      </c>
      <c r="N1247" s="1">
        <v>3.0859999999999999E-2</v>
      </c>
      <c r="O1247" s="1">
        <v>2.4630000000000002E-4</v>
      </c>
      <c r="P12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41.954854706427234</v>
      </c>
      <c r="Q1247" s="1">
        <f>LN(Table13[[#This Row],[qe_mg_g]]-Table13[[#This Row],[qt]])</f>
        <v>3.0976182983639231</v>
      </c>
      <c r="R1247" s="1">
        <v>1</v>
      </c>
    </row>
    <row r="1248" spans="1:18" hidden="1" x14ac:dyDescent="0.3">
      <c r="A1248" s="1">
        <v>1247</v>
      </c>
      <c r="B1248" s="1" t="s">
        <v>18</v>
      </c>
      <c r="C1248" s="1">
        <v>0.5</v>
      </c>
      <c r="D1248" s="1">
        <v>120</v>
      </c>
      <c r="E1248" s="1">
        <v>100</v>
      </c>
      <c r="F1248" s="1">
        <v>7</v>
      </c>
      <c r="G1248" s="1">
        <v>25</v>
      </c>
      <c r="H1248" s="1">
        <v>150</v>
      </c>
      <c r="I1248" s="1">
        <v>100</v>
      </c>
      <c r="J1248" s="1">
        <v>75.498000000000005</v>
      </c>
      <c r="K1248" s="1">
        <v>62.250999999999998</v>
      </c>
      <c r="L1248" s="1">
        <v>37.75</v>
      </c>
      <c r="M1248" s="1">
        <v>124.5</v>
      </c>
      <c r="N1248" s="1">
        <v>2.9340000000000001E-2</v>
      </c>
      <c r="O1248" s="1">
        <v>2.5169999999999999E-4</v>
      </c>
      <c r="P12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52.482713974873143</v>
      </c>
      <c r="Q1248" s="1">
        <f>LN(Table13[[#This Row],[qe_mg_g]]-Table13[[#This Row],[qt]])</f>
        <v>3.1361586049619943</v>
      </c>
      <c r="R1248" s="1">
        <v>2</v>
      </c>
    </row>
    <row r="1249" spans="1:18" hidden="1" x14ac:dyDescent="0.3">
      <c r="A1249" s="1">
        <v>1248</v>
      </c>
      <c r="B1249" s="1" t="s">
        <v>18</v>
      </c>
      <c r="C1249" s="1">
        <v>0.5</v>
      </c>
      <c r="D1249" s="1">
        <v>120</v>
      </c>
      <c r="E1249" s="1">
        <v>100</v>
      </c>
      <c r="F1249" s="1">
        <v>7</v>
      </c>
      <c r="G1249" s="1">
        <v>25</v>
      </c>
      <c r="H1249" s="1">
        <v>150</v>
      </c>
      <c r="I1249" s="1">
        <v>100</v>
      </c>
      <c r="J1249" s="1">
        <v>73.090999999999994</v>
      </c>
      <c r="K1249" s="1">
        <v>63.454000000000001</v>
      </c>
      <c r="L1249" s="1">
        <v>36.549999999999997</v>
      </c>
      <c r="M1249" s="1">
        <v>135.9</v>
      </c>
      <c r="N1249" s="1">
        <v>2.3699999999999999E-2</v>
      </c>
      <c r="O1249" s="1">
        <v>2.6709999999999999E-4</v>
      </c>
      <c r="P12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51.225226342486671</v>
      </c>
      <c r="Q1249" s="1">
        <f>LN(Table13[[#This Row],[qe_mg_g]]-Table13[[#This Row],[qt]])</f>
        <v>3.0849225676147736</v>
      </c>
      <c r="R1249" s="1">
        <v>3</v>
      </c>
    </row>
    <row r="1250" spans="1:18" hidden="1" x14ac:dyDescent="0.3">
      <c r="A1250" s="1">
        <v>1249</v>
      </c>
      <c r="B1250" s="1" t="s">
        <v>18</v>
      </c>
      <c r="C1250" s="1">
        <v>0.5</v>
      </c>
      <c r="D1250" s="1">
        <v>120</v>
      </c>
      <c r="E1250" s="1">
        <v>100</v>
      </c>
      <c r="F1250" s="1">
        <v>11</v>
      </c>
      <c r="G1250" s="1">
        <v>25</v>
      </c>
      <c r="H1250" s="1">
        <v>150</v>
      </c>
      <c r="I1250" s="1">
        <v>100</v>
      </c>
      <c r="J1250" s="1">
        <v>57.820999999999998</v>
      </c>
      <c r="K1250" s="1">
        <v>71.088999999999999</v>
      </c>
      <c r="L1250" s="1">
        <v>28.91</v>
      </c>
      <c r="M1250" s="1">
        <v>108.5</v>
      </c>
      <c r="N1250" s="1">
        <v>2.8029999999999999E-2</v>
      </c>
      <c r="O1250" s="1">
        <v>2.4879999999999998E-4</v>
      </c>
      <c r="P12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36.61243164125522</v>
      </c>
      <c r="Q1250" s="1">
        <f>LN(Table13[[#This Row],[qe_mg_g]]-Table13[[#This Row],[qt]])</f>
        <v>3.0544052678894551</v>
      </c>
      <c r="R1250" s="1">
        <v>1</v>
      </c>
    </row>
    <row r="1251" spans="1:18" hidden="1" x14ac:dyDescent="0.3">
      <c r="A1251" s="1">
        <v>1250</v>
      </c>
      <c r="B1251" s="1" t="s">
        <v>18</v>
      </c>
      <c r="C1251" s="1">
        <v>0.5</v>
      </c>
      <c r="D1251" s="1">
        <v>120</v>
      </c>
      <c r="E1251" s="1">
        <v>100</v>
      </c>
      <c r="F1251" s="1">
        <v>11</v>
      </c>
      <c r="G1251" s="1">
        <v>25</v>
      </c>
      <c r="H1251" s="1">
        <v>150</v>
      </c>
      <c r="I1251" s="1">
        <v>100</v>
      </c>
      <c r="J1251" s="1">
        <v>62.165999999999997</v>
      </c>
      <c r="K1251" s="1">
        <v>68.917000000000002</v>
      </c>
      <c r="L1251" s="1">
        <v>31.08</v>
      </c>
      <c r="M1251" s="1">
        <v>146.69999999999999</v>
      </c>
      <c r="N1251" s="1">
        <v>3.2419999999999997E-2</v>
      </c>
      <c r="O1251" s="1">
        <v>2.288E-4</v>
      </c>
      <c r="P12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39.199649330851727</v>
      </c>
      <c r="Q1251" s="1">
        <f>LN(Table13[[#This Row],[qe_mg_g]]-Table13[[#This Row],[qt]])</f>
        <v>3.1340301302937825</v>
      </c>
      <c r="R1251" s="1">
        <v>2</v>
      </c>
    </row>
    <row r="1252" spans="1:18" hidden="1" x14ac:dyDescent="0.3">
      <c r="A1252" s="1">
        <v>1251</v>
      </c>
      <c r="B1252" s="1" t="s">
        <v>18</v>
      </c>
      <c r="C1252" s="1">
        <v>0.5</v>
      </c>
      <c r="D1252" s="1">
        <v>120</v>
      </c>
      <c r="E1252" s="1">
        <v>100</v>
      </c>
      <c r="F1252" s="1">
        <v>11</v>
      </c>
      <c r="G1252" s="1">
        <v>25</v>
      </c>
      <c r="H1252" s="1">
        <v>150</v>
      </c>
      <c r="I1252" s="1">
        <v>100</v>
      </c>
      <c r="J1252" s="1">
        <v>56.197000000000003</v>
      </c>
      <c r="K1252" s="1">
        <v>71.902000000000001</v>
      </c>
      <c r="L1252" s="1">
        <v>28.1</v>
      </c>
      <c r="M1252" s="1">
        <v>93.2</v>
      </c>
      <c r="N1252" s="1">
        <v>2.461E-2</v>
      </c>
      <c r="O1252" s="1">
        <v>2.4169999999999999E-4</v>
      </c>
      <c r="P12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34.828813932474667</v>
      </c>
      <c r="Q1252" s="1">
        <f>LN(Table13[[#This Row],[qe_mg_g]]-Table13[[#This Row],[qt]])</f>
        <v>3.0619031835348793</v>
      </c>
      <c r="R1252" s="1">
        <v>3</v>
      </c>
    </row>
    <row r="1253" spans="1:18" hidden="1" x14ac:dyDescent="0.3">
      <c r="A1253" s="1">
        <v>1252</v>
      </c>
      <c r="B1253" s="1" t="s">
        <v>18</v>
      </c>
      <c r="C1253" s="1">
        <v>0.5</v>
      </c>
      <c r="D1253" s="1">
        <v>120</v>
      </c>
      <c r="E1253" s="1">
        <v>200</v>
      </c>
      <c r="F1253" s="1">
        <v>3</v>
      </c>
      <c r="G1253" s="1">
        <v>25</v>
      </c>
      <c r="H1253" s="1">
        <v>150</v>
      </c>
      <c r="I1253" s="1">
        <v>100</v>
      </c>
      <c r="J1253" s="1">
        <v>62.972999999999999</v>
      </c>
      <c r="K1253" s="1">
        <v>168.51300000000001</v>
      </c>
      <c r="L1253" s="1">
        <v>15.74</v>
      </c>
      <c r="M1253" s="1">
        <v>80.900000000000006</v>
      </c>
      <c r="N1253" s="1">
        <v>3.3149999999999999E-2</v>
      </c>
      <c r="O1253" s="1">
        <v>2.6219999999999998E-4</v>
      </c>
      <c r="P12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41.850919692820945</v>
      </c>
      <c r="Q1253" s="1">
        <f>LN(Table13[[#This Row],[qe_mg_g]]-Table13[[#This Row],[qt]])</f>
        <v>3.0503189533802617</v>
      </c>
      <c r="R1253" s="1">
        <v>1</v>
      </c>
    </row>
    <row r="1254" spans="1:18" hidden="1" x14ac:dyDescent="0.3">
      <c r="A1254" s="1">
        <v>1253</v>
      </c>
      <c r="B1254" s="1" t="s">
        <v>18</v>
      </c>
      <c r="C1254" s="1">
        <v>0.5</v>
      </c>
      <c r="D1254" s="1">
        <v>120</v>
      </c>
      <c r="E1254" s="1">
        <v>200</v>
      </c>
      <c r="F1254" s="1">
        <v>3</v>
      </c>
      <c r="G1254" s="1">
        <v>25</v>
      </c>
      <c r="H1254" s="1">
        <v>150</v>
      </c>
      <c r="I1254" s="1">
        <v>100</v>
      </c>
      <c r="J1254" s="1">
        <v>55.173000000000002</v>
      </c>
      <c r="K1254" s="1">
        <v>172.41300000000001</v>
      </c>
      <c r="L1254" s="1">
        <v>13.79</v>
      </c>
      <c r="M1254" s="1">
        <v>97.9</v>
      </c>
      <c r="N1254" s="1">
        <v>3.4790000000000001E-2</v>
      </c>
      <c r="O1254" s="1">
        <v>2.6830000000000002E-4</v>
      </c>
      <c r="P12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35.300504879330937</v>
      </c>
      <c r="Q1254" s="1">
        <f>LN(Table13[[#This Row],[qe_mg_g]]-Table13[[#This Row],[qt]])</f>
        <v>2.9893366209332886</v>
      </c>
      <c r="R1254" s="1">
        <v>2</v>
      </c>
    </row>
    <row r="1255" spans="1:18" hidden="1" x14ac:dyDescent="0.3">
      <c r="A1255" s="1">
        <v>1254</v>
      </c>
      <c r="B1255" s="1" t="s">
        <v>18</v>
      </c>
      <c r="C1255" s="1">
        <v>0.5</v>
      </c>
      <c r="D1255" s="1">
        <v>120</v>
      </c>
      <c r="E1255" s="1">
        <v>200</v>
      </c>
      <c r="F1255" s="1">
        <v>3</v>
      </c>
      <c r="G1255" s="1">
        <v>25</v>
      </c>
      <c r="H1255" s="1">
        <v>150</v>
      </c>
      <c r="I1255" s="1">
        <v>100</v>
      </c>
      <c r="J1255" s="1">
        <v>59.124000000000002</v>
      </c>
      <c r="K1255" s="1">
        <v>170.43799999999999</v>
      </c>
      <c r="L1255" s="1">
        <v>14.78</v>
      </c>
      <c r="M1255" s="1">
        <v>96.4</v>
      </c>
      <c r="N1255" s="1">
        <v>3.023E-2</v>
      </c>
      <c r="O1255" s="1">
        <v>2.3719999999999999E-4</v>
      </c>
      <c r="P12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37.086697826420981</v>
      </c>
      <c r="Q1255" s="1">
        <f>LN(Table13[[#This Row],[qe_mg_g]]-Table13[[#This Row],[qt]])</f>
        <v>3.0927365708750307</v>
      </c>
      <c r="R1255" s="1">
        <v>3</v>
      </c>
    </row>
    <row r="1256" spans="1:18" hidden="1" x14ac:dyDescent="0.3">
      <c r="A1256" s="1">
        <v>1255</v>
      </c>
      <c r="B1256" s="1" t="s">
        <v>18</v>
      </c>
      <c r="C1256" s="1">
        <v>0.5</v>
      </c>
      <c r="D1256" s="1">
        <v>120</v>
      </c>
      <c r="E1256" s="1">
        <v>200</v>
      </c>
      <c r="F1256" s="1">
        <v>7</v>
      </c>
      <c r="G1256" s="1">
        <v>25</v>
      </c>
      <c r="H1256" s="1">
        <v>150</v>
      </c>
      <c r="I1256" s="1">
        <v>100</v>
      </c>
      <c r="J1256" s="1">
        <v>68.781999999999996</v>
      </c>
      <c r="K1256" s="1">
        <v>165.60900000000001</v>
      </c>
      <c r="L1256" s="1">
        <v>17.2</v>
      </c>
      <c r="M1256" s="1">
        <v>130.6</v>
      </c>
      <c r="N1256" s="1">
        <v>3.0470000000000001E-2</v>
      </c>
      <c r="O1256" s="1">
        <v>2.5999999999999998E-4</v>
      </c>
      <c r="P12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46.918670381014813</v>
      </c>
      <c r="Q1256" s="1">
        <f>LN(Table13[[#This Row],[qe_mg_g]]-Table13[[#This Row],[qt]])</f>
        <v>3.0848107867481396</v>
      </c>
      <c r="R1256" s="1">
        <v>1</v>
      </c>
    </row>
    <row r="1257" spans="1:18" hidden="1" x14ac:dyDescent="0.3">
      <c r="A1257" s="1">
        <v>1256</v>
      </c>
      <c r="B1257" s="1" t="s">
        <v>18</v>
      </c>
      <c r="C1257" s="1">
        <v>0.5</v>
      </c>
      <c r="D1257" s="1">
        <v>120</v>
      </c>
      <c r="E1257" s="1">
        <v>200</v>
      </c>
      <c r="F1257" s="1">
        <v>7</v>
      </c>
      <c r="G1257" s="1">
        <v>25</v>
      </c>
      <c r="H1257" s="1">
        <v>150</v>
      </c>
      <c r="I1257" s="1">
        <v>100</v>
      </c>
      <c r="J1257" s="1">
        <v>84.414000000000001</v>
      </c>
      <c r="K1257" s="1">
        <v>157.79300000000001</v>
      </c>
      <c r="L1257" s="1">
        <v>21.1</v>
      </c>
      <c r="M1257" s="1">
        <v>89</v>
      </c>
      <c r="N1257" s="1">
        <v>2.9440000000000001E-2</v>
      </c>
      <c r="O1257" s="1">
        <v>2.1000000000000001E-4</v>
      </c>
      <c r="P12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57.420806528762427</v>
      </c>
      <c r="Q1257" s="1">
        <f>LN(Table13[[#This Row],[qe_mg_g]]-Table13[[#This Row],[qt]])</f>
        <v>3.2955847405655141</v>
      </c>
      <c r="R1257" s="1">
        <v>2</v>
      </c>
    </row>
    <row r="1258" spans="1:18" hidden="1" x14ac:dyDescent="0.3">
      <c r="A1258" s="1">
        <v>1257</v>
      </c>
      <c r="B1258" s="1" t="s">
        <v>18</v>
      </c>
      <c r="C1258" s="1">
        <v>0.5</v>
      </c>
      <c r="D1258" s="1">
        <v>120</v>
      </c>
      <c r="E1258" s="1">
        <v>200</v>
      </c>
      <c r="F1258" s="1">
        <v>7</v>
      </c>
      <c r="G1258" s="1">
        <v>25</v>
      </c>
      <c r="H1258" s="1">
        <v>150</v>
      </c>
      <c r="I1258" s="1">
        <v>100</v>
      </c>
      <c r="J1258" s="1">
        <v>102.246</v>
      </c>
      <c r="K1258" s="1">
        <v>148.87700000000001</v>
      </c>
      <c r="L1258" s="1">
        <v>25.56</v>
      </c>
      <c r="M1258" s="1">
        <v>81.5</v>
      </c>
      <c r="N1258" s="1">
        <v>2.69E-2</v>
      </c>
      <c r="O1258" s="1">
        <v>2.3900000000000001E-4</v>
      </c>
      <c r="P12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76.245185559059266</v>
      </c>
      <c r="Q1258" s="1">
        <f>LN(Table13[[#This Row],[qe_mg_g]]-Table13[[#This Row],[qt]])</f>
        <v>3.2581278621824419</v>
      </c>
      <c r="R1258" s="1">
        <v>3</v>
      </c>
    </row>
    <row r="1259" spans="1:18" hidden="1" x14ac:dyDescent="0.3">
      <c r="A1259" s="1">
        <v>1258</v>
      </c>
      <c r="B1259" s="1" t="s">
        <v>18</v>
      </c>
      <c r="C1259" s="1">
        <v>0.5</v>
      </c>
      <c r="D1259" s="1">
        <v>120</v>
      </c>
      <c r="E1259" s="1">
        <v>200</v>
      </c>
      <c r="F1259" s="1">
        <v>11</v>
      </c>
      <c r="G1259" s="1">
        <v>25</v>
      </c>
      <c r="H1259" s="1">
        <v>150</v>
      </c>
      <c r="I1259" s="1">
        <v>100</v>
      </c>
      <c r="J1259" s="1">
        <v>77.325999999999993</v>
      </c>
      <c r="K1259" s="1">
        <v>161.33699999999999</v>
      </c>
      <c r="L1259" s="1">
        <v>19.329999999999998</v>
      </c>
      <c r="M1259" s="1">
        <v>100.2</v>
      </c>
      <c r="N1259" s="1">
        <v>2.6290000000000001E-2</v>
      </c>
      <c r="O1259" s="1">
        <v>2.8140000000000001E-4</v>
      </c>
      <c r="P12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55.912843360453536</v>
      </c>
      <c r="Q1259" s="1">
        <f>LN(Table13[[#This Row],[qe_mg_g]]-Table13[[#This Row],[qt]])</f>
        <v>3.0640055293585093</v>
      </c>
      <c r="R1259" s="1">
        <v>1</v>
      </c>
    </row>
    <row r="1260" spans="1:18" hidden="1" x14ac:dyDescent="0.3">
      <c r="A1260" s="1">
        <v>1259</v>
      </c>
      <c r="B1260" s="1" t="s">
        <v>18</v>
      </c>
      <c r="C1260" s="1">
        <v>0.5</v>
      </c>
      <c r="D1260" s="1">
        <v>120</v>
      </c>
      <c r="E1260" s="1">
        <v>200</v>
      </c>
      <c r="F1260" s="1">
        <v>11</v>
      </c>
      <c r="G1260" s="1">
        <v>25</v>
      </c>
      <c r="H1260" s="1">
        <v>150</v>
      </c>
      <c r="I1260" s="1">
        <v>100</v>
      </c>
      <c r="J1260" s="1">
        <v>73.852000000000004</v>
      </c>
      <c r="K1260" s="1">
        <v>163.07400000000001</v>
      </c>
      <c r="L1260" s="1">
        <v>18.46</v>
      </c>
      <c r="M1260" s="1">
        <v>108.1</v>
      </c>
      <c r="N1260" s="1">
        <v>3.2149999999999998E-2</v>
      </c>
      <c r="O1260" s="1">
        <v>3.099E-4</v>
      </c>
      <c r="P12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54.139252074371946</v>
      </c>
      <c r="Q1260" s="1">
        <f>LN(Table13[[#This Row],[qe_mg_g]]-Table13[[#This Row],[qt]])</f>
        <v>2.981265529286949</v>
      </c>
      <c r="R1260" s="1">
        <v>2</v>
      </c>
    </row>
    <row r="1261" spans="1:18" hidden="1" x14ac:dyDescent="0.3">
      <c r="A1261" s="1">
        <v>1260</v>
      </c>
      <c r="B1261" s="1" t="s">
        <v>18</v>
      </c>
      <c r="C1261" s="1">
        <v>0.5</v>
      </c>
      <c r="D1261" s="1">
        <v>120</v>
      </c>
      <c r="E1261" s="1">
        <v>200</v>
      </c>
      <c r="F1261" s="1">
        <v>11</v>
      </c>
      <c r="G1261" s="1">
        <v>25</v>
      </c>
      <c r="H1261" s="1">
        <v>150</v>
      </c>
      <c r="I1261" s="1">
        <v>100</v>
      </c>
      <c r="J1261" s="1">
        <v>82.92</v>
      </c>
      <c r="K1261" s="1">
        <v>158.54</v>
      </c>
      <c r="L1261" s="1">
        <v>20.73</v>
      </c>
      <c r="M1261" s="1">
        <v>89.7</v>
      </c>
      <c r="N1261" s="1">
        <v>3.4869999999999998E-2</v>
      </c>
      <c r="O1261" s="1">
        <v>2.5960000000000002E-4</v>
      </c>
      <c r="P12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59.778181937691556</v>
      </c>
      <c r="Q1261" s="1">
        <f>LN(Table13[[#This Row],[qe_mg_g]]-Table13[[#This Row],[qt]])</f>
        <v>3.1416412866268733</v>
      </c>
      <c r="R1261" s="1">
        <v>3</v>
      </c>
    </row>
    <row r="1262" spans="1:18" hidden="1" x14ac:dyDescent="0.3">
      <c r="A1262" s="1">
        <v>1261</v>
      </c>
      <c r="B1262" s="1" t="s">
        <v>18</v>
      </c>
      <c r="C1262" s="1">
        <v>0.5</v>
      </c>
      <c r="D1262" s="1">
        <v>240</v>
      </c>
      <c r="E1262" s="1">
        <v>25</v>
      </c>
      <c r="F1262" s="1">
        <v>3</v>
      </c>
      <c r="G1262" s="1">
        <v>25</v>
      </c>
      <c r="H1262" s="1">
        <v>150</v>
      </c>
      <c r="I1262" s="1">
        <v>100</v>
      </c>
      <c r="J1262" s="1">
        <v>18.984999999999999</v>
      </c>
      <c r="K1262" s="1">
        <v>15.507</v>
      </c>
      <c r="L1262" s="1">
        <v>37.97</v>
      </c>
      <c r="M1262" s="1">
        <v>74.599999999999994</v>
      </c>
      <c r="N1262" s="1">
        <v>2.9489999999999999E-2</v>
      </c>
      <c r="O1262" s="1">
        <v>2.297E-4</v>
      </c>
      <c r="P12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9.7086622318947811</v>
      </c>
      <c r="Q1262" s="1">
        <f>LN(Table13[[#This Row],[qe_mg_g]]-Table13[[#This Row],[qt]])</f>
        <v>2.2274668318507853</v>
      </c>
      <c r="R1262" s="1">
        <v>1</v>
      </c>
    </row>
    <row r="1263" spans="1:18" hidden="1" x14ac:dyDescent="0.3">
      <c r="A1263" s="1">
        <v>1262</v>
      </c>
      <c r="B1263" s="1" t="s">
        <v>18</v>
      </c>
      <c r="C1263" s="1">
        <v>0.5</v>
      </c>
      <c r="D1263" s="1">
        <v>240</v>
      </c>
      <c r="E1263" s="1">
        <v>25</v>
      </c>
      <c r="F1263" s="1">
        <v>3</v>
      </c>
      <c r="G1263" s="1">
        <v>25</v>
      </c>
      <c r="H1263" s="1">
        <v>150</v>
      </c>
      <c r="I1263" s="1">
        <v>100</v>
      </c>
      <c r="J1263" s="1">
        <v>19.523</v>
      </c>
      <c r="K1263" s="1">
        <v>15.238</v>
      </c>
      <c r="L1263" s="1">
        <v>39.049999999999997</v>
      </c>
      <c r="M1263" s="1">
        <v>116.1</v>
      </c>
      <c r="N1263" s="1">
        <v>2.3779999999999999E-2</v>
      </c>
      <c r="O1263" s="1">
        <v>2.4939999999999999E-4</v>
      </c>
      <c r="P12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10.5202877003931</v>
      </c>
      <c r="Q1263" s="1">
        <f>LN(Table13[[#This Row],[qe_mg_g]]-Table13[[#This Row],[qt]])</f>
        <v>2.1975258985574091</v>
      </c>
      <c r="R1263" s="1">
        <v>2</v>
      </c>
    </row>
    <row r="1264" spans="1:18" hidden="1" x14ac:dyDescent="0.3">
      <c r="A1264" s="1">
        <v>1263</v>
      </c>
      <c r="B1264" s="1" t="s">
        <v>18</v>
      </c>
      <c r="C1264" s="1">
        <v>0.5</v>
      </c>
      <c r="D1264" s="1">
        <v>240</v>
      </c>
      <c r="E1264" s="1">
        <v>25</v>
      </c>
      <c r="F1264" s="1">
        <v>3</v>
      </c>
      <c r="G1264" s="1">
        <v>25</v>
      </c>
      <c r="H1264" s="1">
        <v>150</v>
      </c>
      <c r="I1264" s="1">
        <v>100</v>
      </c>
      <c r="J1264" s="1">
        <v>20.004000000000001</v>
      </c>
      <c r="K1264" s="1">
        <v>14.997999999999999</v>
      </c>
      <c r="L1264" s="1">
        <v>40.01</v>
      </c>
      <c r="M1264" s="1">
        <v>97.2</v>
      </c>
      <c r="N1264" s="1">
        <v>3.2190000000000003E-2</v>
      </c>
      <c r="O1264" s="1">
        <v>2.588E-4</v>
      </c>
      <c r="P12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11.083552709472865</v>
      </c>
      <c r="Q1264" s="1">
        <f>LN(Table13[[#This Row],[qe_mg_g]]-Table13[[#This Row],[qt]])</f>
        <v>2.1883460900126459</v>
      </c>
      <c r="R1264" s="1">
        <v>3</v>
      </c>
    </row>
    <row r="1265" spans="1:18" hidden="1" x14ac:dyDescent="0.3">
      <c r="A1265" s="1">
        <v>1264</v>
      </c>
      <c r="B1265" s="1" t="s">
        <v>18</v>
      </c>
      <c r="C1265" s="1">
        <v>0.5</v>
      </c>
      <c r="D1265" s="1">
        <v>240</v>
      </c>
      <c r="E1265" s="1">
        <v>25</v>
      </c>
      <c r="F1265" s="1">
        <v>7</v>
      </c>
      <c r="G1265" s="1">
        <v>25</v>
      </c>
      <c r="H1265" s="1">
        <v>150</v>
      </c>
      <c r="I1265" s="1">
        <v>100</v>
      </c>
      <c r="J1265" s="1">
        <v>27.495000000000001</v>
      </c>
      <c r="K1265" s="1">
        <v>11.253</v>
      </c>
      <c r="L1265" s="1">
        <v>54.99</v>
      </c>
      <c r="M1265" s="1">
        <v>95.9</v>
      </c>
      <c r="N1265" s="1">
        <v>2.6349999999999998E-2</v>
      </c>
      <c r="O1265" s="1">
        <v>2.22E-4</v>
      </c>
      <c r="P12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16.340541316001374</v>
      </c>
      <c r="Q1265" s="1">
        <f>LN(Table13[[#This Row],[qe_mg_g]]-Table13[[#This Row],[qt]])</f>
        <v>2.4118392999476108</v>
      </c>
      <c r="R1265" s="1">
        <v>1</v>
      </c>
    </row>
    <row r="1266" spans="1:18" hidden="1" x14ac:dyDescent="0.3">
      <c r="A1266" s="1">
        <v>1265</v>
      </c>
      <c r="B1266" s="1" t="s">
        <v>18</v>
      </c>
      <c r="C1266" s="1">
        <v>0.5</v>
      </c>
      <c r="D1266" s="1">
        <v>240</v>
      </c>
      <c r="E1266" s="1">
        <v>25</v>
      </c>
      <c r="F1266" s="1">
        <v>7</v>
      </c>
      <c r="G1266" s="1">
        <v>25</v>
      </c>
      <c r="H1266" s="1">
        <v>150</v>
      </c>
      <c r="I1266" s="1">
        <v>100</v>
      </c>
      <c r="J1266" s="1">
        <v>28.378</v>
      </c>
      <c r="K1266" s="1">
        <v>10.811</v>
      </c>
      <c r="L1266" s="1">
        <v>56.76</v>
      </c>
      <c r="M1266" s="1">
        <v>100.3</v>
      </c>
      <c r="N1266" s="1">
        <v>2.9579999999999999E-2</v>
      </c>
      <c r="O1266" s="1">
        <v>2.3939999999999999E-4</v>
      </c>
      <c r="P12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17.589880987022095</v>
      </c>
      <c r="Q1266" s="1">
        <f>LN(Table13[[#This Row],[qe_mg_g]]-Table13[[#This Row],[qt]])</f>
        <v>2.3784454371945611</v>
      </c>
      <c r="R1266" s="1">
        <v>2</v>
      </c>
    </row>
    <row r="1267" spans="1:18" hidden="1" x14ac:dyDescent="0.3">
      <c r="A1267" s="1">
        <v>1266</v>
      </c>
      <c r="B1267" s="1" t="s">
        <v>18</v>
      </c>
      <c r="C1267" s="1">
        <v>0.5</v>
      </c>
      <c r="D1267" s="1">
        <v>240</v>
      </c>
      <c r="E1267" s="1">
        <v>25</v>
      </c>
      <c r="F1267" s="1">
        <v>7</v>
      </c>
      <c r="G1267" s="1">
        <v>25</v>
      </c>
      <c r="H1267" s="1">
        <v>150</v>
      </c>
      <c r="I1267" s="1">
        <v>100</v>
      </c>
      <c r="J1267" s="1">
        <v>25.942</v>
      </c>
      <c r="K1267" s="1">
        <v>12.029</v>
      </c>
      <c r="L1267" s="1">
        <v>51.88</v>
      </c>
      <c r="M1267" s="1">
        <v>115.7</v>
      </c>
      <c r="N1267" s="1">
        <v>2.8989999999999998E-2</v>
      </c>
      <c r="O1267" s="1">
        <v>2.165E-4</v>
      </c>
      <c r="P12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14.89319544300314</v>
      </c>
      <c r="Q1267" s="1">
        <f>LN(Table13[[#This Row],[qe_mg_g]]-Table13[[#This Row],[qt]])</f>
        <v>2.402322237224193</v>
      </c>
      <c r="R1267" s="1">
        <v>3</v>
      </c>
    </row>
    <row r="1268" spans="1:18" hidden="1" x14ac:dyDescent="0.3">
      <c r="A1268" s="1">
        <v>1267</v>
      </c>
      <c r="B1268" s="1" t="s">
        <v>18</v>
      </c>
      <c r="C1268" s="1">
        <v>0.5</v>
      </c>
      <c r="D1268" s="1">
        <v>240</v>
      </c>
      <c r="E1268" s="1">
        <v>25</v>
      </c>
      <c r="F1268" s="1">
        <v>11</v>
      </c>
      <c r="G1268" s="1">
        <v>25</v>
      </c>
      <c r="H1268" s="1">
        <v>150</v>
      </c>
      <c r="I1268" s="1">
        <v>100</v>
      </c>
      <c r="J1268" s="1">
        <v>22.962</v>
      </c>
      <c r="K1268" s="1">
        <v>13.519</v>
      </c>
      <c r="L1268" s="1">
        <v>45.92</v>
      </c>
      <c r="M1268" s="1">
        <v>96.9</v>
      </c>
      <c r="N1268" s="1">
        <v>3.0089999999999999E-2</v>
      </c>
      <c r="O1268" s="1">
        <v>2.9020000000000001E-4</v>
      </c>
      <c r="P12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14.127938312989899</v>
      </c>
      <c r="Q1268" s="1">
        <f>LN(Table13[[#This Row],[qe_mg_g]]-Table13[[#This Row],[qt]])</f>
        <v>2.1786148960580483</v>
      </c>
      <c r="R1268" s="1">
        <v>1</v>
      </c>
    </row>
    <row r="1269" spans="1:18" hidden="1" x14ac:dyDescent="0.3">
      <c r="A1269" s="1">
        <v>1268</v>
      </c>
      <c r="B1269" s="1" t="s">
        <v>18</v>
      </c>
      <c r="C1269" s="1">
        <v>0.5</v>
      </c>
      <c r="D1269" s="1">
        <v>240</v>
      </c>
      <c r="E1269" s="1">
        <v>25</v>
      </c>
      <c r="F1269" s="1">
        <v>11</v>
      </c>
      <c r="G1269" s="1">
        <v>25</v>
      </c>
      <c r="H1269" s="1">
        <v>150</v>
      </c>
      <c r="I1269" s="1">
        <v>100</v>
      </c>
      <c r="J1269" s="1">
        <v>21.481999999999999</v>
      </c>
      <c r="K1269" s="1">
        <v>14.259</v>
      </c>
      <c r="L1269" s="1">
        <v>42.96</v>
      </c>
      <c r="M1269" s="1">
        <v>104.3</v>
      </c>
      <c r="N1269" s="1">
        <v>2.6460000000000001E-2</v>
      </c>
      <c r="O1269" s="1">
        <v>2.4449999999999998E-4</v>
      </c>
      <c r="P12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11.979060786288104</v>
      </c>
      <c r="Q1269" s="1">
        <f>LN(Table13[[#This Row],[qe_mg_g]]-Table13[[#This Row],[qt]])</f>
        <v>2.2516011416720367</v>
      </c>
      <c r="R1269" s="1">
        <v>2</v>
      </c>
    </row>
    <row r="1270" spans="1:18" hidden="1" x14ac:dyDescent="0.3">
      <c r="A1270" s="1">
        <v>1269</v>
      </c>
      <c r="B1270" s="1" t="s">
        <v>18</v>
      </c>
      <c r="C1270" s="1">
        <v>0.5</v>
      </c>
      <c r="D1270" s="1">
        <v>240</v>
      </c>
      <c r="E1270" s="1">
        <v>25</v>
      </c>
      <c r="F1270" s="1">
        <v>11</v>
      </c>
      <c r="G1270" s="1">
        <v>25</v>
      </c>
      <c r="H1270" s="1">
        <v>150</v>
      </c>
      <c r="I1270" s="1">
        <v>100</v>
      </c>
      <c r="J1270" s="1">
        <v>22.702000000000002</v>
      </c>
      <c r="K1270" s="1">
        <v>13.648999999999999</v>
      </c>
      <c r="L1270" s="1">
        <v>45.4</v>
      </c>
      <c r="M1270" s="1">
        <v>76.7</v>
      </c>
      <c r="N1270" s="1">
        <v>3.0599999999999999E-2</v>
      </c>
      <c r="O1270" s="1">
        <v>2.5250000000000001E-4</v>
      </c>
      <c r="P12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13.14624535803816</v>
      </c>
      <c r="Q1270" s="1">
        <f>LN(Table13[[#This Row],[qe_mg_g]]-Table13[[#This Row],[qt]])</f>
        <v>2.2571435533241644</v>
      </c>
      <c r="R1270" s="1">
        <v>3</v>
      </c>
    </row>
    <row r="1271" spans="1:18" hidden="1" x14ac:dyDescent="0.3">
      <c r="A1271" s="1">
        <v>1270</v>
      </c>
      <c r="B1271" s="1" t="s">
        <v>18</v>
      </c>
      <c r="C1271" s="1">
        <v>0.5</v>
      </c>
      <c r="D1271" s="1">
        <v>240</v>
      </c>
      <c r="E1271" s="1">
        <v>50</v>
      </c>
      <c r="F1271" s="1">
        <v>3</v>
      </c>
      <c r="G1271" s="1">
        <v>25</v>
      </c>
      <c r="H1271" s="1">
        <v>150</v>
      </c>
      <c r="I1271" s="1">
        <v>100</v>
      </c>
      <c r="J1271" s="1">
        <v>38.347999999999999</v>
      </c>
      <c r="K1271" s="1">
        <v>30.826000000000001</v>
      </c>
      <c r="L1271" s="1">
        <v>38.35</v>
      </c>
      <c r="M1271" s="1">
        <v>115.6</v>
      </c>
      <c r="N1271" s="1">
        <v>3.1E-2</v>
      </c>
      <c r="O1271" s="1">
        <v>2.8699999999999998E-4</v>
      </c>
      <c r="P12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27.816915207971732</v>
      </c>
      <c r="Q1271" s="1">
        <f>LN(Table13[[#This Row],[qe_mg_g]]-Table13[[#This Row],[qt]])</f>
        <v>2.3543313400257424</v>
      </c>
      <c r="R1271" s="1">
        <v>1</v>
      </c>
    </row>
    <row r="1272" spans="1:18" hidden="1" x14ac:dyDescent="0.3">
      <c r="A1272" s="1">
        <v>1271</v>
      </c>
      <c r="B1272" s="1" t="s">
        <v>18</v>
      </c>
      <c r="C1272" s="1">
        <v>0.5</v>
      </c>
      <c r="D1272" s="1">
        <v>240</v>
      </c>
      <c r="E1272" s="1">
        <v>50</v>
      </c>
      <c r="F1272" s="1">
        <v>3</v>
      </c>
      <c r="G1272" s="1">
        <v>25</v>
      </c>
      <c r="H1272" s="1">
        <v>150</v>
      </c>
      <c r="I1272" s="1">
        <v>100</v>
      </c>
      <c r="J1272" s="1">
        <v>34.79</v>
      </c>
      <c r="K1272" s="1">
        <v>32.604999999999997</v>
      </c>
      <c r="L1272" s="1">
        <v>34.79</v>
      </c>
      <c r="M1272" s="1">
        <v>102</v>
      </c>
      <c r="N1272" s="1">
        <v>3.0249999999999999E-2</v>
      </c>
      <c r="O1272" s="1">
        <v>2.2330000000000001E-4</v>
      </c>
      <c r="P12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22.644628441559821</v>
      </c>
      <c r="Q1272" s="1">
        <f>LN(Table13[[#This Row],[qe_mg_g]]-Table13[[#This Row],[qt]])</f>
        <v>2.4969481555176722</v>
      </c>
      <c r="R1272" s="1">
        <v>2</v>
      </c>
    </row>
    <row r="1273" spans="1:18" hidden="1" x14ac:dyDescent="0.3">
      <c r="A1273" s="1">
        <v>1272</v>
      </c>
      <c r="B1273" s="1" t="s">
        <v>18</v>
      </c>
      <c r="C1273" s="1">
        <v>0.5</v>
      </c>
      <c r="D1273" s="1">
        <v>240</v>
      </c>
      <c r="E1273" s="1">
        <v>50</v>
      </c>
      <c r="F1273" s="1">
        <v>3</v>
      </c>
      <c r="G1273" s="1">
        <v>25</v>
      </c>
      <c r="H1273" s="1">
        <v>150</v>
      </c>
      <c r="I1273" s="1">
        <v>100</v>
      </c>
      <c r="J1273" s="1">
        <v>41.494999999999997</v>
      </c>
      <c r="K1273" s="1">
        <v>29.253</v>
      </c>
      <c r="L1273" s="1">
        <v>41.49</v>
      </c>
      <c r="M1273" s="1">
        <v>134.9</v>
      </c>
      <c r="N1273" s="1">
        <v>2.9950000000000001E-2</v>
      </c>
      <c r="O1273" s="1">
        <v>2.6259999999999999E-4</v>
      </c>
      <c r="P12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30.017012763023907</v>
      </c>
      <c r="Q1273" s="1">
        <f>LN(Table13[[#This Row],[qe_mg_g]]-Table13[[#This Row],[qt]])</f>
        <v>2.4404310477301676</v>
      </c>
      <c r="R1273" s="1">
        <v>3</v>
      </c>
    </row>
    <row r="1274" spans="1:18" hidden="1" x14ac:dyDescent="0.3">
      <c r="A1274" s="1">
        <v>1273</v>
      </c>
      <c r="B1274" s="1" t="s">
        <v>18</v>
      </c>
      <c r="C1274" s="1">
        <v>0.5</v>
      </c>
      <c r="D1274" s="1">
        <v>240</v>
      </c>
      <c r="E1274" s="1">
        <v>50</v>
      </c>
      <c r="F1274" s="1">
        <v>7</v>
      </c>
      <c r="G1274" s="1">
        <v>25</v>
      </c>
      <c r="H1274" s="1">
        <v>150</v>
      </c>
      <c r="I1274" s="1">
        <v>100</v>
      </c>
      <c r="J1274" s="1">
        <v>54.710999999999999</v>
      </c>
      <c r="K1274" s="1">
        <v>22.645</v>
      </c>
      <c r="L1274" s="1">
        <v>54.71</v>
      </c>
      <c r="M1274" s="1">
        <v>89.3</v>
      </c>
      <c r="N1274" s="1">
        <v>2.4539999999999999E-2</v>
      </c>
      <c r="O1274" s="1">
        <v>2.3240000000000001E-4</v>
      </c>
      <c r="P12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41.207314984527493</v>
      </c>
      <c r="Q1274" s="1">
        <f>LN(Table13[[#This Row],[qe_mg_g]]-Table13[[#This Row],[qt]])</f>
        <v>2.6029626123055341</v>
      </c>
      <c r="R1274" s="1">
        <v>1</v>
      </c>
    </row>
    <row r="1275" spans="1:18" hidden="1" x14ac:dyDescent="0.3">
      <c r="A1275" s="1">
        <v>1274</v>
      </c>
      <c r="B1275" s="1" t="s">
        <v>18</v>
      </c>
      <c r="C1275" s="1">
        <v>0.5</v>
      </c>
      <c r="D1275" s="1">
        <v>240</v>
      </c>
      <c r="E1275" s="1">
        <v>50</v>
      </c>
      <c r="F1275" s="1">
        <v>7</v>
      </c>
      <c r="G1275" s="1">
        <v>25</v>
      </c>
      <c r="H1275" s="1">
        <v>150</v>
      </c>
      <c r="I1275" s="1">
        <v>100</v>
      </c>
      <c r="J1275" s="1">
        <v>47.494999999999997</v>
      </c>
      <c r="K1275" s="1">
        <v>26.251999999999999</v>
      </c>
      <c r="L1275" s="1">
        <v>47.5</v>
      </c>
      <c r="M1275" s="1">
        <v>125.6</v>
      </c>
      <c r="N1275" s="1">
        <v>2.9649999999999999E-2</v>
      </c>
      <c r="O1275" s="1">
        <v>2.4140000000000001E-4</v>
      </c>
      <c r="P12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34.8353055308975</v>
      </c>
      <c r="Q1275" s="1">
        <f>LN(Table13[[#This Row],[qe_mg_g]]-Table13[[#This Row],[qt]])</f>
        <v>2.538423282862607</v>
      </c>
      <c r="R1275" s="1">
        <v>2</v>
      </c>
    </row>
    <row r="1276" spans="1:18" hidden="1" x14ac:dyDescent="0.3">
      <c r="A1276" s="1">
        <v>1275</v>
      </c>
      <c r="B1276" s="1" t="s">
        <v>18</v>
      </c>
      <c r="C1276" s="1">
        <v>0.5</v>
      </c>
      <c r="D1276" s="1">
        <v>240</v>
      </c>
      <c r="E1276" s="1">
        <v>50</v>
      </c>
      <c r="F1276" s="1">
        <v>7</v>
      </c>
      <c r="G1276" s="1">
        <v>25</v>
      </c>
      <c r="H1276" s="1">
        <v>150</v>
      </c>
      <c r="I1276" s="1">
        <v>100</v>
      </c>
      <c r="J1276" s="1">
        <v>58.643000000000001</v>
      </c>
      <c r="K1276" s="1">
        <v>20.678999999999998</v>
      </c>
      <c r="L1276" s="1">
        <v>58.64</v>
      </c>
      <c r="M1276" s="1">
        <v>83.2</v>
      </c>
      <c r="N1276" s="1">
        <v>2.7699999999999999E-2</v>
      </c>
      <c r="O1276" s="1">
        <v>2.5169999999999999E-4</v>
      </c>
      <c r="P12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45.733166626303337</v>
      </c>
      <c r="Q1276" s="1">
        <f>LN(Table13[[#This Row],[qe_mg_g]]-Table13[[#This Row],[qt]])</f>
        <v>2.5579892980127998</v>
      </c>
      <c r="R1276" s="1">
        <v>3</v>
      </c>
    </row>
    <row r="1277" spans="1:18" hidden="1" x14ac:dyDescent="0.3">
      <c r="A1277" s="1">
        <v>1276</v>
      </c>
      <c r="B1277" s="1" t="s">
        <v>18</v>
      </c>
      <c r="C1277" s="1">
        <v>0.5</v>
      </c>
      <c r="D1277" s="1">
        <v>240</v>
      </c>
      <c r="E1277" s="1">
        <v>50</v>
      </c>
      <c r="F1277" s="1">
        <v>11</v>
      </c>
      <c r="G1277" s="1">
        <v>25</v>
      </c>
      <c r="H1277" s="1">
        <v>150</v>
      </c>
      <c r="I1277" s="1">
        <v>100</v>
      </c>
      <c r="J1277" s="1">
        <v>48.726999999999997</v>
      </c>
      <c r="K1277" s="1">
        <v>25.635999999999999</v>
      </c>
      <c r="L1277" s="1">
        <v>48.73</v>
      </c>
      <c r="M1277" s="1">
        <v>107.5</v>
      </c>
      <c r="N1277" s="1">
        <v>3.074E-2</v>
      </c>
      <c r="O1277" s="1">
        <v>2.52E-4</v>
      </c>
      <c r="P12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36.381702461075733</v>
      </c>
      <c r="Q1277" s="1">
        <f>LN(Table13[[#This Row],[qe_mg_g]]-Table13[[#This Row],[qt]])</f>
        <v>2.5132752244851688</v>
      </c>
      <c r="R1277" s="1">
        <v>1</v>
      </c>
    </row>
    <row r="1278" spans="1:18" hidden="1" x14ac:dyDescent="0.3">
      <c r="A1278" s="1">
        <v>1277</v>
      </c>
      <c r="B1278" s="1" t="s">
        <v>18</v>
      </c>
      <c r="C1278" s="1">
        <v>0.5</v>
      </c>
      <c r="D1278" s="1">
        <v>240</v>
      </c>
      <c r="E1278" s="1">
        <v>50</v>
      </c>
      <c r="F1278" s="1">
        <v>11</v>
      </c>
      <c r="G1278" s="1">
        <v>25</v>
      </c>
      <c r="H1278" s="1">
        <v>150</v>
      </c>
      <c r="I1278" s="1">
        <v>100</v>
      </c>
      <c r="J1278" s="1">
        <v>46.204000000000001</v>
      </c>
      <c r="K1278" s="1">
        <v>26.898</v>
      </c>
      <c r="L1278" s="1">
        <v>46.2</v>
      </c>
      <c r="M1278" s="1">
        <v>103</v>
      </c>
      <c r="N1278" s="1">
        <v>2.691E-2</v>
      </c>
      <c r="O1278" s="1">
        <v>2.5119999999999998E-4</v>
      </c>
      <c r="P12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33.998629672559375</v>
      </c>
      <c r="Q1278" s="1">
        <f>LN(Table13[[#This Row],[qe_mg_g]]-Table13[[#This Row],[qt]])</f>
        <v>2.5018760456574962</v>
      </c>
      <c r="R1278" s="1">
        <v>2</v>
      </c>
    </row>
    <row r="1279" spans="1:18" hidden="1" x14ac:dyDescent="0.3">
      <c r="A1279" s="1">
        <v>1278</v>
      </c>
      <c r="B1279" s="1" t="s">
        <v>18</v>
      </c>
      <c r="C1279" s="1">
        <v>0.5</v>
      </c>
      <c r="D1279" s="1">
        <v>240</v>
      </c>
      <c r="E1279" s="1">
        <v>50</v>
      </c>
      <c r="F1279" s="1">
        <v>11</v>
      </c>
      <c r="G1279" s="1">
        <v>25</v>
      </c>
      <c r="H1279" s="1">
        <v>150</v>
      </c>
      <c r="I1279" s="1">
        <v>100</v>
      </c>
      <c r="J1279" s="1">
        <v>40.287999999999997</v>
      </c>
      <c r="K1279" s="1">
        <v>29.856000000000002</v>
      </c>
      <c r="L1279" s="1">
        <v>40.29</v>
      </c>
      <c r="M1279" s="1">
        <v>101.2</v>
      </c>
      <c r="N1279" s="1">
        <v>2.8559999999999999E-2</v>
      </c>
      <c r="O1279" s="1">
        <v>3.1349999999999998E-4</v>
      </c>
      <c r="P12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30.294124919787048</v>
      </c>
      <c r="Q1279" s="1">
        <f>LN(Table13[[#This Row],[qe_mg_g]]-Table13[[#This Row],[qt]])</f>
        <v>2.301972413365502</v>
      </c>
      <c r="R1279" s="1">
        <v>3</v>
      </c>
    </row>
    <row r="1280" spans="1:18" hidden="1" x14ac:dyDescent="0.3">
      <c r="A1280" s="1">
        <v>1279</v>
      </c>
      <c r="B1280" s="1" t="s">
        <v>18</v>
      </c>
      <c r="C1280" s="1">
        <v>0.5</v>
      </c>
      <c r="D1280" s="1">
        <v>240</v>
      </c>
      <c r="E1280" s="1">
        <v>100</v>
      </c>
      <c r="F1280" s="1">
        <v>3</v>
      </c>
      <c r="G1280" s="1">
        <v>25</v>
      </c>
      <c r="H1280" s="1">
        <v>150</v>
      </c>
      <c r="I1280" s="1">
        <v>100</v>
      </c>
      <c r="J1280" s="1">
        <v>58.710999999999999</v>
      </c>
      <c r="K1280" s="1">
        <v>70.644999999999996</v>
      </c>
      <c r="L1280" s="1">
        <v>29.36</v>
      </c>
      <c r="M1280" s="1">
        <v>78.900000000000006</v>
      </c>
      <c r="N1280" s="1">
        <v>2.9600000000000001E-2</v>
      </c>
      <c r="O1280" s="1">
        <v>2.63E-4</v>
      </c>
      <c r="P12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46.234795760156928</v>
      </c>
      <c r="Q1280" s="1">
        <f>LN(Table13[[#This Row],[qe_mg_g]]-Table13[[#This Row],[qt]])</f>
        <v>2.5238231692305941</v>
      </c>
      <c r="R1280" s="1">
        <v>1</v>
      </c>
    </row>
    <row r="1281" spans="1:18" hidden="1" x14ac:dyDescent="0.3">
      <c r="A1281" s="1">
        <v>1280</v>
      </c>
      <c r="B1281" s="1" t="s">
        <v>18</v>
      </c>
      <c r="C1281" s="1">
        <v>0.5</v>
      </c>
      <c r="D1281" s="1">
        <v>240</v>
      </c>
      <c r="E1281" s="1">
        <v>100</v>
      </c>
      <c r="F1281" s="1">
        <v>3</v>
      </c>
      <c r="G1281" s="1">
        <v>25</v>
      </c>
      <c r="H1281" s="1">
        <v>150</v>
      </c>
      <c r="I1281" s="1">
        <v>100</v>
      </c>
      <c r="J1281" s="1">
        <v>67.796000000000006</v>
      </c>
      <c r="K1281" s="1">
        <v>66.102000000000004</v>
      </c>
      <c r="L1281" s="1">
        <v>33.9</v>
      </c>
      <c r="M1281" s="1">
        <v>91.2</v>
      </c>
      <c r="N1281" s="1">
        <v>2.5250000000000002E-2</v>
      </c>
      <c r="O1281" s="1">
        <v>2.7040000000000001E-4</v>
      </c>
      <c r="P12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55.240462581455368</v>
      </c>
      <c r="Q1281" s="1">
        <f>LN(Table13[[#This Row],[qe_mg_g]]-Table13[[#This Row],[qt]])</f>
        <v>2.5301617968343852</v>
      </c>
      <c r="R1281" s="1">
        <v>2</v>
      </c>
    </row>
    <row r="1282" spans="1:18" hidden="1" x14ac:dyDescent="0.3">
      <c r="A1282" s="1">
        <v>1281</v>
      </c>
      <c r="B1282" s="1" t="s">
        <v>18</v>
      </c>
      <c r="C1282" s="1">
        <v>0.5</v>
      </c>
      <c r="D1282" s="1">
        <v>240</v>
      </c>
      <c r="E1282" s="1">
        <v>100</v>
      </c>
      <c r="F1282" s="1">
        <v>3</v>
      </c>
      <c r="G1282" s="1">
        <v>25</v>
      </c>
      <c r="H1282" s="1">
        <v>150</v>
      </c>
      <c r="I1282" s="1">
        <v>100</v>
      </c>
      <c r="J1282" s="1">
        <v>51.600999999999999</v>
      </c>
      <c r="K1282" s="1">
        <v>74.2</v>
      </c>
      <c r="L1282" s="1">
        <v>25.8</v>
      </c>
      <c r="M1282" s="1">
        <v>93.5</v>
      </c>
      <c r="N1282" s="1">
        <v>2.9229999999999999E-2</v>
      </c>
      <c r="O1282" s="1">
        <v>2.4830000000000002E-4</v>
      </c>
      <c r="P12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38.938199019814547</v>
      </c>
      <c r="Q1282" s="1">
        <f>LN(Table13[[#This Row],[qe_mg_g]]-Table13[[#This Row],[qt]])</f>
        <v>2.5386686387047877</v>
      </c>
      <c r="R1282" s="1">
        <v>3</v>
      </c>
    </row>
    <row r="1283" spans="1:18" hidden="1" x14ac:dyDescent="0.3">
      <c r="A1283" s="1">
        <v>1282</v>
      </c>
      <c r="B1283" s="1" t="s">
        <v>18</v>
      </c>
      <c r="C1283" s="1">
        <v>0.5</v>
      </c>
      <c r="D1283" s="1">
        <v>240</v>
      </c>
      <c r="E1283" s="1">
        <v>100</v>
      </c>
      <c r="F1283" s="1">
        <v>7</v>
      </c>
      <c r="G1283" s="1">
        <v>25</v>
      </c>
      <c r="H1283" s="1">
        <v>150</v>
      </c>
      <c r="I1283" s="1">
        <v>100</v>
      </c>
      <c r="J1283" s="1">
        <v>87.527000000000001</v>
      </c>
      <c r="K1283" s="1">
        <v>56.237000000000002</v>
      </c>
      <c r="L1283" s="1">
        <v>43.76</v>
      </c>
      <c r="M1283" s="1">
        <v>89.7</v>
      </c>
      <c r="N1283" s="1">
        <v>2.9180000000000001E-2</v>
      </c>
      <c r="O1283" s="1">
        <v>2.496E-4</v>
      </c>
      <c r="P12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73.507465795113319</v>
      </c>
      <c r="Q1283" s="1">
        <f>LN(Table13[[#This Row],[qe_mg_g]]-Table13[[#This Row],[qt]])</f>
        <v>2.6404516574373149</v>
      </c>
      <c r="R1283" s="1">
        <v>1</v>
      </c>
    </row>
    <row r="1284" spans="1:18" hidden="1" x14ac:dyDescent="0.3">
      <c r="A1284" s="1">
        <v>1283</v>
      </c>
      <c r="B1284" s="1" t="s">
        <v>18</v>
      </c>
      <c r="C1284" s="1">
        <v>0.5</v>
      </c>
      <c r="D1284" s="1">
        <v>240</v>
      </c>
      <c r="E1284" s="1">
        <v>100</v>
      </c>
      <c r="F1284" s="1">
        <v>7</v>
      </c>
      <c r="G1284" s="1">
        <v>25</v>
      </c>
      <c r="H1284" s="1">
        <v>150</v>
      </c>
      <c r="I1284" s="1">
        <v>100</v>
      </c>
      <c r="J1284" s="1">
        <v>83.525000000000006</v>
      </c>
      <c r="K1284" s="1">
        <v>58.238</v>
      </c>
      <c r="L1284" s="1">
        <v>41.76</v>
      </c>
      <c r="M1284" s="1">
        <v>101.5</v>
      </c>
      <c r="N1284" s="1">
        <v>3.1309999999999998E-2</v>
      </c>
      <c r="O1284" s="1">
        <v>2.7109999999999998E-4</v>
      </c>
      <c r="P12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70.54413409939275</v>
      </c>
      <c r="Q1284" s="1">
        <f>LN(Table13[[#This Row],[qe_mg_g]]-Table13[[#This Row],[qt]])</f>
        <v>2.5634764194212649</v>
      </c>
      <c r="R1284" s="1">
        <v>2</v>
      </c>
    </row>
    <row r="1285" spans="1:18" hidden="1" x14ac:dyDescent="0.3">
      <c r="A1285" s="1">
        <v>1284</v>
      </c>
      <c r="B1285" s="1" t="s">
        <v>18</v>
      </c>
      <c r="C1285" s="1">
        <v>0.5</v>
      </c>
      <c r="D1285" s="1">
        <v>240</v>
      </c>
      <c r="E1285" s="1">
        <v>100</v>
      </c>
      <c r="F1285" s="1">
        <v>7</v>
      </c>
      <c r="G1285" s="1">
        <v>25</v>
      </c>
      <c r="H1285" s="1">
        <v>150</v>
      </c>
      <c r="I1285" s="1">
        <v>100</v>
      </c>
      <c r="J1285" s="1">
        <v>85.326999999999998</v>
      </c>
      <c r="K1285" s="1">
        <v>57.335999999999999</v>
      </c>
      <c r="L1285" s="1">
        <v>42.66</v>
      </c>
      <c r="M1285" s="1">
        <v>106.8</v>
      </c>
      <c r="N1285" s="1">
        <v>2.5250000000000002E-2</v>
      </c>
      <c r="O1285" s="1">
        <v>2.5129999999999998E-4</v>
      </c>
      <c r="P12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71.444207935058046</v>
      </c>
      <c r="Q1285" s="1">
        <f>LN(Table13[[#This Row],[qe_mg_g]]-Table13[[#This Row],[qt]])</f>
        <v>2.6306500922657854</v>
      </c>
      <c r="R1285" s="1">
        <v>3</v>
      </c>
    </row>
    <row r="1286" spans="1:18" hidden="1" x14ac:dyDescent="0.3">
      <c r="A1286" s="1">
        <v>1285</v>
      </c>
      <c r="B1286" s="1" t="s">
        <v>18</v>
      </c>
      <c r="C1286" s="1">
        <v>0.5</v>
      </c>
      <c r="D1286" s="1">
        <v>240</v>
      </c>
      <c r="E1286" s="1">
        <v>100</v>
      </c>
      <c r="F1286" s="1">
        <v>11</v>
      </c>
      <c r="G1286" s="1">
        <v>25</v>
      </c>
      <c r="H1286" s="1">
        <v>150</v>
      </c>
      <c r="I1286" s="1">
        <v>100</v>
      </c>
      <c r="J1286" s="1">
        <v>71.227000000000004</v>
      </c>
      <c r="K1286" s="1">
        <v>64.385999999999996</v>
      </c>
      <c r="L1286" s="1">
        <v>35.61</v>
      </c>
      <c r="M1286" s="1">
        <v>110.9</v>
      </c>
      <c r="N1286" s="1">
        <v>2.792E-2</v>
      </c>
      <c r="O1286" s="1">
        <v>2.3350000000000001E-4</v>
      </c>
      <c r="P12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56.957516193543206</v>
      </c>
      <c r="Q1286" s="1">
        <f>LN(Table13[[#This Row],[qe_mg_g]]-Table13[[#This Row],[qt]])</f>
        <v>2.6581232574957774</v>
      </c>
      <c r="R1286" s="1">
        <v>1</v>
      </c>
    </row>
    <row r="1287" spans="1:18" hidden="1" x14ac:dyDescent="0.3">
      <c r="A1287" s="1">
        <v>1286</v>
      </c>
      <c r="B1287" s="1" t="s">
        <v>18</v>
      </c>
      <c r="C1287" s="1">
        <v>0.5</v>
      </c>
      <c r="D1287" s="1">
        <v>240</v>
      </c>
      <c r="E1287" s="1">
        <v>100</v>
      </c>
      <c r="F1287" s="1">
        <v>11</v>
      </c>
      <c r="G1287" s="1">
        <v>25</v>
      </c>
      <c r="H1287" s="1">
        <v>150</v>
      </c>
      <c r="I1287" s="1">
        <v>100</v>
      </c>
      <c r="J1287" s="1">
        <v>64.751999999999995</v>
      </c>
      <c r="K1287" s="1">
        <v>67.623999999999995</v>
      </c>
      <c r="L1287" s="1">
        <v>32.380000000000003</v>
      </c>
      <c r="M1287" s="1">
        <v>108</v>
      </c>
      <c r="N1287" s="1">
        <v>3.3099999999999997E-2</v>
      </c>
      <c r="O1287" s="1">
        <v>2.398E-4</v>
      </c>
      <c r="P12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51.052532586006116</v>
      </c>
      <c r="Q1287" s="1">
        <f>LN(Table13[[#This Row],[qe_mg_g]]-Table13[[#This Row],[qt]])</f>
        <v>2.6173569571874733</v>
      </c>
      <c r="R1287" s="1">
        <v>2</v>
      </c>
    </row>
    <row r="1288" spans="1:18" hidden="1" x14ac:dyDescent="0.3">
      <c r="A1288" s="1">
        <v>1287</v>
      </c>
      <c r="B1288" s="1" t="s">
        <v>18</v>
      </c>
      <c r="C1288" s="1">
        <v>0.5</v>
      </c>
      <c r="D1288" s="1">
        <v>240</v>
      </c>
      <c r="E1288" s="1">
        <v>100</v>
      </c>
      <c r="F1288" s="1">
        <v>11</v>
      </c>
      <c r="G1288" s="1">
        <v>25</v>
      </c>
      <c r="H1288" s="1">
        <v>150</v>
      </c>
      <c r="I1288" s="1">
        <v>100</v>
      </c>
      <c r="J1288" s="1">
        <v>73.86</v>
      </c>
      <c r="K1288" s="1">
        <v>63.07</v>
      </c>
      <c r="L1288" s="1">
        <v>36.93</v>
      </c>
      <c r="M1288" s="1">
        <v>101.9</v>
      </c>
      <c r="N1288" s="1">
        <v>2.963E-2</v>
      </c>
      <c r="O1288" s="1">
        <v>2.4469999999999998E-4</v>
      </c>
      <c r="P12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60.022449974615043</v>
      </c>
      <c r="Q1288" s="1">
        <f>LN(Table13[[#This Row],[qe_mg_g]]-Table13[[#This Row],[qt]])</f>
        <v>2.6273859132321919</v>
      </c>
      <c r="R1288" s="1">
        <v>3</v>
      </c>
    </row>
    <row r="1289" spans="1:18" hidden="1" x14ac:dyDescent="0.3">
      <c r="A1289" s="1">
        <v>1288</v>
      </c>
      <c r="B1289" s="1" t="s">
        <v>18</v>
      </c>
      <c r="C1289" s="1">
        <v>0.5</v>
      </c>
      <c r="D1289" s="1">
        <v>240</v>
      </c>
      <c r="E1289" s="1">
        <v>200</v>
      </c>
      <c r="F1289" s="1">
        <v>3</v>
      </c>
      <c r="G1289" s="1">
        <v>25</v>
      </c>
      <c r="H1289" s="1">
        <v>150</v>
      </c>
      <c r="I1289" s="1">
        <v>100</v>
      </c>
      <c r="J1289" s="1">
        <v>73.605999999999995</v>
      </c>
      <c r="K1289" s="1">
        <v>163.197</v>
      </c>
      <c r="L1289" s="1">
        <v>18.399999999999999</v>
      </c>
      <c r="M1289" s="1">
        <v>104.9</v>
      </c>
      <c r="N1289" s="1">
        <v>3.6830000000000002E-2</v>
      </c>
      <c r="O1289" s="1">
        <v>2.287E-4</v>
      </c>
      <c r="P12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59.001884488742199</v>
      </c>
      <c r="Q1289" s="1">
        <f>LN(Table13[[#This Row],[qe_mg_g]]-Table13[[#This Row],[qt]])</f>
        <v>2.6813033733250924</v>
      </c>
      <c r="R1289" s="1">
        <v>1</v>
      </c>
    </row>
    <row r="1290" spans="1:18" hidden="1" x14ac:dyDescent="0.3">
      <c r="A1290" s="1">
        <v>1289</v>
      </c>
      <c r="B1290" s="1" t="s">
        <v>18</v>
      </c>
      <c r="C1290" s="1">
        <v>0.5</v>
      </c>
      <c r="D1290" s="1">
        <v>240</v>
      </c>
      <c r="E1290" s="1">
        <v>200</v>
      </c>
      <c r="F1290" s="1">
        <v>3</v>
      </c>
      <c r="G1290" s="1">
        <v>25</v>
      </c>
      <c r="H1290" s="1">
        <v>150</v>
      </c>
      <c r="I1290" s="1">
        <v>100</v>
      </c>
      <c r="J1290" s="1">
        <v>72.186999999999998</v>
      </c>
      <c r="K1290" s="1">
        <v>163.90600000000001</v>
      </c>
      <c r="L1290" s="1">
        <v>18.05</v>
      </c>
      <c r="M1290" s="1">
        <v>92.1</v>
      </c>
      <c r="N1290" s="1">
        <v>2.7390000000000001E-2</v>
      </c>
      <c r="O1290" s="1">
        <v>2.497E-4</v>
      </c>
      <c r="P12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58.633358513868664</v>
      </c>
      <c r="Q1290" s="1">
        <f>LN(Table13[[#This Row],[qe_mg_g]]-Table13[[#This Row],[qt]])</f>
        <v>2.6066552555843479</v>
      </c>
      <c r="R1290" s="1">
        <v>2</v>
      </c>
    </row>
    <row r="1291" spans="1:18" hidden="1" x14ac:dyDescent="0.3">
      <c r="A1291" s="1">
        <v>1290</v>
      </c>
      <c r="B1291" s="1" t="s">
        <v>18</v>
      </c>
      <c r="C1291" s="1">
        <v>0.5</v>
      </c>
      <c r="D1291" s="1">
        <v>240</v>
      </c>
      <c r="E1291" s="1">
        <v>200</v>
      </c>
      <c r="F1291" s="1">
        <v>3</v>
      </c>
      <c r="G1291" s="1">
        <v>25</v>
      </c>
      <c r="H1291" s="1">
        <v>150</v>
      </c>
      <c r="I1291" s="1">
        <v>100</v>
      </c>
      <c r="J1291" s="1">
        <v>69.823999999999998</v>
      </c>
      <c r="K1291" s="1">
        <v>165.08799999999999</v>
      </c>
      <c r="L1291" s="1">
        <v>17.46</v>
      </c>
      <c r="M1291" s="1">
        <v>143.80000000000001</v>
      </c>
      <c r="N1291" s="1">
        <v>2.945E-2</v>
      </c>
      <c r="O1291" s="1">
        <v>2.2169999999999999E-4</v>
      </c>
      <c r="P12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55.01570592199289</v>
      </c>
      <c r="Q1291" s="1">
        <f>LN(Table13[[#This Row],[qe_mg_g]]-Table13[[#This Row],[qt]])</f>
        <v>2.6951874344748052</v>
      </c>
      <c r="R1291" s="1">
        <v>3</v>
      </c>
    </row>
    <row r="1292" spans="1:18" hidden="1" x14ac:dyDescent="0.3">
      <c r="A1292" s="1">
        <v>1291</v>
      </c>
      <c r="B1292" s="1" t="s">
        <v>18</v>
      </c>
      <c r="C1292" s="1">
        <v>0.5</v>
      </c>
      <c r="D1292" s="1">
        <v>240</v>
      </c>
      <c r="E1292" s="1">
        <v>200</v>
      </c>
      <c r="F1292" s="1">
        <v>7</v>
      </c>
      <c r="G1292" s="1">
        <v>25</v>
      </c>
      <c r="H1292" s="1">
        <v>150</v>
      </c>
      <c r="I1292" s="1">
        <v>100</v>
      </c>
      <c r="J1292" s="1">
        <v>98.338999999999999</v>
      </c>
      <c r="K1292" s="1">
        <v>150.83099999999999</v>
      </c>
      <c r="L1292" s="1">
        <v>24.58</v>
      </c>
      <c r="M1292" s="1">
        <v>68.900000000000006</v>
      </c>
      <c r="N1292" s="1">
        <v>2.972E-2</v>
      </c>
      <c r="O1292" s="1">
        <v>2.5040000000000001E-4</v>
      </c>
      <c r="P12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84.10714424513219</v>
      </c>
      <c r="Q1292" s="1">
        <f>LN(Table13[[#This Row],[qe_mg_g]]-Table13[[#This Row],[qt]])</f>
        <v>2.6554828150443113</v>
      </c>
      <c r="R1292" s="1">
        <v>1</v>
      </c>
    </row>
    <row r="1293" spans="1:18" hidden="1" x14ac:dyDescent="0.3">
      <c r="A1293" s="1">
        <v>1292</v>
      </c>
      <c r="B1293" s="1" t="s">
        <v>18</v>
      </c>
      <c r="C1293" s="1">
        <v>0.5</v>
      </c>
      <c r="D1293" s="1">
        <v>240</v>
      </c>
      <c r="E1293" s="1">
        <v>200</v>
      </c>
      <c r="F1293" s="1">
        <v>7</v>
      </c>
      <c r="G1293" s="1">
        <v>25</v>
      </c>
      <c r="H1293" s="1">
        <v>150</v>
      </c>
      <c r="I1293" s="1">
        <v>100</v>
      </c>
      <c r="J1293" s="1">
        <v>102.84399999999999</v>
      </c>
      <c r="K1293" s="1">
        <v>148.578</v>
      </c>
      <c r="L1293" s="1">
        <v>25.71</v>
      </c>
      <c r="M1293" s="1">
        <v>114.6</v>
      </c>
      <c r="N1293" s="1">
        <v>2.8490000000000001E-2</v>
      </c>
      <c r="O1293" s="1">
        <v>2.4620000000000002E-4</v>
      </c>
      <c r="P12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88.31153793325862</v>
      </c>
      <c r="Q1293" s="1">
        <f>LN(Table13[[#This Row],[qe_mg_g]]-Table13[[#This Row],[qt]])</f>
        <v>2.6763849103536899</v>
      </c>
      <c r="R1293" s="1">
        <v>2</v>
      </c>
    </row>
    <row r="1294" spans="1:18" hidden="1" x14ac:dyDescent="0.3">
      <c r="A1294" s="1">
        <v>1293</v>
      </c>
      <c r="B1294" s="1" t="s">
        <v>18</v>
      </c>
      <c r="C1294" s="1">
        <v>0.5</v>
      </c>
      <c r="D1294" s="1">
        <v>240</v>
      </c>
      <c r="E1294" s="1">
        <v>200</v>
      </c>
      <c r="F1294" s="1">
        <v>7</v>
      </c>
      <c r="G1294" s="1">
        <v>25</v>
      </c>
      <c r="H1294" s="1">
        <v>150</v>
      </c>
      <c r="I1294" s="1">
        <v>100</v>
      </c>
      <c r="J1294" s="1">
        <v>89.363</v>
      </c>
      <c r="K1294" s="1">
        <v>155.31899999999999</v>
      </c>
      <c r="L1294" s="1">
        <v>22.34</v>
      </c>
      <c r="M1294" s="1">
        <v>83.1</v>
      </c>
      <c r="N1294" s="1">
        <v>3.0929999999999999E-2</v>
      </c>
      <c r="O1294" s="1">
        <v>2.1819999999999999E-4</v>
      </c>
      <c r="P12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73.62941705318454</v>
      </c>
      <c r="Q1294" s="1">
        <f>LN(Table13[[#This Row],[qe_mg_g]]-Table13[[#This Row],[qt]])</f>
        <v>2.7557974690612426</v>
      </c>
      <c r="R1294" s="1">
        <v>3</v>
      </c>
    </row>
    <row r="1295" spans="1:18" hidden="1" x14ac:dyDescent="0.3">
      <c r="A1295" s="1">
        <v>1294</v>
      </c>
      <c r="B1295" s="1" t="s">
        <v>18</v>
      </c>
      <c r="C1295" s="1">
        <v>0.5</v>
      </c>
      <c r="D1295" s="1">
        <v>240</v>
      </c>
      <c r="E1295" s="1">
        <v>200</v>
      </c>
      <c r="F1295" s="1">
        <v>11</v>
      </c>
      <c r="G1295" s="1">
        <v>25</v>
      </c>
      <c r="H1295" s="1">
        <v>150</v>
      </c>
      <c r="I1295" s="1">
        <v>100</v>
      </c>
      <c r="J1295" s="1">
        <v>76.763000000000005</v>
      </c>
      <c r="K1295" s="1">
        <v>161.61799999999999</v>
      </c>
      <c r="L1295" s="1">
        <v>19.190000000000001</v>
      </c>
      <c r="M1295" s="1">
        <v>85.1</v>
      </c>
      <c r="N1295" s="1">
        <v>3.1649999999999998E-2</v>
      </c>
      <c r="O1295" s="1">
        <v>2.9500000000000001E-4</v>
      </c>
      <c r="P12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64.833684925409884</v>
      </c>
      <c r="Q1295" s="1">
        <f>LN(Table13[[#This Row],[qe_mg_g]]-Table13[[#This Row],[qt]])</f>
        <v>2.478998822440746</v>
      </c>
      <c r="R1295" s="1">
        <v>1</v>
      </c>
    </row>
    <row r="1296" spans="1:18" hidden="1" x14ac:dyDescent="0.3">
      <c r="A1296" s="1">
        <v>1295</v>
      </c>
      <c r="B1296" s="1" t="s">
        <v>18</v>
      </c>
      <c r="C1296" s="1">
        <v>0.5</v>
      </c>
      <c r="D1296" s="1">
        <v>240</v>
      </c>
      <c r="E1296" s="1">
        <v>200</v>
      </c>
      <c r="F1296" s="1">
        <v>11</v>
      </c>
      <c r="G1296" s="1">
        <v>25</v>
      </c>
      <c r="H1296" s="1">
        <v>150</v>
      </c>
      <c r="I1296" s="1">
        <v>100</v>
      </c>
      <c r="J1296" s="1">
        <v>70.397999999999996</v>
      </c>
      <c r="K1296" s="1">
        <v>164.80099999999999</v>
      </c>
      <c r="L1296" s="1">
        <v>17.600000000000001</v>
      </c>
      <c r="M1296" s="1">
        <v>72.2</v>
      </c>
      <c r="N1296" s="1">
        <v>2.963E-2</v>
      </c>
      <c r="O1296" s="1">
        <v>2.5040000000000001E-4</v>
      </c>
      <c r="P12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56.939221701717045</v>
      </c>
      <c r="Q1296" s="1">
        <f>LN(Table13[[#This Row],[qe_mg_g]]-Table13[[#This Row],[qt]])</f>
        <v>2.5996315547392785</v>
      </c>
      <c r="R1296" s="1">
        <v>2</v>
      </c>
    </row>
    <row r="1297" spans="1:18" hidden="1" x14ac:dyDescent="0.3">
      <c r="A1297" s="1">
        <v>1296</v>
      </c>
      <c r="B1297" s="1" t="s">
        <v>18</v>
      </c>
      <c r="C1297" s="1">
        <v>0.5</v>
      </c>
      <c r="D1297" s="1">
        <v>240</v>
      </c>
      <c r="E1297" s="1">
        <v>200</v>
      </c>
      <c r="F1297" s="1">
        <v>11</v>
      </c>
      <c r="G1297" s="1">
        <v>25</v>
      </c>
      <c r="H1297" s="1">
        <v>150</v>
      </c>
      <c r="I1297" s="1">
        <v>100</v>
      </c>
      <c r="J1297" s="1">
        <v>81.308000000000007</v>
      </c>
      <c r="K1297" s="1">
        <v>159.346</v>
      </c>
      <c r="L1297" s="1">
        <v>20.329999999999998</v>
      </c>
      <c r="M1297" s="1">
        <v>93.3</v>
      </c>
      <c r="N1297" s="1">
        <v>2.9399999999999999E-2</v>
      </c>
      <c r="O1297" s="1">
        <v>2.5920000000000001E-4</v>
      </c>
      <c r="P12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67.886426581638844</v>
      </c>
      <c r="Q1297" s="1">
        <f>LN(Table13[[#This Row],[qe_mg_g]]-Table13[[#This Row],[qt]])</f>
        <v>2.5968633689601686</v>
      </c>
      <c r="R1297" s="1">
        <v>3</v>
      </c>
    </row>
    <row r="1298" spans="1:18" hidden="1" x14ac:dyDescent="0.3">
      <c r="A1298" s="1">
        <v>1297</v>
      </c>
      <c r="B1298" s="1" t="s">
        <v>18</v>
      </c>
      <c r="C1298" s="1">
        <v>1</v>
      </c>
      <c r="D1298" s="1">
        <v>30</v>
      </c>
      <c r="E1298" s="1">
        <v>25</v>
      </c>
      <c r="F1298" s="1">
        <v>3</v>
      </c>
      <c r="G1298" s="1">
        <v>25</v>
      </c>
      <c r="H1298" s="1">
        <v>150</v>
      </c>
      <c r="I1298" s="1">
        <v>100</v>
      </c>
      <c r="J1298" s="1">
        <v>1.986</v>
      </c>
      <c r="K1298" s="1">
        <v>23.013999999999999</v>
      </c>
      <c r="L1298" s="1">
        <v>7.94</v>
      </c>
      <c r="M1298" s="1">
        <v>70.7</v>
      </c>
      <c r="N1298" s="1">
        <v>2.8889999999999999E-2</v>
      </c>
      <c r="O1298" s="1">
        <v>2.5530000000000003E-4</v>
      </c>
      <c r="P12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2.9755985592012639E-2</v>
      </c>
      <c r="Q1298" s="1">
        <f>LN(Table13[[#This Row],[qe_mg_g]]-Table13[[#This Row],[qt]])</f>
        <v>0.67102631557409886</v>
      </c>
      <c r="R1298" s="1">
        <v>1</v>
      </c>
    </row>
    <row r="1299" spans="1:18" hidden="1" x14ac:dyDescent="0.3">
      <c r="A1299" s="1">
        <v>1298</v>
      </c>
      <c r="B1299" s="1" t="s">
        <v>18</v>
      </c>
      <c r="C1299" s="1">
        <v>1</v>
      </c>
      <c r="D1299" s="1">
        <v>30</v>
      </c>
      <c r="E1299" s="1">
        <v>25</v>
      </c>
      <c r="F1299" s="1">
        <v>3</v>
      </c>
      <c r="G1299" s="1">
        <v>25</v>
      </c>
      <c r="H1299" s="1">
        <v>150</v>
      </c>
      <c r="I1299" s="1">
        <v>100</v>
      </c>
      <c r="J1299" s="1">
        <v>1.6659999999999999</v>
      </c>
      <c r="K1299" s="1">
        <v>23.334</v>
      </c>
      <c r="L1299" s="1">
        <v>6.66</v>
      </c>
      <c r="M1299" s="1">
        <v>126</v>
      </c>
      <c r="N1299" s="1">
        <v>2.809E-2</v>
      </c>
      <c r="O1299" s="1">
        <v>2.4899999999999998E-4</v>
      </c>
      <c r="P12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2.047854738818311E-2</v>
      </c>
      <c r="Q1299" s="1">
        <f>LN(Table13[[#This Row],[qe_mg_g]]-Table13[[#This Row],[qt]])</f>
        <v>0.49805732645502715</v>
      </c>
      <c r="R1299" s="1">
        <v>2</v>
      </c>
    </row>
    <row r="1300" spans="1:18" hidden="1" x14ac:dyDescent="0.3">
      <c r="A1300" s="1">
        <v>1299</v>
      </c>
      <c r="B1300" s="1" t="s">
        <v>18</v>
      </c>
      <c r="C1300" s="1">
        <v>1</v>
      </c>
      <c r="D1300" s="1">
        <v>30</v>
      </c>
      <c r="E1300" s="1">
        <v>25</v>
      </c>
      <c r="F1300" s="1">
        <v>3</v>
      </c>
      <c r="G1300" s="1">
        <v>25</v>
      </c>
      <c r="H1300" s="1">
        <v>150</v>
      </c>
      <c r="I1300" s="1">
        <v>100</v>
      </c>
      <c r="J1300" s="1">
        <v>1.9059999999999999</v>
      </c>
      <c r="K1300" s="1">
        <v>23.094000000000001</v>
      </c>
      <c r="L1300" s="1">
        <v>7.63</v>
      </c>
      <c r="M1300" s="1">
        <v>91.1</v>
      </c>
      <c r="N1300" s="1">
        <v>2.4459999999999999E-2</v>
      </c>
      <c r="O1300" s="1">
        <v>2.3929999999999999E-4</v>
      </c>
      <c r="P13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2.5728087742728965E-2</v>
      </c>
      <c r="Q1300" s="1">
        <f>LN(Table13[[#This Row],[qe_mg_g]]-Table13[[#This Row],[qt]])</f>
        <v>0.63141640056274273</v>
      </c>
      <c r="R1300" s="1">
        <v>3</v>
      </c>
    </row>
    <row r="1301" spans="1:18" hidden="1" x14ac:dyDescent="0.3">
      <c r="A1301" s="1">
        <v>1300</v>
      </c>
      <c r="B1301" s="1" t="s">
        <v>18</v>
      </c>
      <c r="C1301" s="1">
        <v>1</v>
      </c>
      <c r="D1301" s="1">
        <v>30</v>
      </c>
      <c r="E1301" s="1">
        <v>25</v>
      </c>
      <c r="F1301" s="1">
        <v>7</v>
      </c>
      <c r="G1301" s="1">
        <v>25</v>
      </c>
      <c r="H1301" s="1">
        <v>150</v>
      </c>
      <c r="I1301" s="1">
        <v>100</v>
      </c>
      <c r="J1301" s="1">
        <v>3.4009999999999998</v>
      </c>
      <c r="K1301" s="1">
        <v>21.599</v>
      </c>
      <c r="L1301" s="1">
        <v>13.6</v>
      </c>
      <c r="M1301" s="1">
        <v>94.9</v>
      </c>
      <c r="N1301" s="1">
        <v>2.7459999999999998E-2</v>
      </c>
      <c r="O1301" s="1">
        <v>2.7310000000000002E-4</v>
      </c>
      <c r="P13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9.2197765812673693E-2</v>
      </c>
      <c r="Q1301" s="1">
        <f>LN(Table13[[#This Row],[qe_mg_g]]-Table13[[#This Row],[qt]])</f>
        <v>1.1965862611175504</v>
      </c>
      <c r="R1301" s="1">
        <v>1</v>
      </c>
    </row>
    <row r="1302" spans="1:18" hidden="1" x14ac:dyDescent="0.3">
      <c r="A1302" s="1">
        <v>1301</v>
      </c>
      <c r="B1302" s="1" t="s">
        <v>18</v>
      </c>
      <c r="C1302" s="1">
        <v>1</v>
      </c>
      <c r="D1302" s="1">
        <v>30</v>
      </c>
      <c r="E1302" s="1">
        <v>25</v>
      </c>
      <c r="F1302" s="1">
        <v>7</v>
      </c>
      <c r="G1302" s="1">
        <v>25</v>
      </c>
      <c r="H1302" s="1">
        <v>150</v>
      </c>
      <c r="I1302" s="1">
        <v>100</v>
      </c>
      <c r="J1302" s="1">
        <v>3.02</v>
      </c>
      <c r="K1302" s="1">
        <v>21.98</v>
      </c>
      <c r="L1302" s="1">
        <v>12.08</v>
      </c>
      <c r="M1302" s="1">
        <v>92.3</v>
      </c>
      <c r="N1302" s="1">
        <v>3.0450000000000001E-2</v>
      </c>
      <c r="O1302" s="1">
        <v>2.6929999999999999E-4</v>
      </c>
      <c r="P13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7.1928752185501849E-2</v>
      </c>
      <c r="Q1302" s="1">
        <f>LN(Table13[[#This Row],[qe_mg_g]]-Table13[[#This Row],[qt]])</f>
        <v>1.0811511422217805</v>
      </c>
      <c r="R1302" s="1">
        <v>2</v>
      </c>
    </row>
    <row r="1303" spans="1:18" hidden="1" x14ac:dyDescent="0.3">
      <c r="A1303" s="1">
        <v>1302</v>
      </c>
      <c r="B1303" s="1" t="s">
        <v>18</v>
      </c>
      <c r="C1303" s="1">
        <v>1</v>
      </c>
      <c r="D1303" s="1">
        <v>30</v>
      </c>
      <c r="E1303" s="1">
        <v>25</v>
      </c>
      <c r="F1303" s="1">
        <v>7</v>
      </c>
      <c r="G1303" s="1">
        <v>25</v>
      </c>
      <c r="H1303" s="1">
        <v>150</v>
      </c>
      <c r="I1303" s="1">
        <v>100</v>
      </c>
      <c r="J1303" s="1">
        <v>3.78</v>
      </c>
      <c r="K1303" s="1">
        <v>21.22</v>
      </c>
      <c r="L1303" s="1">
        <v>15.12</v>
      </c>
      <c r="M1303" s="1">
        <v>112.4</v>
      </c>
      <c r="N1303" s="1">
        <v>3.3480000000000003E-2</v>
      </c>
      <c r="O1303" s="1">
        <v>2.374E-4</v>
      </c>
      <c r="P13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9.9094252571443761E-2</v>
      </c>
      <c r="Q1303" s="1">
        <f>LN(Table13[[#This Row],[qe_mg_g]]-Table13[[#This Row],[qt]])</f>
        <v>1.3031588489151833</v>
      </c>
      <c r="R1303" s="1">
        <v>3</v>
      </c>
    </row>
    <row r="1304" spans="1:18" hidden="1" x14ac:dyDescent="0.3">
      <c r="A1304" s="1">
        <v>1303</v>
      </c>
      <c r="B1304" s="1" t="s">
        <v>18</v>
      </c>
      <c r="C1304" s="1">
        <v>1</v>
      </c>
      <c r="D1304" s="1">
        <v>30</v>
      </c>
      <c r="E1304" s="1">
        <v>25</v>
      </c>
      <c r="F1304" s="1">
        <v>11</v>
      </c>
      <c r="G1304" s="1">
        <v>25</v>
      </c>
      <c r="H1304" s="1">
        <v>150</v>
      </c>
      <c r="I1304" s="1">
        <v>100</v>
      </c>
      <c r="J1304" s="1">
        <v>2.0859999999999999</v>
      </c>
      <c r="K1304" s="1">
        <v>22.914000000000001</v>
      </c>
      <c r="L1304" s="1">
        <v>8.34</v>
      </c>
      <c r="M1304" s="1">
        <v>100.9</v>
      </c>
      <c r="N1304" s="1">
        <v>3.032E-2</v>
      </c>
      <c r="O1304" s="1">
        <v>2.23E-4</v>
      </c>
      <c r="P13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2.8710178931549386E-2</v>
      </c>
      <c r="Q1304" s="1">
        <f>LN(Table13[[#This Row],[qe_mg_g]]-Table13[[#This Row],[qt]])</f>
        <v>0.72138949577203282</v>
      </c>
      <c r="R1304" s="1">
        <v>1</v>
      </c>
    </row>
    <row r="1305" spans="1:18" hidden="1" x14ac:dyDescent="0.3">
      <c r="A1305" s="1">
        <v>1304</v>
      </c>
      <c r="B1305" s="1" t="s">
        <v>18</v>
      </c>
      <c r="C1305" s="1">
        <v>1</v>
      </c>
      <c r="D1305" s="1">
        <v>30</v>
      </c>
      <c r="E1305" s="1">
        <v>25</v>
      </c>
      <c r="F1305" s="1">
        <v>11</v>
      </c>
      <c r="G1305" s="1">
        <v>25</v>
      </c>
      <c r="H1305" s="1">
        <v>150</v>
      </c>
      <c r="I1305" s="1">
        <v>100</v>
      </c>
      <c r="J1305" s="1">
        <v>2.262</v>
      </c>
      <c r="K1305" s="1">
        <v>22.738</v>
      </c>
      <c r="L1305" s="1">
        <v>9.0500000000000007</v>
      </c>
      <c r="M1305" s="1">
        <v>106</v>
      </c>
      <c r="N1305" s="1">
        <v>3.108E-2</v>
      </c>
      <c r="O1305" s="1">
        <v>2.6259999999999999E-4</v>
      </c>
      <c r="P13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3.9603191140167332E-2</v>
      </c>
      <c r="Q1305" s="1">
        <f>LN(Table13[[#This Row],[qe_mg_g]]-Table13[[#This Row],[qt]])</f>
        <v>0.7985862571187079</v>
      </c>
      <c r="R1305" s="1">
        <v>2</v>
      </c>
    </row>
    <row r="1306" spans="1:18" hidden="1" x14ac:dyDescent="0.3">
      <c r="A1306" s="1">
        <v>1305</v>
      </c>
      <c r="B1306" s="1" t="s">
        <v>18</v>
      </c>
      <c r="C1306" s="1">
        <v>1</v>
      </c>
      <c r="D1306" s="1">
        <v>30</v>
      </c>
      <c r="E1306" s="1">
        <v>25</v>
      </c>
      <c r="F1306" s="1">
        <v>11</v>
      </c>
      <c r="G1306" s="1">
        <v>25</v>
      </c>
      <c r="H1306" s="1">
        <v>150</v>
      </c>
      <c r="I1306" s="1">
        <v>100</v>
      </c>
      <c r="J1306" s="1">
        <v>2.3580000000000001</v>
      </c>
      <c r="K1306" s="1">
        <v>22.641999999999999</v>
      </c>
      <c r="L1306" s="1">
        <v>9.43</v>
      </c>
      <c r="M1306" s="1">
        <v>92.4</v>
      </c>
      <c r="N1306" s="1">
        <v>2.8459999999999999E-2</v>
      </c>
      <c r="O1306" s="1">
        <v>2.2000000000000001E-4</v>
      </c>
      <c r="P13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3.6134724903275309E-2</v>
      </c>
      <c r="Q1306" s="1">
        <f>LN(Table13[[#This Row],[qe_mg_g]]-Table13[[#This Row],[qt]])</f>
        <v>0.84237086053157084</v>
      </c>
      <c r="R1306" s="1">
        <v>3</v>
      </c>
    </row>
    <row r="1307" spans="1:18" hidden="1" x14ac:dyDescent="0.3">
      <c r="A1307" s="1">
        <v>1306</v>
      </c>
      <c r="B1307" s="1" t="s">
        <v>18</v>
      </c>
      <c r="C1307" s="1">
        <v>1</v>
      </c>
      <c r="D1307" s="1">
        <v>30</v>
      </c>
      <c r="E1307" s="1">
        <v>50</v>
      </c>
      <c r="F1307" s="1">
        <v>3</v>
      </c>
      <c r="G1307" s="1">
        <v>25</v>
      </c>
      <c r="H1307" s="1">
        <v>150</v>
      </c>
      <c r="I1307" s="1">
        <v>100</v>
      </c>
      <c r="J1307" s="1">
        <v>7.1849999999999996</v>
      </c>
      <c r="K1307" s="1">
        <v>42.814999999999998</v>
      </c>
      <c r="L1307" s="1">
        <v>14.37</v>
      </c>
      <c r="M1307" s="1">
        <v>100.2</v>
      </c>
      <c r="N1307" s="1">
        <v>2.9329999999999998E-2</v>
      </c>
      <c r="O1307" s="1">
        <v>2.2680000000000001E-4</v>
      </c>
      <c r="P13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0.33488003375845898</v>
      </c>
      <c r="Q1307" s="1">
        <f>LN(Table13[[#This Row],[qe_mg_g]]-Table13[[#This Row],[qt]])</f>
        <v>1.9242661654407105</v>
      </c>
      <c r="R1307" s="1">
        <v>1</v>
      </c>
    </row>
    <row r="1308" spans="1:18" hidden="1" x14ac:dyDescent="0.3">
      <c r="A1308" s="1">
        <v>1307</v>
      </c>
      <c r="B1308" s="1" t="s">
        <v>18</v>
      </c>
      <c r="C1308" s="1">
        <v>1</v>
      </c>
      <c r="D1308" s="1">
        <v>30</v>
      </c>
      <c r="E1308" s="1">
        <v>50</v>
      </c>
      <c r="F1308" s="1">
        <v>3</v>
      </c>
      <c r="G1308" s="1">
        <v>25</v>
      </c>
      <c r="H1308" s="1">
        <v>150</v>
      </c>
      <c r="I1308" s="1">
        <v>100</v>
      </c>
      <c r="J1308" s="1">
        <v>7.827</v>
      </c>
      <c r="K1308" s="1">
        <v>42.173000000000002</v>
      </c>
      <c r="L1308" s="1">
        <v>15.65</v>
      </c>
      <c r="M1308" s="1">
        <v>83.9</v>
      </c>
      <c r="N1308" s="1">
        <v>2.8709999999999999E-2</v>
      </c>
      <c r="O1308" s="1">
        <v>2.6039999999999999E-4</v>
      </c>
      <c r="P13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0.45100189326143103</v>
      </c>
      <c r="Q1308" s="1">
        <f>LN(Table13[[#This Row],[qe_mg_g]]-Table13[[#This Row],[qt]])</f>
        <v>1.9982312295756492</v>
      </c>
      <c r="R1308" s="1">
        <v>2</v>
      </c>
    </row>
    <row r="1309" spans="1:18" hidden="1" x14ac:dyDescent="0.3">
      <c r="A1309" s="1">
        <v>1308</v>
      </c>
      <c r="B1309" s="1" t="s">
        <v>18</v>
      </c>
      <c r="C1309" s="1">
        <v>1</v>
      </c>
      <c r="D1309" s="1">
        <v>30</v>
      </c>
      <c r="E1309" s="1">
        <v>50</v>
      </c>
      <c r="F1309" s="1">
        <v>3</v>
      </c>
      <c r="G1309" s="1">
        <v>25</v>
      </c>
      <c r="H1309" s="1">
        <v>150</v>
      </c>
      <c r="I1309" s="1">
        <v>100</v>
      </c>
      <c r="J1309" s="1">
        <v>6.5250000000000004</v>
      </c>
      <c r="K1309" s="1">
        <v>43.475000000000001</v>
      </c>
      <c r="L1309" s="1">
        <v>13.05</v>
      </c>
      <c r="M1309" s="1">
        <v>114.4</v>
      </c>
      <c r="N1309" s="1">
        <v>3.542E-2</v>
      </c>
      <c r="O1309" s="1">
        <v>2.6269999999999999E-4</v>
      </c>
      <c r="P13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0.31912782303877019</v>
      </c>
      <c r="Q1309" s="1">
        <f>LN(Table13[[#This Row],[qe_mg_g]]-Table13[[#This Row],[qt]])</f>
        <v>1.825495969127195</v>
      </c>
      <c r="R1309" s="1">
        <v>3</v>
      </c>
    </row>
    <row r="1310" spans="1:18" hidden="1" x14ac:dyDescent="0.3">
      <c r="A1310" s="1">
        <v>1309</v>
      </c>
      <c r="B1310" s="1" t="s">
        <v>18</v>
      </c>
      <c r="C1310" s="1">
        <v>1</v>
      </c>
      <c r="D1310" s="1">
        <v>30</v>
      </c>
      <c r="E1310" s="1">
        <v>50</v>
      </c>
      <c r="F1310" s="1">
        <v>7</v>
      </c>
      <c r="G1310" s="1">
        <v>25</v>
      </c>
      <c r="H1310" s="1">
        <v>150</v>
      </c>
      <c r="I1310" s="1">
        <v>100</v>
      </c>
      <c r="J1310" s="1">
        <v>9.3529999999999998</v>
      </c>
      <c r="K1310" s="1">
        <v>40.646999999999998</v>
      </c>
      <c r="L1310" s="1">
        <v>18.71</v>
      </c>
      <c r="M1310" s="1">
        <v>96.1</v>
      </c>
      <c r="N1310" s="1">
        <v>3.092E-2</v>
      </c>
      <c r="O1310" s="1">
        <v>3.0170000000000002E-4</v>
      </c>
      <c r="P13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0.7299736947165445</v>
      </c>
      <c r="Q1310" s="1">
        <f>LN(Table13[[#This Row],[qe_mg_g]]-Table13[[#This Row],[qt]])</f>
        <v>2.1544361025608554</v>
      </c>
      <c r="R1310" s="1">
        <v>1</v>
      </c>
    </row>
    <row r="1311" spans="1:18" hidden="1" x14ac:dyDescent="0.3">
      <c r="A1311" s="1">
        <v>1310</v>
      </c>
      <c r="B1311" s="1" t="s">
        <v>18</v>
      </c>
      <c r="C1311" s="1">
        <v>1</v>
      </c>
      <c r="D1311" s="1">
        <v>30</v>
      </c>
      <c r="E1311" s="1">
        <v>50</v>
      </c>
      <c r="F1311" s="1">
        <v>7</v>
      </c>
      <c r="G1311" s="1">
        <v>25</v>
      </c>
      <c r="H1311" s="1">
        <v>150</v>
      </c>
      <c r="I1311" s="1">
        <v>100</v>
      </c>
      <c r="J1311" s="1">
        <v>9.0350000000000001</v>
      </c>
      <c r="K1311" s="1">
        <v>40.965000000000003</v>
      </c>
      <c r="L1311" s="1">
        <v>18.07</v>
      </c>
      <c r="M1311" s="1">
        <v>118</v>
      </c>
      <c r="N1311" s="1">
        <v>3.0540000000000001E-2</v>
      </c>
      <c r="O1311" s="1">
        <v>2.7090000000000003E-4</v>
      </c>
      <c r="P13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0.61803615015172264</v>
      </c>
      <c r="Q1311" s="1">
        <f>LN(Table13[[#This Row],[qe_mg_g]]-Table13[[#This Row],[qt]])</f>
        <v>2.1302491753227795</v>
      </c>
      <c r="R1311" s="1">
        <v>2</v>
      </c>
    </row>
    <row r="1312" spans="1:18" hidden="1" x14ac:dyDescent="0.3">
      <c r="A1312" s="1">
        <v>1311</v>
      </c>
      <c r="B1312" s="1" t="s">
        <v>18</v>
      </c>
      <c r="C1312" s="1">
        <v>1</v>
      </c>
      <c r="D1312" s="1">
        <v>30</v>
      </c>
      <c r="E1312" s="1">
        <v>50</v>
      </c>
      <c r="F1312" s="1">
        <v>7</v>
      </c>
      <c r="G1312" s="1">
        <v>25</v>
      </c>
      <c r="H1312" s="1">
        <v>150</v>
      </c>
      <c r="I1312" s="1">
        <v>100</v>
      </c>
      <c r="J1312" s="1">
        <v>10.24</v>
      </c>
      <c r="K1312" s="1">
        <v>39.76</v>
      </c>
      <c r="L1312" s="1">
        <v>20.48</v>
      </c>
      <c r="M1312" s="1">
        <v>87.4</v>
      </c>
      <c r="N1312" s="1">
        <v>3.2250000000000001E-2</v>
      </c>
      <c r="O1312" s="1">
        <v>2.6640000000000002E-4</v>
      </c>
      <c r="P13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0.77462788072684596</v>
      </c>
      <c r="Q1312" s="1">
        <f>LN(Table13[[#This Row],[qe_mg_g]]-Table13[[#This Row],[qt]])</f>
        <v>2.2476400991840917</v>
      </c>
      <c r="R1312" s="1">
        <v>3</v>
      </c>
    </row>
    <row r="1313" spans="1:18" hidden="1" x14ac:dyDescent="0.3">
      <c r="A1313" s="1">
        <v>1312</v>
      </c>
      <c r="B1313" s="1" t="s">
        <v>18</v>
      </c>
      <c r="C1313" s="1">
        <v>1</v>
      </c>
      <c r="D1313" s="1">
        <v>30</v>
      </c>
      <c r="E1313" s="1">
        <v>50</v>
      </c>
      <c r="F1313" s="1">
        <v>11</v>
      </c>
      <c r="G1313" s="1">
        <v>25</v>
      </c>
      <c r="H1313" s="1">
        <v>150</v>
      </c>
      <c r="I1313" s="1">
        <v>100</v>
      </c>
      <c r="J1313" s="1">
        <v>8.4290000000000003</v>
      </c>
      <c r="K1313" s="1">
        <v>41.570999999999998</v>
      </c>
      <c r="L1313" s="1">
        <v>16.86</v>
      </c>
      <c r="M1313" s="1">
        <v>99.8</v>
      </c>
      <c r="N1313" s="1">
        <v>2.8199999999999999E-2</v>
      </c>
      <c r="O1313" s="1">
        <v>2.1100000000000001E-4</v>
      </c>
      <c r="P13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0.42695373940064707</v>
      </c>
      <c r="Q1313" s="1">
        <f>LN(Table13[[#This Row],[qe_mg_g]]-Table13[[#This Row],[qt]])</f>
        <v>2.0796972915479692</v>
      </c>
      <c r="R1313" s="1">
        <v>1</v>
      </c>
    </row>
    <row r="1314" spans="1:18" hidden="1" x14ac:dyDescent="0.3">
      <c r="A1314" s="1">
        <v>1313</v>
      </c>
      <c r="B1314" s="1" t="s">
        <v>18</v>
      </c>
      <c r="C1314" s="1">
        <v>1</v>
      </c>
      <c r="D1314" s="1">
        <v>30</v>
      </c>
      <c r="E1314" s="1">
        <v>50</v>
      </c>
      <c r="F1314" s="1">
        <v>11</v>
      </c>
      <c r="G1314" s="1">
        <v>25</v>
      </c>
      <c r="H1314" s="1">
        <v>150</v>
      </c>
      <c r="I1314" s="1">
        <v>100</v>
      </c>
      <c r="J1314" s="1">
        <v>8.3219999999999992</v>
      </c>
      <c r="K1314" s="1">
        <v>41.677999999999997</v>
      </c>
      <c r="L1314" s="1">
        <v>16.64</v>
      </c>
      <c r="M1314" s="1">
        <v>106.4</v>
      </c>
      <c r="N1314" s="1">
        <v>2.7099999999999999E-2</v>
      </c>
      <c r="O1314" s="1">
        <v>2.365E-4</v>
      </c>
      <c r="P13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0.46397392765114814</v>
      </c>
      <c r="Q1314" s="1">
        <f>LN(Table13[[#This Row],[qe_mg_g]]-Table13[[#This Row],[qt]])</f>
        <v>2.0615354390677516</v>
      </c>
      <c r="R1314" s="1">
        <v>2</v>
      </c>
    </row>
    <row r="1315" spans="1:18" hidden="1" x14ac:dyDescent="0.3">
      <c r="A1315" s="1">
        <v>1314</v>
      </c>
      <c r="B1315" s="1" t="s">
        <v>18</v>
      </c>
      <c r="C1315" s="1">
        <v>1</v>
      </c>
      <c r="D1315" s="1">
        <v>30</v>
      </c>
      <c r="E1315" s="1">
        <v>50</v>
      </c>
      <c r="F1315" s="1">
        <v>11</v>
      </c>
      <c r="G1315" s="1">
        <v>25</v>
      </c>
      <c r="H1315" s="1">
        <v>150</v>
      </c>
      <c r="I1315" s="1">
        <v>100</v>
      </c>
      <c r="J1315" s="1">
        <v>7.4249999999999998</v>
      </c>
      <c r="K1315" s="1">
        <v>42.575000000000003</v>
      </c>
      <c r="L1315" s="1">
        <v>14.85</v>
      </c>
      <c r="M1315" s="1">
        <v>77.8</v>
      </c>
      <c r="N1315" s="1">
        <v>2.7550000000000002E-2</v>
      </c>
      <c r="O1315" s="1">
        <v>2.2169999999999999E-4</v>
      </c>
      <c r="P13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0.34941823053898752</v>
      </c>
      <c r="Q1315" s="1">
        <f>LN(Table13[[#This Row],[qe_mg_g]]-Table13[[#This Row],[qt]])</f>
        <v>1.9566496690477737</v>
      </c>
      <c r="R1315" s="1">
        <v>3</v>
      </c>
    </row>
    <row r="1316" spans="1:18" hidden="1" x14ac:dyDescent="0.3">
      <c r="A1316" s="1">
        <v>1315</v>
      </c>
      <c r="B1316" s="1" t="s">
        <v>18</v>
      </c>
      <c r="C1316" s="1">
        <v>1</v>
      </c>
      <c r="D1316" s="1">
        <v>30</v>
      </c>
      <c r="E1316" s="1">
        <v>100</v>
      </c>
      <c r="F1316" s="1">
        <v>3</v>
      </c>
      <c r="G1316" s="1">
        <v>25</v>
      </c>
      <c r="H1316" s="1">
        <v>150</v>
      </c>
      <c r="I1316" s="1">
        <v>100</v>
      </c>
      <c r="J1316" s="1">
        <v>16.677</v>
      </c>
      <c r="K1316" s="1">
        <v>83.322999999999993</v>
      </c>
      <c r="L1316" s="1">
        <v>16.68</v>
      </c>
      <c r="M1316" s="1">
        <v>88.9</v>
      </c>
      <c r="N1316" s="1">
        <v>2.512E-2</v>
      </c>
      <c r="O1316" s="1">
        <v>3.0059999999999999E-4</v>
      </c>
      <c r="P13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2.1802173321652476</v>
      </c>
      <c r="Q1316" s="1">
        <f>LN(Table13[[#This Row],[qe_mg_g]]-Table13[[#This Row],[qt]])</f>
        <v>2.6739267398295015</v>
      </c>
      <c r="R1316" s="1">
        <v>1</v>
      </c>
    </row>
    <row r="1317" spans="1:18" hidden="1" x14ac:dyDescent="0.3">
      <c r="A1317" s="1">
        <v>1316</v>
      </c>
      <c r="B1317" s="1" t="s">
        <v>18</v>
      </c>
      <c r="C1317" s="1">
        <v>1</v>
      </c>
      <c r="D1317" s="1">
        <v>30</v>
      </c>
      <c r="E1317" s="1">
        <v>100</v>
      </c>
      <c r="F1317" s="1">
        <v>3</v>
      </c>
      <c r="G1317" s="1">
        <v>25</v>
      </c>
      <c r="H1317" s="1">
        <v>150</v>
      </c>
      <c r="I1317" s="1">
        <v>100</v>
      </c>
      <c r="J1317" s="1">
        <v>19.273</v>
      </c>
      <c r="K1317" s="1">
        <v>80.727000000000004</v>
      </c>
      <c r="L1317" s="1">
        <v>19.27</v>
      </c>
      <c r="M1317" s="1">
        <v>88.3</v>
      </c>
      <c r="N1317" s="1">
        <v>3.082E-2</v>
      </c>
      <c r="O1317" s="1">
        <v>2.6039999999999999E-4</v>
      </c>
      <c r="P13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2.5220364028398272</v>
      </c>
      <c r="Q1317" s="1">
        <f>LN(Table13[[#This Row],[qe_mg_g]]-Table13[[#This Row],[qt]])</f>
        <v>2.8184557848050598</v>
      </c>
      <c r="R1317" s="1">
        <v>2</v>
      </c>
    </row>
    <row r="1318" spans="1:18" hidden="1" x14ac:dyDescent="0.3">
      <c r="A1318" s="1">
        <v>1317</v>
      </c>
      <c r="B1318" s="1" t="s">
        <v>18</v>
      </c>
      <c r="C1318" s="1">
        <v>1</v>
      </c>
      <c r="D1318" s="1">
        <v>30</v>
      </c>
      <c r="E1318" s="1">
        <v>100</v>
      </c>
      <c r="F1318" s="1">
        <v>3</v>
      </c>
      <c r="G1318" s="1">
        <v>25</v>
      </c>
      <c r="H1318" s="1">
        <v>150</v>
      </c>
      <c r="I1318" s="1">
        <v>100</v>
      </c>
      <c r="J1318" s="1">
        <v>19.177</v>
      </c>
      <c r="K1318" s="1">
        <v>80.822999999999993</v>
      </c>
      <c r="L1318" s="1">
        <v>19.18</v>
      </c>
      <c r="M1318" s="1">
        <v>87.7</v>
      </c>
      <c r="N1318" s="1">
        <v>3.3279999999999997E-2</v>
      </c>
      <c r="O1318" s="1">
        <v>2.363E-4</v>
      </c>
      <c r="P13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2.2950318696081258</v>
      </c>
      <c r="Q1318" s="1">
        <f>LN(Table13[[#This Row],[qe_mg_g]]-Table13[[#This Row],[qt]])</f>
        <v>2.8262460777734577</v>
      </c>
      <c r="R1318" s="1">
        <v>3</v>
      </c>
    </row>
    <row r="1319" spans="1:18" hidden="1" x14ac:dyDescent="0.3">
      <c r="A1319" s="1">
        <v>1318</v>
      </c>
      <c r="B1319" s="1" t="s">
        <v>18</v>
      </c>
      <c r="C1319" s="1">
        <v>1</v>
      </c>
      <c r="D1319" s="1">
        <v>30</v>
      </c>
      <c r="E1319" s="1">
        <v>100</v>
      </c>
      <c r="F1319" s="1">
        <v>7</v>
      </c>
      <c r="G1319" s="1">
        <v>25</v>
      </c>
      <c r="H1319" s="1">
        <v>150</v>
      </c>
      <c r="I1319" s="1">
        <v>100</v>
      </c>
      <c r="J1319" s="1">
        <v>24.603000000000002</v>
      </c>
      <c r="K1319" s="1">
        <v>75.397000000000006</v>
      </c>
      <c r="L1319" s="1">
        <v>24.6</v>
      </c>
      <c r="M1319" s="1">
        <v>110.9</v>
      </c>
      <c r="N1319" s="1">
        <v>3.3869999999999997E-2</v>
      </c>
      <c r="O1319" s="1">
        <v>3.1470000000000001E-4</v>
      </c>
      <c r="P13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4.6375202114930785</v>
      </c>
      <c r="Q1319" s="1">
        <f>LN(Table13[[#This Row],[qe_mg_g]]-Table13[[#This Row],[qt]])</f>
        <v>2.9940047717068703</v>
      </c>
      <c r="R1319" s="1">
        <v>1</v>
      </c>
    </row>
    <row r="1320" spans="1:18" hidden="1" x14ac:dyDescent="0.3">
      <c r="A1320" s="1">
        <v>1319</v>
      </c>
      <c r="B1320" s="1" t="s">
        <v>18</v>
      </c>
      <c r="C1320" s="1">
        <v>1</v>
      </c>
      <c r="D1320" s="1">
        <v>30</v>
      </c>
      <c r="E1320" s="1">
        <v>100</v>
      </c>
      <c r="F1320" s="1">
        <v>7</v>
      </c>
      <c r="G1320" s="1">
        <v>25</v>
      </c>
      <c r="H1320" s="1">
        <v>150</v>
      </c>
      <c r="I1320" s="1">
        <v>100</v>
      </c>
      <c r="J1320" s="1">
        <v>24.946000000000002</v>
      </c>
      <c r="K1320" s="1">
        <v>75.054000000000002</v>
      </c>
      <c r="L1320" s="1">
        <v>24.95</v>
      </c>
      <c r="M1320" s="1">
        <v>110.5</v>
      </c>
      <c r="N1320" s="1">
        <v>2.877E-2</v>
      </c>
      <c r="O1320" s="1">
        <v>2.6959999999999999E-4</v>
      </c>
      <c r="P13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4.1881676719473129</v>
      </c>
      <c r="Q1320" s="1">
        <f>LN(Table13[[#This Row],[qe_mg_g]]-Table13[[#This Row],[qt]])</f>
        <v>3.0329236370489023</v>
      </c>
      <c r="R1320" s="1">
        <v>2</v>
      </c>
    </row>
    <row r="1321" spans="1:18" hidden="1" x14ac:dyDescent="0.3">
      <c r="A1321" s="1">
        <v>1320</v>
      </c>
      <c r="B1321" s="1" t="s">
        <v>18</v>
      </c>
      <c r="C1321" s="1">
        <v>1</v>
      </c>
      <c r="D1321" s="1">
        <v>30</v>
      </c>
      <c r="E1321" s="1">
        <v>100</v>
      </c>
      <c r="F1321" s="1">
        <v>7</v>
      </c>
      <c r="G1321" s="1">
        <v>25</v>
      </c>
      <c r="H1321" s="1">
        <v>150</v>
      </c>
      <c r="I1321" s="1">
        <v>100</v>
      </c>
      <c r="J1321" s="1">
        <v>24.265000000000001</v>
      </c>
      <c r="K1321" s="1">
        <v>75.734999999999999</v>
      </c>
      <c r="L1321" s="1">
        <v>24.26</v>
      </c>
      <c r="M1321" s="1">
        <v>81.099999999999994</v>
      </c>
      <c r="N1321" s="1">
        <v>2.767E-2</v>
      </c>
      <c r="O1321" s="1">
        <v>2.52E-4</v>
      </c>
      <c r="P13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3.761273332548055</v>
      </c>
      <c r="Q1321" s="1">
        <f>LN(Table13[[#This Row],[qe_mg_g]]-Table13[[#This Row],[qt]])</f>
        <v>3.0206066582789997</v>
      </c>
      <c r="R1321" s="1">
        <v>3</v>
      </c>
    </row>
    <row r="1322" spans="1:18" hidden="1" x14ac:dyDescent="0.3">
      <c r="A1322" s="1">
        <v>1321</v>
      </c>
      <c r="B1322" s="1" t="s">
        <v>18</v>
      </c>
      <c r="C1322" s="1">
        <v>1</v>
      </c>
      <c r="D1322" s="1">
        <v>30</v>
      </c>
      <c r="E1322" s="1">
        <v>100</v>
      </c>
      <c r="F1322" s="1">
        <v>11</v>
      </c>
      <c r="G1322" s="1">
        <v>25</v>
      </c>
      <c r="H1322" s="1">
        <v>150</v>
      </c>
      <c r="I1322" s="1">
        <v>100</v>
      </c>
      <c r="J1322" s="1">
        <v>20.149000000000001</v>
      </c>
      <c r="K1322" s="1">
        <v>79.850999999999999</v>
      </c>
      <c r="L1322" s="1">
        <v>20.149999999999999</v>
      </c>
      <c r="M1322" s="1">
        <v>109.9</v>
      </c>
      <c r="N1322" s="1">
        <v>3.3079999999999998E-2</v>
      </c>
      <c r="O1322" s="1">
        <v>2.6499999999999999E-4</v>
      </c>
      <c r="P13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2.7819354239375107</v>
      </c>
      <c r="Q1322" s="1">
        <f>LN(Table13[[#This Row],[qe_mg_g]]-Table13[[#This Row],[qt]])</f>
        <v>2.8545755720780095</v>
      </c>
      <c r="R1322" s="1">
        <v>1</v>
      </c>
    </row>
    <row r="1323" spans="1:18" hidden="1" x14ac:dyDescent="0.3">
      <c r="A1323" s="1">
        <v>1322</v>
      </c>
      <c r="B1323" s="1" t="s">
        <v>18</v>
      </c>
      <c r="C1323" s="1">
        <v>1</v>
      </c>
      <c r="D1323" s="1">
        <v>30</v>
      </c>
      <c r="E1323" s="1">
        <v>100</v>
      </c>
      <c r="F1323" s="1">
        <v>11</v>
      </c>
      <c r="G1323" s="1">
        <v>25</v>
      </c>
      <c r="H1323" s="1">
        <v>150</v>
      </c>
      <c r="I1323" s="1">
        <v>100</v>
      </c>
      <c r="J1323" s="1">
        <v>24.498000000000001</v>
      </c>
      <c r="K1323" s="1">
        <v>75.501999999999995</v>
      </c>
      <c r="L1323" s="1">
        <v>24.5</v>
      </c>
      <c r="M1323" s="1">
        <v>106.2</v>
      </c>
      <c r="N1323" s="1">
        <v>2.6349999999999998E-2</v>
      </c>
      <c r="O1323" s="1">
        <v>2.8410000000000002E-4</v>
      </c>
      <c r="P13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4.231560667774759</v>
      </c>
      <c r="Q1323" s="1">
        <f>LN(Table13[[#This Row],[qe_mg_g]]-Table13[[#This Row],[qt]])</f>
        <v>3.0089662830811603</v>
      </c>
      <c r="R1323" s="1">
        <v>2</v>
      </c>
    </row>
    <row r="1324" spans="1:18" hidden="1" x14ac:dyDescent="0.3">
      <c r="A1324" s="1">
        <v>1323</v>
      </c>
      <c r="B1324" s="1" t="s">
        <v>18</v>
      </c>
      <c r="C1324" s="1">
        <v>1</v>
      </c>
      <c r="D1324" s="1">
        <v>30</v>
      </c>
      <c r="E1324" s="1">
        <v>100</v>
      </c>
      <c r="F1324" s="1">
        <v>11</v>
      </c>
      <c r="G1324" s="1">
        <v>25</v>
      </c>
      <c r="H1324" s="1">
        <v>150</v>
      </c>
      <c r="I1324" s="1">
        <v>100</v>
      </c>
      <c r="J1324" s="1">
        <v>20.218</v>
      </c>
      <c r="K1324" s="1">
        <v>79.781999999999996</v>
      </c>
      <c r="L1324" s="1">
        <v>20.22</v>
      </c>
      <c r="M1324" s="1">
        <v>113.7</v>
      </c>
      <c r="N1324" s="1">
        <v>3.4720000000000001E-2</v>
      </c>
      <c r="O1324" s="1">
        <v>2.6140000000000001E-4</v>
      </c>
      <c r="P13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2.7668690619290177</v>
      </c>
      <c r="Q1324" s="1">
        <f>LN(Table13[[#This Row],[qe_mg_g]]-Table13[[#This Row],[qt]])</f>
        <v>2.8594044567529866</v>
      </c>
      <c r="R1324" s="1">
        <v>3</v>
      </c>
    </row>
    <row r="1325" spans="1:18" hidden="1" x14ac:dyDescent="0.3">
      <c r="A1325" s="1">
        <v>1324</v>
      </c>
      <c r="B1325" s="1" t="s">
        <v>18</v>
      </c>
      <c r="C1325" s="1">
        <v>1</v>
      </c>
      <c r="D1325" s="1">
        <v>30</v>
      </c>
      <c r="E1325" s="1">
        <v>200</v>
      </c>
      <c r="F1325" s="1">
        <v>3</v>
      </c>
      <c r="G1325" s="1">
        <v>25</v>
      </c>
      <c r="H1325" s="1">
        <v>150</v>
      </c>
      <c r="I1325" s="1">
        <v>100</v>
      </c>
      <c r="J1325" s="1">
        <v>25.283000000000001</v>
      </c>
      <c r="K1325" s="1">
        <v>174.71700000000001</v>
      </c>
      <c r="L1325" s="1">
        <v>12.64</v>
      </c>
      <c r="M1325" s="1">
        <v>86.2</v>
      </c>
      <c r="N1325" s="1">
        <v>3.397E-2</v>
      </c>
      <c r="O1325" s="1">
        <v>2.4580000000000001E-4</v>
      </c>
      <c r="P13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3.9729739581755168</v>
      </c>
      <c r="Q1325" s="1">
        <f>LN(Table13[[#This Row],[qe_mg_g]]-Table13[[#This Row],[qt]])</f>
        <v>3.0591776681569161</v>
      </c>
      <c r="R1325" s="1">
        <v>1</v>
      </c>
    </row>
    <row r="1326" spans="1:18" hidden="1" x14ac:dyDescent="0.3">
      <c r="A1326" s="1">
        <v>1325</v>
      </c>
      <c r="B1326" s="1" t="s">
        <v>18</v>
      </c>
      <c r="C1326" s="1">
        <v>1</v>
      </c>
      <c r="D1326" s="1">
        <v>30</v>
      </c>
      <c r="E1326" s="1">
        <v>200</v>
      </c>
      <c r="F1326" s="1">
        <v>3</v>
      </c>
      <c r="G1326" s="1">
        <v>25</v>
      </c>
      <c r="H1326" s="1">
        <v>150</v>
      </c>
      <c r="I1326" s="1">
        <v>100</v>
      </c>
      <c r="J1326" s="1">
        <v>29.425999999999998</v>
      </c>
      <c r="K1326" s="1">
        <v>170.57400000000001</v>
      </c>
      <c r="L1326" s="1">
        <v>14.71</v>
      </c>
      <c r="M1326" s="1">
        <v>111.4</v>
      </c>
      <c r="N1326" s="1">
        <v>3.209E-2</v>
      </c>
      <c r="O1326" s="1">
        <v>2.5700000000000001E-4</v>
      </c>
      <c r="P13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5.4414759436430042</v>
      </c>
      <c r="Q1326" s="1">
        <f>LN(Table13[[#This Row],[qe_mg_g]]-Table13[[#This Row],[qt]])</f>
        <v>3.1774087913699023</v>
      </c>
      <c r="R1326" s="1">
        <v>2</v>
      </c>
    </row>
    <row r="1327" spans="1:18" hidden="1" x14ac:dyDescent="0.3">
      <c r="A1327" s="1">
        <v>1326</v>
      </c>
      <c r="B1327" s="1" t="s">
        <v>18</v>
      </c>
      <c r="C1327" s="1">
        <v>1</v>
      </c>
      <c r="D1327" s="1">
        <v>30</v>
      </c>
      <c r="E1327" s="1">
        <v>200</v>
      </c>
      <c r="F1327" s="1">
        <v>3</v>
      </c>
      <c r="G1327" s="1">
        <v>25</v>
      </c>
      <c r="H1327" s="1">
        <v>150</v>
      </c>
      <c r="I1327" s="1">
        <v>100</v>
      </c>
      <c r="J1327" s="1">
        <v>28.667999999999999</v>
      </c>
      <c r="K1327" s="1">
        <v>171.33199999999999</v>
      </c>
      <c r="L1327" s="1">
        <v>14.33</v>
      </c>
      <c r="M1327" s="1">
        <v>95.3</v>
      </c>
      <c r="N1327" s="1">
        <v>3.2570000000000002E-2</v>
      </c>
      <c r="O1327" s="1">
        <v>2.6380000000000002E-4</v>
      </c>
      <c r="P13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5.3013840026245722</v>
      </c>
      <c r="Q1327" s="1">
        <f>LN(Table13[[#This Row],[qe_mg_g]]-Table13[[#This Row],[qt]])</f>
        <v>3.1513083369268067</v>
      </c>
      <c r="R1327" s="1">
        <v>3</v>
      </c>
    </row>
    <row r="1328" spans="1:18" hidden="1" x14ac:dyDescent="0.3">
      <c r="A1328" s="1">
        <v>1327</v>
      </c>
      <c r="B1328" s="1" t="s">
        <v>18</v>
      </c>
      <c r="C1328" s="1">
        <v>1</v>
      </c>
      <c r="D1328" s="1">
        <v>30</v>
      </c>
      <c r="E1328" s="1">
        <v>200</v>
      </c>
      <c r="F1328" s="1">
        <v>7</v>
      </c>
      <c r="G1328" s="1">
        <v>25</v>
      </c>
      <c r="H1328" s="1">
        <v>150</v>
      </c>
      <c r="I1328" s="1">
        <v>100</v>
      </c>
      <c r="J1328" s="1">
        <v>45.122999999999998</v>
      </c>
      <c r="K1328" s="1">
        <v>154.87700000000001</v>
      </c>
      <c r="L1328" s="1">
        <v>22.56</v>
      </c>
      <c r="M1328" s="1">
        <v>116.2</v>
      </c>
      <c r="N1328" s="1">
        <v>2.9610000000000001E-2</v>
      </c>
      <c r="O1328" s="1">
        <v>2.287E-4</v>
      </c>
      <c r="P13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10.667149086303001</v>
      </c>
      <c r="Q1328" s="1">
        <f>LN(Table13[[#This Row],[qe_mg_g]]-Table13[[#This Row],[qt]])</f>
        <v>3.5396788208820178</v>
      </c>
      <c r="R1328" s="1">
        <v>1</v>
      </c>
    </row>
    <row r="1329" spans="1:18" hidden="1" x14ac:dyDescent="0.3">
      <c r="A1329" s="1">
        <v>1328</v>
      </c>
      <c r="B1329" s="1" t="s">
        <v>18</v>
      </c>
      <c r="C1329" s="1">
        <v>1</v>
      </c>
      <c r="D1329" s="1">
        <v>30</v>
      </c>
      <c r="E1329" s="1">
        <v>200</v>
      </c>
      <c r="F1329" s="1">
        <v>7</v>
      </c>
      <c r="G1329" s="1">
        <v>25</v>
      </c>
      <c r="H1329" s="1">
        <v>150</v>
      </c>
      <c r="I1329" s="1">
        <v>100</v>
      </c>
      <c r="J1329" s="1">
        <v>43.036999999999999</v>
      </c>
      <c r="K1329" s="1">
        <v>156.96299999999999</v>
      </c>
      <c r="L1329" s="1">
        <v>21.52</v>
      </c>
      <c r="M1329" s="1">
        <v>85.3</v>
      </c>
      <c r="N1329" s="1">
        <v>2.9180000000000001E-2</v>
      </c>
      <c r="O1329" s="1">
        <v>2.8079999999999999E-4</v>
      </c>
      <c r="P13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11.451223794048357</v>
      </c>
      <c r="Q1329" s="1">
        <f>LN(Table13[[#This Row],[qe_mg_g]]-Table13[[#This Row],[qt]])</f>
        <v>3.4527068991935992</v>
      </c>
      <c r="R1329" s="1">
        <v>2</v>
      </c>
    </row>
    <row r="1330" spans="1:18" hidden="1" x14ac:dyDescent="0.3">
      <c r="A1330" s="1">
        <v>1329</v>
      </c>
      <c r="B1330" s="1" t="s">
        <v>18</v>
      </c>
      <c r="C1330" s="1">
        <v>1</v>
      </c>
      <c r="D1330" s="1">
        <v>30</v>
      </c>
      <c r="E1330" s="1">
        <v>200</v>
      </c>
      <c r="F1330" s="1">
        <v>7</v>
      </c>
      <c r="G1330" s="1">
        <v>25</v>
      </c>
      <c r="H1330" s="1">
        <v>150</v>
      </c>
      <c r="I1330" s="1">
        <v>100</v>
      </c>
      <c r="J1330" s="1">
        <v>42.844999999999999</v>
      </c>
      <c r="K1330" s="1">
        <v>157.155</v>
      </c>
      <c r="L1330" s="1">
        <v>21.42</v>
      </c>
      <c r="M1330" s="1">
        <v>102.8</v>
      </c>
      <c r="N1330" s="1">
        <v>2.8029999999999999E-2</v>
      </c>
      <c r="O1330" s="1">
        <v>2.4350000000000001E-4</v>
      </c>
      <c r="P13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10.213192144340667</v>
      </c>
      <c r="Q1330" s="1">
        <f>LN(Table13[[#This Row],[qe_mg_g]]-Table13[[#This Row],[qt]])</f>
        <v>3.4852875137795878</v>
      </c>
      <c r="R1330" s="1">
        <v>3</v>
      </c>
    </row>
    <row r="1331" spans="1:18" hidden="1" x14ac:dyDescent="0.3">
      <c r="A1331" s="1">
        <v>1330</v>
      </c>
      <c r="B1331" s="1" t="s">
        <v>18</v>
      </c>
      <c r="C1331" s="1">
        <v>1</v>
      </c>
      <c r="D1331" s="1">
        <v>30</v>
      </c>
      <c r="E1331" s="1">
        <v>200</v>
      </c>
      <c r="F1331" s="1">
        <v>11</v>
      </c>
      <c r="G1331" s="1">
        <v>25</v>
      </c>
      <c r="H1331" s="1">
        <v>150</v>
      </c>
      <c r="I1331" s="1">
        <v>100</v>
      </c>
      <c r="J1331" s="1">
        <v>30.89</v>
      </c>
      <c r="K1331" s="1">
        <v>169.11</v>
      </c>
      <c r="L1331" s="1">
        <v>15.44</v>
      </c>
      <c r="M1331" s="1">
        <v>96.7</v>
      </c>
      <c r="N1331" s="1">
        <v>2.9420000000000002E-2</v>
      </c>
      <c r="O1331" s="1">
        <v>2.6350000000000001E-4</v>
      </c>
      <c r="P13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6.0625114612134396</v>
      </c>
      <c r="Q1331" s="1">
        <f>LN(Table13[[#This Row],[qe_mg_g]]-Table13[[#This Row],[qt]])</f>
        <v>3.2119514481614591</v>
      </c>
      <c r="R1331" s="1">
        <v>1</v>
      </c>
    </row>
    <row r="1332" spans="1:18" hidden="1" x14ac:dyDescent="0.3">
      <c r="A1332" s="1">
        <v>1331</v>
      </c>
      <c r="B1332" s="1" t="s">
        <v>18</v>
      </c>
      <c r="C1332" s="1">
        <v>1</v>
      </c>
      <c r="D1332" s="1">
        <v>30</v>
      </c>
      <c r="E1332" s="1">
        <v>200</v>
      </c>
      <c r="F1332" s="1">
        <v>11</v>
      </c>
      <c r="G1332" s="1">
        <v>25</v>
      </c>
      <c r="H1332" s="1">
        <v>150</v>
      </c>
      <c r="I1332" s="1">
        <v>100</v>
      </c>
      <c r="J1332" s="1">
        <v>36.466000000000001</v>
      </c>
      <c r="K1332" s="1">
        <v>163.53399999999999</v>
      </c>
      <c r="L1332" s="1">
        <v>18.23</v>
      </c>
      <c r="M1332" s="1">
        <v>82</v>
      </c>
      <c r="N1332" s="1">
        <v>3.3250000000000002E-2</v>
      </c>
      <c r="O1332" s="1">
        <v>2.5530000000000003E-4</v>
      </c>
      <c r="P13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7.9611951425136063</v>
      </c>
      <c r="Q1332" s="1">
        <f>LN(Table13[[#This Row],[qe_mg_g]]-Table13[[#This Row],[qt]])</f>
        <v>3.3500726645554071</v>
      </c>
      <c r="R1332" s="1">
        <v>2</v>
      </c>
    </row>
    <row r="1333" spans="1:18" hidden="1" x14ac:dyDescent="0.3">
      <c r="A1333" s="1">
        <v>1332</v>
      </c>
      <c r="B1333" s="1" t="s">
        <v>18</v>
      </c>
      <c r="C1333" s="1">
        <v>1</v>
      </c>
      <c r="D1333" s="1">
        <v>30</v>
      </c>
      <c r="E1333" s="1">
        <v>200</v>
      </c>
      <c r="F1333" s="1">
        <v>11</v>
      </c>
      <c r="G1333" s="1">
        <v>25</v>
      </c>
      <c r="H1333" s="1">
        <v>150</v>
      </c>
      <c r="I1333" s="1">
        <v>100</v>
      </c>
      <c r="J1333" s="1">
        <v>36.386000000000003</v>
      </c>
      <c r="K1333" s="1">
        <v>163.614</v>
      </c>
      <c r="L1333" s="1">
        <v>18.190000000000001</v>
      </c>
      <c r="M1333" s="1">
        <v>99.9</v>
      </c>
      <c r="N1333" s="1">
        <v>2.845E-2</v>
      </c>
      <c r="O1333" s="1">
        <v>2.5539999999999997E-4</v>
      </c>
      <c r="P13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7.9325296755338162</v>
      </c>
      <c r="Q1333" s="1">
        <f>LN(Table13[[#This Row],[qe_mg_g]]-Table13[[#This Row],[qt]])</f>
        <v>3.3482701329037532</v>
      </c>
      <c r="R1333" s="1">
        <v>3</v>
      </c>
    </row>
    <row r="1334" spans="1:18" hidden="1" x14ac:dyDescent="0.3">
      <c r="A1334" s="1">
        <v>1333</v>
      </c>
      <c r="B1334" s="1" t="s">
        <v>18</v>
      </c>
      <c r="C1334" s="1">
        <v>1</v>
      </c>
      <c r="D1334" s="1">
        <v>60</v>
      </c>
      <c r="E1334" s="1">
        <v>25</v>
      </c>
      <c r="F1334" s="1">
        <v>3</v>
      </c>
      <c r="G1334" s="1">
        <v>25</v>
      </c>
      <c r="H1334" s="1">
        <v>150</v>
      </c>
      <c r="I1334" s="1">
        <v>100</v>
      </c>
      <c r="J1334" s="1">
        <v>3.4089999999999998</v>
      </c>
      <c r="K1334" s="1">
        <v>21.591000000000001</v>
      </c>
      <c r="L1334" s="1">
        <v>13.63</v>
      </c>
      <c r="M1334" s="1">
        <v>73.8</v>
      </c>
      <c r="N1334" s="1">
        <v>2.8379999999999999E-2</v>
      </c>
      <c r="O1334" s="1">
        <v>2.4360000000000001E-4</v>
      </c>
      <c r="P13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0.16179505190052723</v>
      </c>
      <c r="Q1334" s="1">
        <f>LN(Table13[[#This Row],[qe_mg_g]]-Table13[[#This Row],[qt]])</f>
        <v>1.1777946103463519</v>
      </c>
      <c r="R1334" s="1">
        <v>1</v>
      </c>
    </row>
    <row r="1335" spans="1:18" hidden="1" x14ac:dyDescent="0.3">
      <c r="A1335" s="1">
        <v>1334</v>
      </c>
      <c r="B1335" s="1" t="s">
        <v>18</v>
      </c>
      <c r="C1335" s="1">
        <v>1</v>
      </c>
      <c r="D1335" s="1">
        <v>60</v>
      </c>
      <c r="E1335" s="1">
        <v>25</v>
      </c>
      <c r="F1335" s="1">
        <v>3</v>
      </c>
      <c r="G1335" s="1">
        <v>25</v>
      </c>
      <c r="H1335" s="1">
        <v>150</v>
      </c>
      <c r="I1335" s="1">
        <v>100</v>
      </c>
      <c r="J1335" s="1">
        <v>3.3439999999999999</v>
      </c>
      <c r="K1335" s="1">
        <v>21.655999999999999</v>
      </c>
      <c r="L1335" s="1">
        <v>13.38</v>
      </c>
      <c r="M1335" s="1">
        <v>117.9</v>
      </c>
      <c r="N1335" s="1">
        <v>2.768E-2</v>
      </c>
      <c r="O1335" s="1">
        <v>2.376E-4</v>
      </c>
      <c r="P13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0.15216152791872092</v>
      </c>
      <c r="Q1335" s="1">
        <f>LN(Table13[[#This Row],[qe_mg_g]]-Table13[[#This Row],[qt]])</f>
        <v>1.1605970743225758</v>
      </c>
      <c r="R1335" s="1">
        <v>2</v>
      </c>
    </row>
    <row r="1336" spans="1:18" hidden="1" x14ac:dyDescent="0.3">
      <c r="A1336" s="1">
        <v>1335</v>
      </c>
      <c r="B1336" s="1" t="s">
        <v>18</v>
      </c>
      <c r="C1336" s="1">
        <v>1</v>
      </c>
      <c r="D1336" s="1">
        <v>60</v>
      </c>
      <c r="E1336" s="1">
        <v>25</v>
      </c>
      <c r="F1336" s="1">
        <v>3</v>
      </c>
      <c r="G1336" s="1">
        <v>25</v>
      </c>
      <c r="H1336" s="1">
        <v>150</v>
      </c>
      <c r="I1336" s="1">
        <v>100</v>
      </c>
      <c r="J1336" s="1">
        <v>3.1179999999999999</v>
      </c>
      <c r="K1336" s="1">
        <v>21.882000000000001</v>
      </c>
      <c r="L1336" s="1">
        <v>12.47</v>
      </c>
      <c r="M1336" s="1">
        <v>88</v>
      </c>
      <c r="N1336" s="1">
        <v>2.896E-2</v>
      </c>
      <c r="O1336" s="1">
        <v>2.6929999999999999E-4</v>
      </c>
      <c r="P13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0.14955230647985929</v>
      </c>
      <c r="Q1336" s="1">
        <f>LN(Table13[[#This Row],[qe_mg_g]]-Table13[[#This Row],[qt]])</f>
        <v>1.088039154064723</v>
      </c>
      <c r="R1336" s="1">
        <v>3</v>
      </c>
    </row>
    <row r="1337" spans="1:18" hidden="1" x14ac:dyDescent="0.3">
      <c r="A1337" s="1">
        <v>1336</v>
      </c>
      <c r="B1337" s="1" t="s">
        <v>18</v>
      </c>
      <c r="C1337" s="1">
        <v>1</v>
      </c>
      <c r="D1337" s="1">
        <v>60</v>
      </c>
      <c r="E1337" s="1">
        <v>25</v>
      </c>
      <c r="F1337" s="1">
        <v>7</v>
      </c>
      <c r="G1337" s="1">
        <v>25</v>
      </c>
      <c r="H1337" s="1">
        <v>150</v>
      </c>
      <c r="I1337" s="1">
        <v>100</v>
      </c>
      <c r="J1337" s="1">
        <v>4.9320000000000004</v>
      </c>
      <c r="K1337" s="1">
        <v>20.068000000000001</v>
      </c>
      <c r="L1337" s="1">
        <v>19.73</v>
      </c>
      <c r="M1337" s="1">
        <v>106.4</v>
      </c>
      <c r="N1337" s="1">
        <v>2.4889999999999999E-2</v>
      </c>
      <c r="O1337" s="1">
        <v>2.3599999999999999E-4</v>
      </c>
      <c r="P13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0.32195244434965953</v>
      </c>
      <c r="Q1337" s="1">
        <f>LN(Table13[[#This Row],[qe_mg_g]]-Table13[[#This Row],[qt]])</f>
        <v>1.528238172714643</v>
      </c>
      <c r="R1337" s="1">
        <v>1</v>
      </c>
    </row>
    <row r="1338" spans="1:18" hidden="1" x14ac:dyDescent="0.3">
      <c r="A1338" s="1">
        <v>1337</v>
      </c>
      <c r="B1338" s="1" t="s">
        <v>18</v>
      </c>
      <c r="C1338" s="1">
        <v>1</v>
      </c>
      <c r="D1338" s="1">
        <v>60</v>
      </c>
      <c r="E1338" s="1">
        <v>25</v>
      </c>
      <c r="F1338" s="1">
        <v>7</v>
      </c>
      <c r="G1338" s="1">
        <v>25</v>
      </c>
      <c r="H1338" s="1">
        <v>150</v>
      </c>
      <c r="I1338" s="1">
        <v>100</v>
      </c>
      <c r="J1338" s="1">
        <v>5.2869999999999999</v>
      </c>
      <c r="K1338" s="1">
        <v>19.713000000000001</v>
      </c>
      <c r="L1338" s="1">
        <v>21.15</v>
      </c>
      <c r="M1338" s="1">
        <v>125.1</v>
      </c>
      <c r="N1338" s="1">
        <v>2.9180000000000001E-2</v>
      </c>
      <c r="O1338" s="1">
        <v>1.95E-4</v>
      </c>
      <c r="P13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0.30799103844309117</v>
      </c>
      <c r="Q1338" s="1">
        <f>LN(Table13[[#This Row],[qe_mg_g]]-Table13[[#This Row],[qt]])</f>
        <v>1.6052308675292652</v>
      </c>
      <c r="R1338" s="1">
        <v>2</v>
      </c>
    </row>
    <row r="1339" spans="1:18" hidden="1" x14ac:dyDescent="0.3">
      <c r="A1339" s="1">
        <v>1338</v>
      </c>
      <c r="B1339" s="1" t="s">
        <v>18</v>
      </c>
      <c r="C1339" s="1">
        <v>1</v>
      </c>
      <c r="D1339" s="1">
        <v>60</v>
      </c>
      <c r="E1339" s="1">
        <v>25</v>
      </c>
      <c r="F1339" s="1">
        <v>7</v>
      </c>
      <c r="G1339" s="1">
        <v>25</v>
      </c>
      <c r="H1339" s="1">
        <v>150</v>
      </c>
      <c r="I1339" s="1">
        <v>100</v>
      </c>
      <c r="J1339" s="1">
        <v>4.468</v>
      </c>
      <c r="K1339" s="1">
        <v>20.532</v>
      </c>
      <c r="L1339" s="1">
        <v>17.87</v>
      </c>
      <c r="M1339" s="1">
        <v>100.5</v>
      </c>
      <c r="N1339" s="1">
        <v>3.184E-2</v>
      </c>
      <c r="O1339" s="1">
        <v>2.5940000000000002E-4</v>
      </c>
      <c r="P13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0.29050294470533256</v>
      </c>
      <c r="Q1339" s="1">
        <f>LN(Table13[[#This Row],[qe_mg_g]]-Table13[[#This Row],[qt]])</f>
        <v>1.4297122765906145</v>
      </c>
      <c r="R1339" s="1">
        <v>3</v>
      </c>
    </row>
    <row r="1340" spans="1:18" hidden="1" x14ac:dyDescent="0.3">
      <c r="A1340" s="1">
        <v>1339</v>
      </c>
      <c r="B1340" s="1" t="s">
        <v>18</v>
      </c>
      <c r="C1340" s="1">
        <v>1</v>
      </c>
      <c r="D1340" s="1">
        <v>60</v>
      </c>
      <c r="E1340" s="1">
        <v>25</v>
      </c>
      <c r="F1340" s="1">
        <v>11</v>
      </c>
      <c r="G1340" s="1">
        <v>25</v>
      </c>
      <c r="H1340" s="1">
        <v>150</v>
      </c>
      <c r="I1340" s="1">
        <v>100</v>
      </c>
      <c r="J1340" s="1">
        <v>4.1509999999999998</v>
      </c>
      <c r="K1340" s="1">
        <v>20.849</v>
      </c>
      <c r="L1340" s="1">
        <v>16.61</v>
      </c>
      <c r="M1340" s="1">
        <v>117.4</v>
      </c>
      <c r="N1340" s="1">
        <v>2.8379999999999999E-2</v>
      </c>
      <c r="O1340" s="1">
        <v>2.7240000000000001E-4</v>
      </c>
      <c r="P13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0.26372787252890956</v>
      </c>
      <c r="Q1340" s="1">
        <f>LN(Table13[[#This Row],[qe_mg_g]]-Table13[[#This Row],[qt]])</f>
        <v>1.3577076590596313</v>
      </c>
      <c r="R1340" s="1">
        <v>1</v>
      </c>
    </row>
    <row r="1341" spans="1:18" hidden="1" x14ac:dyDescent="0.3">
      <c r="A1341" s="1">
        <v>1340</v>
      </c>
      <c r="B1341" s="1" t="s">
        <v>18</v>
      </c>
      <c r="C1341" s="1">
        <v>1</v>
      </c>
      <c r="D1341" s="1">
        <v>60</v>
      </c>
      <c r="E1341" s="1">
        <v>25</v>
      </c>
      <c r="F1341" s="1">
        <v>11</v>
      </c>
      <c r="G1341" s="1">
        <v>25</v>
      </c>
      <c r="H1341" s="1">
        <v>150</v>
      </c>
      <c r="I1341" s="1">
        <v>100</v>
      </c>
      <c r="J1341" s="1">
        <v>3.4889999999999999</v>
      </c>
      <c r="K1341" s="1">
        <v>21.510999999999999</v>
      </c>
      <c r="L1341" s="1">
        <v>13.96</v>
      </c>
      <c r="M1341" s="1">
        <v>86.4</v>
      </c>
      <c r="N1341" s="1">
        <v>2.4580000000000001E-2</v>
      </c>
      <c r="O1341" s="1">
        <v>2.431E-4</v>
      </c>
      <c r="P13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0.16895873907150941</v>
      </c>
      <c r="Q1341" s="1">
        <f>LN(Table13[[#This Row],[qe_mg_g]]-Table13[[#This Row],[qt]])</f>
        <v>1.1999772108416795</v>
      </c>
      <c r="R1341" s="1">
        <v>2</v>
      </c>
    </row>
    <row r="1342" spans="1:18" hidden="1" x14ac:dyDescent="0.3">
      <c r="A1342" s="1">
        <v>1341</v>
      </c>
      <c r="B1342" s="1" t="s">
        <v>18</v>
      </c>
      <c r="C1342" s="1">
        <v>1</v>
      </c>
      <c r="D1342" s="1">
        <v>60</v>
      </c>
      <c r="E1342" s="1">
        <v>25</v>
      </c>
      <c r="F1342" s="1">
        <v>11</v>
      </c>
      <c r="G1342" s="1">
        <v>25</v>
      </c>
      <c r="H1342" s="1">
        <v>150</v>
      </c>
      <c r="I1342" s="1">
        <v>100</v>
      </c>
      <c r="J1342" s="1">
        <v>4.0730000000000004</v>
      </c>
      <c r="K1342" s="1">
        <v>20.927</v>
      </c>
      <c r="L1342" s="1">
        <v>16.29</v>
      </c>
      <c r="M1342" s="1">
        <v>101.7</v>
      </c>
      <c r="N1342" s="1">
        <v>3.0190000000000002E-2</v>
      </c>
      <c r="O1342" s="1">
        <v>2.2680000000000001E-4</v>
      </c>
      <c r="P13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0.21389251429260681</v>
      </c>
      <c r="Q1342" s="1">
        <f>LN(Table13[[#This Row],[qe_mg_g]]-Table13[[#This Row],[qt]])</f>
        <v>1.3504359354216409</v>
      </c>
      <c r="R1342" s="1">
        <v>3</v>
      </c>
    </row>
    <row r="1343" spans="1:18" hidden="1" x14ac:dyDescent="0.3">
      <c r="A1343" s="1">
        <v>1342</v>
      </c>
      <c r="B1343" s="1" t="s">
        <v>18</v>
      </c>
      <c r="C1343" s="1">
        <v>1</v>
      </c>
      <c r="D1343" s="1">
        <v>60</v>
      </c>
      <c r="E1343" s="1">
        <v>50</v>
      </c>
      <c r="F1343" s="1">
        <v>3</v>
      </c>
      <c r="G1343" s="1">
        <v>25</v>
      </c>
      <c r="H1343" s="1">
        <v>150</v>
      </c>
      <c r="I1343" s="1">
        <v>100</v>
      </c>
      <c r="J1343" s="1">
        <v>10.186</v>
      </c>
      <c r="K1343" s="1">
        <v>39.814</v>
      </c>
      <c r="L1343" s="1">
        <v>20.37</v>
      </c>
      <c r="M1343" s="1">
        <v>77.5</v>
      </c>
      <c r="N1343" s="1">
        <v>3.4090000000000002E-2</v>
      </c>
      <c r="O1343" s="1">
        <v>2.4240000000000001E-4</v>
      </c>
      <c r="P13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1.3142996767767656</v>
      </c>
      <c r="Q1343" s="1">
        <f>LN(Table13[[#This Row],[qe_mg_g]]-Table13[[#This Row],[qt]])</f>
        <v>2.1828664716623476</v>
      </c>
      <c r="R1343" s="1">
        <v>1</v>
      </c>
    </row>
    <row r="1344" spans="1:18" hidden="1" x14ac:dyDescent="0.3">
      <c r="A1344" s="1">
        <v>1343</v>
      </c>
      <c r="B1344" s="1" t="s">
        <v>18</v>
      </c>
      <c r="C1344" s="1">
        <v>1</v>
      </c>
      <c r="D1344" s="1">
        <v>60</v>
      </c>
      <c r="E1344" s="1">
        <v>50</v>
      </c>
      <c r="F1344" s="1">
        <v>3</v>
      </c>
      <c r="G1344" s="1">
        <v>25</v>
      </c>
      <c r="H1344" s="1">
        <v>150</v>
      </c>
      <c r="I1344" s="1">
        <v>100</v>
      </c>
      <c r="J1344" s="1">
        <v>9.907</v>
      </c>
      <c r="K1344" s="1">
        <v>40.093000000000004</v>
      </c>
      <c r="L1344" s="1">
        <v>19.809999999999999</v>
      </c>
      <c r="M1344" s="1">
        <v>123.8</v>
      </c>
      <c r="N1344" s="1">
        <v>2.6270000000000002E-2</v>
      </c>
      <c r="O1344" s="1">
        <v>2.219E-4</v>
      </c>
      <c r="P13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1.1544739261788859</v>
      </c>
      <c r="Q1344" s="1">
        <f>LN(Table13[[#This Row],[qe_mg_g]]-Table13[[#This Row],[qt]])</f>
        <v>2.1693423528563698</v>
      </c>
      <c r="R1344" s="1">
        <v>2</v>
      </c>
    </row>
    <row r="1345" spans="1:18" hidden="1" x14ac:dyDescent="0.3">
      <c r="A1345" s="1">
        <v>1344</v>
      </c>
      <c r="B1345" s="1" t="s">
        <v>18</v>
      </c>
      <c r="C1345" s="1">
        <v>1</v>
      </c>
      <c r="D1345" s="1">
        <v>60</v>
      </c>
      <c r="E1345" s="1">
        <v>50</v>
      </c>
      <c r="F1345" s="1">
        <v>3</v>
      </c>
      <c r="G1345" s="1">
        <v>25</v>
      </c>
      <c r="H1345" s="1">
        <v>150</v>
      </c>
      <c r="I1345" s="1">
        <v>100</v>
      </c>
      <c r="J1345" s="1">
        <v>9.3409999999999993</v>
      </c>
      <c r="K1345" s="1">
        <v>40.658999999999999</v>
      </c>
      <c r="L1345" s="1">
        <v>18.68</v>
      </c>
      <c r="M1345" s="1">
        <v>99</v>
      </c>
      <c r="N1345" s="1">
        <v>3.1289999999999998E-2</v>
      </c>
      <c r="O1345" s="1">
        <v>2.6850000000000002E-4</v>
      </c>
      <c r="P13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1.221804966948201</v>
      </c>
      <c r="Q1345" s="1">
        <f>LN(Table13[[#This Row],[qe_mg_g]]-Table13[[#This Row],[qt]])</f>
        <v>2.0942310153988846</v>
      </c>
      <c r="R1345" s="1">
        <v>3</v>
      </c>
    </row>
    <row r="1346" spans="1:18" hidden="1" x14ac:dyDescent="0.3">
      <c r="A1346" s="1">
        <v>1345</v>
      </c>
      <c r="B1346" s="1" t="s">
        <v>18</v>
      </c>
      <c r="C1346" s="1">
        <v>1</v>
      </c>
      <c r="D1346" s="1">
        <v>60</v>
      </c>
      <c r="E1346" s="1">
        <v>50</v>
      </c>
      <c r="F1346" s="1">
        <v>7</v>
      </c>
      <c r="G1346" s="1">
        <v>25</v>
      </c>
      <c r="H1346" s="1">
        <v>150</v>
      </c>
      <c r="I1346" s="1">
        <v>100</v>
      </c>
      <c r="J1346" s="1">
        <v>20.463000000000001</v>
      </c>
      <c r="K1346" s="1">
        <v>29.536999999999999</v>
      </c>
      <c r="L1346" s="1">
        <v>40.93</v>
      </c>
      <c r="M1346" s="1">
        <v>66.3</v>
      </c>
      <c r="N1346" s="1">
        <v>3.1829999999999997E-2</v>
      </c>
      <c r="O1346" s="1">
        <v>2.3609999999999999E-4</v>
      </c>
      <c r="P13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4.5987195111108647</v>
      </c>
      <c r="Q1346" s="1">
        <f>LN(Table13[[#This Row],[qe_mg_g]]-Table13[[#This Row],[qt]])</f>
        <v>2.7640700719039248</v>
      </c>
      <c r="R1346" s="1">
        <v>1</v>
      </c>
    </row>
    <row r="1347" spans="1:18" hidden="1" x14ac:dyDescent="0.3">
      <c r="A1347" s="1">
        <v>1346</v>
      </c>
      <c r="B1347" s="1" t="s">
        <v>18</v>
      </c>
      <c r="C1347" s="1">
        <v>1</v>
      </c>
      <c r="D1347" s="1">
        <v>60</v>
      </c>
      <c r="E1347" s="1">
        <v>50</v>
      </c>
      <c r="F1347" s="1">
        <v>7</v>
      </c>
      <c r="G1347" s="1">
        <v>25</v>
      </c>
      <c r="H1347" s="1">
        <v>150</v>
      </c>
      <c r="I1347" s="1">
        <v>100</v>
      </c>
      <c r="J1347" s="1">
        <v>15.74</v>
      </c>
      <c r="K1347" s="1">
        <v>34.26</v>
      </c>
      <c r="L1347" s="1">
        <v>31.48</v>
      </c>
      <c r="M1347" s="1">
        <v>90.7</v>
      </c>
      <c r="N1347" s="1">
        <v>2.7269999999999999E-2</v>
      </c>
      <c r="O1347" s="1">
        <v>2.921E-4</v>
      </c>
      <c r="P13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3.4032158889251765</v>
      </c>
      <c r="Q1347" s="1">
        <f>LN(Table13[[#This Row],[qe_mg_g]]-Table13[[#This Row],[qt]])</f>
        <v>2.5125853776312623</v>
      </c>
      <c r="R1347" s="1">
        <v>2</v>
      </c>
    </row>
    <row r="1348" spans="1:18" hidden="1" x14ac:dyDescent="0.3">
      <c r="A1348" s="1">
        <v>1347</v>
      </c>
      <c r="B1348" s="1" t="s">
        <v>18</v>
      </c>
      <c r="C1348" s="1">
        <v>1</v>
      </c>
      <c r="D1348" s="1">
        <v>60</v>
      </c>
      <c r="E1348" s="1">
        <v>50</v>
      </c>
      <c r="F1348" s="1">
        <v>7</v>
      </c>
      <c r="G1348" s="1">
        <v>25</v>
      </c>
      <c r="H1348" s="1">
        <v>150</v>
      </c>
      <c r="I1348" s="1">
        <v>100</v>
      </c>
      <c r="J1348" s="1">
        <v>17.876999999999999</v>
      </c>
      <c r="K1348" s="1">
        <v>32.122999999999998</v>
      </c>
      <c r="L1348" s="1">
        <v>35.75</v>
      </c>
      <c r="M1348" s="1">
        <v>100.3</v>
      </c>
      <c r="N1348" s="1">
        <v>3.4049999999999997E-2</v>
      </c>
      <c r="O1348" s="1">
        <v>2.1220000000000001E-4</v>
      </c>
      <c r="P13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3.3145571034384336</v>
      </c>
      <c r="Q1348" s="1">
        <f>LN(Table13[[#This Row],[qe_mg_g]]-Table13[[#This Row],[qt]])</f>
        <v>2.6784458100520725</v>
      </c>
      <c r="R1348" s="1">
        <v>3</v>
      </c>
    </row>
    <row r="1349" spans="1:18" hidden="1" x14ac:dyDescent="0.3">
      <c r="A1349" s="1">
        <v>1348</v>
      </c>
      <c r="B1349" s="1" t="s">
        <v>18</v>
      </c>
      <c r="C1349" s="1">
        <v>1</v>
      </c>
      <c r="D1349" s="1">
        <v>60</v>
      </c>
      <c r="E1349" s="1">
        <v>50</v>
      </c>
      <c r="F1349" s="1">
        <v>11</v>
      </c>
      <c r="G1349" s="1">
        <v>25</v>
      </c>
      <c r="H1349" s="1">
        <v>150</v>
      </c>
      <c r="I1349" s="1">
        <v>100</v>
      </c>
      <c r="J1349" s="1">
        <v>11.228</v>
      </c>
      <c r="K1349" s="1">
        <v>38.771999999999998</v>
      </c>
      <c r="L1349" s="1">
        <v>22.46</v>
      </c>
      <c r="M1349" s="1">
        <v>67.3</v>
      </c>
      <c r="N1349" s="1">
        <v>2.7900000000000001E-2</v>
      </c>
      <c r="O1349" s="1">
        <v>2.5399999999999999E-4</v>
      </c>
      <c r="P13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1.6405532637827316</v>
      </c>
      <c r="Q1349" s="1">
        <f>LN(Table13[[#This Row],[qe_mg_g]]-Table13[[#This Row],[qt]])</f>
        <v>2.2604546111334596</v>
      </c>
      <c r="R1349" s="1">
        <v>1</v>
      </c>
    </row>
    <row r="1350" spans="1:18" hidden="1" x14ac:dyDescent="0.3">
      <c r="A1350" s="1">
        <v>1349</v>
      </c>
      <c r="B1350" s="1" t="s">
        <v>18</v>
      </c>
      <c r="C1350" s="1">
        <v>1</v>
      </c>
      <c r="D1350" s="1">
        <v>60</v>
      </c>
      <c r="E1350" s="1">
        <v>50</v>
      </c>
      <c r="F1350" s="1">
        <v>11</v>
      </c>
      <c r="G1350" s="1">
        <v>25</v>
      </c>
      <c r="H1350" s="1">
        <v>150</v>
      </c>
      <c r="I1350" s="1">
        <v>100</v>
      </c>
      <c r="J1350" s="1">
        <v>12.874000000000001</v>
      </c>
      <c r="K1350" s="1">
        <v>37.125999999999998</v>
      </c>
      <c r="L1350" s="1">
        <v>25.75</v>
      </c>
      <c r="M1350" s="1">
        <v>102.2</v>
      </c>
      <c r="N1350" s="1">
        <v>2.5770000000000001E-2</v>
      </c>
      <c r="O1350" s="1">
        <v>2.7010000000000001E-4</v>
      </c>
      <c r="P13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2.2223236215649389</v>
      </c>
      <c r="Q1350" s="1">
        <f>LN(Table13[[#This Row],[qe_mg_g]]-Table13[[#This Row],[qt]])</f>
        <v>2.3657172861941698</v>
      </c>
      <c r="R1350" s="1">
        <v>2</v>
      </c>
    </row>
    <row r="1351" spans="1:18" hidden="1" x14ac:dyDescent="0.3">
      <c r="A1351" s="1">
        <v>1350</v>
      </c>
      <c r="B1351" s="1" t="s">
        <v>18</v>
      </c>
      <c r="C1351" s="1">
        <v>1</v>
      </c>
      <c r="D1351" s="1">
        <v>60</v>
      </c>
      <c r="E1351" s="1">
        <v>50</v>
      </c>
      <c r="F1351" s="1">
        <v>11</v>
      </c>
      <c r="G1351" s="1">
        <v>25</v>
      </c>
      <c r="H1351" s="1">
        <v>150</v>
      </c>
      <c r="I1351" s="1">
        <v>100</v>
      </c>
      <c r="J1351" s="1">
        <v>13.031000000000001</v>
      </c>
      <c r="K1351" s="1">
        <v>36.969000000000001</v>
      </c>
      <c r="L1351" s="1">
        <v>26.06</v>
      </c>
      <c r="M1351" s="1">
        <v>111</v>
      </c>
      <c r="N1351" s="1">
        <v>2.4320000000000001E-2</v>
      </c>
      <c r="O1351" s="1">
        <v>2.5779999999999998E-4</v>
      </c>
      <c r="P13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2.185963584330159</v>
      </c>
      <c r="Q1351" s="1">
        <f>LN(Table13[[#This Row],[qe_mg_g]]-Table13[[#This Row],[qt]])</f>
        <v>2.3837075021035221</v>
      </c>
      <c r="R1351" s="1">
        <v>3</v>
      </c>
    </row>
    <row r="1352" spans="1:18" hidden="1" x14ac:dyDescent="0.3">
      <c r="A1352" s="1">
        <v>1351</v>
      </c>
      <c r="B1352" s="1" t="s">
        <v>18</v>
      </c>
      <c r="C1352" s="1">
        <v>1</v>
      </c>
      <c r="D1352" s="1">
        <v>60</v>
      </c>
      <c r="E1352" s="1">
        <v>100</v>
      </c>
      <c r="F1352" s="1">
        <v>3</v>
      </c>
      <c r="G1352" s="1">
        <v>25</v>
      </c>
      <c r="H1352" s="1">
        <v>150</v>
      </c>
      <c r="I1352" s="1">
        <v>100</v>
      </c>
      <c r="J1352" s="1">
        <v>23.741</v>
      </c>
      <c r="K1352" s="1">
        <v>76.259</v>
      </c>
      <c r="L1352" s="1">
        <v>23.74</v>
      </c>
      <c r="M1352" s="1">
        <v>94</v>
      </c>
      <c r="N1352" s="1">
        <v>3.1600000000000003E-2</v>
      </c>
      <c r="O1352" s="1">
        <v>2.5230000000000001E-4</v>
      </c>
      <c r="P13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6.2765651948734247</v>
      </c>
      <c r="Q1352" s="1">
        <f>LN(Table13[[#This Row],[qe_mg_g]]-Table13[[#This Row],[qt]])</f>
        <v>2.8601665161620922</v>
      </c>
      <c r="R1352" s="1">
        <v>1</v>
      </c>
    </row>
    <row r="1353" spans="1:18" hidden="1" x14ac:dyDescent="0.3">
      <c r="A1353" s="1">
        <v>1352</v>
      </c>
      <c r="B1353" s="1" t="s">
        <v>18</v>
      </c>
      <c r="C1353" s="1">
        <v>1</v>
      </c>
      <c r="D1353" s="1">
        <v>60</v>
      </c>
      <c r="E1353" s="1">
        <v>100</v>
      </c>
      <c r="F1353" s="1">
        <v>3</v>
      </c>
      <c r="G1353" s="1">
        <v>25</v>
      </c>
      <c r="H1353" s="1">
        <v>150</v>
      </c>
      <c r="I1353" s="1">
        <v>100</v>
      </c>
      <c r="J1353" s="1">
        <v>24.545000000000002</v>
      </c>
      <c r="K1353" s="1">
        <v>75.454999999999998</v>
      </c>
      <c r="L1353" s="1">
        <v>24.54</v>
      </c>
      <c r="M1353" s="1">
        <v>100.1</v>
      </c>
      <c r="N1353" s="1">
        <v>2.5409999999999999E-2</v>
      </c>
      <c r="O1353" s="1">
        <v>2.788E-4</v>
      </c>
      <c r="P13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7.144464354160883</v>
      </c>
      <c r="Q1353" s="1">
        <f>LN(Table13[[#This Row],[qe_mg_g]]-Table13[[#This Row],[qt]])</f>
        <v>2.8565009899902858</v>
      </c>
      <c r="R1353" s="1">
        <v>2</v>
      </c>
    </row>
    <row r="1354" spans="1:18" hidden="1" x14ac:dyDescent="0.3">
      <c r="A1354" s="1">
        <v>1353</v>
      </c>
      <c r="B1354" s="1" t="s">
        <v>18</v>
      </c>
      <c r="C1354" s="1">
        <v>1</v>
      </c>
      <c r="D1354" s="1">
        <v>60</v>
      </c>
      <c r="E1354" s="1">
        <v>100</v>
      </c>
      <c r="F1354" s="1">
        <v>3</v>
      </c>
      <c r="G1354" s="1">
        <v>25</v>
      </c>
      <c r="H1354" s="1">
        <v>150</v>
      </c>
      <c r="I1354" s="1">
        <v>100</v>
      </c>
      <c r="J1354" s="1">
        <v>26.091000000000001</v>
      </c>
      <c r="K1354" s="1">
        <v>73.909000000000006</v>
      </c>
      <c r="L1354" s="1">
        <v>26.09</v>
      </c>
      <c r="M1354" s="1">
        <v>116.8</v>
      </c>
      <c r="N1354" s="1">
        <v>2.8420000000000001E-2</v>
      </c>
      <c r="O1354" s="1">
        <v>2.3690000000000001E-4</v>
      </c>
      <c r="P13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7.0583868400997618</v>
      </c>
      <c r="Q1354" s="1">
        <f>LN(Table13[[#This Row],[qe_mg_g]]-Table13[[#This Row],[qt]])</f>
        <v>2.9461539897946492</v>
      </c>
      <c r="R1354" s="1">
        <v>3</v>
      </c>
    </row>
    <row r="1355" spans="1:18" hidden="1" x14ac:dyDescent="0.3">
      <c r="A1355" s="1">
        <v>1354</v>
      </c>
      <c r="B1355" s="1" t="s">
        <v>18</v>
      </c>
      <c r="C1355" s="1">
        <v>1</v>
      </c>
      <c r="D1355" s="1">
        <v>60</v>
      </c>
      <c r="E1355" s="1">
        <v>100</v>
      </c>
      <c r="F1355" s="1">
        <v>7</v>
      </c>
      <c r="G1355" s="1">
        <v>25</v>
      </c>
      <c r="H1355" s="1">
        <v>150</v>
      </c>
      <c r="I1355" s="1">
        <v>100</v>
      </c>
      <c r="J1355" s="1">
        <v>38.098999999999997</v>
      </c>
      <c r="K1355" s="1">
        <v>61.901000000000003</v>
      </c>
      <c r="L1355" s="1">
        <v>38.1</v>
      </c>
      <c r="M1355" s="1">
        <v>113.1</v>
      </c>
      <c r="N1355" s="1">
        <v>2.7869999999999999E-2</v>
      </c>
      <c r="O1355" s="1">
        <v>2.6610000000000002E-4</v>
      </c>
      <c r="P13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14.409844213800492</v>
      </c>
      <c r="Q1355" s="1">
        <f>LN(Table13[[#This Row],[qe_mg_g]]-Table13[[#This Row],[qt]])</f>
        <v>3.1650173816640246</v>
      </c>
      <c r="R1355" s="1">
        <v>1</v>
      </c>
    </row>
    <row r="1356" spans="1:18" hidden="1" x14ac:dyDescent="0.3">
      <c r="A1356" s="1">
        <v>1355</v>
      </c>
      <c r="B1356" s="1" t="s">
        <v>18</v>
      </c>
      <c r="C1356" s="1">
        <v>1</v>
      </c>
      <c r="D1356" s="1">
        <v>60</v>
      </c>
      <c r="E1356" s="1">
        <v>100</v>
      </c>
      <c r="F1356" s="1">
        <v>7</v>
      </c>
      <c r="G1356" s="1">
        <v>25</v>
      </c>
      <c r="H1356" s="1">
        <v>150</v>
      </c>
      <c r="I1356" s="1">
        <v>100</v>
      </c>
      <c r="J1356" s="1">
        <v>39.503999999999998</v>
      </c>
      <c r="K1356" s="1">
        <v>60.496000000000002</v>
      </c>
      <c r="L1356" s="1">
        <v>39.5</v>
      </c>
      <c r="M1356" s="1">
        <v>70.400000000000006</v>
      </c>
      <c r="N1356" s="1">
        <v>2.8289999999999999E-2</v>
      </c>
      <c r="O1356" s="1">
        <v>2.2049999999999999E-4</v>
      </c>
      <c r="P13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13.559552222159288</v>
      </c>
      <c r="Q1356" s="1">
        <f>LN(Table13[[#This Row],[qe_mg_g]]-Table13[[#This Row],[qt]])</f>
        <v>3.2559576282548073</v>
      </c>
      <c r="R1356" s="1">
        <v>2</v>
      </c>
    </row>
    <row r="1357" spans="1:18" hidden="1" x14ac:dyDescent="0.3">
      <c r="A1357" s="1">
        <v>1356</v>
      </c>
      <c r="B1357" s="1" t="s">
        <v>18</v>
      </c>
      <c r="C1357" s="1">
        <v>1</v>
      </c>
      <c r="D1357" s="1">
        <v>60</v>
      </c>
      <c r="E1357" s="1">
        <v>100</v>
      </c>
      <c r="F1357" s="1">
        <v>7</v>
      </c>
      <c r="G1357" s="1">
        <v>25</v>
      </c>
      <c r="H1357" s="1">
        <v>150</v>
      </c>
      <c r="I1357" s="1">
        <v>100</v>
      </c>
      <c r="J1357" s="1">
        <v>41.036999999999999</v>
      </c>
      <c r="K1357" s="1">
        <v>58.963000000000001</v>
      </c>
      <c r="L1357" s="1">
        <v>41.04</v>
      </c>
      <c r="M1357" s="1">
        <v>82.1</v>
      </c>
      <c r="N1357" s="1">
        <v>3.2779999999999997E-2</v>
      </c>
      <c r="O1357" s="1">
        <v>2.477E-4</v>
      </c>
      <c r="P13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15.546468522114319</v>
      </c>
      <c r="Q1357" s="1">
        <f>LN(Table13[[#This Row],[qe_mg_g]]-Table13[[#This Row],[qt]])</f>
        <v>3.238307068617329</v>
      </c>
      <c r="R1357" s="1">
        <v>3</v>
      </c>
    </row>
    <row r="1358" spans="1:18" hidden="1" x14ac:dyDescent="0.3">
      <c r="A1358" s="1">
        <v>1357</v>
      </c>
      <c r="B1358" s="1" t="s">
        <v>18</v>
      </c>
      <c r="C1358" s="1">
        <v>1</v>
      </c>
      <c r="D1358" s="1">
        <v>60</v>
      </c>
      <c r="E1358" s="1">
        <v>100</v>
      </c>
      <c r="F1358" s="1">
        <v>11</v>
      </c>
      <c r="G1358" s="1">
        <v>25</v>
      </c>
      <c r="H1358" s="1">
        <v>150</v>
      </c>
      <c r="I1358" s="1">
        <v>100</v>
      </c>
      <c r="J1358" s="1">
        <v>31.635000000000002</v>
      </c>
      <c r="K1358" s="1">
        <v>68.364999999999995</v>
      </c>
      <c r="L1358" s="1">
        <v>31.64</v>
      </c>
      <c r="M1358" s="1">
        <v>109.8</v>
      </c>
      <c r="N1358" s="1">
        <v>3.2890000000000003E-2</v>
      </c>
      <c r="O1358" s="1">
        <v>2.4949999999999999E-4</v>
      </c>
      <c r="P13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10.16681575065744</v>
      </c>
      <c r="Q1358" s="1">
        <f>LN(Table13[[#This Row],[qe_mg_g]]-Table13[[#This Row],[qt]])</f>
        <v>3.0665720367885858</v>
      </c>
      <c r="R1358" s="1">
        <v>1</v>
      </c>
    </row>
    <row r="1359" spans="1:18" hidden="1" x14ac:dyDescent="0.3">
      <c r="A1359" s="1">
        <v>1358</v>
      </c>
      <c r="B1359" s="1" t="s">
        <v>18</v>
      </c>
      <c r="C1359" s="1">
        <v>1</v>
      </c>
      <c r="D1359" s="1">
        <v>60</v>
      </c>
      <c r="E1359" s="1">
        <v>100</v>
      </c>
      <c r="F1359" s="1">
        <v>11</v>
      </c>
      <c r="G1359" s="1">
        <v>25</v>
      </c>
      <c r="H1359" s="1">
        <v>150</v>
      </c>
      <c r="I1359" s="1">
        <v>100</v>
      </c>
      <c r="J1359" s="1">
        <v>29.917999999999999</v>
      </c>
      <c r="K1359" s="1">
        <v>70.081999999999994</v>
      </c>
      <c r="L1359" s="1">
        <v>29.92</v>
      </c>
      <c r="M1359" s="1">
        <v>73.400000000000006</v>
      </c>
      <c r="N1359" s="1">
        <v>2.794E-2</v>
      </c>
      <c r="O1359" s="1">
        <v>2.3460000000000001E-4</v>
      </c>
      <c r="P13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8.865676079292653</v>
      </c>
      <c r="Q1359" s="1">
        <f>LN(Table13[[#This Row],[qe_mg_g]]-Table13[[#This Row],[qt]])</f>
        <v>3.0470109540683583</v>
      </c>
      <c r="R1359" s="1">
        <v>2</v>
      </c>
    </row>
    <row r="1360" spans="1:18" hidden="1" x14ac:dyDescent="0.3">
      <c r="A1360" s="1">
        <v>1359</v>
      </c>
      <c r="B1360" s="1" t="s">
        <v>18</v>
      </c>
      <c r="C1360" s="1">
        <v>1</v>
      </c>
      <c r="D1360" s="1">
        <v>60</v>
      </c>
      <c r="E1360" s="1">
        <v>100</v>
      </c>
      <c r="F1360" s="1">
        <v>11</v>
      </c>
      <c r="G1360" s="1">
        <v>25</v>
      </c>
      <c r="H1360" s="1">
        <v>150</v>
      </c>
      <c r="I1360" s="1">
        <v>100</v>
      </c>
      <c r="J1360" s="1">
        <v>32.459000000000003</v>
      </c>
      <c r="K1360" s="1">
        <v>67.540999999999997</v>
      </c>
      <c r="L1360" s="1">
        <v>32.46</v>
      </c>
      <c r="M1360" s="1">
        <v>94.8</v>
      </c>
      <c r="N1360" s="1">
        <v>3.2059999999999998E-2</v>
      </c>
      <c r="O1360" s="1">
        <v>2.3470000000000001E-4</v>
      </c>
      <c r="P13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10.182371502517684</v>
      </c>
      <c r="Q1360" s="1">
        <f>LN(Table13[[#This Row],[qe_mg_g]]-Table13[[#This Row],[qt]])</f>
        <v>3.1035380794379734</v>
      </c>
      <c r="R1360" s="1">
        <v>3</v>
      </c>
    </row>
    <row r="1361" spans="1:18" hidden="1" x14ac:dyDescent="0.3">
      <c r="A1361" s="1">
        <v>1360</v>
      </c>
      <c r="B1361" s="1" t="s">
        <v>18</v>
      </c>
      <c r="C1361" s="1">
        <v>1</v>
      </c>
      <c r="D1361" s="1">
        <v>60</v>
      </c>
      <c r="E1361" s="1">
        <v>200</v>
      </c>
      <c r="F1361" s="1">
        <v>3</v>
      </c>
      <c r="G1361" s="1">
        <v>25</v>
      </c>
      <c r="H1361" s="1">
        <v>150</v>
      </c>
      <c r="I1361" s="1">
        <v>100</v>
      </c>
      <c r="J1361" s="1">
        <v>42.329000000000001</v>
      </c>
      <c r="K1361" s="1">
        <v>157.67099999999999</v>
      </c>
      <c r="L1361" s="1">
        <v>21.16</v>
      </c>
      <c r="M1361" s="1">
        <v>117.8</v>
      </c>
      <c r="N1361" s="1">
        <v>3.1029999999999999E-2</v>
      </c>
      <c r="O1361" s="1">
        <v>2.4850000000000002E-4</v>
      </c>
      <c r="P13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16.378205377153744</v>
      </c>
      <c r="Q1361" s="1">
        <f>LN(Table13[[#This Row],[qe_mg_g]]-Table13[[#This Row],[qt]])</f>
        <v>3.2562022304473626</v>
      </c>
      <c r="R1361" s="1">
        <v>1</v>
      </c>
    </row>
    <row r="1362" spans="1:18" hidden="1" x14ac:dyDescent="0.3">
      <c r="A1362" s="1">
        <v>1361</v>
      </c>
      <c r="B1362" s="1" t="s">
        <v>18</v>
      </c>
      <c r="C1362" s="1">
        <v>1</v>
      </c>
      <c r="D1362" s="1">
        <v>60</v>
      </c>
      <c r="E1362" s="1">
        <v>200</v>
      </c>
      <c r="F1362" s="1">
        <v>3</v>
      </c>
      <c r="G1362" s="1">
        <v>25</v>
      </c>
      <c r="H1362" s="1">
        <v>150</v>
      </c>
      <c r="I1362" s="1">
        <v>100</v>
      </c>
      <c r="J1362" s="1">
        <v>40.243000000000002</v>
      </c>
      <c r="K1362" s="1">
        <v>159.75700000000001</v>
      </c>
      <c r="L1362" s="1">
        <v>20.12</v>
      </c>
      <c r="M1362" s="1">
        <v>90.5</v>
      </c>
      <c r="N1362" s="1">
        <v>2.7449999999999999E-2</v>
      </c>
      <c r="O1362" s="1">
        <v>2.365E-4</v>
      </c>
      <c r="P13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14.627617372998818</v>
      </c>
      <c r="Q1362" s="1">
        <f>LN(Table13[[#This Row],[qe_mg_g]]-Table13[[#This Row],[qt]])</f>
        <v>3.2431930548943257</v>
      </c>
      <c r="R1362" s="1">
        <v>2</v>
      </c>
    </row>
    <row r="1363" spans="1:18" hidden="1" x14ac:dyDescent="0.3">
      <c r="A1363" s="1">
        <v>1362</v>
      </c>
      <c r="B1363" s="1" t="s">
        <v>18</v>
      </c>
      <c r="C1363" s="1">
        <v>1</v>
      </c>
      <c r="D1363" s="1">
        <v>60</v>
      </c>
      <c r="E1363" s="1">
        <v>200</v>
      </c>
      <c r="F1363" s="1">
        <v>3</v>
      </c>
      <c r="G1363" s="1">
        <v>25</v>
      </c>
      <c r="H1363" s="1">
        <v>150</v>
      </c>
      <c r="I1363" s="1">
        <v>100</v>
      </c>
      <c r="J1363" s="1">
        <v>45.441000000000003</v>
      </c>
      <c r="K1363" s="1">
        <v>154.559</v>
      </c>
      <c r="L1363" s="1">
        <v>22.72</v>
      </c>
      <c r="M1363" s="1">
        <v>96.7</v>
      </c>
      <c r="N1363" s="1">
        <v>2.5950000000000001E-2</v>
      </c>
      <c r="O1363" s="1">
        <v>2.942E-4</v>
      </c>
      <c r="P13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20.225761434011709</v>
      </c>
      <c r="Q1363" s="1">
        <f>LN(Table13[[#This Row],[qe_mg_g]]-Table13[[#This Row],[qt]])</f>
        <v>3.2274485167565188</v>
      </c>
      <c r="R1363" s="1">
        <v>3</v>
      </c>
    </row>
    <row r="1364" spans="1:18" hidden="1" x14ac:dyDescent="0.3">
      <c r="A1364" s="1">
        <v>1363</v>
      </c>
      <c r="B1364" s="1" t="s">
        <v>18</v>
      </c>
      <c r="C1364" s="1">
        <v>1</v>
      </c>
      <c r="D1364" s="1">
        <v>60</v>
      </c>
      <c r="E1364" s="1">
        <v>200</v>
      </c>
      <c r="F1364" s="1">
        <v>7</v>
      </c>
      <c r="G1364" s="1">
        <v>25</v>
      </c>
      <c r="H1364" s="1">
        <v>150</v>
      </c>
      <c r="I1364" s="1">
        <v>100</v>
      </c>
      <c r="J1364" s="1">
        <v>65.879000000000005</v>
      </c>
      <c r="K1364" s="1">
        <v>134.12100000000001</v>
      </c>
      <c r="L1364" s="1">
        <v>32.94</v>
      </c>
      <c r="M1364" s="1">
        <v>78.900000000000006</v>
      </c>
      <c r="N1364" s="1">
        <v>2.8670000000000001E-2</v>
      </c>
      <c r="O1364" s="1">
        <v>2.5280000000000002E-4</v>
      </c>
      <c r="P13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32.927187093782216</v>
      </c>
      <c r="Q1364" s="1">
        <f>LN(Table13[[#This Row],[qe_mg_g]]-Table13[[#This Row],[qt]])</f>
        <v>3.495046279350539</v>
      </c>
      <c r="R1364" s="1">
        <v>1</v>
      </c>
    </row>
    <row r="1365" spans="1:18" hidden="1" x14ac:dyDescent="0.3">
      <c r="A1365" s="1">
        <v>1364</v>
      </c>
      <c r="B1365" s="1" t="s">
        <v>18</v>
      </c>
      <c r="C1365" s="1">
        <v>1</v>
      </c>
      <c r="D1365" s="1">
        <v>60</v>
      </c>
      <c r="E1365" s="1">
        <v>200</v>
      </c>
      <c r="F1365" s="1">
        <v>7</v>
      </c>
      <c r="G1365" s="1">
        <v>25</v>
      </c>
      <c r="H1365" s="1">
        <v>150</v>
      </c>
      <c r="I1365" s="1">
        <v>100</v>
      </c>
      <c r="J1365" s="1">
        <v>73.858000000000004</v>
      </c>
      <c r="K1365" s="1">
        <v>126.142</v>
      </c>
      <c r="L1365" s="1">
        <v>36.93</v>
      </c>
      <c r="M1365" s="1">
        <v>83.4</v>
      </c>
      <c r="N1365" s="1">
        <v>3.2930000000000001E-2</v>
      </c>
      <c r="O1365" s="1">
        <v>2.8499999999999999E-4</v>
      </c>
      <c r="P13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41.220386044757618</v>
      </c>
      <c r="Q1365" s="1">
        <f>LN(Table13[[#This Row],[qe_mg_g]]-Table13[[#This Row],[qt]])</f>
        <v>3.4854654255623885</v>
      </c>
      <c r="R1365" s="1">
        <v>2</v>
      </c>
    </row>
    <row r="1366" spans="1:18" hidden="1" x14ac:dyDescent="0.3">
      <c r="A1366" s="1">
        <v>1365</v>
      </c>
      <c r="B1366" s="1" t="s">
        <v>18</v>
      </c>
      <c r="C1366" s="1">
        <v>1</v>
      </c>
      <c r="D1366" s="1">
        <v>60</v>
      </c>
      <c r="E1366" s="1">
        <v>200</v>
      </c>
      <c r="F1366" s="1">
        <v>7</v>
      </c>
      <c r="G1366" s="1">
        <v>25</v>
      </c>
      <c r="H1366" s="1">
        <v>150</v>
      </c>
      <c r="I1366" s="1">
        <v>100</v>
      </c>
      <c r="J1366" s="1">
        <v>60.411999999999999</v>
      </c>
      <c r="K1366" s="1">
        <v>139.58799999999999</v>
      </c>
      <c r="L1366" s="1">
        <v>30.21</v>
      </c>
      <c r="M1366" s="1">
        <v>95.8</v>
      </c>
      <c r="N1366" s="1">
        <v>2.6890000000000001E-2</v>
      </c>
      <c r="O1366" s="1">
        <v>2.4489999999999999E-4</v>
      </c>
      <c r="P13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28.408930485438308</v>
      </c>
      <c r="Q1366" s="1">
        <f>LN(Table13[[#This Row],[qe_mg_g]]-Table13[[#This Row],[qt]])</f>
        <v>3.4658318205295267</v>
      </c>
      <c r="R1366" s="1">
        <v>3</v>
      </c>
    </row>
    <row r="1367" spans="1:18" hidden="1" x14ac:dyDescent="0.3">
      <c r="A1367" s="1">
        <v>1366</v>
      </c>
      <c r="B1367" s="1" t="s">
        <v>18</v>
      </c>
      <c r="C1367" s="1">
        <v>1</v>
      </c>
      <c r="D1367" s="1">
        <v>60</v>
      </c>
      <c r="E1367" s="1">
        <v>200</v>
      </c>
      <c r="F1367" s="1">
        <v>11</v>
      </c>
      <c r="G1367" s="1">
        <v>25</v>
      </c>
      <c r="H1367" s="1">
        <v>150</v>
      </c>
      <c r="I1367" s="1">
        <v>100</v>
      </c>
      <c r="J1367" s="1">
        <v>50.787999999999997</v>
      </c>
      <c r="K1367" s="1">
        <v>149.21199999999999</v>
      </c>
      <c r="L1367" s="1">
        <v>25.39</v>
      </c>
      <c r="M1367" s="1">
        <v>109.9</v>
      </c>
      <c r="N1367" s="1">
        <v>3.3270000000000001E-2</v>
      </c>
      <c r="O1367" s="1">
        <v>2.3130000000000001E-4</v>
      </c>
      <c r="P13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20.997448855189027</v>
      </c>
      <c r="Q1367" s="1">
        <f>LN(Table13[[#This Row],[qe_mg_g]]-Table13[[#This Row],[qt]])</f>
        <v>3.3941912675547532</v>
      </c>
      <c r="R1367" s="1">
        <v>1</v>
      </c>
    </row>
    <row r="1368" spans="1:18" hidden="1" x14ac:dyDescent="0.3">
      <c r="A1368" s="1">
        <v>1367</v>
      </c>
      <c r="B1368" s="1" t="s">
        <v>18</v>
      </c>
      <c r="C1368" s="1">
        <v>1</v>
      </c>
      <c r="D1368" s="1">
        <v>60</v>
      </c>
      <c r="E1368" s="1">
        <v>200</v>
      </c>
      <c r="F1368" s="1">
        <v>11</v>
      </c>
      <c r="G1368" s="1">
        <v>25</v>
      </c>
      <c r="H1368" s="1">
        <v>150</v>
      </c>
      <c r="I1368" s="1">
        <v>100</v>
      </c>
      <c r="J1368" s="1">
        <v>41.933999999999997</v>
      </c>
      <c r="K1368" s="1">
        <v>158.066</v>
      </c>
      <c r="L1368" s="1">
        <v>20.97</v>
      </c>
      <c r="M1368" s="1">
        <v>99.7</v>
      </c>
      <c r="N1368" s="1">
        <v>3.0880000000000001E-2</v>
      </c>
      <c r="O1368" s="1">
        <v>2.5619999999999999E-4</v>
      </c>
      <c r="P13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16.436153048557703</v>
      </c>
      <c r="Q1368" s="1">
        <f>LN(Table13[[#This Row],[qe_mg_g]]-Table13[[#This Row],[qt]])</f>
        <v>3.238594015322918</v>
      </c>
      <c r="R1368" s="1">
        <v>2</v>
      </c>
    </row>
    <row r="1369" spans="1:18" hidden="1" x14ac:dyDescent="0.3">
      <c r="A1369" s="1">
        <v>1368</v>
      </c>
      <c r="B1369" s="1" t="s">
        <v>18</v>
      </c>
      <c r="C1369" s="1">
        <v>1</v>
      </c>
      <c r="D1369" s="1">
        <v>60</v>
      </c>
      <c r="E1369" s="1">
        <v>200</v>
      </c>
      <c r="F1369" s="1">
        <v>11</v>
      </c>
      <c r="G1369" s="1">
        <v>25</v>
      </c>
      <c r="H1369" s="1">
        <v>150</v>
      </c>
      <c r="I1369" s="1">
        <v>100</v>
      </c>
      <c r="J1369" s="1">
        <v>49.457999999999998</v>
      </c>
      <c r="K1369" s="1">
        <v>150.542</v>
      </c>
      <c r="L1369" s="1">
        <v>24.73</v>
      </c>
      <c r="M1369" s="1">
        <v>101.9</v>
      </c>
      <c r="N1369" s="1">
        <v>3.4549999999999997E-2</v>
      </c>
      <c r="O1369" s="1">
        <v>2.5950000000000002E-4</v>
      </c>
      <c r="P13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21.5165910183234</v>
      </c>
      <c r="Q1369" s="1">
        <f>LN(Table13[[#This Row],[qe_mg_g]]-Table13[[#This Row],[qt]])</f>
        <v>3.3301097813932805</v>
      </c>
      <c r="R1369" s="1">
        <v>3</v>
      </c>
    </row>
    <row r="1370" spans="1:18" hidden="1" x14ac:dyDescent="0.3">
      <c r="A1370" s="1">
        <v>1369</v>
      </c>
      <c r="B1370" s="1" t="s">
        <v>18</v>
      </c>
      <c r="C1370" s="1">
        <v>1</v>
      </c>
      <c r="D1370" s="1">
        <v>120</v>
      </c>
      <c r="E1370" s="1">
        <v>25</v>
      </c>
      <c r="F1370" s="1">
        <v>3</v>
      </c>
      <c r="G1370" s="1">
        <v>25</v>
      </c>
      <c r="H1370" s="1">
        <v>150</v>
      </c>
      <c r="I1370" s="1">
        <v>100</v>
      </c>
      <c r="J1370" s="1">
        <v>5.2670000000000003</v>
      </c>
      <c r="K1370" s="1">
        <v>19.733000000000001</v>
      </c>
      <c r="L1370" s="1">
        <v>21.07</v>
      </c>
      <c r="M1370" s="1">
        <v>92.5</v>
      </c>
      <c r="N1370" s="1">
        <v>2.9489999999999999E-2</v>
      </c>
      <c r="O1370" s="1">
        <v>2.9090000000000002E-4</v>
      </c>
      <c r="P13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0.81799584390537072</v>
      </c>
      <c r="Q1370" s="1">
        <f>LN(Table13[[#This Row],[qe_mg_g]]-Table13[[#This Row],[qt]])</f>
        <v>1.4926802859872421</v>
      </c>
      <c r="R1370" s="1">
        <v>1</v>
      </c>
    </row>
    <row r="1371" spans="1:18" hidden="1" x14ac:dyDescent="0.3">
      <c r="A1371" s="1">
        <v>1370</v>
      </c>
      <c r="B1371" s="1" t="s">
        <v>18</v>
      </c>
      <c r="C1371" s="1">
        <v>1</v>
      </c>
      <c r="D1371" s="1">
        <v>120</v>
      </c>
      <c r="E1371" s="1">
        <v>25</v>
      </c>
      <c r="F1371" s="1">
        <v>3</v>
      </c>
      <c r="G1371" s="1">
        <v>25</v>
      </c>
      <c r="H1371" s="1">
        <v>150</v>
      </c>
      <c r="I1371" s="1">
        <v>100</v>
      </c>
      <c r="J1371" s="1">
        <v>5.36</v>
      </c>
      <c r="K1371" s="1">
        <v>19.64</v>
      </c>
      <c r="L1371" s="1">
        <v>21.44</v>
      </c>
      <c r="M1371" s="1">
        <v>99.7</v>
      </c>
      <c r="N1371" s="1">
        <v>2.8549999999999999E-2</v>
      </c>
      <c r="O1371" s="1">
        <v>2.7750000000000002E-4</v>
      </c>
      <c r="P13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0.81179925463814673</v>
      </c>
      <c r="Q1371" s="1">
        <f>LN(Table13[[#This Row],[qe_mg_g]]-Table13[[#This Row],[qt]])</f>
        <v>1.5147317141758023</v>
      </c>
      <c r="R1371" s="1">
        <v>2</v>
      </c>
    </row>
    <row r="1372" spans="1:18" hidden="1" x14ac:dyDescent="0.3">
      <c r="A1372" s="1">
        <v>1371</v>
      </c>
      <c r="B1372" s="1" t="s">
        <v>18</v>
      </c>
      <c r="C1372" s="1">
        <v>1</v>
      </c>
      <c r="D1372" s="1">
        <v>120</v>
      </c>
      <c r="E1372" s="1">
        <v>25</v>
      </c>
      <c r="F1372" s="1">
        <v>3</v>
      </c>
      <c r="G1372" s="1">
        <v>25</v>
      </c>
      <c r="H1372" s="1">
        <v>150</v>
      </c>
      <c r="I1372" s="1">
        <v>100</v>
      </c>
      <c r="J1372" s="1">
        <v>6.4109999999999996</v>
      </c>
      <c r="K1372" s="1">
        <v>18.588999999999999</v>
      </c>
      <c r="L1372" s="1">
        <v>25.64</v>
      </c>
      <c r="M1372" s="1">
        <v>106.8</v>
      </c>
      <c r="N1372" s="1">
        <v>3.0249999999999999E-2</v>
      </c>
      <c r="O1372" s="1">
        <v>2.5090000000000003E-4</v>
      </c>
      <c r="P13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1.0372534010384389</v>
      </c>
      <c r="Q1372" s="1">
        <f>LN(Table13[[#This Row],[qe_mg_g]]-Table13[[#This Row],[qt]])</f>
        <v>1.6815253559296308</v>
      </c>
      <c r="R1372" s="1">
        <v>3</v>
      </c>
    </row>
    <row r="1373" spans="1:18" hidden="1" x14ac:dyDescent="0.3">
      <c r="A1373" s="1">
        <v>1372</v>
      </c>
      <c r="B1373" s="1" t="s">
        <v>18</v>
      </c>
      <c r="C1373" s="1">
        <v>1</v>
      </c>
      <c r="D1373" s="1">
        <v>120</v>
      </c>
      <c r="E1373" s="1">
        <v>25</v>
      </c>
      <c r="F1373" s="1">
        <v>7</v>
      </c>
      <c r="G1373" s="1">
        <v>25</v>
      </c>
      <c r="H1373" s="1">
        <v>150</v>
      </c>
      <c r="I1373" s="1">
        <v>100</v>
      </c>
      <c r="J1373" s="1">
        <v>6.85</v>
      </c>
      <c r="K1373" s="1">
        <v>18.149999999999999</v>
      </c>
      <c r="L1373" s="1">
        <v>27.4</v>
      </c>
      <c r="M1373" s="1">
        <v>111.2</v>
      </c>
      <c r="N1373" s="1">
        <v>3.04E-2</v>
      </c>
      <c r="O1373" s="1">
        <v>2.6069999999999999E-4</v>
      </c>
      <c r="P13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1.2088685257310534</v>
      </c>
      <c r="Q1373" s="1">
        <f>LN(Table13[[#This Row],[qe_mg_g]]-Table13[[#This Row],[qt]])</f>
        <v>1.7300846613944001</v>
      </c>
      <c r="R1373" s="1">
        <v>1</v>
      </c>
    </row>
    <row r="1374" spans="1:18" hidden="1" x14ac:dyDescent="0.3">
      <c r="A1374" s="1">
        <v>1373</v>
      </c>
      <c r="B1374" s="1" t="s">
        <v>18</v>
      </c>
      <c r="C1374" s="1">
        <v>1</v>
      </c>
      <c r="D1374" s="1">
        <v>120</v>
      </c>
      <c r="E1374" s="1">
        <v>25</v>
      </c>
      <c r="F1374" s="1">
        <v>7</v>
      </c>
      <c r="G1374" s="1">
        <v>25</v>
      </c>
      <c r="H1374" s="1">
        <v>150</v>
      </c>
      <c r="I1374" s="1">
        <v>100</v>
      </c>
      <c r="J1374" s="1">
        <v>8.1630000000000003</v>
      </c>
      <c r="K1374" s="1">
        <v>16.837</v>
      </c>
      <c r="L1374" s="1">
        <v>32.65</v>
      </c>
      <c r="M1374" s="1">
        <v>94.2</v>
      </c>
      <c r="N1374" s="1">
        <v>2.877E-2</v>
      </c>
      <c r="O1374" s="1">
        <v>2.7549999999999997E-4</v>
      </c>
      <c r="P13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1.7347767626352701</v>
      </c>
      <c r="Q1374" s="1">
        <f>LN(Table13[[#This Row],[qe_mg_g]]-Table13[[#This Row],[qt]])</f>
        <v>1.8606981761715364</v>
      </c>
      <c r="R1374" s="1">
        <v>2</v>
      </c>
    </row>
    <row r="1375" spans="1:18" hidden="1" x14ac:dyDescent="0.3">
      <c r="A1375" s="1">
        <v>1374</v>
      </c>
      <c r="B1375" s="1" t="s">
        <v>18</v>
      </c>
      <c r="C1375" s="1">
        <v>1</v>
      </c>
      <c r="D1375" s="1">
        <v>120</v>
      </c>
      <c r="E1375" s="1">
        <v>25</v>
      </c>
      <c r="F1375" s="1">
        <v>7</v>
      </c>
      <c r="G1375" s="1">
        <v>25</v>
      </c>
      <c r="H1375" s="1">
        <v>150</v>
      </c>
      <c r="I1375" s="1">
        <v>100</v>
      </c>
      <c r="J1375" s="1">
        <v>8.4239999999999995</v>
      </c>
      <c r="K1375" s="1">
        <v>16.576000000000001</v>
      </c>
      <c r="L1375" s="1">
        <v>33.700000000000003</v>
      </c>
      <c r="M1375" s="1">
        <v>131.19999999999999</v>
      </c>
      <c r="N1375" s="1">
        <v>3.1289999999999998E-2</v>
      </c>
      <c r="O1375" s="1">
        <v>2.1809999999999999E-4</v>
      </c>
      <c r="P13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1.521757593194234</v>
      </c>
      <c r="Q1375" s="1">
        <f>LN(Table13[[#This Row],[qe_mg_g]]-Table13[[#This Row],[qt]])</f>
        <v>1.9318463453001309</v>
      </c>
      <c r="R1375" s="1">
        <v>3</v>
      </c>
    </row>
    <row r="1376" spans="1:18" hidden="1" x14ac:dyDescent="0.3">
      <c r="A1376" s="1">
        <v>1375</v>
      </c>
      <c r="B1376" s="1" t="s">
        <v>18</v>
      </c>
      <c r="C1376" s="1">
        <v>1</v>
      </c>
      <c r="D1376" s="1">
        <v>120</v>
      </c>
      <c r="E1376" s="1">
        <v>25</v>
      </c>
      <c r="F1376" s="1">
        <v>11</v>
      </c>
      <c r="G1376" s="1">
        <v>25</v>
      </c>
      <c r="H1376" s="1">
        <v>150</v>
      </c>
      <c r="I1376" s="1">
        <v>100</v>
      </c>
      <c r="J1376" s="1">
        <v>6.625</v>
      </c>
      <c r="K1376" s="1">
        <v>18.375</v>
      </c>
      <c r="L1376" s="1">
        <v>26.5</v>
      </c>
      <c r="M1376" s="1">
        <v>90.2</v>
      </c>
      <c r="N1376" s="1">
        <v>2.342E-2</v>
      </c>
      <c r="O1376" s="1">
        <v>2.9E-4</v>
      </c>
      <c r="P13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1.2412285157043597</v>
      </c>
      <c r="Q1376" s="1">
        <f>LN(Table13[[#This Row],[qe_mg_g]]-Table13[[#This Row],[qt]])</f>
        <v>1.6833891479601835</v>
      </c>
      <c r="R1376" s="1">
        <v>1</v>
      </c>
    </row>
    <row r="1377" spans="1:18" hidden="1" x14ac:dyDescent="0.3">
      <c r="A1377" s="1">
        <v>1376</v>
      </c>
      <c r="B1377" s="1" t="s">
        <v>18</v>
      </c>
      <c r="C1377" s="1">
        <v>1</v>
      </c>
      <c r="D1377" s="1">
        <v>120</v>
      </c>
      <c r="E1377" s="1">
        <v>25</v>
      </c>
      <c r="F1377" s="1">
        <v>11</v>
      </c>
      <c r="G1377" s="1">
        <v>25</v>
      </c>
      <c r="H1377" s="1">
        <v>150</v>
      </c>
      <c r="I1377" s="1">
        <v>100</v>
      </c>
      <c r="J1377" s="1">
        <v>7.1269999999999998</v>
      </c>
      <c r="K1377" s="1">
        <v>17.873000000000001</v>
      </c>
      <c r="L1377" s="1">
        <v>28.51</v>
      </c>
      <c r="M1377" s="1">
        <v>108</v>
      </c>
      <c r="N1377" s="1">
        <v>3.0499999999999999E-2</v>
      </c>
      <c r="O1377" s="1">
        <v>2.154E-4</v>
      </c>
      <c r="P13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1.1086859638567974</v>
      </c>
      <c r="Q1377" s="1">
        <f>LN(Table13[[#This Row],[qe_mg_g]]-Table13[[#This Row],[qt]])</f>
        <v>1.7948071596551523</v>
      </c>
      <c r="R1377" s="1">
        <v>2</v>
      </c>
    </row>
    <row r="1378" spans="1:18" hidden="1" x14ac:dyDescent="0.3">
      <c r="A1378" s="1">
        <v>1377</v>
      </c>
      <c r="B1378" s="1" t="s">
        <v>18</v>
      </c>
      <c r="C1378" s="1">
        <v>1</v>
      </c>
      <c r="D1378" s="1">
        <v>120</v>
      </c>
      <c r="E1378" s="1">
        <v>25</v>
      </c>
      <c r="F1378" s="1">
        <v>11</v>
      </c>
      <c r="G1378" s="1">
        <v>25</v>
      </c>
      <c r="H1378" s="1">
        <v>150</v>
      </c>
      <c r="I1378" s="1">
        <v>100</v>
      </c>
      <c r="J1378" s="1">
        <v>6.4109999999999996</v>
      </c>
      <c r="K1378" s="1">
        <v>18.588999999999999</v>
      </c>
      <c r="L1378" s="1">
        <v>25.64</v>
      </c>
      <c r="M1378" s="1">
        <v>112.6</v>
      </c>
      <c r="N1378" s="1">
        <v>2.6849999999999999E-2</v>
      </c>
      <c r="O1378" s="1">
        <v>1.8670000000000001E-4</v>
      </c>
      <c r="P13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0.8051759645202804</v>
      </c>
      <c r="Q1378" s="1">
        <f>LN(Table13[[#This Row],[qe_mg_g]]-Table13[[#This Row],[qt]])</f>
        <v>1.7238060636448478</v>
      </c>
      <c r="R1378" s="1">
        <v>3</v>
      </c>
    </row>
    <row r="1379" spans="1:18" hidden="1" x14ac:dyDescent="0.3">
      <c r="A1379" s="1">
        <v>1378</v>
      </c>
      <c r="B1379" s="1" t="s">
        <v>18</v>
      </c>
      <c r="C1379" s="1">
        <v>1</v>
      </c>
      <c r="D1379" s="1">
        <v>120</v>
      </c>
      <c r="E1379" s="1">
        <v>50</v>
      </c>
      <c r="F1379" s="1">
        <v>3</v>
      </c>
      <c r="G1379" s="1">
        <v>25</v>
      </c>
      <c r="H1379" s="1">
        <v>150</v>
      </c>
      <c r="I1379" s="1">
        <v>100</v>
      </c>
      <c r="J1379" s="1">
        <v>15.31</v>
      </c>
      <c r="K1379" s="1">
        <v>34.69</v>
      </c>
      <c r="L1379" s="1">
        <v>30.62</v>
      </c>
      <c r="M1379" s="1">
        <v>97.9</v>
      </c>
      <c r="N1379" s="1">
        <v>3.041E-2</v>
      </c>
      <c r="O1379" s="1">
        <v>2.6820000000000001E-4</v>
      </c>
      <c r="P13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5.0536724689299604</v>
      </c>
      <c r="Q1379" s="1">
        <f>LN(Table13[[#This Row],[qe_mg_g]]-Table13[[#This Row],[qt]])</f>
        <v>2.3278948352251363</v>
      </c>
      <c r="R1379" s="1">
        <v>1</v>
      </c>
    </row>
    <row r="1380" spans="1:18" hidden="1" x14ac:dyDescent="0.3">
      <c r="A1380" s="1">
        <v>1379</v>
      </c>
      <c r="B1380" s="1" t="s">
        <v>18</v>
      </c>
      <c r="C1380" s="1">
        <v>1</v>
      </c>
      <c r="D1380" s="1">
        <v>120</v>
      </c>
      <c r="E1380" s="1">
        <v>50</v>
      </c>
      <c r="F1380" s="1">
        <v>3</v>
      </c>
      <c r="G1380" s="1">
        <v>25</v>
      </c>
      <c r="H1380" s="1">
        <v>150</v>
      </c>
      <c r="I1380" s="1">
        <v>100</v>
      </c>
      <c r="J1380" s="1">
        <v>16.526</v>
      </c>
      <c r="K1380" s="1">
        <v>33.473999999999997</v>
      </c>
      <c r="L1380" s="1">
        <v>33.049999999999997</v>
      </c>
      <c r="M1380" s="1">
        <v>103.9</v>
      </c>
      <c r="N1380" s="1">
        <v>3.3590000000000002E-2</v>
      </c>
      <c r="O1380" s="1">
        <v>2.12E-4</v>
      </c>
      <c r="P13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4.8914248417990649</v>
      </c>
      <c r="Q1380" s="1">
        <f>LN(Table13[[#This Row],[qe_mg_g]]-Table13[[#This Row],[qt]])</f>
        <v>2.4539812819664926</v>
      </c>
      <c r="R1380" s="1">
        <v>2</v>
      </c>
    </row>
    <row r="1381" spans="1:18" hidden="1" x14ac:dyDescent="0.3">
      <c r="A1381" s="1">
        <v>1380</v>
      </c>
      <c r="B1381" s="1" t="s">
        <v>18</v>
      </c>
      <c r="C1381" s="1">
        <v>1</v>
      </c>
      <c r="D1381" s="1">
        <v>120</v>
      </c>
      <c r="E1381" s="1">
        <v>50</v>
      </c>
      <c r="F1381" s="1">
        <v>3</v>
      </c>
      <c r="G1381" s="1">
        <v>25</v>
      </c>
      <c r="H1381" s="1">
        <v>150</v>
      </c>
      <c r="I1381" s="1">
        <v>100</v>
      </c>
      <c r="J1381" s="1">
        <v>16.338999999999999</v>
      </c>
      <c r="K1381" s="1">
        <v>33.661000000000001</v>
      </c>
      <c r="L1381" s="1">
        <v>32.68</v>
      </c>
      <c r="M1381" s="1">
        <v>109.4</v>
      </c>
      <c r="N1381" s="1">
        <v>2.6280000000000001E-2</v>
      </c>
      <c r="O1381" s="1">
        <v>2.1240000000000001E-4</v>
      </c>
      <c r="P13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4.8038112625394884</v>
      </c>
      <c r="Q1381" s="1">
        <f>LN(Table13[[#This Row],[qe_mg_g]]-Table13[[#This Row],[qt]])</f>
        <v>2.4454022536470825</v>
      </c>
      <c r="R1381" s="1">
        <v>3</v>
      </c>
    </row>
    <row r="1382" spans="1:18" hidden="1" x14ac:dyDescent="0.3">
      <c r="A1382" s="1">
        <v>1381</v>
      </c>
      <c r="B1382" s="1" t="s">
        <v>18</v>
      </c>
      <c r="C1382" s="1">
        <v>1</v>
      </c>
      <c r="D1382" s="1">
        <v>120</v>
      </c>
      <c r="E1382" s="1">
        <v>50</v>
      </c>
      <c r="F1382" s="1">
        <v>7</v>
      </c>
      <c r="G1382" s="1">
        <v>25</v>
      </c>
      <c r="H1382" s="1">
        <v>150</v>
      </c>
      <c r="I1382" s="1">
        <v>100</v>
      </c>
      <c r="J1382" s="1">
        <v>22.268999999999998</v>
      </c>
      <c r="K1382" s="1">
        <v>27.731000000000002</v>
      </c>
      <c r="L1382" s="1">
        <v>44.54</v>
      </c>
      <c r="M1382" s="1">
        <v>90.1</v>
      </c>
      <c r="N1382" s="1">
        <v>3.2259999999999997E-2</v>
      </c>
      <c r="O1382" s="1">
        <v>2.3460000000000001E-4</v>
      </c>
      <c r="P13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8.5811465120595614</v>
      </c>
      <c r="Q1382" s="1">
        <f>LN(Table13[[#This Row],[qe_mg_g]]-Table13[[#This Row],[qt]])</f>
        <v>2.6165088328461987</v>
      </c>
      <c r="R1382" s="1">
        <v>1</v>
      </c>
    </row>
    <row r="1383" spans="1:18" hidden="1" x14ac:dyDescent="0.3">
      <c r="A1383" s="1">
        <v>1382</v>
      </c>
      <c r="B1383" s="1" t="s">
        <v>18</v>
      </c>
      <c r="C1383" s="1">
        <v>1</v>
      </c>
      <c r="D1383" s="1">
        <v>120</v>
      </c>
      <c r="E1383" s="1">
        <v>50</v>
      </c>
      <c r="F1383" s="1">
        <v>7</v>
      </c>
      <c r="G1383" s="1">
        <v>25</v>
      </c>
      <c r="H1383" s="1">
        <v>150</v>
      </c>
      <c r="I1383" s="1">
        <v>100</v>
      </c>
      <c r="J1383" s="1">
        <v>22.032</v>
      </c>
      <c r="K1383" s="1">
        <v>27.968</v>
      </c>
      <c r="L1383" s="1">
        <v>44.06</v>
      </c>
      <c r="M1383" s="1">
        <v>90.8</v>
      </c>
      <c r="N1383" s="1">
        <v>3.3360000000000001E-2</v>
      </c>
      <c r="O1383" s="1">
        <v>2.5030000000000001E-4</v>
      </c>
      <c r="P13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8.7737131277991391</v>
      </c>
      <c r="Q1383" s="1">
        <f>LN(Table13[[#This Row],[qe_mg_g]]-Table13[[#This Row],[qt]])</f>
        <v>2.5846227812529969</v>
      </c>
      <c r="R1383" s="1">
        <v>2</v>
      </c>
    </row>
    <row r="1384" spans="1:18" hidden="1" x14ac:dyDescent="0.3">
      <c r="A1384" s="1">
        <v>1383</v>
      </c>
      <c r="B1384" s="1" t="s">
        <v>18</v>
      </c>
      <c r="C1384" s="1">
        <v>1</v>
      </c>
      <c r="D1384" s="1">
        <v>120</v>
      </c>
      <c r="E1384" s="1">
        <v>50</v>
      </c>
      <c r="F1384" s="1">
        <v>7</v>
      </c>
      <c r="G1384" s="1">
        <v>25</v>
      </c>
      <c r="H1384" s="1">
        <v>150</v>
      </c>
      <c r="I1384" s="1">
        <v>100</v>
      </c>
      <c r="J1384" s="1">
        <v>23.486999999999998</v>
      </c>
      <c r="K1384" s="1">
        <v>26.513000000000002</v>
      </c>
      <c r="L1384" s="1">
        <v>46.97</v>
      </c>
      <c r="M1384" s="1">
        <v>98.3</v>
      </c>
      <c r="N1384" s="1">
        <v>3.388E-2</v>
      </c>
      <c r="O1384" s="1">
        <v>2.3130000000000001E-4</v>
      </c>
      <c r="P13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9.2688715032148341</v>
      </c>
      <c r="Q1384" s="1">
        <f>LN(Table13[[#This Row],[qe_mg_g]]-Table13[[#This Row],[qt]])</f>
        <v>2.6545178050797005</v>
      </c>
      <c r="R1384" s="1">
        <v>3</v>
      </c>
    </row>
    <row r="1385" spans="1:18" hidden="1" x14ac:dyDescent="0.3">
      <c r="A1385" s="1">
        <v>1384</v>
      </c>
      <c r="B1385" s="1" t="s">
        <v>18</v>
      </c>
      <c r="C1385" s="1">
        <v>1</v>
      </c>
      <c r="D1385" s="1">
        <v>120</v>
      </c>
      <c r="E1385" s="1">
        <v>50</v>
      </c>
      <c r="F1385" s="1">
        <v>11</v>
      </c>
      <c r="G1385" s="1">
        <v>25</v>
      </c>
      <c r="H1385" s="1">
        <v>150</v>
      </c>
      <c r="I1385" s="1">
        <v>100</v>
      </c>
      <c r="J1385" s="1">
        <v>21.07</v>
      </c>
      <c r="K1385" s="1">
        <v>28.93</v>
      </c>
      <c r="L1385" s="1">
        <v>42.14</v>
      </c>
      <c r="M1385" s="1">
        <v>103.2</v>
      </c>
      <c r="N1385" s="1">
        <v>2.9520000000000001E-2</v>
      </c>
      <c r="O1385" s="1">
        <v>3.1250000000000001E-4</v>
      </c>
      <c r="P13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9.2998722156273992</v>
      </c>
      <c r="Q1385" s="1">
        <f>LN(Table13[[#This Row],[qe_mg_g]]-Table13[[#This Row],[qt]])</f>
        <v>2.4655647779993681</v>
      </c>
      <c r="R1385" s="1">
        <v>1</v>
      </c>
    </row>
    <row r="1386" spans="1:18" hidden="1" x14ac:dyDescent="0.3">
      <c r="A1386" s="1">
        <v>1385</v>
      </c>
      <c r="B1386" s="1" t="s">
        <v>18</v>
      </c>
      <c r="C1386" s="1">
        <v>1</v>
      </c>
      <c r="D1386" s="1">
        <v>120</v>
      </c>
      <c r="E1386" s="1">
        <v>50</v>
      </c>
      <c r="F1386" s="1">
        <v>11</v>
      </c>
      <c r="G1386" s="1">
        <v>25</v>
      </c>
      <c r="H1386" s="1">
        <v>150</v>
      </c>
      <c r="I1386" s="1">
        <v>100</v>
      </c>
      <c r="J1386" s="1">
        <v>17.05</v>
      </c>
      <c r="K1386" s="1">
        <v>32.950000000000003</v>
      </c>
      <c r="L1386" s="1">
        <v>34.1</v>
      </c>
      <c r="M1386" s="1">
        <v>94.7</v>
      </c>
      <c r="N1386" s="1">
        <v>2.63E-2</v>
      </c>
      <c r="O1386" s="1">
        <v>2.7379999999999999E-4</v>
      </c>
      <c r="P13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6.1218774347921174</v>
      </c>
      <c r="Q1386" s="1">
        <f>LN(Table13[[#This Row],[qe_mg_g]]-Table13[[#This Row],[qt]])</f>
        <v>2.3913395184690418</v>
      </c>
      <c r="R1386" s="1">
        <v>2</v>
      </c>
    </row>
    <row r="1387" spans="1:18" hidden="1" x14ac:dyDescent="0.3">
      <c r="A1387" s="1">
        <v>1386</v>
      </c>
      <c r="B1387" s="1" t="s">
        <v>18</v>
      </c>
      <c r="C1387" s="1">
        <v>1</v>
      </c>
      <c r="D1387" s="1">
        <v>120</v>
      </c>
      <c r="E1387" s="1">
        <v>50</v>
      </c>
      <c r="F1387" s="1">
        <v>11</v>
      </c>
      <c r="G1387" s="1">
        <v>25</v>
      </c>
      <c r="H1387" s="1">
        <v>150</v>
      </c>
      <c r="I1387" s="1">
        <v>100</v>
      </c>
      <c r="J1387" s="1">
        <v>21.704000000000001</v>
      </c>
      <c r="K1387" s="1">
        <v>28.295999999999999</v>
      </c>
      <c r="L1387" s="1">
        <v>43.41</v>
      </c>
      <c r="M1387" s="1">
        <v>125</v>
      </c>
      <c r="N1387" s="1">
        <v>3.3669999999999999E-2</v>
      </c>
      <c r="O1387" s="1">
        <v>2.4509999999999999E-4</v>
      </c>
      <c r="P13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8.4565904813695525</v>
      </c>
      <c r="Q1387" s="1">
        <f>LN(Table13[[#This Row],[qe_mg_g]]-Table13[[#This Row],[qt]])</f>
        <v>2.5838020252901548</v>
      </c>
      <c r="R1387" s="1">
        <v>3</v>
      </c>
    </row>
    <row r="1388" spans="1:18" hidden="1" x14ac:dyDescent="0.3">
      <c r="A1388" s="1">
        <v>1387</v>
      </c>
      <c r="B1388" s="1" t="s">
        <v>18</v>
      </c>
      <c r="C1388" s="1">
        <v>1</v>
      </c>
      <c r="D1388" s="1">
        <v>120</v>
      </c>
      <c r="E1388" s="1">
        <v>100</v>
      </c>
      <c r="F1388" s="1">
        <v>3</v>
      </c>
      <c r="G1388" s="1">
        <v>25</v>
      </c>
      <c r="H1388" s="1">
        <v>150</v>
      </c>
      <c r="I1388" s="1">
        <v>100</v>
      </c>
      <c r="J1388" s="1">
        <v>35.091000000000001</v>
      </c>
      <c r="K1388" s="1">
        <v>64.909000000000006</v>
      </c>
      <c r="L1388" s="1">
        <v>35.090000000000003</v>
      </c>
      <c r="M1388" s="1">
        <v>74.900000000000006</v>
      </c>
      <c r="N1388" s="1">
        <v>3.6110000000000003E-2</v>
      </c>
      <c r="O1388" s="1">
        <v>2.6170000000000002E-4</v>
      </c>
      <c r="P13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18.396881385323869</v>
      </c>
      <c r="Q1388" s="1">
        <f>LN(Table13[[#This Row],[qe_mg_g]]-Table13[[#This Row],[qt]])</f>
        <v>2.815056478631297</v>
      </c>
      <c r="R1388" s="1">
        <v>1</v>
      </c>
    </row>
    <row r="1389" spans="1:18" hidden="1" x14ac:dyDescent="0.3">
      <c r="A1389" s="1">
        <v>1388</v>
      </c>
      <c r="B1389" s="1" t="s">
        <v>18</v>
      </c>
      <c r="C1389" s="1">
        <v>1</v>
      </c>
      <c r="D1389" s="1">
        <v>120</v>
      </c>
      <c r="E1389" s="1">
        <v>100</v>
      </c>
      <c r="F1389" s="1">
        <v>3</v>
      </c>
      <c r="G1389" s="1">
        <v>25</v>
      </c>
      <c r="H1389" s="1">
        <v>150</v>
      </c>
      <c r="I1389" s="1">
        <v>100</v>
      </c>
      <c r="J1389" s="1">
        <v>34.677</v>
      </c>
      <c r="K1389" s="1">
        <v>65.322999999999993</v>
      </c>
      <c r="L1389" s="1">
        <v>34.68</v>
      </c>
      <c r="M1389" s="1">
        <v>119.9</v>
      </c>
      <c r="N1389" s="1">
        <v>2.708E-2</v>
      </c>
      <c r="O1389" s="1">
        <v>2.6019999999999998E-4</v>
      </c>
      <c r="P13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18.027415262162936</v>
      </c>
      <c r="Q1389" s="1">
        <f>LN(Table13[[#This Row],[qe_mg_g]]-Table13[[#This Row],[qt]])</f>
        <v>2.8123852754449823</v>
      </c>
      <c r="R1389" s="1">
        <v>2</v>
      </c>
    </row>
    <row r="1390" spans="1:18" hidden="1" x14ac:dyDescent="0.3">
      <c r="A1390" s="1">
        <v>1389</v>
      </c>
      <c r="B1390" s="1" t="s">
        <v>18</v>
      </c>
      <c r="C1390" s="1">
        <v>1</v>
      </c>
      <c r="D1390" s="1">
        <v>120</v>
      </c>
      <c r="E1390" s="1">
        <v>100</v>
      </c>
      <c r="F1390" s="1">
        <v>3</v>
      </c>
      <c r="G1390" s="1">
        <v>25</v>
      </c>
      <c r="H1390" s="1">
        <v>150</v>
      </c>
      <c r="I1390" s="1">
        <v>100</v>
      </c>
      <c r="J1390" s="1">
        <v>35.72</v>
      </c>
      <c r="K1390" s="1">
        <v>64.28</v>
      </c>
      <c r="L1390" s="1">
        <v>35.72</v>
      </c>
      <c r="M1390" s="1">
        <v>109.6</v>
      </c>
      <c r="N1390" s="1">
        <v>2.981E-2</v>
      </c>
      <c r="O1390" s="1">
        <v>2.1369999999999999E-4</v>
      </c>
      <c r="P13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17.077029543909855</v>
      </c>
      <c r="Q1390" s="1">
        <f>LN(Table13[[#This Row],[qe_mg_g]]-Table13[[#This Row],[qt]])</f>
        <v>2.9254691557934152</v>
      </c>
      <c r="R1390" s="1">
        <v>3</v>
      </c>
    </row>
    <row r="1391" spans="1:18" hidden="1" x14ac:dyDescent="0.3">
      <c r="A1391" s="1">
        <v>1390</v>
      </c>
      <c r="B1391" s="1" t="s">
        <v>18</v>
      </c>
      <c r="C1391" s="1">
        <v>1</v>
      </c>
      <c r="D1391" s="1">
        <v>120</v>
      </c>
      <c r="E1391" s="1">
        <v>100</v>
      </c>
      <c r="F1391" s="1">
        <v>7</v>
      </c>
      <c r="G1391" s="1">
        <v>25</v>
      </c>
      <c r="H1391" s="1">
        <v>150</v>
      </c>
      <c r="I1391" s="1">
        <v>100</v>
      </c>
      <c r="J1391" s="1">
        <v>53.597000000000001</v>
      </c>
      <c r="K1391" s="1">
        <v>46.402999999999999</v>
      </c>
      <c r="L1391" s="1">
        <v>53.6</v>
      </c>
      <c r="M1391" s="1">
        <v>115.7</v>
      </c>
      <c r="N1391" s="1">
        <v>2.9909999999999999E-2</v>
      </c>
      <c r="O1391" s="1">
        <v>2.6939999999999999E-4</v>
      </c>
      <c r="P13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33.983680783855455</v>
      </c>
      <c r="Q1391" s="1">
        <f>LN(Table13[[#This Row],[qe_mg_g]]-Table13[[#This Row],[qt]])</f>
        <v>2.9762088872897769</v>
      </c>
      <c r="R1391" s="1">
        <v>1</v>
      </c>
    </row>
    <row r="1392" spans="1:18" hidden="1" x14ac:dyDescent="0.3">
      <c r="A1392" s="1">
        <v>1391</v>
      </c>
      <c r="B1392" s="1" t="s">
        <v>18</v>
      </c>
      <c r="C1392" s="1">
        <v>1</v>
      </c>
      <c r="D1392" s="1">
        <v>120</v>
      </c>
      <c r="E1392" s="1">
        <v>100</v>
      </c>
      <c r="F1392" s="1">
        <v>7</v>
      </c>
      <c r="G1392" s="1">
        <v>25</v>
      </c>
      <c r="H1392" s="1">
        <v>150</v>
      </c>
      <c r="I1392" s="1">
        <v>100</v>
      </c>
      <c r="J1392" s="1">
        <v>48.225000000000001</v>
      </c>
      <c r="K1392" s="1">
        <v>51.774999999999999</v>
      </c>
      <c r="L1392" s="1">
        <v>48.23</v>
      </c>
      <c r="M1392" s="1">
        <v>99.6</v>
      </c>
      <c r="N1392" s="1">
        <v>2.8129999999999999E-2</v>
      </c>
      <c r="O1392" s="1">
        <v>2.6870000000000003E-4</v>
      </c>
      <c r="P13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29.350000092956197</v>
      </c>
      <c r="Q1392" s="1">
        <f>LN(Table13[[#This Row],[qe_mg_g]]-Table13[[#This Row],[qt]])</f>
        <v>2.9378382902102569</v>
      </c>
      <c r="R1392" s="1">
        <v>2</v>
      </c>
    </row>
    <row r="1393" spans="1:18" hidden="1" x14ac:dyDescent="0.3">
      <c r="A1393" s="1">
        <v>1392</v>
      </c>
      <c r="B1393" s="1" t="s">
        <v>18</v>
      </c>
      <c r="C1393" s="1">
        <v>1</v>
      </c>
      <c r="D1393" s="1">
        <v>120</v>
      </c>
      <c r="E1393" s="1">
        <v>100</v>
      </c>
      <c r="F1393" s="1">
        <v>7</v>
      </c>
      <c r="G1393" s="1">
        <v>25</v>
      </c>
      <c r="H1393" s="1">
        <v>150</v>
      </c>
      <c r="I1393" s="1">
        <v>100</v>
      </c>
      <c r="J1393" s="1">
        <v>53.386000000000003</v>
      </c>
      <c r="K1393" s="1">
        <v>46.613999999999997</v>
      </c>
      <c r="L1393" s="1">
        <v>53.39</v>
      </c>
      <c r="M1393" s="1">
        <v>110.4</v>
      </c>
      <c r="N1393" s="1">
        <v>3.3259999999999998E-2</v>
      </c>
      <c r="O1393" s="1">
        <v>2.6729999999999999E-4</v>
      </c>
      <c r="P13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33.703867479866247</v>
      </c>
      <c r="Q1393" s="1">
        <f>LN(Table13[[#This Row],[qe_mg_g]]-Table13[[#This Row],[qt]])</f>
        <v>2.9797112455165062</v>
      </c>
      <c r="R1393" s="1">
        <v>3</v>
      </c>
    </row>
    <row r="1394" spans="1:18" hidden="1" x14ac:dyDescent="0.3">
      <c r="A1394" s="1">
        <v>1393</v>
      </c>
      <c r="B1394" s="1" t="s">
        <v>18</v>
      </c>
      <c r="C1394" s="1">
        <v>1</v>
      </c>
      <c r="D1394" s="1">
        <v>120</v>
      </c>
      <c r="E1394" s="1">
        <v>100</v>
      </c>
      <c r="F1394" s="1">
        <v>11</v>
      </c>
      <c r="G1394" s="1">
        <v>25</v>
      </c>
      <c r="H1394" s="1">
        <v>150</v>
      </c>
      <c r="I1394" s="1">
        <v>100</v>
      </c>
      <c r="J1394" s="1">
        <v>44.021999999999998</v>
      </c>
      <c r="K1394" s="1">
        <v>55.978000000000002</v>
      </c>
      <c r="L1394" s="1">
        <v>44.02</v>
      </c>
      <c r="M1394" s="1">
        <v>85</v>
      </c>
      <c r="N1394" s="1">
        <v>2.9989999999999999E-2</v>
      </c>
      <c r="O1394" s="1">
        <v>2.3670000000000001E-4</v>
      </c>
      <c r="P13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24.46015204893396</v>
      </c>
      <c r="Q1394" s="1">
        <f>LN(Table13[[#This Row],[qe_mg_g]]-Table13[[#This Row],[qt]])</f>
        <v>2.9735811361699636</v>
      </c>
      <c r="R1394" s="1">
        <v>1</v>
      </c>
    </row>
    <row r="1395" spans="1:18" hidden="1" x14ac:dyDescent="0.3">
      <c r="A1395" s="1">
        <v>1394</v>
      </c>
      <c r="B1395" s="1" t="s">
        <v>18</v>
      </c>
      <c r="C1395" s="1">
        <v>1</v>
      </c>
      <c r="D1395" s="1">
        <v>120</v>
      </c>
      <c r="E1395" s="1">
        <v>100</v>
      </c>
      <c r="F1395" s="1">
        <v>11</v>
      </c>
      <c r="G1395" s="1">
        <v>25</v>
      </c>
      <c r="H1395" s="1">
        <v>150</v>
      </c>
      <c r="I1395" s="1">
        <v>100</v>
      </c>
      <c r="J1395" s="1">
        <v>41.634999999999998</v>
      </c>
      <c r="K1395" s="1">
        <v>58.365000000000002</v>
      </c>
      <c r="L1395" s="1">
        <v>41.64</v>
      </c>
      <c r="M1395" s="1">
        <v>94.4</v>
      </c>
      <c r="N1395" s="1">
        <v>2.7060000000000001E-2</v>
      </c>
      <c r="O1395" s="1">
        <v>2.0110000000000001E-4</v>
      </c>
      <c r="P13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20.866677518487197</v>
      </c>
      <c r="Q1395" s="1">
        <f>LN(Table13[[#This Row],[qe_mg_g]]-Table13[[#This Row],[qt]])</f>
        <v>3.0334288682089441</v>
      </c>
      <c r="R1395" s="1">
        <v>2</v>
      </c>
    </row>
    <row r="1396" spans="1:18" hidden="1" x14ac:dyDescent="0.3">
      <c r="A1396" s="1">
        <v>1395</v>
      </c>
      <c r="B1396" s="1" t="s">
        <v>18</v>
      </c>
      <c r="C1396" s="1">
        <v>1</v>
      </c>
      <c r="D1396" s="1">
        <v>120</v>
      </c>
      <c r="E1396" s="1">
        <v>100</v>
      </c>
      <c r="F1396" s="1">
        <v>11</v>
      </c>
      <c r="G1396" s="1">
        <v>25</v>
      </c>
      <c r="H1396" s="1">
        <v>150</v>
      </c>
      <c r="I1396" s="1">
        <v>100</v>
      </c>
      <c r="J1396" s="1">
        <v>40.381999999999998</v>
      </c>
      <c r="K1396" s="1">
        <v>59.618000000000002</v>
      </c>
      <c r="L1396" s="1">
        <v>40.380000000000003</v>
      </c>
      <c r="M1396" s="1">
        <v>102.9</v>
      </c>
      <c r="N1396" s="1">
        <v>2.596E-2</v>
      </c>
      <c r="O1396" s="1">
        <v>2.5040000000000001E-4</v>
      </c>
      <c r="P13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22.137656294123101</v>
      </c>
      <c r="Q1396" s="1">
        <f>LN(Table13[[#This Row],[qe_mg_g]]-Table13[[#This Row],[qt]])</f>
        <v>2.9038550980645019</v>
      </c>
      <c r="R1396" s="1">
        <v>3</v>
      </c>
    </row>
    <row r="1397" spans="1:18" hidden="1" x14ac:dyDescent="0.3">
      <c r="A1397" s="1">
        <v>1396</v>
      </c>
      <c r="B1397" s="1" t="s">
        <v>18</v>
      </c>
      <c r="C1397" s="1">
        <v>1</v>
      </c>
      <c r="D1397" s="1">
        <v>120</v>
      </c>
      <c r="E1397" s="1">
        <v>200</v>
      </c>
      <c r="F1397" s="1">
        <v>3</v>
      </c>
      <c r="G1397" s="1">
        <v>25</v>
      </c>
      <c r="H1397" s="1">
        <v>150</v>
      </c>
      <c r="I1397" s="1">
        <v>100</v>
      </c>
      <c r="J1397" s="1">
        <v>64.551000000000002</v>
      </c>
      <c r="K1397" s="1">
        <v>135.44900000000001</v>
      </c>
      <c r="L1397" s="1">
        <v>32.28</v>
      </c>
      <c r="M1397" s="1">
        <v>115.3</v>
      </c>
      <c r="N1397" s="1">
        <v>3.4930000000000003E-2</v>
      </c>
      <c r="O1397" s="1">
        <v>2.5980000000000003E-4</v>
      </c>
      <c r="P13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43.122869428764062</v>
      </c>
      <c r="Q1397" s="1">
        <f>LN(Table13[[#This Row],[qe_mg_g]]-Table13[[#This Row],[qt]])</f>
        <v>3.0647045714869856</v>
      </c>
      <c r="R1397" s="1">
        <v>1</v>
      </c>
    </row>
    <row r="1398" spans="1:18" hidden="1" x14ac:dyDescent="0.3">
      <c r="A1398" s="1">
        <v>1397</v>
      </c>
      <c r="B1398" s="1" t="s">
        <v>18</v>
      </c>
      <c r="C1398" s="1">
        <v>1</v>
      </c>
      <c r="D1398" s="1">
        <v>120</v>
      </c>
      <c r="E1398" s="1">
        <v>200</v>
      </c>
      <c r="F1398" s="1">
        <v>3</v>
      </c>
      <c r="G1398" s="1">
        <v>25</v>
      </c>
      <c r="H1398" s="1">
        <v>150</v>
      </c>
      <c r="I1398" s="1">
        <v>100</v>
      </c>
      <c r="J1398" s="1">
        <v>60.915999999999997</v>
      </c>
      <c r="K1398" s="1">
        <v>139.084</v>
      </c>
      <c r="L1398" s="1">
        <v>30.46</v>
      </c>
      <c r="M1398" s="1">
        <v>89.1</v>
      </c>
      <c r="N1398" s="1">
        <v>2.8070000000000001E-2</v>
      </c>
      <c r="O1398" s="1">
        <v>1.8149999999999999E-4</v>
      </c>
      <c r="P13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34.735281214889866</v>
      </c>
      <c r="Q1398" s="1">
        <f>LN(Table13[[#This Row],[qe_mg_g]]-Table13[[#This Row],[qt]])</f>
        <v>3.265023215609447</v>
      </c>
      <c r="R1398" s="1">
        <v>2</v>
      </c>
    </row>
    <row r="1399" spans="1:18" hidden="1" x14ac:dyDescent="0.3">
      <c r="A1399" s="1">
        <v>1398</v>
      </c>
      <c r="B1399" s="1" t="s">
        <v>18</v>
      </c>
      <c r="C1399" s="1">
        <v>1</v>
      </c>
      <c r="D1399" s="1">
        <v>120</v>
      </c>
      <c r="E1399" s="1">
        <v>200</v>
      </c>
      <c r="F1399" s="1">
        <v>3</v>
      </c>
      <c r="G1399" s="1">
        <v>25</v>
      </c>
      <c r="H1399" s="1">
        <v>150</v>
      </c>
      <c r="I1399" s="1">
        <v>100</v>
      </c>
      <c r="J1399" s="1">
        <v>61.008000000000003</v>
      </c>
      <c r="K1399" s="1">
        <v>138.99199999999999</v>
      </c>
      <c r="L1399" s="1">
        <v>30.5</v>
      </c>
      <c r="M1399" s="1">
        <v>123.1</v>
      </c>
      <c r="N1399" s="1">
        <v>2.8340000000000001E-2</v>
      </c>
      <c r="O1399" s="1">
        <v>2.4369999999999999E-4</v>
      </c>
      <c r="P13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39.09513529677352</v>
      </c>
      <c r="Q1399" s="1">
        <f>LN(Table13[[#This Row],[qe_mg_g]]-Table13[[#This Row],[qt]])</f>
        <v>3.0870738937244333</v>
      </c>
      <c r="R1399" s="1">
        <v>3</v>
      </c>
    </row>
    <row r="1400" spans="1:18" hidden="1" x14ac:dyDescent="0.3">
      <c r="A1400" s="1">
        <v>1399</v>
      </c>
      <c r="B1400" s="1" t="s">
        <v>18</v>
      </c>
      <c r="C1400" s="1">
        <v>1</v>
      </c>
      <c r="D1400" s="1">
        <v>120</v>
      </c>
      <c r="E1400" s="1">
        <v>200</v>
      </c>
      <c r="F1400" s="1">
        <v>7</v>
      </c>
      <c r="G1400" s="1">
        <v>25</v>
      </c>
      <c r="H1400" s="1">
        <v>150</v>
      </c>
      <c r="I1400" s="1">
        <v>100</v>
      </c>
      <c r="J1400" s="1">
        <v>73.977999999999994</v>
      </c>
      <c r="K1400" s="1">
        <v>126.02200000000001</v>
      </c>
      <c r="L1400" s="1">
        <v>36.99</v>
      </c>
      <c r="M1400" s="1">
        <v>105.7</v>
      </c>
      <c r="N1400" s="1">
        <v>3.3369999999999997E-2</v>
      </c>
      <c r="O1400" s="1">
        <v>2.064E-4</v>
      </c>
      <c r="P14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47.858472818055105</v>
      </c>
      <c r="Q1400" s="1">
        <f>LN(Table13[[#This Row],[qe_mg_g]]-Table13[[#This Row],[qt]])</f>
        <v>3.2626832024811789</v>
      </c>
      <c r="R1400" s="1">
        <v>1</v>
      </c>
    </row>
    <row r="1401" spans="1:18" hidden="1" x14ac:dyDescent="0.3">
      <c r="A1401" s="1">
        <v>1400</v>
      </c>
      <c r="B1401" s="1" t="s">
        <v>18</v>
      </c>
      <c r="C1401" s="1">
        <v>1</v>
      </c>
      <c r="D1401" s="1">
        <v>120</v>
      </c>
      <c r="E1401" s="1">
        <v>200</v>
      </c>
      <c r="F1401" s="1">
        <v>7</v>
      </c>
      <c r="G1401" s="1">
        <v>25</v>
      </c>
      <c r="H1401" s="1">
        <v>150</v>
      </c>
      <c r="I1401" s="1">
        <v>100</v>
      </c>
      <c r="J1401" s="1">
        <v>82.287000000000006</v>
      </c>
      <c r="K1401" s="1">
        <v>117.71299999999999</v>
      </c>
      <c r="L1401" s="1">
        <v>41.14</v>
      </c>
      <c r="M1401" s="1">
        <v>95.8</v>
      </c>
      <c r="N1401" s="1">
        <v>3.0339999999999999E-2</v>
      </c>
      <c r="O1401" s="1">
        <v>2.6150000000000001E-4</v>
      </c>
      <c r="P14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59.315703130529918</v>
      </c>
      <c r="Q1401" s="1">
        <f>LN(Table13[[#This Row],[qe_mg_g]]-Table13[[#This Row],[qt]])</f>
        <v>3.1342454743789046</v>
      </c>
      <c r="R1401" s="1">
        <v>2</v>
      </c>
    </row>
    <row r="1402" spans="1:18" hidden="1" x14ac:dyDescent="0.3">
      <c r="A1402" s="1">
        <v>1401</v>
      </c>
      <c r="B1402" s="1" t="s">
        <v>18</v>
      </c>
      <c r="C1402" s="1">
        <v>1</v>
      </c>
      <c r="D1402" s="1">
        <v>120</v>
      </c>
      <c r="E1402" s="1">
        <v>200</v>
      </c>
      <c r="F1402" s="1">
        <v>7</v>
      </c>
      <c r="G1402" s="1">
        <v>25</v>
      </c>
      <c r="H1402" s="1">
        <v>150</v>
      </c>
      <c r="I1402" s="1">
        <v>100</v>
      </c>
      <c r="J1402" s="1">
        <v>78.018000000000001</v>
      </c>
      <c r="K1402" s="1">
        <v>121.982</v>
      </c>
      <c r="L1402" s="1">
        <v>39.01</v>
      </c>
      <c r="M1402" s="1">
        <v>98.4</v>
      </c>
      <c r="N1402" s="1">
        <v>2.9360000000000001E-2</v>
      </c>
      <c r="O1402" s="1">
        <v>2.743E-4</v>
      </c>
      <c r="P14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56.152216732576505</v>
      </c>
      <c r="Q1402" s="1">
        <f>LN(Table13[[#This Row],[qe_mg_g]]-Table13[[#This Row],[qt]])</f>
        <v>3.0849230071102247</v>
      </c>
      <c r="R1402" s="1">
        <v>3</v>
      </c>
    </row>
    <row r="1403" spans="1:18" hidden="1" x14ac:dyDescent="0.3">
      <c r="A1403" s="1">
        <v>1402</v>
      </c>
      <c r="B1403" s="1" t="s">
        <v>18</v>
      </c>
      <c r="C1403" s="1">
        <v>1</v>
      </c>
      <c r="D1403" s="1">
        <v>120</v>
      </c>
      <c r="E1403" s="1">
        <v>200</v>
      </c>
      <c r="F1403" s="1">
        <v>11</v>
      </c>
      <c r="G1403" s="1">
        <v>25</v>
      </c>
      <c r="H1403" s="1">
        <v>150</v>
      </c>
      <c r="I1403" s="1">
        <v>100</v>
      </c>
      <c r="J1403" s="1">
        <v>67.162999999999997</v>
      </c>
      <c r="K1403" s="1">
        <v>132.83699999999999</v>
      </c>
      <c r="L1403" s="1">
        <v>33.58</v>
      </c>
      <c r="M1403" s="1">
        <v>103.3</v>
      </c>
      <c r="N1403" s="1">
        <v>2.6190000000000001E-2</v>
      </c>
      <c r="O1403" s="1">
        <v>2.4049999999999999E-4</v>
      </c>
      <c r="P14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44.305413196899195</v>
      </c>
      <c r="Q1403" s="1">
        <f>LN(Table13[[#This Row],[qe_mg_g]]-Table13[[#This Row],[qt]])</f>
        <v>3.1292830886255567</v>
      </c>
      <c r="R1403" s="1">
        <v>1</v>
      </c>
    </row>
    <row r="1404" spans="1:18" hidden="1" x14ac:dyDescent="0.3">
      <c r="A1404" s="1">
        <v>1403</v>
      </c>
      <c r="B1404" s="1" t="s">
        <v>18</v>
      </c>
      <c r="C1404" s="1">
        <v>1</v>
      </c>
      <c r="D1404" s="1">
        <v>120</v>
      </c>
      <c r="E1404" s="1">
        <v>200</v>
      </c>
      <c r="F1404" s="1">
        <v>11</v>
      </c>
      <c r="G1404" s="1">
        <v>25</v>
      </c>
      <c r="H1404" s="1">
        <v>150</v>
      </c>
      <c r="I1404" s="1">
        <v>100</v>
      </c>
      <c r="J1404" s="1">
        <v>69.959000000000003</v>
      </c>
      <c r="K1404" s="1">
        <v>130.041</v>
      </c>
      <c r="L1404" s="1">
        <v>34.979999999999997</v>
      </c>
      <c r="M1404" s="1">
        <v>100.6</v>
      </c>
      <c r="N1404" s="1">
        <v>3.1980000000000001E-2</v>
      </c>
      <c r="O1404" s="1">
        <v>2.942E-4</v>
      </c>
      <c r="P14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49.796931867268668</v>
      </c>
      <c r="Q1404" s="1">
        <f>LN(Table13[[#This Row],[qe_mg_g]]-Table13[[#This Row],[qt]])</f>
        <v>3.0038030238905642</v>
      </c>
      <c r="R1404" s="1">
        <v>2</v>
      </c>
    </row>
    <row r="1405" spans="1:18" hidden="1" x14ac:dyDescent="0.3">
      <c r="A1405" s="1">
        <v>1404</v>
      </c>
      <c r="B1405" s="1" t="s">
        <v>18</v>
      </c>
      <c r="C1405" s="1">
        <v>1</v>
      </c>
      <c r="D1405" s="1">
        <v>120</v>
      </c>
      <c r="E1405" s="1">
        <v>200</v>
      </c>
      <c r="F1405" s="1">
        <v>11</v>
      </c>
      <c r="G1405" s="1">
        <v>25</v>
      </c>
      <c r="H1405" s="1">
        <v>150</v>
      </c>
      <c r="I1405" s="1">
        <v>100</v>
      </c>
      <c r="J1405" s="1">
        <v>70.774000000000001</v>
      </c>
      <c r="K1405" s="1">
        <v>129.226</v>
      </c>
      <c r="L1405" s="1">
        <v>35.39</v>
      </c>
      <c r="M1405" s="1">
        <v>101.4</v>
      </c>
      <c r="N1405" s="1">
        <v>2.8469999999999999E-2</v>
      </c>
      <c r="O1405" s="1">
        <v>1.862E-4</v>
      </c>
      <c r="P14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43.356821016558548</v>
      </c>
      <c r="Q1405" s="1">
        <f>LN(Table13[[#This Row],[qe_mg_g]]-Table13[[#This Row],[qt]])</f>
        <v>3.3111697871289163</v>
      </c>
      <c r="R1405" s="1">
        <v>3</v>
      </c>
    </row>
    <row r="1406" spans="1:18" hidden="1" x14ac:dyDescent="0.3">
      <c r="A1406" s="1">
        <v>1405</v>
      </c>
      <c r="B1406" s="1" t="s">
        <v>18</v>
      </c>
      <c r="C1406" s="1">
        <v>1</v>
      </c>
      <c r="D1406" s="1">
        <v>240</v>
      </c>
      <c r="E1406" s="1">
        <v>25</v>
      </c>
      <c r="F1406" s="1">
        <v>3</v>
      </c>
      <c r="G1406" s="1">
        <v>25</v>
      </c>
      <c r="H1406" s="1">
        <v>150</v>
      </c>
      <c r="I1406" s="1">
        <v>100</v>
      </c>
      <c r="J1406" s="1">
        <v>8.0540000000000003</v>
      </c>
      <c r="K1406" s="1">
        <v>16.946000000000002</v>
      </c>
      <c r="L1406" s="1">
        <v>32.22</v>
      </c>
      <c r="M1406" s="1">
        <v>95.1</v>
      </c>
      <c r="N1406" s="1">
        <v>3.117E-2</v>
      </c>
      <c r="O1406" s="1">
        <v>2.4620000000000002E-4</v>
      </c>
      <c r="P14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2.5969713134449846</v>
      </c>
      <c r="Q1406" s="1">
        <f>LN(Table13[[#This Row],[qe_mg_g]]-Table13[[#This Row],[qt]])</f>
        <v>1.6969044450264543</v>
      </c>
      <c r="R1406" s="1">
        <v>1</v>
      </c>
    </row>
    <row r="1407" spans="1:18" hidden="1" x14ac:dyDescent="0.3">
      <c r="A1407" s="1">
        <v>1406</v>
      </c>
      <c r="B1407" s="1" t="s">
        <v>18</v>
      </c>
      <c r="C1407" s="1">
        <v>1</v>
      </c>
      <c r="D1407" s="1">
        <v>240</v>
      </c>
      <c r="E1407" s="1">
        <v>25</v>
      </c>
      <c r="F1407" s="1">
        <v>3</v>
      </c>
      <c r="G1407" s="1">
        <v>25</v>
      </c>
      <c r="H1407" s="1">
        <v>150</v>
      </c>
      <c r="I1407" s="1">
        <v>100</v>
      </c>
      <c r="J1407" s="1">
        <v>7.9420000000000002</v>
      </c>
      <c r="K1407" s="1">
        <v>17.058</v>
      </c>
      <c r="L1407" s="1">
        <v>31.77</v>
      </c>
      <c r="M1407" s="1">
        <v>73.3</v>
      </c>
      <c r="N1407" s="1">
        <v>2.7179999999999999E-2</v>
      </c>
      <c r="O1407" s="1">
        <v>2.6190000000000002E-4</v>
      </c>
      <c r="P14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2.6445163151558346</v>
      </c>
      <c r="Q1407" s="1">
        <f>LN(Table13[[#This Row],[qe_mg_g]]-Table13[[#This Row],[qt]])</f>
        <v>1.6672319313715567</v>
      </c>
      <c r="R1407" s="1">
        <v>2</v>
      </c>
    </row>
    <row r="1408" spans="1:18" hidden="1" x14ac:dyDescent="0.3">
      <c r="A1408" s="1">
        <v>1407</v>
      </c>
      <c r="B1408" s="1" t="s">
        <v>18</v>
      </c>
      <c r="C1408" s="1">
        <v>1</v>
      </c>
      <c r="D1408" s="1">
        <v>240</v>
      </c>
      <c r="E1408" s="1">
        <v>25</v>
      </c>
      <c r="F1408" s="1">
        <v>3</v>
      </c>
      <c r="G1408" s="1">
        <v>25</v>
      </c>
      <c r="H1408" s="1">
        <v>150</v>
      </c>
      <c r="I1408" s="1">
        <v>100</v>
      </c>
      <c r="J1408" s="1">
        <v>9.4410000000000007</v>
      </c>
      <c r="K1408" s="1">
        <v>15.558999999999999</v>
      </c>
      <c r="L1408" s="1">
        <v>37.76</v>
      </c>
      <c r="M1408" s="1">
        <v>98.5</v>
      </c>
      <c r="N1408" s="1">
        <v>3.0980000000000001E-2</v>
      </c>
      <c r="O1408" s="1">
        <v>2.7379999999999999E-4</v>
      </c>
      <c r="P14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3.6146140523152259</v>
      </c>
      <c r="Q1408" s="1">
        <f>LN(Table13[[#This Row],[qe_mg_g]]-Table13[[#This Row],[qt]])</f>
        <v>1.7623969020836976</v>
      </c>
      <c r="R1408" s="1">
        <v>3</v>
      </c>
    </row>
    <row r="1409" spans="1:18" hidden="1" x14ac:dyDescent="0.3">
      <c r="A1409" s="1">
        <v>1408</v>
      </c>
      <c r="B1409" s="1" t="s">
        <v>18</v>
      </c>
      <c r="C1409" s="1">
        <v>1</v>
      </c>
      <c r="D1409" s="1">
        <v>240</v>
      </c>
      <c r="E1409" s="1">
        <v>25</v>
      </c>
      <c r="F1409" s="1">
        <v>7</v>
      </c>
      <c r="G1409" s="1">
        <v>25</v>
      </c>
      <c r="H1409" s="1">
        <v>150</v>
      </c>
      <c r="I1409" s="1">
        <v>100</v>
      </c>
      <c r="J1409" s="1">
        <v>11.554</v>
      </c>
      <c r="K1409" s="1">
        <v>13.446</v>
      </c>
      <c r="L1409" s="1">
        <v>46.22</v>
      </c>
      <c r="M1409" s="1">
        <v>105.5</v>
      </c>
      <c r="N1409" s="1">
        <v>2.7779999999999999E-2</v>
      </c>
      <c r="O1409" s="1">
        <v>2.7159999999999999E-4</v>
      </c>
      <c r="P14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4.9635241773653309</v>
      </c>
      <c r="Q1409" s="1">
        <f>LN(Table13[[#This Row],[qe_mg_g]]-Table13[[#This Row],[qt]])</f>
        <v>1.885625549646041</v>
      </c>
      <c r="R1409" s="1">
        <v>1</v>
      </c>
    </row>
    <row r="1410" spans="1:18" hidden="1" x14ac:dyDescent="0.3">
      <c r="A1410" s="1">
        <v>1409</v>
      </c>
      <c r="B1410" s="1" t="s">
        <v>18</v>
      </c>
      <c r="C1410" s="1">
        <v>1</v>
      </c>
      <c r="D1410" s="1">
        <v>240</v>
      </c>
      <c r="E1410" s="1">
        <v>25</v>
      </c>
      <c r="F1410" s="1">
        <v>7</v>
      </c>
      <c r="G1410" s="1">
        <v>25</v>
      </c>
      <c r="H1410" s="1">
        <v>150</v>
      </c>
      <c r="I1410" s="1">
        <v>100</v>
      </c>
      <c r="J1410" s="1">
        <v>12.634</v>
      </c>
      <c r="K1410" s="1">
        <v>12.366</v>
      </c>
      <c r="L1410" s="1">
        <v>50.54</v>
      </c>
      <c r="M1410" s="1">
        <v>104.5</v>
      </c>
      <c r="N1410" s="1">
        <v>2.7650000000000001E-2</v>
      </c>
      <c r="O1410" s="1">
        <v>2.677E-4</v>
      </c>
      <c r="P14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5.660474791402951</v>
      </c>
      <c r="Q1410" s="1">
        <f>LN(Table13[[#This Row],[qe_mg_g]]-Table13[[#This Row],[qt]])</f>
        <v>1.9421208657232567</v>
      </c>
      <c r="R1410" s="1">
        <v>2</v>
      </c>
    </row>
    <row r="1411" spans="1:18" hidden="1" x14ac:dyDescent="0.3">
      <c r="A1411" s="1">
        <v>1410</v>
      </c>
      <c r="B1411" s="1" t="s">
        <v>18</v>
      </c>
      <c r="C1411" s="1">
        <v>1</v>
      </c>
      <c r="D1411" s="1">
        <v>240</v>
      </c>
      <c r="E1411" s="1">
        <v>25</v>
      </c>
      <c r="F1411" s="1">
        <v>7</v>
      </c>
      <c r="G1411" s="1">
        <v>25</v>
      </c>
      <c r="H1411" s="1">
        <v>150</v>
      </c>
      <c r="I1411" s="1">
        <v>100</v>
      </c>
      <c r="J1411" s="1">
        <v>14.803000000000001</v>
      </c>
      <c r="K1411" s="1">
        <v>10.196999999999999</v>
      </c>
      <c r="L1411" s="1">
        <v>59.21</v>
      </c>
      <c r="M1411" s="1">
        <v>84.9</v>
      </c>
      <c r="N1411" s="1">
        <v>2.8979999999999999E-2</v>
      </c>
      <c r="O1411" s="1">
        <v>2.5579999999999998E-4</v>
      </c>
      <c r="P14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7.0478080941692856</v>
      </c>
      <c r="Q1411" s="1">
        <f>LN(Table13[[#This Row],[qe_mg_g]]-Table13[[#This Row],[qt]])</f>
        <v>2.0483625423997847</v>
      </c>
      <c r="R1411" s="1">
        <v>3</v>
      </c>
    </row>
    <row r="1412" spans="1:18" hidden="1" x14ac:dyDescent="0.3">
      <c r="A1412" s="1">
        <v>1411</v>
      </c>
      <c r="B1412" s="1" t="s">
        <v>18</v>
      </c>
      <c r="C1412" s="1">
        <v>1</v>
      </c>
      <c r="D1412" s="1">
        <v>240</v>
      </c>
      <c r="E1412" s="1">
        <v>25</v>
      </c>
      <c r="F1412" s="1">
        <v>11</v>
      </c>
      <c r="G1412" s="1">
        <v>25</v>
      </c>
      <c r="H1412" s="1">
        <v>150</v>
      </c>
      <c r="I1412" s="1">
        <v>100</v>
      </c>
      <c r="J1412" s="1">
        <v>10.545999999999999</v>
      </c>
      <c r="K1412" s="1">
        <v>14.454000000000001</v>
      </c>
      <c r="L1412" s="1">
        <v>42.18</v>
      </c>
      <c r="M1412" s="1">
        <v>91.6</v>
      </c>
      <c r="N1412" s="1">
        <v>2.1499999999999998E-2</v>
      </c>
      <c r="O1412" s="1">
        <v>2.8400000000000002E-4</v>
      </c>
      <c r="P14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4.4103787777181598</v>
      </c>
      <c r="Q1412" s="1">
        <f>LN(Table13[[#This Row],[qe_mg_g]]-Table13[[#This Row],[qt]])</f>
        <v>1.8141113317622022</v>
      </c>
      <c r="R1412" s="1">
        <v>1</v>
      </c>
    </row>
    <row r="1413" spans="1:18" hidden="1" x14ac:dyDescent="0.3">
      <c r="A1413" s="1">
        <v>1412</v>
      </c>
      <c r="B1413" s="1" t="s">
        <v>18</v>
      </c>
      <c r="C1413" s="1">
        <v>1</v>
      </c>
      <c r="D1413" s="1">
        <v>240</v>
      </c>
      <c r="E1413" s="1">
        <v>25</v>
      </c>
      <c r="F1413" s="1">
        <v>11</v>
      </c>
      <c r="G1413" s="1">
        <v>25</v>
      </c>
      <c r="H1413" s="1">
        <v>150</v>
      </c>
      <c r="I1413" s="1">
        <v>100</v>
      </c>
      <c r="J1413" s="1">
        <v>10.523</v>
      </c>
      <c r="K1413" s="1">
        <v>14.477</v>
      </c>
      <c r="L1413" s="1">
        <v>42.09</v>
      </c>
      <c r="M1413" s="1">
        <v>73.900000000000006</v>
      </c>
      <c r="N1413" s="1">
        <v>2.818E-2</v>
      </c>
      <c r="O1413" s="1">
        <v>2.8919999999999998E-4</v>
      </c>
      <c r="P14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4.4416781719781673</v>
      </c>
      <c r="Q1413" s="1">
        <f>LN(Table13[[#This Row],[qe_mg_g]]-Table13[[#This Row],[qt]])</f>
        <v>1.8052220782734758</v>
      </c>
      <c r="R1413" s="1">
        <v>2</v>
      </c>
    </row>
    <row r="1414" spans="1:18" hidden="1" x14ac:dyDescent="0.3">
      <c r="A1414" s="1">
        <v>1413</v>
      </c>
      <c r="B1414" s="1" t="s">
        <v>18</v>
      </c>
      <c r="C1414" s="1">
        <v>1</v>
      </c>
      <c r="D1414" s="1">
        <v>240</v>
      </c>
      <c r="E1414" s="1">
        <v>25</v>
      </c>
      <c r="F1414" s="1">
        <v>11</v>
      </c>
      <c r="G1414" s="1">
        <v>25</v>
      </c>
      <c r="H1414" s="1">
        <v>150</v>
      </c>
      <c r="I1414" s="1">
        <v>100</v>
      </c>
      <c r="J1414" s="1">
        <v>11.132</v>
      </c>
      <c r="K1414" s="1">
        <v>13.868</v>
      </c>
      <c r="L1414" s="1">
        <v>44.53</v>
      </c>
      <c r="M1414" s="1">
        <v>114.1</v>
      </c>
      <c r="N1414" s="1">
        <v>2.947E-2</v>
      </c>
      <c r="O1414" s="1">
        <v>2.521E-4</v>
      </c>
      <c r="P14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4.4801942433977509</v>
      </c>
      <c r="Q1414" s="1">
        <f>LN(Table13[[#This Row],[qe_mg_g]]-Table13[[#This Row],[qt]])</f>
        <v>1.8948883601530155</v>
      </c>
      <c r="R1414" s="1">
        <v>3</v>
      </c>
    </row>
    <row r="1415" spans="1:18" hidden="1" x14ac:dyDescent="0.3">
      <c r="A1415" s="1">
        <v>1414</v>
      </c>
      <c r="B1415" s="1" t="s">
        <v>18</v>
      </c>
      <c r="C1415" s="1">
        <v>1</v>
      </c>
      <c r="D1415" s="1">
        <v>240</v>
      </c>
      <c r="E1415" s="1">
        <v>50</v>
      </c>
      <c r="F1415" s="1">
        <v>3</v>
      </c>
      <c r="G1415" s="1">
        <v>25</v>
      </c>
      <c r="H1415" s="1">
        <v>150</v>
      </c>
      <c r="I1415" s="1">
        <v>100</v>
      </c>
      <c r="J1415" s="1">
        <v>20.706</v>
      </c>
      <c r="K1415" s="1">
        <v>29.294</v>
      </c>
      <c r="L1415" s="1">
        <v>41.41</v>
      </c>
      <c r="M1415" s="1">
        <v>116.9</v>
      </c>
      <c r="N1415" s="1">
        <v>2.7369999999999998E-2</v>
      </c>
      <c r="O1415" s="1">
        <v>2.299E-4</v>
      </c>
      <c r="P14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11.041473137185738</v>
      </c>
      <c r="Q1415" s="1">
        <f>LN(Table13[[#This Row],[qe_mg_g]]-Table13[[#This Row],[qt]])</f>
        <v>2.2684621577956263</v>
      </c>
      <c r="R1415" s="1">
        <v>1</v>
      </c>
    </row>
    <row r="1416" spans="1:18" hidden="1" x14ac:dyDescent="0.3">
      <c r="A1416" s="1">
        <v>1415</v>
      </c>
      <c r="B1416" s="1" t="s">
        <v>18</v>
      </c>
      <c r="C1416" s="1">
        <v>1</v>
      </c>
      <c r="D1416" s="1">
        <v>240</v>
      </c>
      <c r="E1416" s="1">
        <v>50</v>
      </c>
      <c r="F1416" s="1">
        <v>3</v>
      </c>
      <c r="G1416" s="1">
        <v>25</v>
      </c>
      <c r="H1416" s="1">
        <v>150</v>
      </c>
      <c r="I1416" s="1">
        <v>100</v>
      </c>
      <c r="J1416" s="1">
        <v>22.858000000000001</v>
      </c>
      <c r="K1416" s="1">
        <v>27.141999999999999</v>
      </c>
      <c r="L1416" s="1">
        <v>45.72</v>
      </c>
      <c r="M1416" s="1">
        <v>99.3</v>
      </c>
      <c r="N1416" s="1">
        <v>3.4139999999999997E-2</v>
      </c>
      <c r="O1416" s="1">
        <v>2.332E-4</v>
      </c>
      <c r="P14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12.829555262839349</v>
      </c>
      <c r="Q1416" s="1">
        <f>LN(Table13[[#This Row],[qe_mg_g]]-Table13[[#This Row],[qt]])</f>
        <v>2.3054255288499959</v>
      </c>
      <c r="R1416" s="1">
        <v>2</v>
      </c>
    </row>
    <row r="1417" spans="1:18" hidden="1" x14ac:dyDescent="0.3">
      <c r="A1417" s="1">
        <v>1416</v>
      </c>
      <c r="B1417" s="1" t="s">
        <v>18</v>
      </c>
      <c r="C1417" s="1">
        <v>1</v>
      </c>
      <c r="D1417" s="1">
        <v>240</v>
      </c>
      <c r="E1417" s="1">
        <v>50</v>
      </c>
      <c r="F1417" s="1">
        <v>3</v>
      </c>
      <c r="G1417" s="1">
        <v>25</v>
      </c>
      <c r="H1417" s="1">
        <v>150</v>
      </c>
      <c r="I1417" s="1">
        <v>100</v>
      </c>
      <c r="J1417" s="1">
        <v>20.85</v>
      </c>
      <c r="K1417" s="1">
        <v>29.15</v>
      </c>
      <c r="L1417" s="1">
        <v>41.7</v>
      </c>
      <c r="M1417" s="1">
        <v>86.2</v>
      </c>
      <c r="N1417" s="1">
        <v>3.0020000000000002E-2</v>
      </c>
      <c r="O1417" s="1">
        <v>2.13E-4</v>
      </c>
      <c r="P14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10.757311850026046</v>
      </c>
      <c r="Q1417" s="1">
        <f>LN(Table13[[#This Row],[qe_mg_g]]-Table13[[#This Row],[qt]])</f>
        <v>2.3118112161249615</v>
      </c>
      <c r="R1417" s="1">
        <v>3</v>
      </c>
    </row>
    <row r="1418" spans="1:18" hidden="1" x14ac:dyDescent="0.3">
      <c r="A1418" s="1">
        <v>1417</v>
      </c>
      <c r="B1418" s="1" t="s">
        <v>18</v>
      </c>
      <c r="C1418" s="1">
        <v>1</v>
      </c>
      <c r="D1418" s="1">
        <v>240</v>
      </c>
      <c r="E1418" s="1">
        <v>50</v>
      </c>
      <c r="F1418" s="1">
        <v>7</v>
      </c>
      <c r="G1418" s="1">
        <v>25</v>
      </c>
      <c r="H1418" s="1">
        <v>150</v>
      </c>
      <c r="I1418" s="1">
        <v>100</v>
      </c>
      <c r="J1418" s="1">
        <v>29.198</v>
      </c>
      <c r="K1418" s="1">
        <v>20.802</v>
      </c>
      <c r="L1418" s="1">
        <v>58.4</v>
      </c>
      <c r="M1418" s="1">
        <v>78.5</v>
      </c>
      <c r="N1418" s="1">
        <v>3.2079999999999997E-2</v>
      </c>
      <c r="O1418" s="1">
        <v>2.6790000000000001E-4</v>
      </c>
      <c r="P14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19.050343598847778</v>
      </c>
      <c r="Q1418" s="1">
        <f>LN(Table13[[#This Row],[qe_mg_g]]-Table13[[#This Row],[qt]])</f>
        <v>2.317242782388905</v>
      </c>
      <c r="R1418" s="1">
        <v>1</v>
      </c>
    </row>
    <row r="1419" spans="1:18" hidden="1" x14ac:dyDescent="0.3">
      <c r="A1419" s="1">
        <v>1418</v>
      </c>
      <c r="B1419" s="1" t="s">
        <v>18</v>
      </c>
      <c r="C1419" s="1">
        <v>1</v>
      </c>
      <c r="D1419" s="1">
        <v>240</v>
      </c>
      <c r="E1419" s="1">
        <v>50</v>
      </c>
      <c r="F1419" s="1">
        <v>7</v>
      </c>
      <c r="G1419" s="1">
        <v>25</v>
      </c>
      <c r="H1419" s="1">
        <v>150</v>
      </c>
      <c r="I1419" s="1">
        <v>100</v>
      </c>
      <c r="J1419" s="1">
        <v>25.783000000000001</v>
      </c>
      <c r="K1419" s="1">
        <v>24.216999999999999</v>
      </c>
      <c r="L1419" s="1">
        <v>51.57</v>
      </c>
      <c r="M1419" s="1">
        <v>120</v>
      </c>
      <c r="N1419" s="1">
        <v>3.7490000000000002E-2</v>
      </c>
      <c r="O1419" s="1">
        <v>2.5119999999999998E-4</v>
      </c>
      <c r="P14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15.689457702339809</v>
      </c>
      <c r="Q1419" s="1">
        <f>LN(Table13[[#This Row],[qe_mg_g]]-Table13[[#This Row],[qt]])</f>
        <v>2.3118958428896232</v>
      </c>
      <c r="R1419" s="1">
        <v>2</v>
      </c>
    </row>
    <row r="1420" spans="1:18" hidden="1" x14ac:dyDescent="0.3">
      <c r="A1420" s="1">
        <v>1419</v>
      </c>
      <c r="B1420" s="1" t="s">
        <v>18</v>
      </c>
      <c r="C1420" s="1">
        <v>1</v>
      </c>
      <c r="D1420" s="1">
        <v>240</v>
      </c>
      <c r="E1420" s="1">
        <v>50</v>
      </c>
      <c r="F1420" s="1">
        <v>7</v>
      </c>
      <c r="G1420" s="1">
        <v>25</v>
      </c>
      <c r="H1420" s="1">
        <v>150</v>
      </c>
      <c r="I1420" s="1">
        <v>100</v>
      </c>
      <c r="J1420" s="1">
        <v>28.776</v>
      </c>
      <c r="K1420" s="1">
        <v>21.224</v>
      </c>
      <c r="L1420" s="1">
        <v>57.55</v>
      </c>
      <c r="M1420" s="1">
        <v>142.4</v>
      </c>
      <c r="N1420" s="1">
        <v>2.6040000000000001E-2</v>
      </c>
      <c r="O1420" s="1">
        <v>2.5050000000000002E-4</v>
      </c>
      <c r="P14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18.235391316038807</v>
      </c>
      <c r="Q1420" s="1">
        <f>LN(Table13[[#This Row],[qe_mg_g]]-Table13[[#This Row],[qt]])</f>
        <v>2.3552352913471961</v>
      </c>
      <c r="R1420" s="1">
        <v>3</v>
      </c>
    </row>
    <row r="1421" spans="1:18" hidden="1" x14ac:dyDescent="0.3">
      <c r="A1421" s="1">
        <v>1420</v>
      </c>
      <c r="B1421" s="1" t="s">
        <v>18</v>
      </c>
      <c r="C1421" s="1">
        <v>1</v>
      </c>
      <c r="D1421" s="1">
        <v>240</v>
      </c>
      <c r="E1421" s="1">
        <v>50</v>
      </c>
      <c r="F1421" s="1">
        <v>11</v>
      </c>
      <c r="G1421" s="1">
        <v>25</v>
      </c>
      <c r="H1421" s="1">
        <v>150</v>
      </c>
      <c r="I1421" s="1">
        <v>100</v>
      </c>
      <c r="J1421" s="1">
        <v>25.138000000000002</v>
      </c>
      <c r="K1421" s="1">
        <v>24.861999999999998</v>
      </c>
      <c r="L1421" s="1">
        <v>50.28</v>
      </c>
      <c r="M1421" s="1">
        <v>120.2</v>
      </c>
      <c r="N1421" s="1">
        <v>3.108E-2</v>
      </c>
      <c r="O1421" s="1">
        <v>2.375E-4</v>
      </c>
      <c r="P14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14.805330629800409</v>
      </c>
      <c r="Q1421" s="1">
        <f>LN(Table13[[#This Row],[qe_mg_g]]-Table13[[#This Row],[qt]])</f>
        <v>2.3353106592558142</v>
      </c>
      <c r="R1421" s="1">
        <v>1</v>
      </c>
    </row>
    <row r="1422" spans="1:18" hidden="1" x14ac:dyDescent="0.3">
      <c r="A1422" s="1">
        <v>1421</v>
      </c>
      <c r="B1422" s="1" t="s">
        <v>18</v>
      </c>
      <c r="C1422" s="1">
        <v>1</v>
      </c>
      <c r="D1422" s="1">
        <v>240</v>
      </c>
      <c r="E1422" s="1">
        <v>50</v>
      </c>
      <c r="F1422" s="1">
        <v>11</v>
      </c>
      <c r="G1422" s="1">
        <v>25</v>
      </c>
      <c r="H1422" s="1">
        <v>150</v>
      </c>
      <c r="I1422" s="1">
        <v>100</v>
      </c>
      <c r="J1422" s="1">
        <v>22.620999999999999</v>
      </c>
      <c r="K1422" s="1">
        <v>27.379000000000001</v>
      </c>
      <c r="L1422" s="1">
        <v>45.24</v>
      </c>
      <c r="M1422" s="1">
        <v>94.9</v>
      </c>
      <c r="N1422" s="1">
        <v>2.6980000000000001E-2</v>
      </c>
      <c r="O1422" s="1">
        <v>2.5119999999999998E-4</v>
      </c>
      <c r="P14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13.051137616897087</v>
      </c>
      <c r="Q1422" s="1">
        <f>LN(Table13[[#This Row],[qe_mg_g]]-Table13[[#This Row],[qt]])</f>
        <v>2.2586188253304256</v>
      </c>
      <c r="R1422" s="1">
        <v>2</v>
      </c>
    </row>
    <row r="1423" spans="1:18" hidden="1" x14ac:dyDescent="0.3">
      <c r="A1423" s="1">
        <v>1422</v>
      </c>
      <c r="B1423" s="1" t="s">
        <v>18</v>
      </c>
      <c r="C1423" s="1">
        <v>1</v>
      </c>
      <c r="D1423" s="1">
        <v>240</v>
      </c>
      <c r="E1423" s="1">
        <v>50</v>
      </c>
      <c r="F1423" s="1">
        <v>11</v>
      </c>
      <c r="G1423" s="1">
        <v>25</v>
      </c>
      <c r="H1423" s="1">
        <v>150</v>
      </c>
      <c r="I1423" s="1">
        <v>100</v>
      </c>
      <c r="J1423" s="1">
        <v>23.481999999999999</v>
      </c>
      <c r="K1423" s="1">
        <v>26.518000000000001</v>
      </c>
      <c r="L1423" s="1">
        <v>46.96</v>
      </c>
      <c r="M1423" s="1">
        <v>77.599999999999994</v>
      </c>
      <c r="N1423" s="1">
        <v>3.3770000000000001E-2</v>
      </c>
      <c r="O1423" s="1">
        <v>2.376E-4</v>
      </c>
      <c r="P14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13.442828196496926</v>
      </c>
      <c r="Q1423" s="1">
        <f>LN(Table13[[#This Row],[qe_mg_g]]-Table13[[#This Row],[qt]])</f>
        <v>2.3064946211701924</v>
      </c>
      <c r="R1423" s="1">
        <v>3</v>
      </c>
    </row>
    <row r="1424" spans="1:18" hidden="1" x14ac:dyDescent="0.3">
      <c r="A1424" s="1">
        <v>1423</v>
      </c>
      <c r="B1424" s="1" t="s">
        <v>18</v>
      </c>
      <c r="C1424" s="1">
        <v>1</v>
      </c>
      <c r="D1424" s="1">
        <v>240</v>
      </c>
      <c r="E1424" s="1">
        <v>100</v>
      </c>
      <c r="F1424" s="1">
        <v>3</v>
      </c>
      <c r="G1424" s="1">
        <v>25</v>
      </c>
      <c r="H1424" s="1">
        <v>150</v>
      </c>
      <c r="I1424" s="1">
        <v>100</v>
      </c>
      <c r="J1424" s="1">
        <v>39.316000000000003</v>
      </c>
      <c r="K1424" s="1">
        <v>60.683999999999997</v>
      </c>
      <c r="L1424" s="1">
        <v>39.32</v>
      </c>
      <c r="M1424" s="1">
        <v>97.5</v>
      </c>
      <c r="N1424" s="1">
        <v>3.0210000000000001E-2</v>
      </c>
      <c r="O1424" s="1">
        <v>2.063E-4</v>
      </c>
      <c r="P14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25.973226642072273</v>
      </c>
      <c r="Q1424" s="1">
        <f>LN(Table13[[#This Row],[qe_mg_g]]-Table13[[#This Row],[qt]])</f>
        <v>2.5909749167753366</v>
      </c>
      <c r="R1424" s="1">
        <v>1</v>
      </c>
    </row>
    <row r="1425" spans="1:18" hidden="1" x14ac:dyDescent="0.3">
      <c r="A1425" s="1">
        <v>1424</v>
      </c>
      <c r="B1425" s="1" t="s">
        <v>18</v>
      </c>
      <c r="C1425" s="1">
        <v>1</v>
      </c>
      <c r="D1425" s="1">
        <v>240</v>
      </c>
      <c r="E1425" s="1">
        <v>100</v>
      </c>
      <c r="F1425" s="1">
        <v>3</v>
      </c>
      <c r="G1425" s="1">
        <v>25</v>
      </c>
      <c r="H1425" s="1">
        <v>150</v>
      </c>
      <c r="I1425" s="1">
        <v>100</v>
      </c>
      <c r="J1425" s="1">
        <v>45.706000000000003</v>
      </c>
      <c r="K1425" s="1">
        <v>54.293999999999997</v>
      </c>
      <c r="L1425" s="1">
        <v>45.71</v>
      </c>
      <c r="M1425" s="1">
        <v>84.3</v>
      </c>
      <c r="N1425" s="1">
        <v>3.5130000000000002E-2</v>
      </c>
      <c r="O1425" s="1">
        <v>2.631E-4</v>
      </c>
      <c r="P14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33.944471883637043</v>
      </c>
      <c r="Q1425" s="1">
        <f>LN(Table13[[#This Row],[qe_mg_g]]-Table13[[#This Row],[qt]])</f>
        <v>2.4648338758963662</v>
      </c>
      <c r="R1425" s="1">
        <v>2</v>
      </c>
    </row>
    <row r="1426" spans="1:18" hidden="1" x14ac:dyDescent="0.3">
      <c r="A1426" s="1">
        <v>1425</v>
      </c>
      <c r="B1426" s="1" t="s">
        <v>18</v>
      </c>
      <c r="C1426" s="1">
        <v>1</v>
      </c>
      <c r="D1426" s="1">
        <v>240</v>
      </c>
      <c r="E1426" s="1">
        <v>100</v>
      </c>
      <c r="F1426" s="1">
        <v>3</v>
      </c>
      <c r="G1426" s="1">
        <v>25</v>
      </c>
      <c r="H1426" s="1">
        <v>150</v>
      </c>
      <c r="I1426" s="1">
        <v>100</v>
      </c>
      <c r="J1426" s="1">
        <v>42.783999999999999</v>
      </c>
      <c r="K1426" s="1">
        <v>57.216000000000001</v>
      </c>
      <c r="L1426" s="1">
        <v>42.78</v>
      </c>
      <c r="M1426" s="1">
        <v>88.8</v>
      </c>
      <c r="N1426" s="1">
        <v>2.9690000000000001E-2</v>
      </c>
      <c r="O1426" s="1">
        <v>2.653E-4</v>
      </c>
      <c r="P14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31.29571887163873</v>
      </c>
      <c r="Q1426" s="1">
        <f>LN(Table13[[#This Row],[qe_mg_g]]-Table13[[#This Row],[qt]])</f>
        <v>2.4413274834863619</v>
      </c>
      <c r="R1426" s="1">
        <v>3</v>
      </c>
    </row>
    <row r="1427" spans="1:18" hidden="1" x14ac:dyDescent="0.3">
      <c r="A1427" s="1">
        <v>1426</v>
      </c>
      <c r="B1427" s="1" t="s">
        <v>18</v>
      </c>
      <c r="C1427" s="1">
        <v>1</v>
      </c>
      <c r="D1427" s="1">
        <v>240</v>
      </c>
      <c r="E1427" s="1">
        <v>100</v>
      </c>
      <c r="F1427" s="1">
        <v>7</v>
      </c>
      <c r="G1427" s="1">
        <v>25</v>
      </c>
      <c r="H1427" s="1">
        <v>150</v>
      </c>
      <c r="I1427" s="1">
        <v>100</v>
      </c>
      <c r="J1427" s="1">
        <v>62.529000000000003</v>
      </c>
      <c r="K1427" s="1">
        <v>37.470999999999997</v>
      </c>
      <c r="L1427" s="1">
        <v>62.53</v>
      </c>
      <c r="M1427" s="1">
        <v>96.7</v>
      </c>
      <c r="N1427" s="1">
        <v>3.0179999999999998E-2</v>
      </c>
      <c r="O1427" s="1">
        <v>2.3489999999999999E-4</v>
      </c>
      <c r="P14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48.710848425175712</v>
      </c>
      <c r="Q1427" s="1">
        <f>LN(Table13[[#This Row],[qe_mg_g]]-Table13[[#This Row],[qt]])</f>
        <v>2.625983059381479</v>
      </c>
      <c r="R1427" s="1">
        <v>1</v>
      </c>
    </row>
    <row r="1428" spans="1:18" hidden="1" x14ac:dyDescent="0.3">
      <c r="A1428" s="1">
        <v>1427</v>
      </c>
      <c r="B1428" s="1" t="s">
        <v>18</v>
      </c>
      <c r="C1428" s="1">
        <v>1</v>
      </c>
      <c r="D1428" s="1">
        <v>240</v>
      </c>
      <c r="E1428" s="1">
        <v>100</v>
      </c>
      <c r="F1428" s="1">
        <v>7</v>
      </c>
      <c r="G1428" s="1">
        <v>25</v>
      </c>
      <c r="H1428" s="1">
        <v>150</v>
      </c>
      <c r="I1428" s="1">
        <v>100</v>
      </c>
      <c r="J1428" s="1">
        <v>60.737000000000002</v>
      </c>
      <c r="K1428" s="1">
        <v>39.262999999999998</v>
      </c>
      <c r="L1428" s="1">
        <v>60.74</v>
      </c>
      <c r="M1428" s="1">
        <v>68.7</v>
      </c>
      <c r="N1428" s="1">
        <v>3.2919999999999998E-2</v>
      </c>
      <c r="O1428" s="1">
        <v>2.5750000000000002E-4</v>
      </c>
      <c r="P14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47.959803285445858</v>
      </c>
      <c r="Q1428" s="1">
        <f>LN(Table13[[#This Row],[qe_mg_g]]-Table13[[#This Row],[qt]])</f>
        <v>2.5476620754798796</v>
      </c>
      <c r="R1428" s="1">
        <v>2</v>
      </c>
    </row>
    <row r="1429" spans="1:18" hidden="1" x14ac:dyDescent="0.3">
      <c r="A1429" s="1">
        <v>1428</v>
      </c>
      <c r="B1429" s="1" t="s">
        <v>18</v>
      </c>
      <c r="C1429" s="1">
        <v>1</v>
      </c>
      <c r="D1429" s="1">
        <v>240</v>
      </c>
      <c r="E1429" s="1">
        <v>100</v>
      </c>
      <c r="F1429" s="1">
        <v>7</v>
      </c>
      <c r="G1429" s="1">
        <v>25</v>
      </c>
      <c r="H1429" s="1">
        <v>150</v>
      </c>
      <c r="I1429" s="1">
        <v>100</v>
      </c>
      <c r="J1429" s="1">
        <v>58.31</v>
      </c>
      <c r="K1429" s="1">
        <v>41.69</v>
      </c>
      <c r="L1429" s="1">
        <v>58.31</v>
      </c>
      <c r="M1429" s="1">
        <v>128.5</v>
      </c>
      <c r="N1429" s="1">
        <v>3.0259999999999999E-2</v>
      </c>
      <c r="O1429" s="1">
        <v>2.241E-4</v>
      </c>
      <c r="P14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44.212331896949145</v>
      </c>
      <c r="Q1429" s="1">
        <f>LN(Table13[[#This Row],[qe_mg_g]]-Table13[[#This Row],[qt]])</f>
        <v>2.6460094009445352</v>
      </c>
      <c r="R1429" s="1">
        <v>3</v>
      </c>
    </row>
    <row r="1430" spans="1:18" hidden="1" x14ac:dyDescent="0.3">
      <c r="A1430" s="1">
        <v>1429</v>
      </c>
      <c r="B1430" s="1" t="s">
        <v>18</v>
      </c>
      <c r="C1430" s="1">
        <v>1</v>
      </c>
      <c r="D1430" s="1">
        <v>240</v>
      </c>
      <c r="E1430" s="1">
        <v>100</v>
      </c>
      <c r="F1430" s="1">
        <v>11</v>
      </c>
      <c r="G1430" s="1">
        <v>25</v>
      </c>
      <c r="H1430" s="1">
        <v>150</v>
      </c>
      <c r="I1430" s="1">
        <v>100</v>
      </c>
      <c r="J1430" s="1">
        <v>55.639000000000003</v>
      </c>
      <c r="K1430" s="1">
        <v>44.360999999999997</v>
      </c>
      <c r="L1430" s="1">
        <v>55.64</v>
      </c>
      <c r="M1430" s="1">
        <v>106</v>
      </c>
      <c r="N1430" s="1">
        <v>3.1179999999999999E-2</v>
      </c>
      <c r="O1430" s="1">
        <v>2.3939999999999999E-4</v>
      </c>
      <c r="P14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42.381500368347808</v>
      </c>
      <c r="Q1430" s="1">
        <f>LN(Table13[[#This Row],[qe_mg_g]]-Table13[[#This Row],[qt]])</f>
        <v>2.5845634022450401</v>
      </c>
      <c r="R1430" s="1">
        <v>1</v>
      </c>
    </row>
    <row r="1431" spans="1:18" hidden="1" x14ac:dyDescent="0.3">
      <c r="A1431" s="1">
        <v>1430</v>
      </c>
      <c r="B1431" s="1" t="s">
        <v>18</v>
      </c>
      <c r="C1431" s="1">
        <v>1</v>
      </c>
      <c r="D1431" s="1">
        <v>240</v>
      </c>
      <c r="E1431" s="1">
        <v>100</v>
      </c>
      <c r="F1431" s="1">
        <v>11</v>
      </c>
      <c r="G1431" s="1">
        <v>25</v>
      </c>
      <c r="H1431" s="1">
        <v>150</v>
      </c>
      <c r="I1431" s="1">
        <v>100</v>
      </c>
      <c r="J1431" s="1">
        <v>53.75</v>
      </c>
      <c r="K1431" s="1">
        <v>46.25</v>
      </c>
      <c r="L1431" s="1">
        <v>53.75</v>
      </c>
      <c r="M1431" s="1">
        <v>96.1</v>
      </c>
      <c r="N1431" s="1">
        <v>3.1669999999999997E-2</v>
      </c>
      <c r="O1431" s="1">
        <v>2.0239999999999999E-4</v>
      </c>
      <c r="P14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38.864761725413736</v>
      </c>
      <c r="Q1431" s="1">
        <f>LN(Table13[[#This Row],[qe_mg_g]]-Table13[[#This Row],[qt]])</f>
        <v>2.700370002037721</v>
      </c>
      <c r="R1431" s="1">
        <v>2</v>
      </c>
    </row>
    <row r="1432" spans="1:18" hidden="1" x14ac:dyDescent="0.3">
      <c r="A1432" s="1">
        <v>1431</v>
      </c>
      <c r="B1432" s="1" t="s">
        <v>18</v>
      </c>
      <c r="C1432" s="1">
        <v>1</v>
      </c>
      <c r="D1432" s="1">
        <v>240</v>
      </c>
      <c r="E1432" s="1">
        <v>100</v>
      </c>
      <c r="F1432" s="1">
        <v>11</v>
      </c>
      <c r="G1432" s="1">
        <v>25</v>
      </c>
      <c r="H1432" s="1">
        <v>150</v>
      </c>
      <c r="I1432" s="1">
        <v>100</v>
      </c>
      <c r="J1432" s="1">
        <v>49.639000000000003</v>
      </c>
      <c r="K1432" s="1">
        <v>50.360999999999997</v>
      </c>
      <c r="L1432" s="1">
        <v>49.64</v>
      </c>
      <c r="M1432" s="1">
        <v>125.8</v>
      </c>
      <c r="N1432" s="1">
        <v>2.7699999999999999E-2</v>
      </c>
      <c r="O1432" s="1">
        <v>2.3489999999999999E-4</v>
      </c>
      <c r="P14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36.570768830325704</v>
      </c>
      <c r="Q1432" s="1">
        <f>LN(Table13[[#This Row],[qe_mg_g]]-Table13[[#This Row],[qt]])</f>
        <v>2.5701841833339918</v>
      </c>
      <c r="R1432" s="1">
        <v>3</v>
      </c>
    </row>
    <row r="1433" spans="1:18" hidden="1" x14ac:dyDescent="0.3">
      <c r="A1433" s="1">
        <v>1432</v>
      </c>
      <c r="B1433" s="1" t="s">
        <v>18</v>
      </c>
      <c r="C1433" s="1">
        <v>1</v>
      </c>
      <c r="D1433" s="1">
        <v>240</v>
      </c>
      <c r="E1433" s="1">
        <v>200</v>
      </c>
      <c r="F1433" s="1">
        <v>3</v>
      </c>
      <c r="G1433" s="1">
        <v>25</v>
      </c>
      <c r="H1433" s="1">
        <v>150</v>
      </c>
      <c r="I1433" s="1">
        <v>100</v>
      </c>
      <c r="J1433" s="1">
        <v>62.075000000000003</v>
      </c>
      <c r="K1433" s="1">
        <v>137.92500000000001</v>
      </c>
      <c r="L1433" s="1">
        <v>31.04</v>
      </c>
      <c r="M1433" s="1">
        <v>81.8</v>
      </c>
      <c r="N1433" s="1">
        <v>2.3380000000000001E-2</v>
      </c>
      <c r="O1433" s="1">
        <v>2.4420000000000003E-4</v>
      </c>
      <c r="P14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48.691262602489353</v>
      </c>
      <c r="Q1433" s="1">
        <f>LN(Table13[[#This Row],[qe_mg_g]]-Table13[[#This Row],[qt]])</f>
        <v>2.594040342863722</v>
      </c>
      <c r="R1433" s="1">
        <v>1</v>
      </c>
    </row>
    <row r="1434" spans="1:18" hidden="1" x14ac:dyDescent="0.3">
      <c r="A1434" s="1">
        <v>1433</v>
      </c>
      <c r="B1434" s="1" t="s">
        <v>18</v>
      </c>
      <c r="C1434" s="1">
        <v>1</v>
      </c>
      <c r="D1434" s="1">
        <v>240</v>
      </c>
      <c r="E1434" s="1">
        <v>200</v>
      </c>
      <c r="F1434" s="1">
        <v>3</v>
      </c>
      <c r="G1434" s="1">
        <v>25</v>
      </c>
      <c r="H1434" s="1">
        <v>150</v>
      </c>
      <c r="I1434" s="1">
        <v>100</v>
      </c>
      <c r="J1434" s="1">
        <v>65.472999999999999</v>
      </c>
      <c r="K1434" s="1">
        <v>134.52699999999999</v>
      </c>
      <c r="L1434" s="1">
        <v>32.74</v>
      </c>
      <c r="M1434" s="1">
        <v>99.2</v>
      </c>
      <c r="N1434" s="1">
        <v>2.9569999999999999E-2</v>
      </c>
      <c r="O1434" s="1">
        <v>2.5109999999999998E-4</v>
      </c>
      <c r="P14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52.234537286790903</v>
      </c>
      <c r="Q1434" s="1">
        <f>LN(Table13[[#This Row],[qe_mg_g]]-Table13[[#This Row],[qt]])</f>
        <v>2.5831264344934213</v>
      </c>
      <c r="R1434" s="1">
        <v>2</v>
      </c>
    </row>
    <row r="1435" spans="1:18" hidden="1" x14ac:dyDescent="0.3">
      <c r="A1435" s="1">
        <v>1434</v>
      </c>
      <c r="B1435" s="1" t="s">
        <v>18</v>
      </c>
      <c r="C1435" s="1">
        <v>1</v>
      </c>
      <c r="D1435" s="1">
        <v>240</v>
      </c>
      <c r="E1435" s="1">
        <v>200</v>
      </c>
      <c r="F1435" s="1">
        <v>3</v>
      </c>
      <c r="G1435" s="1">
        <v>25</v>
      </c>
      <c r="H1435" s="1">
        <v>150</v>
      </c>
      <c r="I1435" s="1">
        <v>100</v>
      </c>
      <c r="J1435" s="1">
        <v>70.637</v>
      </c>
      <c r="K1435" s="1">
        <v>129.363</v>
      </c>
      <c r="L1435" s="1">
        <v>35.32</v>
      </c>
      <c r="M1435" s="1">
        <v>97.1</v>
      </c>
      <c r="N1435" s="1">
        <v>2.828E-2</v>
      </c>
      <c r="O1435" s="1">
        <v>2.43E-4</v>
      </c>
      <c r="P14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56.839497835239349</v>
      </c>
      <c r="Q1435" s="1">
        <f>LN(Table13[[#This Row],[qe_mg_g]]-Table13[[#This Row],[qt]])</f>
        <v>2.6244875732266437</v>
      </c>
      <c r="R1435" s="1">
        <v>3</v>
      </c>
    </row>
    <row r="1436" spans="1:18" hidden="1" x14ac:dyDescent="0.3">
      <c r="A1436" s="1">
        <v>1435</v>
      </c>
      <c r="B1436" s="1" t="s">
        <v>18</v>
      </c>
      <c r="C1436" s="1">
        <v>1</v>
      </c>
      <c r="D1436" s="1">
        <v>240</v>
      </c>
      <c r="E1436" s="1">
        <v>200</v>
      </c>
      <c r="F1436" s="1">
        <v>7</v>
      </c>
      <c r="G1436" s="1">
        <v>25</v>
      </c>
      <c r="H1436" s="1">
        <v>150</v>
      </c>
      <c r="I1436" s="1">
        <v>100</v>
      </c>
      <c r="J1436" s="1">
        <v>94.852000000000004</v>
      </c>
      <c r="K1436" s="1">
        <v>105.148</v>
      </c>
      <c r="L1436" s="1">
        <v>47.43</v>
      </c>
      <c r="M1436" s="1">
        <v>121.2</v>
      </c>
      <c r="N1436" s="1">
        <v>2.8119999999999999E-2</v>
      </c>
      <c r="O1436" s="1">
        <v>2.5250000000000001E-4</v>
      </c>
      <c r="P14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80.795752008734055</v>
      </c>
      <c r="Q1436" s="1">
        <f>LN(Table13[[#This Row],[qe_mg_g]]-Table13[[#This Row],[qt]])</f>
        <v>2.6430669938186542</v>
      </c>
      <c r="R1436" s="1">
        <v>1</v>
      </c>
    </row>
    <row r="1437" spans="1:18" hidden="1" x14ac:dyDescent="0.3">
      <c r="A1437" s="1">
        <v>1436</v>
      </c>
      <c r="B1437" s="1" t="s">
        <v>18</v>
      </c>
      <c r="C1437" s="1">
        <v>1</v>
      </c>
      <c r="D1437" s="1">
        <v>240</v>
      </c>
      <c r="E1437" s="1">
        <v>200</v>
      </c>
      <c r="F1437" s="1">
        <v>7</v>
      </c>
      <c r="G1437" s="1">
        <v>25</v>
      </c>
      <c r="H1437" s="1">
        <v>150</v>
      </c>
      <c r="I1437" s="1">
        <v>100</v>
      </c>
      <c r="J1437" s="1">
        <v>92.897000000000006</v>
      </c>
      <c r="K1437" s="1">
        <v>107.10299999999999</v>
      </c>
      <c r="L1437" s="1">
        <v>46.45</v>
      </c>
      <c r="M1437" s="1">
        <v>85.1</v>
      </c>
      <c r="N1437" s="1">
        <v>3.006E-2</v>
      </c>
      <c r="O1437" s="1">
        <v>2.1340000000000001E-4</v>
      </c>
      <c r="P14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76.76292200871211</v>
      </c>
      <c r="Q1437" s="1">
        <f>LN(Table13[[#This Row],[qe_mg_g]]-Table13[[#This Row],[qt]])</f>
        <v>2.7809336804740856</v>
      </c>
      <c r="R1437" s="1">
        <v>2</v>
      </c>
    </row>
    <row r="1438" spans="1:18" hidden="1" x14ac:dyDescent="0.3">
      <c r="A1438" s="1">
        <v>1437</v>
      </c>
      <c r="B1438" s="1" t="s">
        <v>18</v>
      </c>
      <c r="C1438" s="1">
        <v>1</v>
      </c>
      <c r="D1438" s="1">
        <v>240</v>
      </c>
      <c r="E1438" s="1">
        <v>200</v>
      </c>
      <c r="F1438" s="1">
        <v>7</v>
      </c>
      <c r="G1438" s="1">
        <v>25</v>
      </c>
      <c r="H1438" s="1">
        <v>150</v>
      </c>
      <c r="I1438" s="1">
        <v>100</v>
      </c>
      <c r="J1438" s="1">
        <v>75.798000000000002</v>
      </c>
      <c r="K1438" s="1">
        <v>124.202</v>
      </c>
      <c r="L1438" s="1">
        <v>37.9</v>
      </c>
      <c r="M1438" s="1">
        <v>105.5</v>
      </c>
      <c r="N1438" s="1">
        <v>2.8850000000000001E-2</v>
      </c>
      <c r="O1438" s="1">
        <v>2.5510000000000002E-4</v>
      </c>
      <c r="P14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62.36020306737786</v>
      </c>
      <c r="Q1438" s="1">
        <f>LN(Table13[[#This Row],[qe_mg_g]]-Table13[[#This Row],[qt]])</f>
        <v>2.5980714029551546</v>
      </c>
      <c r="R1438" s="1">
        <v>3</v>
      </c>
    </row>
    <row r="1439" spans="1:18" hidden="1" x14ac:dyDescent="0.3">
      <c r="A1439" s="1">
        <v>1438</v>
      </c>
      <c r="B1439" s="1" t="s">
        <v>18</v>
      </c>
      <c r="C1439" s="1">
        <v>1</v>
      </c>
      <c r="D1439" s="1">
        <v>240</v>
      </c>
      <c r="E1439" s="1">
        <v>200</v>
      </c>
      <c r="F1439" s="1">
        <v>11</v>
      </c>
      <c r="G1439" s="1">
        <v>25</v>
      </c>
      <c r="H1439" s="1">
        <v>150</v>
      </c>
      <c r="I1439" s="1">
        <v>100</v>
      </c>
      <c r="J1439" s="1">
        <v>74.712999999999994</v>
      </c>
      <c r="K1439" s="1">
        <v>125.28700000000001</v>
      </c>
      <c r="L1439" s="1">
        <v>37.36</v>
      </c>
      <c r="M1439" s="1">
        <v>85.4</v>
      </c>
      <c r="N1439" s="1">
        <v>2.9860000000000001E-2</v>
      </c>
      <c r="O1439" s="1">
        <v>2.1919999999999999E-4</v>
      </c>
      <c r="P14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59.559774726792561</v>
      </c>
      <c r="Q1439" s="1">
        <f>LN(Table13[[#This Row],[qe_mg_g]]-Table13[[#This Row],[qt]])</f>
        <v>2.718213398618285</v>
      </c>
      <c r="R1439" s="1">
        <v>1</v>
      </c>
    </row>
    <row r="1440" spans="1:18" hidden="1" x14ac:dyDescent="0.3">
      <c r="A1440" s="1">
        <v>1439</v>
      </c>
      <c r="B1440" s="1" t="s">
        <v>18</v>
      </c>
      <c r="C1440" s="1">
        <v>1</v>
      </c>
      <c r="D1440" s="1">
        <v>240</v>
      </c>
      <c r="E1440" s="1">
        <v>200</v>
      </c>
      <c r="F1440" s="1">
        <v>11</v>
      </c>
      <c r="G1440" s="1">
        <v>25</v>
      </c>
      <c r="H1440" s="1">
        <v>150</v>
      </c>
      <c r="I1440" s="1">
        <v>100</v>
      </c>
      <c r="J1440" s="1">
        <v>84.201999999999998</v>
      </c>
      <c r="K1440" s="1">
        <v>115.798</v>
      </c>
      <c r="L1440" s="1">
        <v>42.1</v>
      </c>
      <c r="M1440" s="1">
        <v>79.7</v>
      </c>
      <c r="N1440" s="1">
        <v>2.9409999999999999E-2</v>
      </c>
      <c r="O1440" s="1">
        <v>2.2389999999999999E-4</v>
      </c>
      <c r="P14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68.960932600596323</v>
      </c>
      <c r="Q1440" s="1">
        <f>LN(Table13[[#This Row],[qe_mg_g]]-Table13[[#This Row],[qt]])</f>
        <v>2.7239935871368108</v>
      </c>
      <c r="R1440" s="1">
        <v>2</v>
      </c>
    </row>
    <row r="1441" spans="1:18" hidden="1" x14ac:dyDescent="0.3">
      <c r="A1441" s="1">
        <v>1440</v>
      </c>
      <c r="B1441" s="1" t="s">
        <v>18</v>
      </c>
      <c r="C1441" s="1">
        <v>1</v>
      </c>
      <c r="D1441" s="1">
        <v>240</v>
      </c>
      <c r="E1441" s="1">
        <v>200</v>
      </c>
      <c r="F1441" s="1">
        <v>11</v>
      </c>
      <c r="G1441" s="1">
        <v>25</v>
      </c>
      <c r="H1441" s="1">
        <v>150</v>
      </c>
      <c r="I1441" s="1">
        <v>100</v>
      </c>
      <c r="J1441" s="1">
        <v>78.674999999999997</v>
      </c>
      <c r="K1441" s="1">
        <v>121.325</v>
      </c>
      <c r="L1441" s="1">
        <v>39.340000000000003</v>
      </c>
      <c r="M1441" s="1">
        <v>95</v>
      </c>
      <c r="N1441" s="1">
        <v>2.844E-2</v>
      </c>
      <c r="O1441" s="1">
        <v>2.7129999999999998E-4</v>
      </c>
      <c r="P14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65.825248715980322</v>
      </c>
      <c r="Q1441" s="1">
        <f>LN(Table13[[#This Row],[qe_mg_g]]-Table13[[#This Row],[qt]])</f>
        <v>2.5533244558247037</v>
      </c>
      <c r="R1441" s="1">
        <v>3</v>
      </c>
    </row>
    <row r="1442" spans="1:18" hidden="1" x14ac:dyDescent="0.3">
      <c r="A1442" s="1">
        <v>1441</v>
      </c>
      <c r="B1442" s="1" t="s">
        <v>18</v>
      </c>
      <c r="C1442" s="1">
        <v>2</v>
      </c>
      <c r="D1442" s="1">
        <v>30</v>
      </c>
      <c r="E1442" s="1">
        <v>25</v>
      </c>
      <c r="F1442" s="1">
        <v>3</v>
      </c>
      <c r="G1442" s="1">
        <v>25</v>
      </c>
      <c r="H1442" s="1">
        <v>150</v>
      </c>
      <c r="I1442" s="1">
        <v>100</v>
      </c>
      <c r="J1442" s="1">
        <v>0.52900000000000003</v>
      </c>
      <c r="K1442" s="1">
        <v>23.942</v>
      </c>
      <c r="L1442" s="1">
        <v>4.2300000000000004</v>
      </c>
      <c r="M1442" s="1">
        <v>107.7</v>
      </c>
      <c r="N1442" s="1">
        <v>2.7060000000000001E-2</v>
      </c>
      <c r="O1442" s="1">
        <v>2.1489999999999999E-4</v>
      </c>
      <c r="P14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1.7980029046199013E-3</v>
      </c>
      <c r="Q1442" s="1">
        <f>LN(Table13[[#This Row],[qe_mg_g]]-Table13[[#This Row],[qt]])</f>
        <v>-0.64017150768382924</v>
      </c>
      <c r="R1442" s="1">
        <v>1</v>
      </c>
    </row>
    <row r="1443" spans="1:18" hidden="1" x14ac:dyDescent="0.3">
      <c r="A1443" s="1">
        <v>1442</v>
      </c>
      <c r="B1443" s="1" t="s">
        <v>18</v>
      </c>
      <c r="C1443" s="1">
        <v>2</v>
      </c>
      <c r="D1443" s="1">
        <v>30</v>
      </c>
      <c r="E1443" s="1">
        <v>25</v>
      </c>
      <c r="F1443" s="1">
        <v>3</v>
      </c>
      <c r="G1443" s="1">
        <v>25</v>
      </c>
      <c r="H1443" s="1">
        <v>150</v>
      </c>
      <c r="I1443" s="1">
        <v>100</v>
      </c>
      <c r="J1443" s="1">
        <v>0.53300000000000003</v>
      </c>
      <c r="K1443" s="1">
        <v>23.934999999999999</v>
      </c>
      <c r="L1443" s="1">
        <v>4.26</v>
      </c>
      <c r="M1443" s="1">
        <v>95.2</v>
      </c>
      <c r="N1443" s="1">
        <v>3.1879999999999999E-2</v>
      </c>
      <c r="O1443" s="1">
        <v>2.4800000000000001E-4</v>
      </c>
      <c r="P14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2.1052736552147734E-3</v>
      </c>
      <c r="Q1443" s="1">
        <f>LN(Table13[[#This Row],[qe_mg_g]]-Table13[[#This Row],[qt]])</f>
        <v>-0.63319153286662622</v>
      </c>
      <c r="R1443" s="1">
        <v>2</v>
      </c>
    </row>
    <row r="1444" spans="1:18" hidden="1" x14ac:dyDescent="0.3">
      <c r="A1444" s="1">
        <v>1443</v>
      </c>
      <c r="B1444" s="1" t="s">
        <v>18</v>
      </c>
      <c r="C1444" s="1">
        <v>2</v>
      </c>
      <c r="D1444" s="1">
        <v>30</v>
      </c>
      <c r="E1444" s="1">
        <v>25</v>
      </c>
      <c r="F1444" s="1">
        <v>3</v>
      </c>
      <c r="G1444" s="1">
        <v>25</v>
      </c>
      <c r="H1444" s="1">
        <v>150</v>
      </c>
      <c r="I1444" s="1">
        <v>100</v>
      </c>
      <c r="J1444" s="1">
        <v>0.53700000000000003</v>
      </c>
      <c r="K1444" s="1">
        <v>23.925000000000001</v>
      </c>
      <c r="L1444" s="1">
        <v>4.3</v>
      </c>
      <c r="M1444" s="1">
        <v>75.599999999999994</v>
      </c>
      <c r="N1444" s="1">
        <v>3.567E-2</v>
      </c>
      <c r="O1444" s="1">
        <v>2.4590000000000001E-4</v>
      </c>
      <c r="P14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2.1189041821465405E-3</v>
      </c>
      <c r="Q1444" s="1">
        <f>LN(Table13[[#This Row],[qe_mg_g]]-Table13[[#This Row],[qt]])</f>
        <v>-0.62571080759525177</v>
      </c>
      <c r="R1444" s="1">
        <v>3</v>
      </c>
    </row>
    <row r="1445" spans="1:18" hidden="1" x14ac:dyDescent="0.3">
      <c r="A1445" s="1">
        <v>1444</v>
      </c>
      <c r="B1445" s="1" t="s">
        <v>18</v>
      </c>
      <c r="C1445" s="1">
        <v>2</v>
      </c>
      <c r="D1445" s="1">
        <v>30</v>
      </c>
      <c r="E1445" s="1">
        <v>25</v>
      </c>
      <c r="F1445" s="1">
        <v>7</v>
      </c>
      <c r="G1445" s="1">
        <v>25</v>
      </c>
      <c r="H1445" s="1">
        <v>150</v>
      </c>
      <c r="I1445" s="1">
        <v>100</v>
      </c>
      <c r="J1445" s="1">
        <v>0.97599999999999998</v>
      </c>
      <c r="K1445" s="1">
        <v>23.047000000000001</v>
      </c>
      <c r="L1445" s="1">
        <v>7.81</v>
      </c>
      <c r="M1445" s="1">
        <v>87.5</v>
      </c>
      <c r="N1445" s="1">
        <v>3.092E-2</v>
      </c>
      <c r="O1445" s="1">
        <v>2.174E-4</v>
      </c>
      <c r="P14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6.1734040414295937E-3</v>
      </c>
      <c r="Q1445" s="1">
        <f>LN(Table13[[#This Row],[qe_mg_g]]-Table13[[#This Row],[qt]])</f>
        <v>-3.0637990518463009E-2</v>
      </c>
      <c r="R1445" s="1">
        <v>1</v>
      </c>
    </row>
    <row r="1446" spans="1:18" hidden="1" x14ac:dyDescent="0.3">
      <c r="A1446" s="1">
        <v>1445</v>
      </c>
      <c r="B1446" s="1" t="s">
        <v>18</v>
      </c>
      <c r="C1446" s="1">
        <v>2</v>
      </c>
      <c r="D1446" s="1">
        <v>30</v>
      </c>
      <c r="E1446" s="1">
        <v>25</v>
      </c>
      <c r="F1446" s="1">
        <v>7</v>
      </c>
      <c r="G1446" s="1">
        <v>25</v>
      </c>
      <c r="H1446" s="1">
        <v>150</v>
      </c>
      <c r="I1446" s="1">
        <v>100</v>
      </c>
      <c r="J1446" s="1">
        <v>0.95599999999999996</v>
      </c>
      <c r="K1446" s="1">
        <v>23.088000000000001</v>
      </c>
      <c r="L1446" s="1">
        <v>7.65</v>
      </c>
      <c r="M1446" s="1">
        <v>94.7</v>
      </c>
      <c r="N1446" s="1">
        <v>3.0089999999999999E-2</v>
      </c>
      <c r="O1446" s="1">
        <v>2.6739999999999999E-4</v>
      </c>
      <c r="P14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7.2757962775222016E-3</v>
      </c>
      <c r="Q1446" s="1">
        <f>LN(Table13[[#This Row],[qe_mg_g]]-Table13[[#This Row],[qt]])</f>
        <v>-5.2637140394274466E-2</v>
      </c>
      <c r="R1446" s="1">
        <v>2</v>
      </c>
    </row>
    <row r="1447" spans="1:18" hidden="1" x14ac:dyDescent="0.3">
      <c r="A1447" s="1">
        <v>1446</v>
      </c>
      <c r="B1447" s="1" t="s">
        <v>18</v>
      </c>
      <c r="C1447" s="1">
        <v>2</v>
      </c>
      <c r="D1447" s="1">
        <v>30</v>
      </c>
      <c r="E1447" s="1">
        <v>25</v>
      </c>
      <c r="F1447" s="1">
        <v>7</v>
      </c>
      <c r="G1447" s="1">
        <v>25</v>
      </c>
      <c r="H1447" s="1">
        <v>150</v>
      </c>
      <c r="I1447" s="1">
        <v>100</v>
      </c>
      <c r="J1447" s="1">
        <v>0.81699999999999995</v>
      </c>
      <c r="K1447" s="1">
        <v>23.366</v>
      </c>
      <c r="L1447" s="1">
        <v>6.54</v>
      </c>
      <c r="M1447" s="1">
        <v>89.7</v>
      </c>
      <c r="N1447" s="1">
        <v>3.1370000000000002E-2</v>
      </c>
      <c r="O1447" s="1">
        <v>3.0249999999999998E-4</v>
      </c>
      <c r="P14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6.0128815178839903E-3</v>
      </c>
      <c r="Q1447" s="1">
        <f>LN(Table13[[#This Row],[qe_mg_g]]-Table13[[#This Row],[qt]])</f>
        <v>-0.20950310849210879</v>
      </c>
      <c r="R1447" s="1">
        <v>3</v>
      </c>
    </row>
    <row r="1448" spans="1:18" hidden="1" x14ac:dyDescent="0.3">
      <c r="A1448" s="1">
        <v>1447</v>
      </c>
      <c r="B1448" s="1" t="s">
        <v>18</v>
      </c>
      <c r="C1448" s="1">
        <v>2</v>
      </c>
      <c r="D1448" s="1">
        <v>30</v>
      </c>
      <c r="E1448" s="1">
        <v>25</v>
      </c>
      <c r="F1448" s="1">
        <v>11</v>
      </c>
      <c r="G1448" s="1">
        <v>25</v>
      </c>
      <c r="H1448" s="1">
        <v>150</v>
      </c>
      <c r="I1448" s="1">
        <v>100</v>
      </c>
      <c r="J1448" s="1">
        <v>0.66400000000000003</v>
      </c>
      <c r="K1448" s="1">
        <v>23.672999999999998</v>
      </c>
      <c r="L1448" s="1">
        <v>5.31</v>
      </c>
      <c r="M1448" s="1">
        <v>108.9</v>
      </c>
      <c r="N1448" s="1">
        <v>2.9680000000000002E-2</v>
      </c>
      <c r="O1448" s="1">
        <v>2.9859999999999999E-4</v>
      </c>
      <c r="P14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3.9261929327026775E-3</v>
      </c>
      <c r="Q1448" s="1">
        <f>LN(Table13[[#This Row],[qe_mg_g]]-Table13[[#This Row],[qt]])</f>
        <v>-0.41540362132420555</v>
      </c>
      <c r="R1448" s="1">
        <v>1</v>
      </c>
    </row>
    <row r="1449" spans="1:18" hidden="1" x14ac:dyDescent="0.3">
      <c r="A1449" s="1">
        <v>1448</v>
      </c>
      <c r="B1449" s="1" t="s">
        <v>18</v>
      </c>
      <c r="C1449" s="1">
        <v>2</v>
      </c>
      <c r="D1449" s="1">
        <v>30</v>
      </c>
      <c r="E1449" s="1">
        <v>25</v>
      </c>
      <c r="F1449" s="1">
        <v>11</v>
      </c>
      <c r="G1449" s="1">
        <v>25</v>
      </c>
      <c r="H1449" s="1">
        <v>150</v>
      </c>
      <c r="I1449" s="1">
        <v>100</v>
      </c>
      <c r="J1449" s="1">
        <v>0.56599999999999995</v>
      </c>
      <c r="K1449" s="1">
        <v>23.867000000000001</v>
      </c>
      <c r="L1449" s="1">
        <v>4.53</v>
      </c>
      <c r="M1449" s="1">
        <v>101.4</v>
      </c>
      <c r="N1449" s="1">
        <v>2.512E-2</v>
      </c>
      <c r="O1449" s="1">
        <v>1.873E-4</v>
      </c>
      <c r="P14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1.794373620677982E-3</v>
      </c>
      <c r="Q1449" s="1">
        <f>LN(Table13[[#This Row],[qe_mg_g]]-Table13[[#This Row],[qt]])</f>
        <v>-0.57233650815038417</v>
      </c>
      <c r="R1449" s="1">
        <v>2</v>
      </c>
    </row>
    <row r="1450" spans="1:18" hidden="1" x14ac:dyDescent="0.3">
      <c r="A1450" s="1">
        <v>1449</v>
      </c>
      <c r="B1450" s="1" t="s">
        <v>18</v>
      </c>
      <c r="C1450" s="1">
        <v>2</v>
      </c>
      <c r="D1450" s="1">
        <v>30</v>
      </c>
      <c r="E1450" s="1">
        <v>25</v>
      </c>
      <c r="F1450" s="1">
        <v>11</v>
      </c>
      <c r="G1450" s="1">
        <v>25</v>
      </c>
      <c r="H1450" s="1">
        <v>150</v>
      </c>
      <c r="I1450" s="1">
        <v>100</v>
      </c>
      <c r="J1450" s="1">
        <v>0.69</v>
      </c>
      <c r="K1450" s="1">
        <v>23.62</v>
      </c>
      <c r="L1450" s="1">
        <v>5.52</v>
      </c>
      <c r="M1450" s="1">
        <v>102.1</v>
      </c>
      <c r="N1450" s="1">
        <v>2.9149999999999999E-2</v>
      </c>
      <c r="O1450" s="1">
        <v>2.4729999999999999E-4</v>
      </c>
      <c r="P14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3.5141963423618514E-3</v>
      </c>
      <c r="Q1450" s="1">
        <f>LN(Table13[[#This Row],[qe_mg_g]]-Table13[[#This Row],[qt]])</f>
        <v>-0.37616973329217274</v>
      </c>
      <c r="R1450" s="1">
        <v>3</v>
      </c>
    </row>
    <row r="1451" spans="1:18" hidden="1" x14ac:dyDescent="0.3">
      <c r="A1451" s="1">
        <v>1450</v>
      </c>
      <c r="B1451" s="1" t="s">
        <v>18</v>
      </c>
      <c r="C1451" s="1">
        <v>2</v>
      </c>
      <c r="D1451" s="1">
        <v>30</v>
      </c>
      <c r="E1451" s="1">
        <v>50</v>
      </c>
      <c r="F1451" s="1">
        <v>3</v>
      </c>
      <c r="G1451" s="1">
        <v>25</v>
      </c>
      <c r="H1451" s="1">
        <v>150</v>
      </c>
      <c r="I1451" s="1">
        <v>100</v>
      </c>
      <c r="J1451" s="1">
        <v>2.5089999999999999</v>
      </c>
      <c r="K1451" s="1">
        <v>44.981999999999999</v>
      </c>
      <c r="L1451" s="1">
        <v>10.039999999999999</v>
      </c>
      <c r="M1451" s="1">
        <v>96.1</v>
      </c>
      <c r="N1451" s="1">
        <v>3.1530000000000002E-2</v>
      </c>
      <c r="O1451" s="1">
        <v>2.3379999999999999E-4</v>
      </c>
      <c r="P14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4.3390113450346504E-2</v>
      </c>
      <c r="Q1451" s="1">
        <f>LN(Table13[[#This Row],[qe_mg_g]]-Table13[[#This Row],[qt]])</f>
        <v>0.90243919537031059</v>
      </c>
      <c r="R1451" s="1">
        <v>1</v>
      </c>
    </row>
    <row r="1452" spans="1:18" hidden="1" x14ac:dyDescent="0.3">
      <c r="A1452" s="1">
        <v>1451</v>
      </c>
      <c r="B1452" s="1" t="s">
        <v>18</v>
      </c>
      <c r="C1452" s="1">
        <v>2</v>
      </c>
      <c r="D1452" s="1">
        <v>30</v>
      </c>
      <c r="E1452" s="1">
        <v>50</v>
      </c>
      <c r="F1452" s="1">
        <v>3</v>
      </c>
      <c r="G1452" s="1">
        <v>25</v>
      </c>
      <c r="H1452" s="1">
        <v>150</v>
      </c>
      <c r="I1452" s="1">
        <v>100</v>
      </c>
      <c r="J1452" s="1">
        <v>2.0139999999999998</v>
      </c>
      <c r="K1452" s="1">
        <v>45.972000000000001</v>
      </c>
      <c r="L1452" s="1">
        <v>8.06</v>
      </c>
      <c r="M1452" s="1">
        <v>96.4</v>
      </c>
      <c r="N1452" s="1">
        <v>2.877E-2</v>
      </c>
      <c r="O1452" s="1">
        <v>2.9550000000000003E-4</v>
      </c>
      <c r="P14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3.5327437583368405E-2</v>
      </c>
      <c r="Q1452" s="1">
        <f>LN(Table13[[#This Row],[qe_mg_g]]-Table13[[#This Row],[qt]])</f>
        <v>0.68242619685053152</v>
      </c>
      <c r="R1452" s="1">
        <v>2</v>
      </c>
    </row>
    <row r="1453" spans="1:18" hidden="1" x14ac:dyDescent="0.3">
      <c r="A1453" s="1">
        <v>1452</v>
      </c>
      <c r="B1453" s="1" t="s">
        <v>18</v>
      </c>
      <c r="C1453" s="1">
        <v>2</v>
      </c>
      <c r="D1453" s="1">
        <v>30</v>
      </c>
      <c r="E1453" s="1">
        <v>50</v>
      </c>
      <c r="F1453" s="1">
        <v>3</v>
      </c>
      <c r="G1453" s="1">
        <v>25</v>
      </c>
      <c r="H1453" s="1">
        <v>150</v>
      </c>
      <c r="I1453" s="1">
        <v>100</v>
      </c>
      <c r="J1453" s="1">
        <v>2.17</v>
      </c>
      <c r="K1453" s="1">
        <v>45.66</v>
      </c>
      <c r="L1453" s="1">
        <v>8.68</v>
      </c>
      <c r="M1453" s="1">
        <v>102.1</v>
      </c>
      <c r="N1453" s="1">
        <v>2.3089999999999999E-2</v>
      </c>
      <c r="O1453" s="1">
        <v>2.41E-4</v>
      </c>
      <c r="P14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3.3519456888923993E-2</v>
      </c>
      <c r="Q1453" s="1">
        <f>LN(Table13[[#This Row],[qe_mg_g]]-Table13[[#This Row],[qt]])</f>
        <v>0.75915986916184397</v>
      </c>
      <c r="R1453" s="1">
        <v>3</v>
      </c>
    </row>
    <row r="1454" spans="1:18" hidden="1" x14ac:dyDescent="0.3">
      <c r="A1454" s="1">
        <v>1453</v>
      </c>
      <c r="B1454" s="1" t="s">
        <v>18</v>
      </c>
      <c r="C1454" s="1">
        <v>2</v>
      </c>
      <c r="D1454" s="1">
        <v>30</v>
      </c>
      <c r="E1454" s="1">
        <v>50</v>
      </c>
      <c r="F1454" s="1">
        <v>7</v>
      </c>
      <c r="G1454" s="1">
        <v>25</v>
      </c>
      <c r="H1454" s="1">
        <v>150</v>
      </c>
      <c r="I1454" s="1">
        <v>100</v>
      </c>
      <c r="J1454" s="1">
        <v>4.1740000000000004</v>
      </c>
      <c r="K1454" s="1">
        <v>41.652000000000001</v>
      </c>
      <c r="L1454" s="1">
        <v>16.7</v>
      </c>
      <c r="M1454" s="1">
        <v>96.5</v>
      </c>
      <c r="N1454" s="1">
        <v>3.3309999999999999E-2</v>
      </c>
      <c r="O1454" s="1">
        <v>2.8600000000000001E-4</v>
      </c>
      <c r="P14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0.14431479391085417</v>
      </c>
      <c r="Q1454" s="1">
        <f>LN(Table13[[#This Row],[qe_mg_g]]-Table13[[#This Row],[qt]])</f>
        <v>1.393688260274675</v>
      </c>
      <c r="R1454" s="1">
        <v>1</v>
      </c>
    </row>
    <row r="1455" spans="1:18" hidden="1" x14ac:dyDescent="0.3">
      <c r="A1455" s="1">
        <v>1454</v>
      </c>
      <c r="B1455" s="1" t="s">
        <v>18</v>
      </c>
      <c r="C1455" s="1">
        <v>2</v>
      </c>
      <c r="D1455" s="1">
        <v>30</v>
      </c>
      <c r="E1455" s="1">
        <v>50</v>
      </c>
      <c r="F1455" s="1">
        <v>7</v>
      </c>
      <c r="G1455" s="1">
        <v>25</v>
      </c>
      <c r="H1455" s="1">
        <v>150</v>
      </c>
      <c r="I1455" s="1">
        <v>100</v>
      </c>
      <c r="J1455" s="1">
        <v>3.4239999999999999</v>
      </c>
      <c r="K1455" s="1">
        <v>43.152999999999999</v>
      </c>
      <c r="L1455" s="1">
        <v>13.69</v>
      </c>
      <c r="M1455" s="1">
        <v>87.4</v>
      </c>
      <c r="N1455" s="1">
        <v>2.2689999999999998E-2</v>
      </c>
      <c r="O1455" s="1">
        <v>2.6709999999999999E-4</v>
      </c>
      <c r="P14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9.1433987395612426E-2</v>
      </c>
      <c r="Q1455" s="1">
        <f>LN(Table13[[#This Row],[qe_mg_g]]-Table13[[#This Row],[qt]])</f>
        <v>1.203742581608036</v>
      </c>
      <c r="R1455" s="1">
        <v>2</v>
      </c>
    </row>
    <row r="1456" spans="1:18" hidden="1" x14ac:dyDescent="0.3">
      <c r="A1456" s="1">
        <v>1455</v>
      </c>
      <c r="B1456" s="1" t="s">
        <v>18</v>
      </c>
      <c r="C1456" s="1">
        <v>2</v>
      </c>
      <c r="D1456" s="1">
        <v>30</v>
      </c>
      <c r="E1456" s="1">
        <v>50</v>
      </c>
      <c r="F1456" s="1">
        <v>7</v>
      </c>
      <c r="G1456" s="1">
        <v>25</v>
      </c>
      <c r="H1456" s="1">
        <v>150</v>
      </c>
      <c r="I1456" s="1">
        <v>100</v>
      </c>
      <c r="J1456" s="1">
        <v>3.1110000000000002</v>
      </c>
      <c r="K1456" s="1">
        <v>43.777999999999999</v>
      </c>
      <c r="L1456" s="1">
        <v>12.44</v>
      </c>
      <c r="M1456" s="1">
        <v>102.6</v>
      </c>
      <c r="N1456" s="1">
        <v>2.6249999999999999E-2</v>
      </c>
      <c r="O1456" s="1">
        <v>2.4340000000000001E-4</v>
      </c>
      <c r="P14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6.9101357435584695E-2</v>
      </c>
      <c r="Q1456" s="1">
        <f>LN(Table13[[#This Row],[qe_mg_g]]-Table13[[#This Row],[qt]])</f>
        <v>1.1124818739409132</v>
      </c>
      <c r="R1456" s="1">
        <v>3</v>
      </c>
    </row>
    <row r="1457" spans="1:18" hidden="1" x14ac:dyDescent="0.3">
      <c r="A1457" s="1">
        <v>1456</v>
      </c>
      <c r="B1457" s="1" t="s">
        <v>18</v>
      </c>
      <c r="C1457" s="1">
        <v>2</v>
      </c>
      <c r="D1457" s="1">
        <v>30</v>
      </c>
      <c r="E1457" s="1">
        <v>50</v>
      </c>
      <c r="F1457" s="1">
        <v>11</v>
      </c>
      <c r="G1457" s="1">
        <v>25</v>
      </c>
      <c r="H1457" s="1">
        <v>150</v>
      </c>
      <c r="I1457" s="1">
        <v>100</v>
      </c>
      <c r="J1457" s="1">
        <v>2.4889999999999999</v>
      </c>
      <c r="K1457" s="1">
        <v>45.021999999999998</v>
      </c>
      <c r="L1457" s="1">
        <v>9.9600000000000009</v>
      </c>
      <c r="M1457" s="1">
        <v>104</v>
      </c>
      <c r="N1457" s="1">
        <v>2.666E-2</v>
      </c>
      <c r="O1457" s="1">
        <v>2.7989999999999997E-4</v>
      </c>
      <c r="P14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5.0955455245297723E-2</v>
      </c>
      <c r="Q1457" s="1">
        <f>LN(Table13[[#This Row],[qe_mg_g]]-Table13[[#This Row],[qt]])</f>
        <v>0.89119630191542443</v>
      </c>
      <c r="R1457" s="1">
        <v>1</v>
      </c>
    </row>
    <row r="1458" spans="1:18" hidden="1" x14ac:dyDescent="0.3">
      <c r="A1458" s="1">
        <v>1457</v>
      </c>
      <c r="B1458" s="1" t="s">
        <v>18</v>
      </c>
      <c r="C1458" s="1">
        <v>2</v>
      </c>
      <c r="D1458" s="1">
        <v>30</v>
      </c>
      <c r="E1458" s="1">
        <v>50</v>
      </c>
      <c r="F1458" s="1">
        <v>11</v>
      </c>
      <c r="G1458" s="1">
        <v>25</v>
      </c>
      <c r="H1458" s="1">
        <v>150</v>
      </c>
      <c r="I1458" s="1">
        <v>100</v>
      </c>
      <c r="J1458" s="1">
        <v>2.3479999999999999</v>
      </c>
      <c r="K1458" s="1">
        <v>45.304000000000002</v>
      </c>
      <c r="L1458" s="1">
        <v>9.39</v>
      </c>
      <c r="M1458" s="1">
        <v>74.900000000000006</v>
      </c>
      <c r="N1458" s="1">
        <v>2.9669999999999998E-2</v>
      </c>
      <c r="O1458" s="1">
        <v>2.5090000000000003E-4</v>
      </c>
      <c r="P14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4.0776475017531066E-2</v>
      </c>
      <c r="Q1458" s="1">
        <f>LN(Table13[[#This Row],[qe_mg_g]]-Table13[[#This Row],[qt]])</f>
        <v>0.83604486439079839</v>
      </c>
      <c r="R1458" s="1">
        <v>2</v>
      </c>
    </row>
    <row r="1459" spans="1:18" hidden="1" x14ac:dyDescent="0.3">
      <c r="A1459" s="1">
        <v>1458</v>
      </c>
      <c r="B1459" s="1" t="s">
        <v>18</v>
      </c>
      <c r="C1459" s="1">
        <v>2</v>
      </c>
      <c r="D1459" s="1">
        <v>30</v>
      </c>
      <c r="E1459" s="1">
        <v>50</v>
      </c>
      <c r="F1459" s="1">
        <v>11</v>
      </c>
      <c r="G1459" s="1">
        <v>25</v>
      </c>
      <c r="H1459" s="1">
        <v>150</v>
      </c>
      <c r="I1459" s="1">
        <v>100</v>
      </c>
      <c r="J1459" s="1">
        <v>2.5169999999999999</v>
      </c>
      <c r="K1459" s="1">
        <v>44.965000000000003</v>
      </c>
      <c r="L1459" s="1">
        <v>10.07</v>
      </c>
      <c r="M1459" s="1">
        <v>120.4</v>
      </c>
      <c r="N1459" s="1">
        <v>2.929E-2</v>
      </c>
      <c r="O1459" s="1">
        <v>2.4699999999999999E-4</v>
      </c>
      <c r="P14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4.6084962241777473E-2</v>
      </c>
      <c r="Q1459" s="1">
        <f>LN(Table13[[#This Row],[qe_mg_g]]-Table13[[#This Row],[qt]])</f>
        <v>0.90458854266714839</v>
      </c>
      <c r="R1459" s="1">
        <v>3</v>
      </c>
    </row>
    <row r="1460" spans="1:18" hidden="1" x14ac:dyDescent="0.3">
      <c r="A1460" s="1">
        <v>1459</v>
      </c>
      <c r="B1460" s="1" t="s">
        <v>18</v>
      </c>
      <c r="C1460" s="1">
        <v>2</v>
      </c>
      <c r="D1460" s="1">
        <v>30</v>
      </c>
      <c r="E1460" s="1">
        <v>100</v>
      </c>
      <c r="F1460" s="1">
        <v>3</v>
      </c>
      <c r="G1460" s="1">
        <v>25</v>
      </c>
      <c r="H1460" s="1">
        <v>150</v>
      </c>
      <c r="I1460" s="1">
        <v>100</v>
      </c>
      <c r="J1460" s="1">
        <v>6.1239999999999997</v>
      </c>
      <c r="K1460" s="1">
        <v>87.751000000000005</v>
      </c>
      <c r="L1460" s="1">
        <v>12.25</v>
      </c>
      <c r="M1460" s="1">
        <v>112.3</v>
      </c>
      <c r="N1460" s="1">
        <v>3.0550000000000001E-2</v>
      </c>
      <c r="O1460" s="1">
        <v>2.3949999999999999E-4</v>
      </c>
      <c r="P14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0.2581048984112983</v>
      </c>
      <c r="Q1460" s="1">
        <f>LN(Table13[[#This Row],[qe_mg_g]]-Table13[[#This Row],[qt]])</f>
        <v>1.7691550879522537</v>
      </c>
      <c r="R1460" s="1">
        <v>1</v>
      </c>
    </row>
    <row r="1461" spans="1:18" hidden="1" x14ac:dyDescent="0.3">
      <c r="A1461" s="1">
        <v>1460</v>
      </c>
      <c r="B1461" s="1" t="s">
        <v>18</v>
      </c>
      <c r="C1461" s="1">
        <v>2</v>
      </c>
      <c r="D1461" s="1">
        <v>30</v>
      </c>
      <c r="E1461" s="1">
        <v>100</v>
      </c>
      <c r="F1461" s="1">
        <v>3</v>
      </c>
      <c r="G1461" s="1">
        <v>25</v>
      </c>
      <c r="H1461" s="1">
        <v>150</v>
      </c>
      <c r="I1461" s="1">
        <v>100</v>
      </c>
      <c r="J1461" s="1">
        <v>5.6340000000000003</v>
      </c>
      <c r="K1461" s="1">
        <v>88.731999999999999</v>
      </c>
      <c r="L1461" s="1">
        <v>11.27</v>
      </c>
      <c r="M1461" s="1">
        <v>121.7</v>
      </c>
      <c r="N1461" s="1">
        <v>2.632E-2</v>
      </c>
      <c r="O1461" s="1">
        <v>2.352E-4</v>
      </c>
      <c r="P14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0.21540801802962717</v>
      </c>
      <c r="Q1461" s="1">
        <f>LN(Table13[[#This Row],[qe_mg_g]]-Table13[[#This Row],[qt]])</f>
        <v>1.6898359997781003</v>
      </c>
      <c r="R1461" s="1">
        <v>2</v>
      </c>
    </row>
    <row r="1462" spans="1:18" hidden="1" x14ac:dyDescent="0.3">
      <c r="A1462" s="1">
        <v>1461</v>
      </c>
      <c r="B1462" s="1" t="s">
        <v>18</v>
      </c>
      <c r="C1462" s="1">
        <v>2</v>
      </c>
      <c r="D1462" s="1">
        <v>30</v>
      </c>
      <c r="E1462" s="1">
        <v>100</v>
      </c>
      <c r="F1462" s="1">
        <v>3</v>
      </c>
      <c r="G1462" s="1">
        <v>25</v>
      </c>
      <c r="H1462" s="1">
        <v>150</v>
      </c>
      <c r="I1462" s="1">
        <v>100</v>
      </c>
      <c r="J1462" s="1">
        <v>7.0190000000000001</v>
      </c>
      <c r="K1462" s="1">
        <v>85.962999999999994</v>
      </c>
      <c r="L1462" s="1">
        <v>14.04</v>
      </c>
      <c r="M1462" s="1">
        <v>82.1</v>
      </c>
      <c r="N1462" s="1">
        <v>2.5520000000000001E-2</v>
      </c>
      <c r="O1462" s="1">
        <v>1.9689999999999999E-4</v>
      </c>
      <c r="P14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0.27943084697325454</v>
      </c>
      <c r="Q1462" s="1">
        <f>LN(Table13[[#This Row],[qe_mg_g]]-Table13[[#This Row],[qt]])</f>
        <v>1.9079959989977249</v>
      </c>
      <c r="R1462" s="1">
        <v>3</v>
      </c>
    </row>
    <row r="1463" spans="1:18" hidden="1" x14ac:dyDescent="0.3">
      <c r="A1463" s="1">
        <v>1462</v>
      </c>
      <c r="B1463" s="1" t="s">
        <v>18</v>
      </c>
      <c r="C1463" s="1">
        <v>2</v>
      </c>
      <c r="D1463" s="1">
        <v>30</v>
      </c>
      <c r="E1463" s="1">
        <v>100</v>
      </c>
      <c r="F1463" s="1">
        <v>7</v>
      </c>
      <c r="G1463" s="1">
        <v>25</v>
      </c>
      <c r="H1463" s="1">
        <v>150</v>
      </c>
      <c r="I1463" s="1">
        <v>100</v>
      </c>
      <c r="J1463" s="1">
        <v>12.045</v>
      </c>
      <c r="K1463" s="1">
        <v>75.909000000000006</v>
      </c>
      <c r="L1463" s="1">
        <v>24.09</v>
      </c>
      <c r="M1463" s="1">
        <v>91.8</v>
      </c>
      <c r="N1463" s="1">
        <v>3.8780000000000002E-2</v>
      </c>
      <c r="O1463" s="1">
        <v>2.251E-4</v>
      </c>
      <c r="P14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0.90604159563114606</v>
      </c>
      <c r="Q1463" s="1">
        <f>LN(Table13[[#This Row],[qe_mg_g]]-Table13[[#This Row],[qt]])</f>
        <v>2.4104487296222041</v>
      </c>
      <c r="R1463" s="1">
        <v>1</v>
      </c>
    </row>
    <row r="1464" spans="1:18" hidden="1" x14ac:dyDescent="0.3">
      <c r="A1464" s="1">
        <v>1463</v>
      </c>
      <c r="B1464" s="1" t="s">
        <v>18</v>
      </c>
      <c r="C1464" s="1">
        <v>2</v>
      </c>
      <c r="D1464" s="1">
        <v>30</v>
      </c>
      <c r="E1464" s="1">
        <v>100</v>
      </c>
      <c r="F1464" s="1">
        <v>7</v>
      </c>
      <c r="G1464" s="1">
        <v>25</v>
      </c>
      <c r="H1464" s="1">
        <v>150</v>
      </c>
      <c r="I1464" s="1">
        <v>100</v>
      </c>
      <c r="J1464" s="1">
        <v>10.372999999999999</v>
      </c>
      <c r="K1464" s="1">
        <v>79.253</v>
      </c>
      <c r="L1464" s="1">
        <v>20.75</v>
      </c>
      <c r="M1464" s="1">
        <v>91.5</v>
      </c>
      <c r="N1464" s="1">
        <v>3.073E-2</v>
      </c>
      <c r="O1464" s="1">
        <v>2.3819999999999999E-4</v>
      </c>
      <c r="P14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0.71584131081455105</v>
      </c>
      <c r="Q1464" s="1">
        <f>LN(Table13[[#This Row],[qe_mg_g]]-Table13[[#This Row],[qt]])</f>
        <v>2.2676994734049556</v>
      </c>
      <c r="R1464" s="1">
        <v>2</v>
      </c>
    </row>
    <row r="1465" spans="1:18" hidden="1" x14ac:dyDescent="0.3">
      <c r="A1465" s="1">
        <v>1464</v>
      </c>
      <c r="B1465" s="1" t="s">
        <v>18</v>
      </c>
      <c r="C1465" s="1">
        <v>2</v>
      </c>
      <c r="D1465" s="1">
        <v>30</v>
      </c>
      <c r="E1465" s="1">
        <v>100</v>
      </c>
      <c r="F1465" s="1">
        <v>7</v>
      </c>
      <c r="G1465" s="1">
        <v>25</v>
      </c>
      <c r="H1465" s="1">
        <v>150</v>
      </c>
      <c r="I1465" s="1">
        <v>100</v>
      </c>
      <c r="J1465" s="1">
        <v>11.935</v>
      </c>
      <c r="K1465" s="1">
        <v>76.13</v>
      </c>
      <c r="L1465" s="1">
        <v>23.87</v>
      </c>
      <c r="M1465" s="1">
        <v>85.3</v>
      </c>
      <c r="N1465" s="1">
        <v>2.5860000000000001E-2</v>
      </c>
      <c r="O1465" s="1">
        <v>2.05E-4</v>
      </c>
      <c r="P14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0.81612798557667576</v>
      </c>
      <c r="Q1465" s="1">
        <f>LN(Table13[[#This Row],[qe_mg_g]]-Table13[[#This Row],[qt]])</f>
        <v>2.4086438461254405</v>
      </c>
      <c r="R1465" s="1">
        <v>3</v>
      </c>
    </row>
    <row r="1466" spans="1:18" hidden="1" x14ac:dyDescent="0.3">
      <c r="A1466" s="1">
        <v>1465</v>
      </c>
      <c r="B1466" s="1" t="s">
        <v>18</v>
      </c>
      <c r="C1466" s="1">
        <v>2</v>
      </c>
      <c r="D1466" s="1">
        <v>30</v>
      </c>
      <c r="E1466" s="1">
        <v>100</v>
      </c>
      <c r="F1466" s="1">
        <v>11</v>
      </c>
      <c r="G1466" s="1">
        <v>25</v>
      </c>
      <c r="H1466" s="1">
        <v>150</v>
      </c>
      <c r="I1466" s="1">
        <v>100</v>
      </c>
      <c r="J1466" s="1">
        <v>6.7990000000000004</v>
      </c>
      <c r="K1466" s="1">
        <v>86.402000000000001</v>
      </c>
      <c r="L1466" s="1">
        <v>13.6</v>
      </c>
      <c r="M1466" s="1">
        <v>92.2</v>
      </c>
      <c r="N1466" s="1">
        <v>2.9100000000000001E-2</v>
      </c>
      <c r="O1466" s="1">
        <v>2.342E-4</v>
      </c>
      <c r="P14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0.30997906361249927</v>
      </c>
      <c r="Q1466" s="1">
        <f>LN(Table13[[#This Row],[qe_mg_g]]-Table13[[#This Row],[qt]])</f>
        <v>1.8701116620766529</v>
      </c>
      <c r="R1466" s="1">
        <v>1</v>
      </c>
    </row>
    <row r="1467" spans="1:18" hidden="1" x14ac:dyDescent="0.3">
      <c r="A1467" s="1">
        <v>1466</v>
      </c>
      <c r="B1467" s="1" t="s">
        <v>18</v>
      </c>
      <c r="C1467" s="1">
        <v>2</v>
      </c>
      <c r="D1467" s="1">
        <v>30</v>
      </c>
      <c r="E1467" s="1">
        <v>100</v>
      </c>
      <c r="F1467" s="1">
        <v>11</v>
      </c>
      <c r="G1467" s="1">
        <v>25</v>
      </c>
      <c r="H1467" s="1">
        <v>150</v>
      </c>
      <c r="I1467" s="1">
        <v>100</v>
      </c>
      <c r="J1467" s="1">
        <v>9.4510000000000005</v>
      </c>
      <c r="K1467" s="1">
        <v>81.096999999999994</v>
      </c>
      <c r="L1467" s="1">
        <v>18.899999999999999</v>
      </c>
      <c r="M1467" s="1">
        <v>118.4</v>
      </c>
      <c r="N1467" s="1">
        <v>2.9000000000000001E-2</v>
      </c>
      <c r="O1467" s="1">
        <v>2.052E-4</v>
      </c>
      <c r="P14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0.51963027043378607</v>
      </c>
      <c r="Q1467" s="1">
        <f>LN(Table13[[#This Row],[qe_mg_g]]-Table13[[#This Row],[qt]])</f>
        <v>2.1895697682958941</v>
      </c>
      <c r="R1467" s="1">
        <v>2</v>
      </c>
    </row>
    <row r="1468" spans="1:18" hidden="1" x14ac:dyDescent="0.3">
      <c r="A1468" s="1">
        <v>1467</v>
      </c>
      <c r="B1468" s="1" t="s">
        <v>18</v>
      </c>
      <c r="C1468" s="1">
        <v>2</v>
      </c>
      <c r="D1468" s="1">
        <v>30</v>
      </c>
      <c r="E1468" s="1">
        <v>100</v>
      </c>
      <c r="F1468" s="1">
        <v>11</v>
      </c>
      <c r="G1468" s="1">
        <v>25</v>
      </c>
      <c r="H1468" s="1">
        <v>150</v>
      </c>
      <c r="I1468" s="1">
        <v>100</v>
      </c>
      <c r="J1468" s="1">
        <v>8.0670000000000002</v>
      </c>
      <c r="K1468" s="1">
        <v>83.867000000000004</v>
      </c>
      <c r="L1468" s="1">
        <v>16.13</v>
      </c>
      <c r="M1468" s="1">
        <v>91</v>
      </c>
      <c r="N1468" s="1">
        <v>2.8029999999999999E-2</v>
      </c>
      <c r="O1468" s="1">
        <v>2.3259999999999999E-4</v>
      </c>
      <c r="P14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0.42990379934374295</v>
      </c>
      <c r="Q1468" s="1">
        <f>LN(Table13[[#This Row],[qe_mg_g]]-Table13[[#This Row],[qt]])</f>
        <v>2.0330174524821749</v>
      </c>
      <c r="R1468" s="1">
        <v>3</v>
      </c>
    </row>
    <row r="1469" spans="1:18" hidden="1" x14ac:dyDescent="0.3">
      <c r="A1469" s="1">
        <v>1468</v>
      </c>
      <c r="B1469" s="1" t="s">
        <v>18</v>
      </c>
      <c r="C1469" s="1">
        <v>2</v>
      </c>
      <c r="D1469" s="1">
        <v>30</v>
      </c>
      <c r="E1469" s="1">
        <v>200</v>
      </c>
      <c r="F1469" s="1">
        <v>3</v>
      </c>
      <c r="G1469" s="1">
        <v>25</v>
      </c>
      <c r="H1469" s="1">
        <v>150</v>
      </c>
      <c r="I1469" s="1">
        <v>100</v>
      </c>
      <c r="J1469" s="1">
        <v>18.494</v>
      </c>
      <c r="K1469" s="1">
        <v>163.011</v>
      </c>
      <c r="L1469" s="1">
        <v>18.489999999999998</v>
      </c>
      <c r="M1469" s="1">
        <v>94.2</v>
      </c>
      <c r="N1469" s="1">
        <v>2.809E-2</v>
      </c>
      <c r="O1469" s="1">
        <v>2.5520000000000002E-4</v>
      </c>
      <c r="P14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2.2937889231803963</v>
      </c>
      <c r="Q1469" s="1">
        <f>LN(Table13[[#This Row],[qe_mg_g]]-Table13[[#This Row],[qt]])</f>
        <v>2.785024271586765</v>
      </c>
      <c r="R1469" s="1">
        <v>1</v>
      </c>
    </row>
    <row r="1470" spans="1:18" hidden="1" x14ac:dyDescent="0.3">
      <c r="A1470" s="1">
        <v>1469</v>
      </c>
      <c r="B1470" s="1" t="s">
        <v>18</v>
      </c>
      <c r="C1470" s="1">
        <v>2</v>
      </c>
      <c r="D1470" s="1">
        <v>30</v>
      </c>
      <c r="E1470" s="1">
        <v>200</v>
      </c>
      <c r="F1470" s="1">
        <v>3</v>
      </c>
      <c r="G1470" s="1">
        <v>25</v>
      </c>
      <c r="H1470" s="1">
        <v>150</v>
      </c>
      <c r="I1470" s="1">
        <v>100</v>
      </c>
      <c r="J1470" s="1">
        <v>20.286999999999999</v>
      </c>
      <c r="K1470" s="1">
        <v>159.42500000000001</v>
      </c>
      <c r="L1470" s="1">
        <v>20.29</v>
      </c>
      <c r="M1470" s="1">
        <v>86.3</v>
      </c>
      <c r="N1470" s="1">
        <v>3.381E-2</v>
      </c>
      <c r="O1470" s="1">
        <v>2.2550000000000001E-4</v>
      </c>
      <c r="P14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2.4482216764273965</v>
      </c>
      <c r="Q1470" s="1">
        <f>LN(Table13[[#This Row],[qe_mg_g]]-Table13[[#This Row],[qt]])</f>
        <v>2.8813746451866571</v>
      </c>
      <c r="R1470" s="1">
        <v>2</v>
      </c>
    </row>
    <row r="1471" spans="1:18" hidden="1" x14ac:dyDescent="0.3">
      <c r="A1471" s="1">
        <v>1470</v>
      </c>
      <c r="B1471" s="1" t="s">
        <v>18</v>
      </c>
      <c r="C1471" s="1">
        <v>2</v>
      </c>
      <c r="D1471" s="1">
        <v>30</v>
      </c>
      <c r="E1471" s="1">
        <v>200</v>
      </c>
      <c r="F1471" s="1">
        <v>3</v>
      </c>
      <c r="G1471" s="1">
        <v>25</v>
      </c>
      <c r="H1471" s="1">
        <v>150</v>
      </c>
      <c r="I1471" s="1">
        <v>100</v>
      </c>
      <c r="J1471" s="1">
        <v>16.789000000000001</v>
      </c>
      <c r="K1471" s="1">
        <v>166.422</v>
      </c>
      <c r="L1471" s="1">
        <v>16.79</v>
      </c>
      <c r="M1471" s="1">
        <v>105.7</v>
      </c>
      <c r="N1471" s="1">
        <v>2.7550000000000002E-2</v>
      </c>
      <c r="O1471" s="1">
        <v>2.5799999999999998E-4</v>
      </c>
      <c r="P14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1.9307791452599816</v>
      </c>
      <c r="Q1471" s="1">
        <f>LN(Table13[[#This Row],[qe_mg_g]]-Table13[[#This Row],[qt]])</f>
        <v>2.6985533049844674</v>
      </c>
      <c r="R1471" s="1">
        <v>3</v>
      </c>
    </row>
    <row r="1472" spans="1:18" hidden="1" x14ac:dyDescent="0.3">
      <c r="A1472" s="1">
        <v>1471</v>
      </c>
      <c r="B1472" s="1" t="s">
        <v>18</v>
      </c>
      <c r="C1472" s="1">
        <v>2</v>
      </c>
      <c r="D1472" s="1">
        <v>30</v>
      </c>
      <c r="E1472" s="1">
        <v>200</v>
      </c>
      <c r="F1472" s="1">
        <v>7</v>
      </c>
      <c r="G1472" s="1">
        <v>25</v>
      </c>
      <c r="H1472" s="1">
        <v>150</v>
      </c>
      <c r="I1472" s="1">
        <v>100</v>
      </c>
      <c r="J1472" s="1">
        <v>24.713999999999999</v>
      </c>
      <c r="K1472" s="1">
        <v>150.572</v>
      </c>
      <c r="L1472" s="1">
        <v>24.71</v>
      </c>
      <c r="M1472" s="1">
        <v>120.9</v>
      </c>
      <c r="N1472" s="1">
        <v>3.202E-2</v>
      </c>
      <c r="O1472" s="1">
        <v>2.1249999999999999E-4</v>
      </c>
      <c r="P14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3.363766630304001</v>
      </c>
      <c r="Q1472" s="1">
        <f>LN(Table13[[#This Row],[qe_mg_g]]-Table13[[#This Row],[qt]])</f>
        <v>3.0610626702798123</v>
      </c>
      <c r="R1472" s="1">
        <v>1</v>
      </c>
    </row>
    <row r="1473" spans="1:18" hidden="1" x14ac:dyDescent="0.3">
      <c r="A1473" s="1">
        <v>1472</v>
      </c>
      <c r="B1473" s="1" t="s">
        <v>18</v>
      </c>
      <c r="C1473" s="1">
        <v>2</v>
      </c>
      <c r="D1473" s="1">
        <v>30</v>
      </c>
      <c r="E1473" s="1">
        <v>200</v>
      </c>
      <c r="F1473" s="1">
        <v>7</v>
      </c>
      <c r="G1473" s="1">
        <v>25</v>
      </c>
      <c r="H1473" s="1">
        <v>150</v>
      </c>
      <c r="I1473" s="1">
        <v>100</v>
      </c>
      <c r="J1473" s="1">
        <v>27.338999999999999</v>
      </c>
      <c r="K1473" s="1">
        <v>145.322</v>
      </c>
      <c r="L1473" s="1">
        <v>27.34</v>
      </c>
      <c r="M1473" s="1">
        <v>125.1</v>
      </c>
      <c r="N1473" s="1">
        <v>2.7789999999999999E-2</v>
      </c>
      <c r="O1473" s="1">
        <v>2.2910000000000001E-4</v>
      </c>
      <c r="P14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4.3244548318665492</v>
      </c>
      <c r="Q1473" s="1">
        <f>LN(Table13[[#This Row],[qe_mg_g]]-Table13[[#This Row],[qt]])</f>
        <v>3.1361264146639085</v>
      </c>
      <c r="R1473" s="1">
        <v>2</v>
      </c>
    </row>
    <row r="1474" spans="1:18" hidden="1" x14ac:dyDescent="0.3">
      <c r="A1474" s="1">
        <v>1473</v>
      </c>
      <c r="B1474" s="1" t="s">
        <v>18</v>
      </c>
      <c r="C1474" s="1">
        <v>2</v>
      </c>
      <c r="D1474" s="1">
        <v>30</v>
      </c>
      <c r="E1474" s="1">
        <v>200</v>
      </c>
      <c r="F1474" s="1">
        <v>7</v>
      </c>
      <c r="G1474" s="1">
        <v>25</v>
      </c>
      <c r="H1474" s="1">
        <v>150</v>
      </c>
      <c r="I1474" s="1">
        <v>100</v>
      </c>
      <c r="J1474" s="1">
        <v>25.103999999999999</v>
      </c>
      <c r="K1474" s="1">
        <v>149.791</v>
      </c>
      <c r="L1474" s="1">
        <v>25.1</v>
      </c>
      <c r="M1474" s="1">
        <v>94.7</v>
      </c>
      <c r="N1474" s="1">
        <v>2.9319999999999999E-2</v>
      </c>
      <c r="O1474" s="1">
        <v>2.6790000000000001E-4</v>
      </c>
      <c r="P14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4.2146524715140332</v>
      </c>
      <c r="Q1474" s="1">
        <f>LN(Table13[[#This Row],[qe_mg_g]]-Table13[[#This Row],[qt]])</f>
        <v>3.0392393414036212</v>
      </c>
      <c r="R1474" s="1">
        <v>3</v>
      </c>
    </row>
    <row r="1475" spans="1:18" hidden="1" x14ac:dyDescent="0.3">
      <c r="A1475" s="1">
        <v>1474</v>
      </c>
      <c r="B1475" s="1" t="s">
        <v>18</v>
      </c>
      <c r="C1475" s="1">
        <v>2</v>
      </c>
      <c r="D1475" s="1">
        <v>30</v>
      </c>
      <c r="E1475" s="1">
        <v>200</v>
      </c>
      <c r="F1475" s="1">
        <v>11</v>
      </c>
      <c r="G1475" s="1">
        <v>25</v>
      </c>
      <c r="H1475" s="1">
        <v>150</v>
      </c>
      <c r="I1475" s="1">
        <v>100</v>
      </c>
      <c r="J1475" s="1">
        <v>21.15</v>
      </c>
      <c r="K1475" s="1">
        <v>157.69999999999999</v>
      </c>
      <c r="L1475" s="1">
        <v>21.15</v>
      </c>
      <c r="M1475" s="1">
        <v>77.2</v>
      </c>
      <c r="N1475" s="1">
        <v>3.1350000000000003E-2</v>
      </c>
      <c r="O1475" s="1">
        <v>2.7520000000000002E-4</v>
      </c>
      <c r="P14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3.1440909970114448</v>
      </c>
      <c r="Q1475" s="1">
        <f>LN(Table13[[#This Row],[qe_mg_g]]-Table13[[#This Row],[qt]])</f>
        <v>2.8906999819685586</v>
      </c>
      <c r="R1475" s="1">
        <v>1</v>
      </c>
    </row>
    <row r="1476" spans="1:18" hidden="1" x14ac:dyDescent="0.3">
      <c r="A1476" s="1">
        <v>1475</v>
      </c>
      <c r="B1476" s="1" t="s">
        <v>18</v>
      </c>
      <c r="C1476" s="1">
        <v>2</v>
      </c>
      <c r="D1476" s="1">
        <v>30</v>
      </c>
      <c r="E1476" s="1">
        <v>200</v>
      </c>
      <c r="F1476" s="1">
        <v>11</v>
      </c>
      <c r="G1476" s="1">
        <v>25</v>
      </c>
      <c r="H1476" s="1">
        <v>150</v>
      </c>
      <c r="I1476" s="1">
        <v>100</v>
      </c>
      <c r="J1476" s="1">
        <v>20.774999999999999</v>
      </c>
      <c r="K1476" s="1">
        <v>158.44999999999999</v>
      </c>
      <c r="L1476" s="1">
        <v>20.78</v>
      </c>
      <c r="M1476" s="1">
        <v>116.2</v>
      </c>
      <c r="N1476" s="1">
        <v>3.0110000000000001E-2</v>
      </c>
      <c r="O1476" s="1">
        <v>2.7730000000000002E-4</v>
      </c>
      <c r="P14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3.0613934626005972</v>
      </c>
      <c r="Q1476" s="1">
        <f>LN(Table13[[#This Row],[qe_mg_g]]-Table13[[#This Row],[qt]])</f>
        <v>2.8743330751840239</v>
      </c>
      <c r="R1476" s="1">
        <v>2</v>
      </c>
    </row>
    <row r="1477" spans="1:18" hidden="1" x14ac:dyDescent="0.3">
      <c r="A1477" s="1">
        <v>1476</v>
      </c>
      <c r="B1477" s="1" t="s">
        <v>18</v>
      </c>
      <c r="C1477" s="1">
        <v>2</v>
      </c>
      <c r="D1477" s="1">
        <v>30</v>
      </c>
      <c r="E1477" s="1">
        <v>200</v>
      </c>
      <c r="F1477" s="1">
        <v>11</v>
      </c>
      <c r="G1477" s="1">
        <v>25</v>
      </c>
      <c r="H1477" s="1">
        <v>150</v>
      </c>
      <c r="I1477" s="1">
        <v>100</v>
      </c>
      <c r="J1477" s="1">
        <v>24.044</v>
      </c>
      <c r="K1477" s="1">
        <v>151.91200000000001</v>
      </c>
      <c r="L1477" s="1">
        <v>24.04</v>
      </c>
      <c r="M1477" s="1">
        <v>62.2</v>
      </c>
      <c r="N1477" s="1">
        <v>2.954E-2</v>
      </c>
      <c r="O1477" s="1">
        <v>2.765E-4</v>
      </c>
      <c r="P14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3.9980617527950302</v>
      </c>
      <c r="Q1477" s="1">
        <f>LN(Table13[[#This Row],[qe_mg_g]]-Table13[[#This Row],[qt]])</f>
        <v>2.9980265520434535</v>
      </c>
      <c r="R1477" s="1">
        <v>3</v>
      </c>
    </row>
    <row r="1478" spans="1:18" hidden="1" x14ac:dyDescent="0.3">
      <c r="A1478" s="1">
        <v>1477</v>
      </c>
      <c r="B1478" s="1" t="s">
        <v>18</v>
      </c>
      <c r="C1478" s="1">
        <v>2</v>
      </c>
      <c r="D1478" s="1">
        <v>60</v>
      </c>
      <c r="E1478" s="1">
        <v>25</v>
      </c>
      <c r="F1478" s="1">
        <v>3</v>
      </c>
      <c r="G1478" s="1">
        <v>25</v>
      </c>
      <c r="H1478" s="1">
        <v>150</v>
      </c>
      <c r="I1478" s="1">
        <v>100</v>
      </c>
      <c r="J1478" s="1">
        <v>0.91300000000000003</v>
      </c>
      <c r="K1478" s="1">
        <v>23.172999999999998</v>
      </c>
      <c r="L1478" s="1">
        <v>7.31</v>
      </c>
      <c r="M1478" s="1">
        <v>94.2</v>
      </c>
      <c r="N1478" s="1">
        <v>2.947E-2</v>
      </c>
      <c r="O1478" s="1">
        <v>1.775E-4</v>
      </c>
      <c r="P14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8.7920210727006499E-3</v>
      </c>
      <c r="Q1478" s="1">
        <f>LN(Table13[[#This Row],[qe_mg_g]]-Table13[[#This Row],[qt]])</f>
        <v>-0.10069587986583109</v>
      </c>
      <c r="R1478" s="1">
        <v>1</v>
      </c>
    </row>
    <row r="1479" spans="1:18" hidden="1" x14ac:dyDescent="0.3">
      <c r="A1479" s="1">
        <v>1478</v>
      </c>
      <c r="B1479" s="1" t="s">
        <v>18</v>
      </c>
      <c r="C1479" s="1">
        <v>2</v>
      </c>
      <c r="D1479" s="1">
        <v>60</v>
      </c>
      <c r="E1479" s="1">
        <v>25</v>
      </c>
      <c r="F1479" s="1">
        <v>3</v>
      </c>
      <c r="G1479" s="1">
        <v>25</v>
      </c>
      <c r="H1479" s="1">
        <v>150</v>
      </c>
      <c r="I1479" s="1">
        <v>100</v>
      </c>
      <c r="J1479" s="1">
        <v>1.143</v>
      </c>
      <c r="K1479" s="1">
        <v>22.715</v>
      </c>
      <c r="L1479" s="1">
        <v>9.14</v>
      </c>
      <c r="M1479" s="1">
        <v>86.5</v>
      </c>
      <c r="N1479" s="1">
        <v>3.1519999999999999E-2</v>
      </c>
      <c r="O1479" s="1">
        <v>2.4780000000000001E-4</v>
      </c>
      <c r="P14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1.9099701044093739E-2</v>
      </c>
      <c r="Q1479" s="1">
        <f>LN(Table13[[#This Row],[qe_mg_g]]-Table13[[#This Row],[qt]])</f>
        <v>0.11680504554072001</v>
      </c>
      <c r="R1479" s="1">
        <v>2</v>
      </c>
    </row>
    <row r="1480" spans="1:18" hidden="1" x14ac:dyDescent="0.3">
      <c r="A1480" s="1">
        <v>1479</v>
      </c>
      <c r="B1480" s="1" t="s">
        <v>18</v>
      </c>
      <c r="C1480" s="1">
        <v>2</v>
      </c>
      <c r="D1480" s="1">
        <v>60</v>
      </c>
      <c r="E1480" s="1">
        <v>25</v>
      </c>
      <c r="F1480" s="1">
        <v>3</v>
      </c>
      <c r="G1480" s="1">
        <v>25</v>
      </c>
      <c r="H1480" s="1">
        <v>150</v>
      </c>
      <c r="I1480" s="1">
        <v>100</v>
      </c>
      <c r="J1480" s="1">
        <v>1.1060000000000001</v>
      </c>
      <c r="K1480" s="1">
        <v>22.789000000000001</v>
      </c>
      <c r="L1480" s="1">
        <v>8.85</v>
      </c>
      <c r="M1480" s="1">
        <v>106.1</v>
      </c>
      <c r="N1480" s="1">
        <v>2.93E-2</v>
      </c>
      <c r="O1480" s="1">
        <v>2.2770000000000001E-4</v>
      </c>
      <c r="P14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1.6463090108804469E-2</v>
      </c>
      <c r="Q1480" s="1">
        <f>LN(Table13[[#This Row],[qe_mg_g]]-Table13[[#This Row],[qt]])</f>
        <v>8.575275265448451E-2</v>
      </c>
      <c r="R1480" s="1">
        <v>3</v>
      </c>
    </row>
    <row r="1481" spans="1:18" hidden="1" x14ac:dyDescent="0.3">
      <c r="A1481" s="1">
        <v>1480</v>
      </c>
      <c r="B1481" s="1" t="s">
        <v>18</v>
      </c>
      <c r="C1481" s="1">
        <v>2</v>
      </c>
      <c r="D1481" s="1">
        <v>60</v>
      </c>
      <c r="E1481" s="1">
        <v>25</v>
      </c>
      <c r="F1481" s="1">
        <v>7</v>
      </c>
      <c r="G1481" s="1">
        <v>25</v>
      </c>
      <c r="H1481" s="1">
        <v>150</v>
      </c>
      <c r="I1481" s="1">
        <v>100</v>
      </c>
      <c r="J1481" s="1">
        <v>1.821</v>
      </c>
      <c r="K1481" s="1">
        <v>21.356999999999999</v>
      </c>
      <c r="L1481" s="1">
        <v>14.57</v>
      </c>
      <c r="M1481" s="1">
        <v>71.900000000000006</v>
      </c>
      <c r="N1481" s="1">
        <v>3.1940000000000003E-2</v>
      </c>
      <c r="O1481" s="1">
        <v>2.2249999999999999E-4</v>
      </c>
      <c r="P14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4.3218490714264479E-2</v>
      </c>
      <c r="Q1481" s="1">
        <f>LN(Table13[[#This Row],[qe_mg_g]]-Table13[[#This Row],[qt]])</f>
        <v>0.57536624387458524</v>
      </c>
      <c r="R1481" s="1">
        <v>1</v>
      </c>
    </row>
    <row r="1482" spans="1:18" hidden="1" x14ac:dyDescent="0.3">
      <c r="A1482" s="1">
        <v>1481</v>
      </c>
      <c r="B1482" s="1" t="s">
        <v>18</v>
      </c>
      <c r="C1482" s="1">
        <v>2</v>
      </c>
      <c r="D1482" s="1">
        <v>60</v>
      </c>
      <c r="E1482" s="1">
        <v>25</v>
      </c>
      <c r="F1482" s="1">
        <v>7</v>
      </c>
      <c r="G1482" s="1">
        <v>25</v>
      </c>
      <c r="H1482" s="1">
        <v>150</v>
      </c>
      <c r="I1482" s="1">
        <v>100</v>
      </c>
      <c r="J1482" s="1">
        <v>1.891</v>
      </c>
      <c r="K1482" s="1">
        <v>21.218</v>
      </c>
      <c r="L1482" s="1">
        <v>15.13</v>
      </c>
      <c r="M1482" s="1">
        <v>102.4</v>
      </c>
      <c r="N1482" s="1">
        <v>3.193E-2</v>
      </c>
      <c r="O1482" s="1">
        <v>2.52E-4</v>
      </c>
      <c r="P14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5.2564403500272486E-2</v>
      </c>
      <c r="Q1482" s="1">
        <f>LN(Table13[[#This Row],[qe_mg_g]]-Table13[[#This Row],[qt]])</f>
        <v>0.60891499068584665</v>
      </c>
      <c r="R1482" s="1">
        <v>2</v>
      </c>
    </row>
    <row r="1483" spans="1:18" hidden="1" x14ac:dyDescent="0.3">
      <c r="A1483" s="1">
        <v>1482</v>
      </c>
      <c r="B1483" s="1" t="s">
        <v>18</v>
      </c>
      <c r="C1483" s="1">
        <v>2</v>
      </c>
      <c r="D1483" s="1">
        <v>60</v>
      </c>
      <c r="E1483" s="1">
        <v>25</v>
      </c>
      <c r="F1483" s="1">
        <v>7</v>
      </c>
      <c r="G1483" s="1">
        <v>25</v>
      </c>
      <c r="H1483" s="1">
        <v>150</v>
      </c>
      <c r="I1483" s="1">
        <v>100</v>
      </c>
      <c r="J1483" s="1">
        <v>1.431</v>
      </c>
      <c r="K1483" s="1">
        <v>22.137</v>
      </c>
      <c r="L1483" s="1">
        <v>11.45</v>
      </c>
      <c r="M1483" s="1">
        <v>87.1</v>
      </c>
      <c r="N1483" s="1">
        <v>3.202E-2</v>
      </c>
      <c r="O1483" s="1">
        <v>2.542E-4</v>
      </c>
      <c r="P14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3.0565343445315796E-2</v>
      </c>
      <c r="Q1483" s="1">
        <f>LN(Table13[[#This Row],[qe_mg_g]]-Table13[[#This Row],[qt]])</f>
        <v>0.3367826574033278</v>
      </c>
      <c r="R1483" s="1">
        <v>3</v>
      </c>
    </row>
    <row r="1484" spans="1:18" hidden="1" x14ac:dyDescent="0.3">
      <c r="A1484" s="1">
        <v>1483</v>
      </c>
      <c r="B1484" s="1" t="s">
        <v>18</v>
      </c>
      <c r="C1484" s="1">
        <v>2</v>
      </c>
      <c r="D1484" s="1">
        <v>60</v>
      </c>
      <c r="E1484" s="1">
        <v>25</v>
      </c>
      <c r="F1484" s="1">
        <v>11</v>
      </c>
      <c r="G1484" s="1">
        <v>25</v>
      </c>
      <c r="H1484" s="1">
        <v>150</v>
      </c>
      <c r="I1484" s="1">
        <v>100</v>
      </c>
      <c r="J1484" s="1">
        <v>1.39</v>
      </c>
      <c r="K1484" s="1">
        <v>22.221</v>
      </c>
      <c r="L1484" s="1">
        <v>11.12</v>
      </c>
      <c r="M1484" s="1">
        <v>106</v>
      </c>
      <c r="N1484" s="1">
        <v>2.7099999999999999E-2</v>
      </c>
      <c r="O1484" s="1">
        <v>2.3010000000000001E-4</v>
      </c>
      <c r="P14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2.6172316939346185E-2</v>
      </c>
      <c r="Q1484" s="1">
        <f>LN(Table13[[#This Row],[qe_mg_g]]-Table13[[#This Row],[qt]])</f>
        <v>0.31029521937373322</v>
      </c>
      <c r="R1484" s="1">
        <v>1</v>
      </c>
    </row>
    <row r="1485" spans="1:18" hidden="1" x14ac:dyDescent="0.3">
      <c r="A1485" s="1">
        <v>1484</v>
      </c>
      <c r="B1485" s="1" t="s">
        <v>18</v>
      </c>
      <c r="C1485" s="1">
        <v>2</v>
      </c>
      <c r="D1485" s="1">
        <v>60</v>
      </c>
      <c r="E1485" s="1">
        <v>25</v>
      </c>
      <c r="F1485" s="1">
        <v>11</v>
      </c>
      <c r="G1485" s="1">
        <v>25</v>
      </c>
      <c r="H1485" s="1">
        <v>150</v>
      </c>
      <c r="I1485" s="1">
        <v>100</v>
      </c>
      <c r="J1485" s="1">
        <v>1.268</v>
      </c>
      <c r="K1485" s="1">
        <v>22.465</v>
      </c>
      <c r="L1485" s="1">
        <v>10.14</v>
      </c>
      <c r="M1485" s="1">
        <v>65.3</v>
      </c>
      <c r="N1485" s="1">
        <v>3.5020000000000003E-2</v>
      </c>
      <c r="O1485" s="1">
        <v>2.61E-4</v>
      </c>
      <c r="P14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2.4688291400260003E-2</v>
      </c>
      <c r="Q1485" s="1">
        <f>LN(Table13[[#This Row],[qe_mg_g]]-Table13[[#This Row],[qt]])</f>
        <v>0.21777855228923643</v>
      </c>
      <c r="R1485" s="1">
        <v>2</v>
      </c>
    </row>
    <row r="1486" spans="1:18" hidden="1" x14ac:dyDescent="0.3">
      <c r="A1486" s="1">
        <v>1485</v>
      </c>
      <c r="B1486" s="1" t="s">
        <v>18</v>
      </c>
      <c r="C1486" s="1">
        <v>2</v>
      </c>
      <c r="D1486" s="1">
        <v>60</v>
      </c>
      <c r="E1486" s="1">
        <v>25</v>
      </c>
      <c r="F1486" s="1">
        <v>11</v>
      </c>
      <c r="G1486" s="1">
        <v>25</v>
      </c>
      <c r="H1486" s="1">
        <v>150</v>
      </c>
      <c r="I1486" s="1">
        <v>100</v>
      </c>
      <c r="J1486" s="1">
        <v>1.395</v>
      </c>
      <c r="K1486" s="1">
        <v>22.21</v>
      </c>
      <c r="L1486" s="1">
        <v>11.16</v>
      </c>
      <c r="M1486" s="1">
        <v>76.3</v>
      </c>
      <c r="N1486" s="1">
        <v>3.3730000000000003E-2</v>
      </c>
      <c r="O1486" s="1">
        <v>3.0580000000000001E-4</v>
      </c>
      <c r="P14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3.4814571722070614E-2</v>
      </c>
      <c r="Q1486" s="1">
        <f>LN(Table13[[#This Row],[qe_mg_g]]-Table13[[#This Row],[qt]])</f>
        <v>0.30762103477592523</v>
      </c>
      <c r="R1486" s="1">
        <v>3</v>
      </c>
    </row>
    <row r="1487" spans="1:18" hidden="1" x14ac:dyDescent="0.3">
      <c r="A1487" s="1">
        <v>1486</v>
      </c>
      <c r="B1487" s="1" t="s">
        <v>18</v>
      </c>
      <c r="C1487" s="1">
        <v>2</v>
      </c>
      <c r="D1487" s="1">
        <v>60</v>
      </c>
      <c r="E1487" s="1">
        <v>50</v>
      </c>
      <c r="F1487" s="1">
        <v>3</v>
      </c>
      <c r="G1487" s="1">
        <v>25</v>
      </c>
      <c r="H1487" s="1">
        <v>150</v>
      </c>
      <c r="I1487" s="1">
        <v>100</v>
      </c>
      <c r="J1487" s="1">
        <v>3.0960000000000001</v>
      </c>
      <c r="K1487" s="1">
        <v>43.807000000000002</v>
      </c>
      <c r="L1487" s="1">
        <v>12.39</v>
      </c>
      <c r="M1487" s="1">
        <v>111.6</v>
      </c>
      <c r="N1487" s="1">
        <v>0.03</v>
      </c>
      <c r="O1487" s="1">
        <v>2.1139999999999999E-4</v>
      </c>
      <c r="P14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0.11698492119558297</v>
      </c>
      <c r="Q1487" s="1">
        <f>LN(Table13[[#This Row],[qe_mg_g]]-Table13[[#This Row],[qt]])</f>
        <v>1.0915927354183743</v>
      </c>
      <c r="R1487" s="1">
        <v>1</v>
      </c>
    </row>
    <row r="1488" spans="1:18" hidden="1" x14ac:dyDescent="0.3">
      <c r="A1488" s="1">
        <v>1487</v>
      </c>
      <c r="B1488" s="1" t="s">
        <v>18</v>
      </c>
      <c r="C1488" s="1">
        <v>2</v>
      </c>
      <c r="D1488" s="1">
        <v>60</v>
      </c>
      <c r="E1488" s="1">
        <v>50</v>
      </c>
      <c r="F1488" s="1">
        <v>3</v>
      </c>
      <c r="G1488" s="1">
        <v>25</v>
      </c>
      <c r="H1488" s="1">
        <v>150</v>
      </c>
      <c r="I1488" s="1">
        <v>100</v>
      </c>
      <c r="J1488" s="1">
        <v>3.67</v>
      </c>
      <c r="K1488" s="1">
        <v>42.66</v>
      </c>
      <c r="L1488" s="1">
        <v>14.68</v>
      </c>
      <c r="M1488" s="1">
        <v>112.5</v>
      </c>
      <c r="N1488" s="1">
        <v>2.8199999999999999E-2</v>
      </c>
      <c r="O1488" s="1">
        <v>2.7910000000000001E-4</v>
      </c>
      <c r="P14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0.21249096775225607</v>
      </c>
      <c r="Q1488" s="1">
        <f>LN(Table13[[#This Row],[qe_mg_g]]-Table13[[#This Row],[qt]])</f>
        <v>1.2405483969171367</v>
      </c>
      <c r="R1488" s="1">
        <v>2</v>
      </c>
    </row>
    <row r="1489" spans="1:18" hidden="1" x14ac:dyDescent="0.3">
      <c r="A1489" s="1">
        <v>1488</v>
      </c>
      <c r="B1489" s="1" t="s">
        <v>18</v>
      </c>
      <c r="C1489" s="1">
        <v>2</v>
      </c>
      <c r="D1489" s="1">
        <v>60</v>
      </c>
      <c r="E1489" s="1">
        <v>50</v>
      </c>
      <c r="F1489" s="1">
        <v>3</v>
      </c>
      <c r="G1489" s="1">
        <v>25</v>
      </c>
      <c r="H1489" s="1">
        <v>150</v>
      </c>
      <c r="I1489" s="1">
        <v>100</v>
      </c>
      <c r="J1489" s="1">
        <v>2.9870000000000001</v>
      </c>
      <c r="K1489" s="1">
        <v>44.026000000000003</v>
      </c>
      <c r="L1489" s="1">
        <v>11.95</v>
      </c>
      <c r="M1489" s="1">
        <v>77.599999999999994</v>
      </c>
      <c r="N1489" s="1">
        <v>3.041E-2</v>
      </c>
      <c r="O1489" s="1">
        <v>2.5060000000000002E-4</v>
      </c>
      <c r="P14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0.12838752429088485</v>
      </c>
      <c r="Q1489" s="1">
        <f>LN(Table13[[#This Row],[qe_mg_g]]-Table13[[#This Row],[qt]])</f>
        <v>1.0503363587557657</v>
      </c>
      <c r="R1489" s="1">
        <v>3</v>
      </c>
    </row>
    <row r="1490" spans="1:18" hidden="1" x14ac:dyDescent="0.3">
      <c r="A1490" s="1">
        <v>1489</v>
      </c>
      <c r="B1490" s="1" t="s">
        <v>18</v>
      </c>
      <c r="C1490" s="1">
        <v>2</v>
      </c>
      <c r="D1490" s="1">
        <v>60</v>
      </c>
      <c r="E1490" s="1">
        <v>50</v>
      </c>
      <c r="F1490" s="1">
        <v>7</v>
      </c>
      <c r="G1490" s="1">
        <v>25</v>
      </c>
      <c r="H1490" s="1">
        <v>150</v>
      </c>
      <c r="I1490" s="1">
        <v>100</v>
      </c>
      <c r="J1490" s="1">
        <v>5.4640000000000004</v>
      </c>
      <c r="K1490" s="1">
        <v>39.073</v>
      </c>
      <c r="L1490" s="1">
        <v>21.85</v>
      </c>
      <c r="M1490" s="1">
        <v>112.1</v>
      </c>
      <c r="N1490" s="1">
        <v>3.159E-2</v>
      </c>
      <c r="O1490" s="1">
        <v>2.7149999999999999E-4</v>
      </c>
      <c r="P14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0.44659223967899769</v>
      </c>
      <c r="Q1490" s="1">
        <f>LN(Table13[[#This Row],[qe_mg_g]]-Table13[[#This Row],[qt]])</f>
        <v>1.6129134179261526</v>
      </c>
      <c r="R1490" s="1">
        <v>1</v>
      </c>
    </row>
    <row r="1491" spans="1:18" hidden="1" x14ac:dyDescent="0.3">
      <c r="A1491" s="1">
        <v>1490</v>
      </c>
      <c r="B1491" s="1" t="s">
        <v>18</v>
      </c>
      <c r="C1491" s="1">
        <v>2</v>
      </c>
      <c r="D1491" s="1">
        <v>60</v>
      </c>
      <c r="E1491" s="1">
        <v>50</v>
      </c>
      <c r="F1491" s="1">
        <v>7</v>
      </c>
      <c r="G1491" s="1">
        <v>25</v>
      </c>
      <c r="H1491" s="1">
        <v>150</v>
      </c>
      <c r="I1491" s="1">
        <v>100</v>
      </c>
      <c r="J1491" s="1">
        <v>5.7759999999999998</v>
      </c>
      <c r="K1491" s="1">
        <v>38.448999999999998</v>
      </c>
      <c r="L1491" s="1">
        <v>23.1</v>
      </c>
      <c r="M1491" s="1">
        <v>109</v>
      </c>
      <c r="N1491" s="1">
        <v>2.8660000000000001E-2</v>
      </c>
      <c r="O1491" s="1">
        <v>3.0130000000000001E-4</v>
      </c>
      <c r="P14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0.54609860522731102</v>
      </c>
      <c r="Q1491" s="1">
        <f>LN(Table13[[#This Row],[qe_mg_g]]-Table13[[#This Row],[qt]])</f>
        <v>1.6543924241271446</v>
      </c>
      <c r="R1491" s="1">
        <v>2</v>
      </c>
    </row>
    <row r="1492" spans="1:18" hidden="1" x14ac:dyDescent="0.3">
      <c r="A1492" s="1">
        <v>1491</v>
      </c>
      <c r="B1492" s="1" t="s">
        <v>18</v>
      </c>
      <c r="C1492" s="1">
        <v>2</v>
      </c>
      <c r="D1492" s="1">
        <v>60</v>
      </c>
      <c r="E1492" s="1">
        <v>50</v>
      </c>
      <c r="F1492" s="1">
        <v>7</v>
      </c>
      <c r="G1492" s="1">
        <v>25</v>
      </c>
      <c r="H1492" s="1">
        <v>150</v>
      </c>
      <c r="I1492" s="1">
        <v>100</v>
      </c>
      <c r="J1492" s="1">
        <v>5.4130000000000003</v>
      </c>
      <c r="K1492" s="1">
        <v>39.173999999999999</v>
      </c>
      <c r="L1492" s="1">
        <v>21.65</v>
      </c>
      <c r="M1492" s="1">
        <v>131.6</v>
      </c>
      <c r="N1492" s="1">
        <v>3.0099999999999998E-2</v>
      </c>
      <c r="O1492" s="1">
        <v>2.1560000000000001E-4</v>
      </c>
      <c r="P14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0.35422819286181645</v>
      </c>
      <c r="Q1492" s="1">
        <f>LN(Table13[[#This Row],[qe_mg_g]]-Table13[[#This Row],[qt]])</f>
        <v>1.6211237279746655</v>
      </c>
      <c r="R1492" s="1">
        <v>3</v>
      </c>
    </row>
    <row r="1493" spans="1:18" hidden="1" x14ac:dyDescent="0.3">
      <c r="A1493" s="1">
        <v>1492</v>
      </c>
      <c r="B1493" s="1" t="s">
        <v>18</v>
      </c>
      <c r="C1493" s="1">
        <v>2</v>
      </c>
      <c r="D1493" s="1">
        <v>60</v>
      </c>
      <c r="E1493" s="1">
        <v>50</v>
      </c>
      <c r="F1493" s="1">
        <v>11</v>
      </c>
      <c r="G1493" s="1">
        <v>25</v>
      </c>
      <c r="H1493" s="1">
        <v>150</v>
      </c>
      <c r="I1493" s="1">
        <v>100</v>
      </c>
      <c r="J1493" s="1">
        <v>4.9320000000000004</v>
      </c>
      <c r="K1493" s="1">
        <v>40.136000000000003</v>
      </c>
      <c r="L1493" s="1">
        <v>19.73</v>
      </c>
      <c r="M1493" s="1">
        <v>101.9</v>
      </c>
      <c r="N1493" s="1">
        <v>3.2550000000000003E-2</v>
      </c>
      <c r="O1493" s="1">
        <v>2.8059999999999999E-4</v>
      </c>
      <c r="P14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0.3781311889163872</v>
      </c>
      <c r="Q1493" s="1">
        <f>LN(Table13[[#This Row],[qe_mg_g]]-Table13[[#This Row],[qt]])</f>
        <v>1.5159771598229206</v>
      </c>
      <c r="R1493" s="1">
        <v>1</v>
      </c>
    </row>
    <row r="1494" spans="1:18" hidden="1" x14ac:dyDescent="0.3">
      <c r="A1494" s="1">
        <v>1493</v>
      </c>
      <c r="B1494" s="1" t="s">
        <v>18</v>
      </c>
      <c r="C1494" s="1">
        <v>2</v>
      </c>
      <c r="D1494" s="1">
        <v>60</v>
      </c>
      <c r="E1494" s="1">
        <v>50</v>
      </c>
      <c r="F1494" s="1">
        <v>11</v>
      </c>
      <c r="G1494" s="1">
        <v>25</v>
      </c>
      <c r="H1494" s="1">
        <v>150</v>
      </c>
      <c r="I1494" s="1">
        <v>100</v>
      </c>
      <c r="J1494" s="1">
        <v>4.5250000000000004</v>
      </c>
      <c r="K1494" s="1">
        <v>40.950000000000003</v>
      </c>
      <c r="L1494" s="1">
        <v>18.100000000000001</v>
      </c>
      <c r="M1494" s="1">
        <v>91.1</v>
      </c>
      <c r="N1494" s="1">
        <v>3.2930000000000001E-2</v>
      </c>
      <c r="O1494" s="1">
        <v>2.5000000000000001E-4</v>
      </c>
      <c r="P14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0.28761266534004459</v>
      </c>
      <c r="Q1494" s="1">
        <f>LN(Table13[[#This Row],[qe_mg_g]]-Table13[[#This Row],[qt]])</f>
        <v>1.4439468846622439</v>
      </c>
      <c r="R1494" s="1">
        <v>2</v>
      </c>
    </row>
    <row r="1495" spans="1:18" hidden="1" x14ac:dyDescent="0.3">
      <c r="A1495" s="1">
        <v>1494</v>
      </c>
      <c r="B1495" s="1" t="s">
        <v>18</v>
      </c>
      <c r="C1495" s="1">
        <v>2</v>
      </c>
      <c r="D1495" s="1">
        <v>60</v>
      </c>
      <c r="E1495" s="1">
        <v>50</v>
      </c>
      <c r="F1495" s="1">
        <v>11</v>
      </c>
      <c r="G1495" s="1">
        <v>25</v>
      </c>
      <c r="H1495" s="1">
        <v>150</v>
      </c>
      <c r="I1495" s="1">
        <v>100</v>
      </c>
      <c r="J1495" s="1">
        <v>4.6619999999999999</v>
      </c>
      <c r="K1495" s="1">
        <v>40.674999999999997</v>
      </c>
      <c r="L1495" s="1">
        <v>18.649999999999999</v>
      </c>
      <c r="M1495" s="1">
        <v>67.7</v>
      </c>
      <c r="N1495" s="1">
        <v>3.134E-2</v>
      </c>
      <c r="O1495" s="1">
        <v>2.34E-4</v>
      </c>
      <c r="P14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0.28640246156738675</v>
      </c>
      <c r="Q1495" s="1">
        <f>LN(Table13[[#This Row],[qe_mg_g]]-Table13[[#This Row],[qt]])</f>
        <v>1.4760430906965183</v>
      </c>
      <c r="R1495" s="1">
        <v>3</v>
      </c>
    </row>
    <row r="1496" spans="1:18" hidden="1" x14ac:dyDescent="0.3">
      <c r="A1496" s="1">
        <v>1495</v>
      </c>
      <c r="B1496" s="1" t="s">
        <v>18</v>
      </c>
      <c r="C1496" s="1">
        <v>2</v>
      </c>
      <c r="D1496" s="1">
        <v>60</v>
      </c>
      <c r="E1496" s="1">
        <v>100</v>
      </c>
      <c r="F1496" s="1">
        <v>3</v>
      </c>
      <c r="G1496" s="1">
        <v>25</v>
      </c>
      <c r="H1496" s="1">
        <v>150</v>
      </c>
      <c r="I1496" s="1">
        <v>100</v>
      </c>
      <c r="J1496" s="1">
        <v>12.955</v>
      </c>
      <c r="K1496" s="1">
        <v>74.090999999999994</v>
      </c>
      <c r="L1496" s="1">
        <v>25.91</v>
      </c>
      <c r="M1496" s="1">
        <v>109.3</v>
      </c>
      <c r="N1496" s="1">
        <v>3.0720000000000001E-2</v>
      </c>
      <c r="O1496" s="1">
        <v>2.6219999999999998E-4</v>
      </c>
      <c r="P14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2.1933176102010816</v>
      </c>
      <c r="Q1496" s="1">
        <f>LN(Table13[[#This Row],[qe_mg_g]]-Table13[[#This Row],[qt]])</f>
        <v>2.3759918984405917</v>
      </c>
      <c r="R1496" s="1">
        <v>1</v>
      </c>
    </row>
    <row r="1497" spans="1:18" hidden="1" x14ac:dyDescent="0.3">
      <c r="A1497" s="1">
        <v>1496</v>
      </c>
      <c r="B1497" s="1" t="s">
        <v>18</v>
      </c>
      <c r="C1497" s="1">
        <v>2</v>
      </c>
      <c r="D1497" s="1">
        <v>60</v>
      </c>
      <c r="E1497" s="1">
        <v>100</v>
      </c>
      <c r="F1497" s="1">
        <v>3</v>
      </c>
      <c r="G1497" s="1">
        <v>25</v>
      </c>
      <c r="H1497" s="1">
        <v>150</v>
      </c>
      <c r="I1497" s="1">
        <v>100</v>
      </c>
      <c r="J1497" s="1">
        <v>10.263</v>
      </c>
      <c r="K1497" s="1">
        <v>79.472999999999999</v>
      </c>
      <c r="L1497" s="1">
        <v>20.53</v>
      </c>
      <c r="M1497" s="1">
        <v>124.3</v>
      </c>
      <c r="N1497" s="1">
        <v>3.5970000000000002E-2</v>
      </c>
      <c r="O1497" s="1">
        <v>2.5980000000000003E-4</v>
      </c>
      <c r="P14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1.4154309473141065</v>
      </c>
      <c r="Q1497" s="1">
        <f>LN(Table13[[#This Row],[qe_mg_g]]-Table13[[#This Row],[qt]])</f>
        <v>2.1801427379751388</v>
      </c>
      <c r="R1497" s="1">
        <v>2</v>
      </c>
    </row>
    <row r="1498" spans="1:18" hidden="1" x14ac:dyDescent="0.3">
      <c r="A1498" s="1">
        <v>1497</v>
      </c>
      <c r="B1498" s="1" t="s">
        <v>18</v>
      </c>
      <c r="C1498" s="1">
        <v>2</v>
      </c>
      <c r="D1498" s="1">
        <v>60</v>
      </c>
      <c r="E1498" s="1">
        <v>100</v>
      </c>
      <c r="F1498" s="1">
        <v>3</v>
      </c>
      <c r="G1498" s="1">
        <v>25</v>
      </c>
      <c r="H1498" s="1">
        <v>150</v>
      </c>
      <c r="I1498" s="1">
        <v>100</v>
      </c>
      <c r="J1498" s="1">
        <v>12.891</v>
      </c>
      <c r="K1498" s="1">
        <v>74.218000000000004</v>
      </c>
      <c r="L1498" s="1">
        <v>25.78</v>
      </c>
      <c r="M1498" s="1">
        <v>91.5</v>
      </c>
      <c r="N1498" s="1">
        <v>2.7609999999999999E-2</v>
      </c>
      <c r="O1498" s="1">
        <v>2.5099999999999998E-4</v>
      </c>
      <c r="P14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2.0957694368708299</v>
      </c>
      <c r="Q1498" s="1">
        <f>LN(Table13[[#This Row],[qe_mg_g]]-Table13[[#This Row],[qt]])</f>
        <v>2.3791044220646849</v>
      </c>
      <c r="R1498" s="1">
        <v>3</v>
      </c>
    </row>
    <row r="1499" spans="1:18" hidden="1" x14ac:dyDescent="0.3">
      <c r="A1499" s="1">
        <v>1498</v>
      </c>
      <c r="B1499" s="1" t="s">
        <v>18</v>
      </c>
      <c r="C1499" s="1">
        <v>2</v>
      </c>
      <c r="D1499" s="1">
        <v>60</v>
      </c>
      <c r="E1499" s="1">
        <v>100</v>
      </c>
      <c r="F1499" s="1">
        <v>7</v>
      </c>
      <c r="G1499" s="1">
        <v>25</v>
      </c>
      <c r="H1499" s="1">
        <v>150</v>
      </c>
      <c r="I1499" s="1">
        <v>100</v>
      </c>
      <c r="J1499" s="1">
        <v>18.702999999999999</v>
      </c>
      <c r="K1499" s="1">
        <v>62.594000000000001</v>
      </c>
      <c r="L1499" s="1">
        <v>37.409999999999997</v>
      </c>
      <c r="M1499" s="1">
        <v>94.1</v>
      </c>
      <c r="N1499" s="1">
        <v>3.1609999999999999E-2</v>
      </c>
      <c r="O1499" s="1">
        <v>2.5769999999999998E-4</v>
      </c>
      <c r="P14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4.19539356878854</v>
      </c>
      <c r="Q1499" s="1">
        <f>LN(Table13[[#This Row],[qe_mg_g]]-Table13[[#This Row],[qt]])</f>
        <v>2.6746730933446328</v>
      </c>
      <c r="R1499" s="1">
        <v>1</v>
      </c>
    </row>
    <row r="1500" spans="1:18" hidden="1" x14ac:dyDescent="0.3">
      <c r="A1500" s="1">
        <v>1499</v>
      </c>
      <c r="B1500" s="1" t="s">
        <v>18</v>
      </c>
      <c r="C1500" s="1">
        <v>2</v>
      </c>
      <c r="D1500" s="1">
        <v>60</v>
      </c>
      <c r="E1500" s="1">
        <v>100</v>
      </c>
      <c r="F1500" s="1">
        <v>7</v>
      </c>
      <c r="G1500" s="1">
        <v>25</v>
      </c>
      <c r="H1500" s="1">
        <v>150</v>
      </c>
      <c r="I1500" s="1">
        <v>100</v>
      </c>
      <c r="J1500" s="1">
        <v>16.382000000000001</v>
      </c>
      <c r="K1500" s="1">
        <v>67.236999999999995</v>
      </c>
      <c r="L1500" s="1">
        <v>32.76</v>
      </c>
      <c r="M1500" s="1">
        <v>107.8</v>
      </c>
      <c r="N1500" s="1">
        <v>3.2590000000000001E-2</v>
      </c>
      <c r="O1500" s="1">
        <v>2.543E-4</v>
      </c>
      <c r="P15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3.2759444964197622</v>
      </c>
      <c r="Q1500" s="1">
        <f>LN(Table13[[#This Row],[qe_mg_g]]-Table13[[#This Row],[qt]])</f>
        <v>2.5730743755831766</v>
      </c>
      <c r="R1500" s="1">
        <v>2</v>
      </c>
    </row>
    <row r="1501" spans="1:18" hidden="1" x14ac:dyDescent="0.3">
      <c r="A1501" s="1">
        <v>1500</v>
      </c>
      <c r="B1501" s="1" t="s">
        <v>18</v>
      </c>
      <c r="C1501" s="1">
        <v>2</v>
      </c>
      <c r="D1501" s="1">
        <v>60</v>
      </c>
      <c r="E1501" s="1">
        <v>100</v>
      </c>
      <c r="F1501" s="1">
        <v>7</v>
      </c>
      <c r="G1501" s="1">
        <v>25</v>
      </c>
      <c r="H1501" s="1">
        <v>150</v>
      </c>
      <c r="I1501" s="1">
        <v>100</v>
      </c>
      <c r="J1501" s="1">
        <v>19.866</v>
      </c>
      <c r="K1501" s="1">
        <v>60.268000000000001</v>
      </c>
      <c r="L1501" s="1">
        <v>39.729999999999997</v>
      </c>
      <c r="M1501" s="1">
        <v>81.7</v>
      </c>
      <c r="N1501" s="1">
        <v>3.1399999999999997E-2</v>
      </c>
      <c r="O1501" s="1">
        <v>2.207E-4</v>
      </c>
      <c r="P15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4.1376004296252011</v>
      </c>
      <c r="Q1501" s="1">
        <f>LN(Table13[[#This Row],[qe_mg_g]]-Table13[[#This Row],[qt]])</f>
        <v>2.7554679681161112</v>
      </c>
      <c r="R1501" s="1">
        <v>3</v>
      </c>
    </row>
    <row r="1502" spans="1:18" hidden="1" x14ac:dyDescent="0.3">
      <c r="A1502" s="1">
        <v>1501</v>
      </c>
      <c r="B1502" s="1" t="s">
        <v>18</v>
      </c>
      <c r="C1502" s="1">
        <v>2</v>
      </c>
      <c r="D1502" s="1">
        <v>60</v>
      </c>
      <c r="E1502" s="1">
        <v>100</v>
      </c>
      <c r="F1502" s="1">
        <v>11</v>
      </c>
      <c r="G1502" s="1">
        <v>25</v>
      </c>
      <c r="H1502" s="1">
        <v>150</v>
      </c>
      <c r="I1502" s="1">
        <v>100</v>
      </c>
      <c r="J1502" s="1">
        <v>12.464</v>
      </c>
      <c r="K1502" s="1">
        <v>75.070999999999998</v>
      </c>
      <c r="L1502" s="1">
        <v>24.93</v>
      </c>
      <c r="M1502" s="1">
        <v>90.5</v>
      </c>
      <c r="N1502" s="1">
        <v>2.717E-2</v>
      </c>
      <c r="O1502" s="1">
        <v>2.363E-4</v>
      </c>
      <c r="P15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1.8717968568269445</v>
      </c>
      <c r="Q1502" s="1">
        <f>LN(Table13[[#This Row],[qe_mg_g]]-Table13[[#This Row],[qt]])</f>
        <v>2.3601181779356879</v>
      </c>
      <c r="R1502" s="1">
        <v>1</v>
      </c>
    </row>
    <row r="1503" spans="1:18" hidden="1" x14ac:dyDescent="0.3">
      <c r="A1503" s="1">
        <v>1502</v>
      </c>
      <c r="B1503" s="1" t="s">
        <v>18</v>
      </c>
      <c r="C1503" s="1">
        <v>2</v>
      </c>
      <c r="D1503" s="1">
        <v>60</v>
      </c>
      <c r="E1503" s="1">
        <v>100</v>
      </c>
      <c r="F1503" s="1">
        <v>11</v>
      </c>
      <c r="G1503" s="1">
        <v>25</v>
      </c>
      <c r="H1503" s="1">
        <v>150</v>
      </c>
      <c r="I1503" s="1">
        <v>100</v>
      </c>
      <c r="J1503" s="1">
        <v>13.587</v>
      </c>
      <c r="K1503" s="1">
        <v>72.826999999999998</v>
      </c>
      <c r="L1503" s="1">
        <v>27.17</v>
      </c>
      <c r="M1503" s="1">
        <v>112.6</v>
      </c>
      <c r="N1503" s="1">
        <v>2.904E-2</v>
      </c>
      <c r="O1503" s="1">
        <v>2.1039999999999999E-4</v>
      </c>
      <c r="P15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1.9892693044999923</v>
      </c>
      <c r="Q1503" s="1">
        <f>LN(Table13[[#This Row],[qe_mg_g]]-Table13[[#This Row],[qt]])</f>
        <v>2.4508094492760581</v>
      </c>
      <c r="R1503" s="1">
        <v>2</v>
      </c>
    </row>
    <row r="1504" spans="1:18" hidden="1" x14ac:dyDescent="0.3">
      <c r="A1504" s="1">
        <v>1503</v>
      </c>
      <c r="B1504" s="1" t="s">
        <v>18</v>
      </c>
      <c r="C1504" s="1">
        <v>2</v>
      </c>
      <c r="D1504" s="1">
        <v>60</v>
      </c>
      <c r="E1504" s="1">
        <v>100</v>
      </c>
      <c r="F1504" s="1">
        <v>11</v>
      </c>
      <c r="G1504" s="1">
        <v>25</v>
      </c>
      <c r="H1504" s="1">
        <v>150</v>
      </c>
      <c r="I1504" s="1">
        <v>100</v>
      </c>
      <c r="J1504" s="1">
        <v>15.275</v>
      </c>
      <c r="K1504" s="1">
        <v>69.45</v>
      </c>
      <c r="L1504" s="1">
        <v>30.55</v>
      </c>
      <c r="M1504" s="1">
        <v>87.4</v>
      </c>
      <c r="N1504" s="1">
        <v>2.9819999999999999E-2</v>
      </c>
      <c r="O1504" s="1">
        <v>2.6120000000000001E-4</v>
      </c>
      <c r="P15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2.9503867104602608</v>
      </c>
      <c r="Q1504" s="1">
        <f>LN(Table13[[#This Row],[qe_mg_g]]-Table13[[#This Row],[qt]])</f>
        <v>2.5115983433342612</v>
      </c>
      <c r="R1504" s="1">
        <v>3</v>
      </c>
    </row>
    <row r="1505" spans="1:18" hidden="1" x14ac:dyDescent="0.3">
      <c r="A1505" s="1">
        <v>1504</v>
      </c>
      <c r="B1505" s="1" t="s">
        <v>18</v>
      </c>
      <c r="C1505" s="1">
        <v>2</v>
      </c>
      <c r="D1505" s="1">
        <v>60</v>
      </c>
      <c r="E1505" s="1">
        <v>200</v>
      </c>
      <c r="F1505" s="1">
        <v>3</v>
      </c>
      <c r="G1505" s="1">
        <v>25</v>
      </c>
      <c r="H1505" s="1">
        <v>150</v>
      </c>
      <c r="I1505" s="1">
        <v>100</v>
      </c>
      <c r="J1505" s="1">
        <v>30.234999999999999</v>
      </c>
      <c r="K1505" s="1">
        <v>139.53</v>
      </c>
      <c r="L1505" s="1">
        <v>30.23</v>
      </c>
      <c r="M1505" s="1">
        <v>116.4</v>
      </c>
      <c r="N1505" s="1">
        <v>3.1440000000000003E-2</v>
      </c>
      <c r="O1505" s="1">
        <v>2.285E-4</v>
      </c>
      <c r="P15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8.8602859932845863</v>
      </c>
      <c r="Q1505" s="1">
        <f>LN(Table13[[#This Row],[qe_mg_g]]-Table13[[#This Row],[qt]])</f>
        <v>3.062208634930526</v>
      </c>
      <c r="R1505" s="1">
        <v>1</v>
      </c>
    </row>
    <row r="1506" spans="1:18" hidden="1" x14ac:dyDescent="0.3">
      <c r="A1506" s="1">
        <v>1505</v>
      </c>
      <c r="B1506" s="1" t="s">
        <v>18</v>
      </c>
      <c r="C1506" s="1">
        <v>2</v>
      </c>
      <c r="D1506" s="1">
        <v>60</v>
      </c>
      <c r="E1506" s="1">
        <v>200</v>
      </c>
      <c r="F1506" s="1">
        <v>3</v>
      </c>
      <c r="G1506" s="1">
        <v>25</v>
      </c>
      <c r="H1506" s="1">
        <v>150</v>
      </c>
      <c r="I1506" s="1">
        <v>100</v>
      </c>
      <c r="J1506" s="1">
        <v>35.524999999999999</v>
      </c>
      <c r="K1506" s="1">
        <v>128.95099999999999</v>
      </c>
      <c r="L1506" s="1">
        <v>35.520000000000003</v>
      </c>
      <c r="M1506" s="1">
        <v>102.9</v>
      </c>
      <c r="N1506" s="1">
        <v>2.9559999999999999E-2</v>
      </c>
      <c r="O1506" s="1">
        <v>2.7409999999999999E-4</v>
      </c>
      <c r="P15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13.101057326769991</v>
      </c>
      <c r="Q1506" s="1">
        <f>LN(Table13[[#This Row],[qe_mg_g]]-Table13[[#This Row],[qt]])</f>
        <v>3.1101292573675146</v>
      </c>
      <c r="R1506" s="1">
        <v>2</v>
      </c>
    </row>
    <row r="1507" spans="1:18" hidden="1" x14ac:dyDescent="0.3">
      <c r="A1507" s="1">
        <v>1506</v>
      </c>
      <c r="B1507" s="1" t="s">
        <v>18</v>
      </c>
      <c r="C1507" s="1">
        <v>2</v>
      </c>
      <c r="D1507" s="1">
        <v>60</v>
      </c>
      <c r="E1507" s="1">
        <v>200</v>
      </c>
      <c r="F1507" s="1">
        <v>3</v>
      </c>
      <c r="G1507" s="1">
        <v>25</v>
      </c>
      <c r="H1507" s="1">
        <v>150</v>
      </c>
      <c r="I1507" s="1">
        <v>100</v>
      </c>
      <c r="J1507" s="1">
        <v>30.367999999999999</v>
      </c>
      <c r="K1507" s="1">
        <v>139.26400000000001</v>
      </c>
      <c r="L1507" s="1">
        <v>30.37</v>
      </c>
      <c r="M1507" s="1">
        <v>106</v>
      </c>
      <c r="N1507" s="1">
        <v>3.7479999999999999E-2</v>
      </c>
      <c r="O1507" s="1">
        <v>2.431E-4</v>
      </c>
      <c r="P15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9.3221914136028285</v>
      </c>
      <c r="Q1507" s="1">
        <f>LN(Table13[[#This Row],[qe_mg_g]]-Table13[[#This Row],[qt]])</f>
        <v>3.0467014232661978</v>
      </c>
      <c r="R1507" s="1">
        <v>3</v>
      </c>
    </row>
    <row r="1508" spans="1:18" hidden="1" x14ac:dyDescent="0.3">
      <c r="A1508" s="1">
        <v>1507</v>
      </c>
      <c r="B1508" s="1" t="s">
        <v>18</v>
      </c>
      <c r="C1508" s="1">
        <v>2</v>
      </c>
      <c r="D1508" s="1">
        <v>60</v>
      </c>
      <c r="E1508" s="1">
        <v>200</v>
      </c>
      <c r="F1508" s="1">
        <v>7</v>
      </c>
      <c r="G1508" s="1">
        <v>25</v>
      </c>
      <c r="H1508" s="1">
        <v>150</v>
      </c>
      <c r="I1508" s="1">
        <v>100</v>
      </c>
      <c r="J1508" s="1">
        <v>44.11</v>
      </c>
      <c r="K1508" s="1">
        <v>111.78100000000001</v>
      </c>
      <c r="L1508" s="1">
        <v>44.11</v>
      </c>
      <c r="M1508" s="1">
        <v>101.7</v>
      </c>
      <c r="N1508" s="1">
        <v>3.3210000000000003E-2</v>
      </c>
      <c r="O1508" s="1">
        <v>2.1230000000000001E-4</v>
      </c>
      <c r="P15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15.868270412198255</v>
      </c>
      <c r="Q1508" s="1">
        <f>LN(Table13[[#This Row],[qe_mg_g]]-Table13[[#This Row],[qt]])</f>
        <v>3.3408006567765538</v>
      </c>
      <c r="R1508" s="1">
        <v>1</v>
      </c>
    </row>
    <row r="1509" spans="1:18" hidden="1" x14ac:dyDescent="0.3">
      <c r="A1509" s="1">
        <v>1508</v>
      </c>
      <c r="B1509" s="1" t="s">
        <v>18</v>
      </c>
      <c r="C1509" s="1">
        <v>2</v>
      </c>
      <c r="D1509" s="1">
        <v>60</v>
      </c>
      <c r="E1509" s="1">
        <v>200</v>
      </c>
      <c r="F1509" s="1">
        <v>7</v>
      </c>
      <c r="G1509" s="1">
        <v>25</v>
      </c>
      <c r="H1509" s="1">
        <v>150</v>
      </c>
      <c r="I1509" s="1">
        <v>100</v>
      </c>
      <c r="J1509" s="1">
        <v>37.375999999999998</v>
      </c>
      <c r="K1509" s="1">
        <v>125.249</v>
      </c>
      <c r="L1509" s="1">
        <v>37.380000000000003</v>
      </c>
      <c r="M1509" s="1">
        <v>91.2</v>
      </c>
      <c r="N1509" s="1">
        <v>2.5100000000000001E-2</v>
      </c>
      <c r="O1509" s="1">
        <v>2.3939999999999999E-4</v>
      </c>
      <c r="P15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13.056423440473838</v>
      </c>
      <c r="Q1509" s="1">
        <f>LN(Table13[[#This Row],[qe_mg_g]]-Table13[[#This Row],[qt]])</f>
        <v>3.1912816457426953</v>
      </c>
      <c r="R1509" s="1">
        <v>2</v>
      </c>
    </row>
    <row r="1510" spans="1:18" hidden="1" x14ac:dyDescent="0.3">
      <c r="A1510" s="1">
        <v>1509</v>
      </c>
      <c r="B1510" s="1" t="s">
        <v>18</v>
      </c>
      <c r="C1510" s="1">
        <v>2</v>
      </c>
      <c r="D1510" s="1">
        <v>60</v>
      </c>
      <c r="E1510" s="1">
        <v>200</v>
      </c>
      <c r="F1510" s="1">
        <v>7</v>
      </c>
      <c r="G1510" s="1">
        <v>25</v>
      </c>
      <c r="H1510" s="1">
        <v>150</v>
      </c>
      <c r="I1510" s="1">
        <v>100</v>
      </c>
      <c r="J1510" s="1">
        <v>47.462000000000003</v>
      </c>
      <c r="K1510" s="1">
        <v>105.07599999999999</v>
      </c>
      <c r="L1510" s="1">
        <v>47.46</v>
      </c>
      <c r="M1510" s="1">
        <v>86.6</v>
      </c>
      <c r="N1510" s="1">
        <v>2.572E-2</v>
      </c>
      <c r="O1510" s="1">
        <v>2.5169999999999999E-4</v>
      </c>
      <c r="P15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19.815915244441168</v>
      </c>
      <c r="Q1510" s="1">
        <f>LN(Table13[[#This Row],[qe_mg_g]]-Table13[[#This Row],[qt]])</f>
        <v>3.3194841177814736</v>
      </c>
      <c r="R1510" s="1">
        <v>3</v>
      </c>
    </row>
    <row r="1511" spans="1:18" hidden="1" x14ac:dyDescent="0.3">
      <c r="A1511" s="1">
        <v>1510</v>
      </c>
      <c r="B1511" s="1" t="s">
        <v>18</v>
      </c>
      <c r="C1511" s="1">
        <v>2</v>
      </c>
      <c r="D1511" s="1">
        <v>60</v>
      </c>
      <c r="E1511" s="1">
        <v>200</v>
      </c>
      <c r="F1511" s="1">
        <v>11</v>
      </c>
      <c r="G1511" s="1">
        <v>25</v>
      </c>
      <c r="H1511" s="1">
        <v>150</v>
      </c>
      <c r="I1511" s="1">
        <v>100</v>
      </c>
      <c r="J1511" s="1">
        <v>38.597000000000001</v>
      </c>
      <c r="K1511" s="1">
        <v>122.806</v>
      </c>
      <c r="L1511" s="1">
        <v>38.6</v>
      </c>
      <c r="M1511" s="1">
        <v>74.599999999999994</v>
      </c>
      <c r="N1511" s="1">
        <v>3.2460000000000003E-2</v>
      </c>
      <c r="O1511" s="1">
        <v>2.7040000000000001E-4</v>
      </c>
      <c r="P15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14.862493835445822</v>
      </c>
      <c r="Q1511" s="1">
        <f>LN(Table13[[#This Row],[qe_mg_g]]-Table13[[#This Row],[qt]])</f>
        <v>3.1669299455746605</v>
      </c>
      <c r="R1511" s="1">
        <v>1</v>
      </c>
    </row>
    <row r="1512" spans="1:18" hidden="1" x14ac:dyDescent="0.3">
      <c r="A1512" s="1">
        <v>1511</v>
      </c>
      <c r="B1512" s="1" t="s">
        <v>18</v>
      </c>
      <c r="C1512" s="1">
        <v>2</v>
      </c>
      <c r="D1512" s="1">
        <v>60</v>
      </c>
      <c r="E1512" s="1">
        <v>200</v>
      </c>
      <c r="F1512" s="1">
        <v>11</v>
      </c>
      <c r="G1512" s="1">
        <v>25</v>
      </c>
      <c r="H1512" s="1">
        <v>150</v>
      </c>
      <c r="I1512" s="1">
        <v>100</v>
      </c>
      <c r="J1512" s="1">
        <v>38.892000000000003</v>
      </c>
      <c r="K1512" s="1">
        <v>122.21599999999999</v>
      </c>
      <c r="L1512" s="1">
        <v>38.89</v>
      </c>
      <c r="M1512" s="1">
        <v>118.3</v>
      </c>
      <c r="N1512" s="1">
        <v>3.6609999999999997E-2</v>
      </c>
      <c r="O1512" s="1">
        <v>2.4110000000000001E-4</v>
      </c>
      <c r="P15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14.00289882605203</v>
      </c>
      <c r="Q1512" s="1">
        <f>LN(Table13[[#This Row],[qe_mg_g]]-Table13[[#This Row],[qt]])</f>
        <v>3.2144300037928555</v>
      </c>
      <c r="R1512" s="1">
        <v>2</v>
      </c>
    </row>
    <row r="1513" spans="1:18" hidden="1" x14ac:dyDescent="0.3">
      <c r="A1513" s="1">
        <v>1512</v>
      </c>
      <c r="B1513" s="1" t="s">
        <v>18</v>
      </c>
      <c r="C1513" s="1">
        <v>2</v>
      </c>
      <c r="D1513" s="1">
        <v>60</v>
      </c>
      <c r="E1513" s="1">
        <v>200</v>
      </c>
      <c r="F1513" s="1">
        <v>11</v>
      </c>
      <c r="G1513" s="1">
        <v>25</v>
      </c>
      <c r="H1513" s="1">
        <v>150</v>
      </c>
      <c r="I1513" s="1">
        <v>100</v>
      </c>
      <c r="J1513" s="1">
        <v>36.17</v>
      </c>
      <c r="K1513" s="1">
        <v>127.66</v>
      </c>
      <c r="L1513" s="1">
        <v>36.17</v>
      </c>
      <c r="M1513" s="1">
        <v>93.8</v>
      </c>
      <c r="N1513" s="1">
        <v>3.0009999999999998E-2</v>
      </c>
      <c r="O1513" s="1">
        <v>2.8830000000000001E-4</v>
      </c>
      <c r="P15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13.920693674564657</v>
      </c>
      <c r="Q1513" s="1">
        <f>LN(Table13[[#This Row],[qe_mg_g]]-Table13[[#This Row],[qt]])</f>
        <v>3.1023108317413275</v>
      </c>
      <c r="R1513" s="1">
        <v>3</v>
      </c>
    </row>
    <row r="1514" spans="1:18" hidden="1" x14ac:dyDescent="0.3">
      <c r="A1514" s="1">
        <v>1513</v>
      </c>
      <c r="B1514" s="1" t="s">
        <v>18</v>
      </c>
      <c r="C1514" s="1">
        <v>2</v>
      </c>
      <c r="D1514" s="1">
        <v>120</v>
      </c>
      <c r="E1514" s="1">
        <v>25</v>
      </c>
      <c r="F1514" s="1">
        <v>3</v>
      </c>
      <c r="G1514" s="1">
        <v>25</v>
      </c>
      <c r="H1514" s="1">
        <v>150</v>
      </c>
      <c r="I1514" s="1">
        <v>100</v>
      </c>
      <c r="J1514" s="1">
        <v>1.5629999999999999</v>
      </c>
      <c r="K1514" s="1">
        <v>21.875</v>
      </c>
      <c r="L1514" s="1">
        <v>12.5</v>
      </c>
      <c r="M1514" s="1">
        <v>87.1</v>
      </c>
      <c r="N1514" s="1">
        <v>3.4130000000000001E-2</v>
      </c>
      <c r="O1514" s="1">
        <v>2.7549999999999997E-4</v>
      </c>
      <c r="P15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7.6796277963949944E-2</v>
      </c>
      <c r="Q1514" s="1">
        <f>LN(Table13[[#This Row],[qe_mg_g]]-Table13[[#This Row],[qt]])</f>
        <v>0.3962250311359225</v>
      </c>
      <c r="R1514" s="1">
        <v>1</v>
      </c>
    </row>
    <row r="1515" spans="1:18" hidden="1" x14ac:dyDescent="0.3">
      <c r="A1515" s="1">
        <v>1514</v>
      </c>
      <c r="B1515" s="1" t="s">
        <v>18</v>
      </c>
      <c r="C1515" s="1">
        <v>2</v>
      </c>
      <c r="D1515" s="1">
        <v>120</v>
      </c>
      <c r="E1515" s="1">
        <v>25</v>
      </c>
      <c r="F1515" s="1">
        <v>3</v>
      </c>
      <c r="G1515" s="1">
        <v>25</v>
      </c>
      <c r="H1515" s="1">
        <v>150</v>
      </c>
      <c r="I1515" s="1">
        <v>100</v>
      </c>
      <c r="J1515" s="1">
        <v>1.72</v>
      </c>
      <c r="K1515" s="1">
        <v>21.561</v>
      </c>
      <c r="L1515" s="1">
        <v>13.76</v>
      </c>
      <c r="M1515" s="1">
        <v>112.8</v>
      </c>
      <c r="N1515" s="1">
        <v>3.1019999999999999E-2</v>
      </c>
      <c r="O1515" s="1">
        <v>2.875E-4</v>
      </c>
      <c r="P15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9.6347537145770004E-2</v>
      </c>
      <c r="Q1515" s="1">
        <f>LN(Table13[[#This Row],[qe_mg_g]]-Table13[[#This Row],[qt]])</f>
        <v>0.48467821813254447</v>
      </c>
      <c r="R1515" s="1">
        <v>2</v>
      </c>
    </row>
    <row r="1516" spans="1:18" hidden="1" x14ac:dyDescent="0.3">
      <c r="A1516" s="1">
        <v>1515</v>
      </c>
      <c r="B1516" s="1" t="s">
        <v>18</v>
      </c>
      <c r="C1516" s="1">
        <v>2</v>
      </c>
      <c r="D1516" s="1">
        <v>120</v>
      </c>
      <c r="E1516" s="1">
        <v>25</v>
      </c>
      <c r="F1516" s="1">
        <v>3</v>
      </c>
      <c r="G1516" s="1">
        <v>25</v>
      </c>
      <c r="H1516" s="1">
        <v>150</v>
      </c>
      <c r="I1516" s="1">
        <v>100</v>
      </c>
      <c r="J1516" s="1">
        <v>1.79</v>
      </c>
      <c r="K1516" s="1">
        <v>21.420999999999999</v>
      </c>
      <c r="L1516" s="1">
        <v>14.32</v>
      </c>
      <c r="M1516" s="1">
        <v>115.4</v>
      </c>
      <c r="N1516" s="1">
        <v>3.7929999999999998E-2</v>
      </c>
      <c r="O1516" s="1">
        <v>2.6499999999999999E-4</v>
      </c>
      <c r="P15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9.6402932288286183E-2</v>
      </c>
      <c r="Q1516" s="1">
        <f>LN(Table13[[#This Row],[qe_mg_g]]-Table13[[#This Row],[qt]])</f>
        <v>0.52685470944336921</v>
      </c>
      <c r="R1516" s="1">
        <v>3</v>
      </c>
    </row>
    <row r="1517" spans="1:18" hidden="1" x14ac:dyDescent="0.3">
      <c r="A1517" s="1">
        <v>1516</v>
      </c>
      <c r="B1517" s="1" t="s">
        <v>18</v>
      </c>
      <c r="C1517" s="1">
        <v>2</v>
      </c>
      <c r="D1517" s="1">
        <v>120</v>
      </c>
      <c r="E1517" s="1">
        <v>25</v>
      </c>
      <c r="F1517" s="1">
        <v>7</v>
      </c>
      <c r="G1517" s="1">
        <v>25</v>
      </c>
      <c r="H1517" s="1">
        <v>150</v>
      </c>
      <c r="I1517" s="1">
        <v>100</v>
      </c>
      <c r="J1517" s="1">
        <v>2.9670000000000001</v>
      </c>
      <c r="K1517" s="1">
        <v>19.065999999999999</v>
      </c>
      <c r="L1517" s="1">
        <v>23.73</v>
      </c>
      <c r="M1517" s="1">
        <v>110.8</v>
      </c>
      <c r="N1517" s="1">
        <v>2.8899999999999999E-2</v>
      </c>
      <c r="O1517" s="1">
        <v>3.0969999999999999E-4</v>
      </c>
      <c r="P15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0.29466643218703448</v>
      </c>
      <c r="Q1517" s="1">
        <f>LN(Table13[[#This Row],[qe_mg_g]]-Table13[[#This Row],[qt]])</f>
        <v>0.9829520861361084</v>
      </c>
      <c r="R1517" s="1">
        <v>1</v>
      </c>
    </row>
    <row r="1518" spans="1:18" hidden="1" x14ac:dyDescent="0.3">
      <c r="A1518" s="1">
        <v>1517</v>
      </c>
      <c r="B1518" s="1" t="s">
        <v>18</v>
      </c>
      <c r="C1518" s="1">
        <v>2</v>
      </c>
      <c r="D1518" s="1">
        <v>120</v>
      </c>
      <c r="E1518" s="1">
        <v>25</v>
      </c>
      <c r="F1518" s="1">
        <v>7</v>
      </c>
      <c r="G1518" s="1">
        <v>25</v>
      </c>
      <c r="H1518" s="1">
        <v>150</v>
      </c>
      <c r="I1518" s="1">
        <v>100</v>
      </c>
      <c r="J1518" s="1">
        <v>3.0019999999999998</v>
      </c>
      <c r="K1518" s="1">
        <v>18.997</v>
      </c>
      <c r="L1518" s="1">
        <v>24.01</v>
      </c>
      <c r="M1518" s="1">
        <v>95.9</v>
      </c>
      <c r="N1518" s="1">
        <v>2.7490000000000001E-2</v>
      </c>
      <c r="O1518" s="1">
        <v>2.7740000000000002E-4</v>
      </c>
      <c r="P15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0.27273683966759737</v>
      </c>
      <c r="Q1518" s="1">
        <f>LN(Table13[[#This Row],[qe_mg_g]]-Table13[[#This Row],[qt]])</f>
        <v>1.00403166812591</v>
      </c>
      <c r="R1518" s="1">
        <v>2</v>
      </c>
    </row>
    <row r="1519" spans="1:18" hidden="1" x14ac:dyDescent="0.3">
      <c r="A1519" s="1">
        <v>1518</v>
      </c>
      <c r="B1519" s="1" t="s">
        <v>18</v>
      </c>
      <c r="C1519" s="1">
        <v>2</v>
      </c>
      <c r="D1519" s="1">
        <v>120</v>
      </c>
      <c r="E1519" s="1">
        <v>25</v>
      </c>
      <c r="F1519" s="1">
        <v>7</v>
      </c>
      <c r="G1519" s="1">
        <v>25</v>
      </c>
      <c r="H1519" s="1">
        <v>150</v>
      </c>
      <c r="I1519" s="1">
        <v>100</v>
      </c>
      <c r="J1519" s="1">
        <v>3.1840000000000002</v>
      </c>
      <c r="K1519" s="1">
        <v>18.631</v>
      </c>
      <c r="L1519" s="1">
        <v>25.47</v>
      </c>
      <c r="M1519" s="1">
        <v>92.5</v>
      </c>
      <c r="N1519" s="1">
        <v>3.1730000000000001E-2</v>
      </c>
      <c r="O1519" s="1">
        <v>2.1230000000000001E-4</v>
      </c>
      <c r="P15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0.238893993647214</v>
      </c>
      <c r="Q1519" s="1">
        <f>LN(Table13[[#This Row],[qe_mg_g]]-Table13[[#This Row],[qt]])</f>
        <v>1.0801448118217041</v>
      </c>
      <c r="R1519" s="1">
        <v>3</v>
      </c>
    </row>
    <row r="1520" spans="1:18" hidden="1" x14ac:dyDescent="0.3">
      <c r="A1520" s="1">
        <v>1519</v>
      </c>
      <c r="B1520" s="1" t="s">
        <v>18</v>
      </c>
      <c r="C1520" s="1">
        <v>2</v>
      </c>
      <c r="D1520" s="1">
        <v>120</v>
      </c>
      <c r="E1520" s="1">
        <v>25</v>
      </c>
      <c r="F1520" s="1">
        <v>11</v>
      </c>
      <c r="G1520" s="1">
        <v>25</v>
      </c>
      <c r="H1520" s="1">
        <v>150</v>
      </c>
      <c r="I1520" s="1">
        <v>100</v>
      </c>
      <c r="J1520" s="1">
        <v>2.258</v>
      </c>
      <c r="K1520" s="1">
        <v>20.483000000000001</v>
      </c>
      <c r="L1520" s="1">
        <v>18.07</v>
      </c>
      <c r="M1520" s="1">
        <v>106.8</v>
      </c>
      <c r="N1520" s="1">
        <v>3.5119999999999998E-2</v>
      </c>
      <c r="O1520" s="1">
        <v>2.307E-4</v>
      </c>
      <c r="P15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0.13284447494461965</v>
      </c>
      <c r="Q1520" s="1">
        <f>LN(Table13[[#This Row],[qe_mg_g]]-Table13[[#This Row],[qt]])</f>
        <v>0.75384498795960553</v>
      </c>
      <c r="R1520" s="1">
        <v>1</v>
      </c>
    </row>
    <row r="1521" spans="1:18" hidden="1" x14ac:dyDescent="0.3">
      <c r="A1521" s="1">
        <v>1520</v>
      </c>
      <c r="B1521" s="1" t="s">
        <v>18</v>
      </c>
      <c r="C1521" s="1">
        <v>2</v>
      </c>
      <c r="D1521" s="1">
        <v>120</v>
      </c>
      <c r="E1521" s="1">
        <v>25</v>
      </c>
      <c r="F1521" s="1">
        <v>11</v>
      </c>
      <c r="G1521" s="1">
        <v>25</v>
      </c>
      <c r="H1521" s="1">
        <v>150</v>
      </c>
      <c r="I1521" s="1">
        <v>100</v>
      </c>
      <c r="J1521" s="1">
        <v>1.966</v>
      </c>
      <c r="K1521" s="1">
        <v>21.068999999999999</v>
      </c>
      <c r="L1521" s="1">
        <v>15.73</v>
      </c>
      <c r="M1521" s="1">
        <v>86.6</v>
      </c>
      <c r="N1521" s="1">
        <v>2.5989999999999999E-2</v>
      </c>
      <c r="O1521" s="1">
        <v>2.834E-4</v>
      </c>
      <c r="P15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0.12320853604101925</v>
      </c>
      <c r="Q1521" s="1">
        <f>LN(Table13[[#This Row],[qe_mg_g]]-Table13[[#This Row],[qt]])</f>
        <v>0.61128152196502239</v>
      </c>
      <c r="R1521" s="1">
        <v>2</v>
      </c>
    </row>
    <row r="1522" spans="1:18" hidden="1" x14ac:dyDescent="0.3">
      <c r="A1522" s="1">
        <v>1521</v>
      </c>
      <c r="B1522" s="1" t="s">
        <v>18</v>
      </c>
      <c r="C1522" s="1">
        <v>2</v>
      </c>
      <c r="D1522" s="1">
        <v>120</v>
      </c>
      <c r="E1522" s="1">
        <v>25</v>
      </c>
      <c r="F1522" s="1">
        <v>11</v>
      </c>
      <c r="G1522" s="1">
        <v>25</v>
      </c>
      <c r="H1522" s="1">
        <v>150</v>
      </c>
      <c r="I1522" s="1">
        <v>100</v>
      </c>
      <c r="J1522" s="1">
        <v>2.5310000000000001</v>
      </c>
      <c r="K1522" s="1">
        <v>19.937999999999999</v>
      </c>
      <c r="L1522" s="1">
        <v>20.25</v>
      </c>
      <c r="M1522" s="1">
        <v>104.8</v>
      </c>
      <c r="N1522" s="1">
        <v>3.3660000000000002E-2</v>
      </c>
      <c r="O1522" s="1">
        <v>2.5329999999999998E-4</v>
      </c>
      <c r="P15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0.18080578964465913</v>
      </c>
      <c r="Q1522" s="1">
        <f>LN(Table13[[#This Row],[qe_mg_g]]-Table13[[#This Row],[qt]])</f>
        <v>0.8544979674457478</v>
      </c>
      <c r="R1522" s="1">
        <v>3</v>
      </c>
    </row>
    <row r="1523" spans="1:18" hidden="1" x14ac:dyDescent="0.3">
      <c r="A1523" s="1">
        <v>1522</v>
      </c>
      <c r="B1523" s="1" t="s">
        <v>18</v>
      </c>
      <c r="C1523" s="1">
        <v>2</v>
      </c>
      <c r="D1523" s="1">
        <v>120</v>
      </c>
      <c r="E1523" s="1">
        <v>50</v>
      </c>
      <c r="F1523" s="1">
        <v>3</v>
      </c>
      <c r="G1523" s="1">
        <v>25</v>
      </c>
      <c r="H1523" s="1">
        <v>150</v>
      </c>
      <c r="I1523" s="1">
        <v>100</v>
      </c>
      <c r="J1523" s="1">
        <v>5.7640000000000002</v>
      </c>
      <c r="K1523" s="1">
        <v>38.472999999999999</v>
      </c>
      <c r="L1523" s="1">
        <v>23.05</v>
      </c>
      <c r="M1523" s="1">
        <v>95</v>
      </c>
      <c r="N1523" s="1">
        <v>2.9069999999999999E-2</v>
      </c>
      <c r="O1523" s="1">
        <v>2.1130000000000001E-4</v>
      </c>
      <c r="P15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0.73499854080085081</v>
      </c>
      <c r="Q1523" s="1">
        <f>LN(Table13[[#This Row],[qe_mg_g]]-Table13[[#This Row],[qt]])</f>
        <v>1.6152214473467053</v>
      </c>
      <c r="R1523" s="1">
        <v>1</v>
      </c>
    </row>
    <row r="1524" spans="1:18" hidden="1" x14ac:dyDescent="0.3">
      <c r="A1524" s="1">
        <v>1523</v>
      </c>
      <c r="B1524" s="1" t="s">
        <v>18</v>
      </c>
      <c r="C1524" s="1">
        <v>2</v>
      </c>
      <c r="D1524" s="1">
        <v>120</v>
      </c>
      <c r="E1524" s="1">
        <v>50</v>
      </c>
      <c r="F1524" s="1">
        <v>3</v>
      </c>
      <c r="G1524" s="1">
        <v>25</v>
      </c>
      <c r="H1524" s="1">
        <v>150</v>
      </c>
      <c r="I1524" s="1">
        <v>100</v>
      </c>
      <c r="J1524" s="1">
        <v>5.952</v>
      </c>
      <c r="K1524" s="1">
        <v>38.097000000000001</v>
      </c>
      <c r="L1524" s="1">
        <v>23.81</v>
      </c>
      <c r="M1524" s="1">
        <v>99.4</v>
      </c>
      <c r="N1524" s="1">
        <v>3.2239999999999998E-2</v>
      </c>
      <c r="O1524" s="1">
        <v>2.5230000000000001E-4</v>
      </c>
      <c r="P15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0.908798745034616</v>
      </c>
      <c r="Q1524" s="1">
        <f>LN(Table13[[#This Row],[qe_mg_g]]-Table13[[#This Row],[qt]])</f>
        <v>1.6180410500844098</v>
      </c>
      <c r="R1524" s="1">
        <v>2</v>
      </c>
    </row>
    <row r="1525" spans="1:18" hidden="1" x14ac:dyDescent="0.3">
      <c r="A1525" s="1">
        <v>1524</v>
      </c>
      <c r="B1525" s="1" t="s">
        <v>18</v>
      </c>
      <c r="C1525" s="1">
        <v>2</v>
      </c>
      <c r="D1525" s="1">
        <v>120</v>
      </c>
      <c r="E1525" s="1">
        <v>50</v>
      </c>
      <c r="F1525" s="1">
        <v>3</v>
      </c>
      <c r="G1525" s="1">
        <v>25</v>
      </c>
      <c r="H1525" s="1">
        <v>150</v>
      </c>
      <c r="I1525" s="1">
        <v>100</v>
      </c>
      <c r="J1525" s="1">
        <v>5.7279999999999998</v>
      </c>
      <c r="K1525" s="1">
        <v>38.543999999999997</v>
      </c>
      <c r="L1525" s="1">
        <v>22.91</v>
      </c>
      <c r="M1525" s="1">
        <v>86.9</v>
      </c>
      <c r="N1525" s="1">
        <v>3.022E-2</v>
      </c>
      <c r="O1525" s="1">
        <v>2.6850000000000002E-4</v>
      </c>
      <c r="P15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0.89243357147372404</v>
      </c>
      <c r="Q1525" s="1">
        <f>LN(Table13[[#This Row],[qe_mg_g]]-Table13[[#This Row],[qt]])</f>
        <v>1.5759982737552745</v>
      </c>
      <c r="R1525" s="1">
        <v>3</v>
      </c>
    </row>
    <row r="1526" spans="1:18" hidden="1" x14ac:dyDescent="0.3">
      <c r="A1526" s="1">
        <v>1525</v>
      </c>
      <c r="B1526" s="1" t="s">
        <v>18</v>
      </c>
      <c r="C1526" s="1">
        <v>2</v>
      </c>
      <c r="D1526" s="1">
        <v>120</v>
      </c>
      <c r="E1526" s="1">
        <v>50</v>
      </c>
      <c r="F1526" s="1">
        <v>7</v>
      </c>
      <c r="G1526" s="1">
        <v>25</v>
      </c>
      <c r="H1526" s="1">
        <v>150</v>
      </c>
      <c r="I1526" s="1">
        <v>100</v>
      </c>
      <c r="J1526" s="1">
        <v>8.3130000000000006</v>
      </c>
      <c r="K1526" s="1">
        <v>33.372999999999998</v>
      </c>
      <c r="L1526" s="1">
        <v>33.25</v>
      </c>
      <c r="M1526" s="1">
        <v>101.3</v>
      </c>
      <c r="N1526" s="1">
        <v>3.0700000000000002E-2</v>
      </c>
      <c r="O1526" s="1">
        <v>2.32E-4</v>
      </c>
      <c r="P15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1.5623332650768631</v>
      </c>
      <c r="Q1526" s="1">
        <f>LN(Table13[[#This Row],[qe_mg_g]]-Table13[[#This Row],[qt]])</f>
        <v>1.909641275550624</v>
      </c>
      <c r="R1526" s="1">
        <v>1</v>
      </c>
    </row>
    <row r="1527" spans="1:18" hidden="1" x14ac:dyDescent="0.3">
      <c r="A1527" s="1">
        <v>1526</v>
      </c>
      <c r="B1527" s="1" t="s">
        <v>18</v>
      </c>
      <c r="C1527" s="1">
        <v>2</v>
      </c>
      <c r="D1527" s="1">
        <v>120</v>
      </c>
      <c r="E1527" s="1">
        <v>50</v>
      </c>
      <c r="F1527" s="1">
        <v>7</v>
      </c>
      <c r="G1527" s="1">
        <v>25</v>
      </c>
      <c r="H1527" s="1">
        <v>150</v>
      </c>
      <c r="I1527" s="1">
        <v>100</v>
      </c>
      <c r="J1527" s="1">
        <v>8.7769999999999992</v>
      </c>
      <c r="K1527" s="1">
        <v>32.447000000000003</v>
      </c>
      <c r="L1527" s="1">
        <v>35.11</v>
      </c>
      <c r="M1527" s="1">
        <v>103.5</v>
      </c>
      <c r="N1527" s="1">
        <v>2.6599999999999999E-2</v>
      </c>
      <c r="O1527" s="1">
        <v>2.587E-4</v>
      </c>
      <c r="P15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1.8794086929523575</v>
      </c>
      <c r="Q1527" s="1">
        <f>LN(Table13[[#This Row],[qe_mg_g]]-Table13[[#This Row],[qt]])</f>
        <v>1.9311722647234106</v>
      </c>
      <c r="R1527" s="1">
        <v>2</v>
      </c>
    </row>
    <row r="1528" spans="1:18" hidden="1" x14ac:dyDescent="0.3">
      <c r="A1528" s="1">
        <v>1527</v>
      </c>
      <c r="B1528" s="1" t="s">
        <v>18</v>
      </c>
      <c r="C1528" s="1">
        <v>2</v>
      </c>
      <c r="D1528" s="1">
        <v>120</v>
      </c>
      <c r="E1528" s="1">
        <v>50</v>
      </c>
      <c r="F1528" s="1">
        <v>7</v>
      </c>
      <c r="G1528" s="1">
        <v>25</v>
      </c>
      <c r="H1528" s="1">
        <v>150</v>
      </c>
      <c r="I1528" s="1">
        <v>100</v>
      </c>
      <c r="J1528" s="1">
        <v>8.52</v>
      </c>
      <c r="K1528" s="1">
        <v>32.96</v>
      </c>
      <c r="L1528" s="1">
        <v>34.08</v>
      </c>
      <c r="M1528" s="1">
        <v>115.9</v>
      </c>
      <c r="N1528" s="1">
        <v>3.7010000000000001E-2</v>
      </c>
      <c r="O1528" s="1">
        <v>2.285E-4</v>
      </c>
      <c r="P15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1.6134882294232962</v>
      </c>
      <c r="Q1528" s="1">
        <f>LN(Table13[[#This Row],[qe_mg_g]]-Table13[[#This Row],[qt]])</f>
        <v>1.9324647014316301</v>
      </c>
      <c r="R1528" s="1">
        <v>3</v>
      </c>
    </row>
    <row r="1529" spans="1:18" hidden="1" x14ac:dyDescent="0.3">
      <c r="A1529" s="1">
        <v>1528</v>
      </c>
      <c r="B1529" s="1" t="s">
        <v>18</v>
      </c>
      <c r="C1529" s="1">
        <v>2</v>
      </c>
      <c r="D1529" s="1">
        <v>120</v>
      </c>
      <c r="E1529" s="1">
        <v>50</v>
      </c>
      <c r="F1529" s="1">
        <v>11</v>
      </c>
      <c r="G1529" s="1">
        <v>25</v>
      </c>
      <c r="H1529" s="1">
        <v>150</v>
      </c>
      <c r="I1529" s="1">
        <v>100</v>
      </c>
      <c r="J1529" s="1">
        <v>7.4809999999999999</v>
      </c>
      <c r="K1529" s="1">
        <v>35.037999999999997</v>
      </c>
      <c r="L1529" s="1">
        <v>29.92</v>
      </c>
      <c r="M1529" s="1">
        <v>89.1</v>
      </c>
      <c r="N1529" s="1">
        <v>3.3119999999999997E-2</v>
      </c>
      <c r="O1529" s="1">
        <v>2.184E-4</v>
      </c>
      <c r="P15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1.2263077685146984</v>
      </c>
      <c r="Q1529" s="1">
        <f>LN(Table13[[#This Row],[qe_mg_g]]-Table13[[#This Row],[qt]])</f>
        <v>1.8333319391088654</v>
      </c>
      <c r="R1529" s="1">
        <v>1</v>
      </c>
    </row>
    <row r="1530" spans="1:18" hidden="1" x14ac:dyDescent="0.3">
      <c r="A1530" s="1">
        <v>1529</v>
      </c>
      <c r="B1530" s="1" t="s">
        <v>18</v>
      </c>
      <c r="C1530" s="1">
        <v>2</v>
      </c>
      <c r="D1530" s="1">
        <v>120</v>
      </c>
      <c r="E1530" s="1">
        <v>50</v>
      </c>
      <c r="F1530" s="1">
        <v>11</v>
      </c>
      <c r="G1530" s="1">
        <v>25</v>
      </c>
      <c r="H1530" s="1">
        <v>150</v>
      </c>
      <c r="I1530" s="1">
        <v>100</v>
      </c>
      <c r="J1530" s="1">
        <v>7.4470000000000001</v>
      </c>
      <c r="K1530" s="1">
        <v>35.106999999999999</v>
      </c>
      <c r="L1530" s="1">
        <v>29.79</v>
      </c>
      <c r="M1530" s="1">
        <v>86.9</v>
      </c>
      <c r="N1530" s="1">
        <v>2.938E-2</v>
      </c>
      <c r="O1530" s="1">
        <v>2.242E-4</v>
      </c>
      <c r="P15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1.2429973024226497</v>
      </c>
      <c r="Q1530" s="1">
        <f>LN(Table13[[#This Row],[qe_mg_g]]-Table13[[#This Row],[qt]])</f>
        <v>1.8251946801267946</v>
      </c>
      <c r="R1530" s="1">
        <v>2</v>
      </c>
    </row>
    <row r="1531" spans="1:18" hidden="1" x14ac:dyDescent="0.3">
      <c r="A1531" s="1">
        <v>1530</v>
      </c>
      <c r="B1531" s="1" t="s">
        <v>18</v>
      </c>
      <c r="C1531" s="1">
        <v>2</v>
      </c>
      <c r="D1531" s="1">
        <v>120</v>
      </c>
      <c r="E1531" s="1">
        <v>50</v>
      </c>
      <c r="F1531" s="1">
        <v>11</v>
      </c>
      <c r="G1531" s="1">
        <v>25</v>
      </c>
      <c r="H1531" s="1">
        <v>150</v>
      </c>
      <c r="I1531" s="1">
        <v>100</v>
      </c>
      <c r="J1531" s="1">
        <v>7.6660000000000004</v>
      </c>
      <c r="K1531" s="1">
        <v>34.667999999999999</v>
      </c>
      <c r="L1531" s="1">
        <v>30.66</v>
      </c>
      <c r="M1531" s="1">
        <v>87.4</v>
      </c>
      <c r="N1531" s="1">
        <v>3.1660000000000001E-2</v>
      </c>
      <c r="O1531" s="1">
        <v>2.4140000000000001E-4</v>
      </c>
      <c r="P15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1.3930301781924064</v>
      </c>
      <c r="Q1531" s="1">
        <f>LN(Table13[[#This Row],[qe_mg_g]]-Table13[[#This Row],[qt]])</f>
        <v>1.8362498982960191</v>
      </c>
      <c r="R1531" s="1">
        <v>3</v>
      </c>
    </row>
    <row r="1532" spans="1:18" hidden="1" x14ac:dyDescent="0.3">
      <c r="A1532" s="1">
        <v>1531</v>
      </c>
      <c r="B1532" s="1" t="s">
        <v>18</v>
      </c>
      <c r="C1532" s="1">
        <v>2</v>
      </c>
      <c r="D1532" s="1">
        <v>120</v>
      </c>
      <c r="E1532" s="1">
        <v>100</v>
      </c>
      <c r="F1532" s="1">
        <v>3</v>
      </c>
      <c r="G1532" s="1">
        <v>25</v>
      </c>
      <c r="H1532" s="1">
        <v>150</v>
      </c>
      <c r="I1532" s="1">
        <v>100</v>
      </c>
      <c r="J1532" s="1">
        <v>16.638999999999999</v>
      </c>
      <c r="K1532" s="1">
        <v>66.721999999999994</v>
      </c>
      <c r="L1532" s="1">
        <v>33.28</v>
      </c>
      <c r="M1532" s="1">
        <v>102.2</v>
      </c>
      <c r="N1532" s="1">
        <v>2.7709999999999999E-2</v>
      </c>
      <c r="O1532" s="1">
        <v>2.5530000000000003E-4</v>
      </c>
      <c r="P15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5.6179875770914824</v>
      </c>
      <c r="Q1532" s="1">
        <f>LN(Table13[[#This Row],[qe_mg_g]]-Table13[[#This Row],[qt]])</f>
        <v>2.3998036709121555</v>
      </c>
      <c r="R1532" s="1">
        <v>1</v>
      </c>
    </row>
    <row r="1533" spans="1:18" hidden="1" x14ac:dyDescent="0.3">
      <c r="A1533" s="1">
        <v>1532</v>
      </c>
      <c r="B1533" s="1" t="s">
        <v>18</v>
      </c>
      <c r="C1533" s="1">
        <v>2</v>
      </c>
      <c r="D1533" s="1">
        <v>120</v>
      </c>
      <c r="E1533" s="1">
        <v>100</v>
      </c>
      <c r="F1533" s="1">
        <v>3</v>
      </c>
      <c r="G1533" s="1">
        <v>25</v>
      </c>
      <c r="H1533" s="1">
        <v>150</v>
      </c>
      <c r="I1533" s="1">
        <v>100</v>
      </c>
      <c r="J1533" s="1">
        <v>19.126999999999999</v>
      </c>
      <c r="K1533" s="1">
        <v>61.744999999999997</v>
      </c>
      <c r="L1533" s="1">
        <v>38.25</v>
      </c>
      <c r="M1533" s="1">
        <v>88.3</v>
      </c>
      <c r="N1533" s="1">
        <v>3.3520000000000001E-2</v>
      </c>
      <c r="O1533" s="1">
        <v>2.875E-4</v>
      </c>
      <c r="P15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7.6038882597944486</v>
      </c>
      <c r="Q1533" s="1">
        <f>LN(Table13[[#This Row],[qe_mg_g]]-Table13[[#This Row],[qt]])</f>
        <v>2.4443547351301826</v>
      </c>
      <c r="R1533" s="1">
        <v>2</v>
      </c>
    </row>
    <row r="1534" spans="1:18" hidden="1" x14ac:dyDescent="0.3">
      <c r="A1534" s="1">
        <v>1533</v>
      </c>
      <c r="B1534" s="1" t="s">
        <v>18</v>
      </c>
      <c r="C1534" s="1">
        <v>2</v>
      </c>
      <c r="D1534" s="1">
        <v>120</v>
      </c>
      <c r="E1534" s="1">
        <v>100</v>
      </c>
      <c r="F1534" s="1">
        <v>3</v>
      </c>
      <c r="G1534" s="1">
        <v>25</v>
      </c>
      <c r="H1534" s="1">
        <v>150</v>
      </c>
      <c r="I1534" s="1">
        <v>100</v>
      </c>
      <c r="J1534" s="1">
        <v>15.577</v>
      </c>
      <c r="K1534" s="1">
        <v>68.846000000000004</v>
      </c>
      <c r="L1534" s="1">
        <v>31.15</v>
      </c>
      <c r="M1534" s="1">
        <v>78.2</v>
      </c>
      <c r="N1534" s="1">
        <v>3.091E-2</v>
      </c>
      <c r="O1534" s="1">
        <v>2.363E-4</v>
      </c>
      <c r="P15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4.7724049081558366</v>
      </c>
      <c r="Q1534" s="1">
        <f>LN(Table13[[#This Row],[qe_mg_g]]-Table13[[#This Row],[qt]])</f>
        <v>2.379971515109907</v>
      </c>
      <c r="R1534" s="1">
        <v>3</v>
      </c>
    </row>
    <row r="1535" spans="1:18" hidden="1" x14ac:dyDescent="0.3">
      <c r="A1535" s="1">
        <v>1534</v>
      </c>
      <c r="B1535" s="1" t="s">
        <v>18</v>
      </c>
      <c r="C1535" s="1">
        <v>2</v>
      </c>
      <c r="D1535" s="1">
        <v>120</v>
      </c>
      <c r="E1535" s="1">
        <v>100</v>
      </c>
      <c r="F1535" s="1">
        <v>7</v>
      </c>
      <c r="G1535" s="1">
        <v>25</v>
      </c>
      <c r="H1535" s="1">
        <v>150</v>
      </c>
      <c r="I1535" s="1">
        <v>100</v>
      </c>
      <c r="J1535" s="1">
        <v>29.849</v>
      </c>
      <c r="K1535" s="1">
        <v>40.302999999999997</v>
      </c>
      <c r="L1535" s="1">
        <v>59.7</v>
      </c>
      <c r="M1535" s="1">
        <v>100.5</v>
      </c>
      <c r="N1535" s="1">
        <v>2.759E-2</v>
      </c>
      <c r="O1535" s="1">
        <v>2.2130000000000001E-4</v>
      </c>
      <c r="P15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13.198417758218536</v>
      </c>
      <c r="Q1535" s="1">
        <f>LN(Table13[[#This Row],[qe_mg_g]]-Table13[[#This Row],[qt]])</f>
        <v>2.812445185291399</v>
      </c>
      <c r="R1535" s="1">
        <v>1</v>
      </c>
    </row>
    <row r="1536" spans="1:18" hidden="1" x14ac:dyDescent="0.3">
      <c r="A1536" s="1">
        <v>1535</v>
      </c>
      <c r="B1536" s="1" t="s">
        <v>18</v>
      </c>
      <c r="C1536" s="1">
        <v>2</v>
      </c>
      <c r="D1536" s="1">
        <v>120</v>
      </c>
      <c r="E1536" s="1">
        <v>100</v>
      </c>
      <c r="F1536" s="1">
        <v>7</v>
      </c>
      <c r="G1536" s="1">
        <v>25</v>
      </c>
      <c r="H1536" s="1">
        <v>150</v>
      </c>
      <c r="I1536" s="1">
        <v>100</v>
      </c>
      <c r="J1536" s="1">
        <v>28.058</v>
      </c>
      <c r="K1536" s="1">
        <v>43.884</v>
      </c>
      <c r="L1536" s="1">
        <v>56.12</v>
      </c>
      <c r="M1536" s="1">
        <v>91.4</v>
      </c>
      <c r="N1536" s="1">
        <v>3.0130000000000001E-2</v>
      </c>
      <c r="O1536" s="1">
        <v>2.7389999999999999E-4</v>
      </c>
      <c r="P15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13.461262401755134</v>
      </c>
      <c r="Q1536" s="1">
        <f>LN(Table13[[#This Row],[qe_mg_g]]-Table13[[#This Row],[qt]])</f>
        <v>2.6807980515701249</v>
      </c>
      <c r="R1536" s="1">
        <v>2</v>
      </c>
    </row>
    <row r="1537" spans="1:18" hidden="1" x14ac:dyDescent="0.3">
      <c r="A1537" s="1">
        <v>1536</v>
      </c>
      <c r="B1537" s="1" t="s">
        <v>18</v>
      </c>
      <c r="C1537" s="1">
        <v>2</v>
      </c>
      <c r="D1537" s="1">
        <v>120</v>
      </c>
      <c r="E1537" s="1">
        <v>100</v>
      </c>
      <c r="F1537" s="1">
        <v>7</v>
      </c>
      <c r="G1537" s="1">
        <v>25</v>
      </c>
      <c r="H1537" s="1">
        <v>150</v>
      </c>
      <c r="I1537" s="1">
        <v>100</v>
      </c>
      <c r="J1537" s="1">
        <v>24.437999999999999</v>
      </c>
      <c r="K1537" s="1">
        <v>51.124000000000002</v>
      </c>
      <c r="L1537" s="1">
        <v>48.88</v>
      </c>
      <c r="M1537" s="1">
        <v>99.3</v>
      </c>
      <c r="N1537" s="1">
        <v>2.9950000000000001E-2</v>
      </c>
      <c r="O1537" s="1">
        <v>2.6709999999999999E-4</v>
      </c>
      <c r="P15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10.734090831326839</v>
      </c>
      <c r="Q1537" s="1">
        <f>LN(Table13[[#This Row],[qe_mg_g]]-Table13[[#This Row],[qt]])</f>
        <v>2.6176811329112044</v>
      </c>
      <c r="R1537" s="1">
        <v>3</v>
      </c>
    </row>
    <row r="1538" spans="1:18" hidden="1" x14ac:dyDescent="0.3">
      <c r="A1538" s="1">
        <v>1537</v>
      </c>
      <c r="B1538" s="1" t="s">
        <v>18</v>
      </c>
      <c r="C1538" s="1">
        <v>2</v>
      </c>
      <c r="D1538" s="1">
        <v>120</v>
      </c>
      <c r="E1538" s="1">
        <v>100</v>
      </c>
      <c r="F1538" s="1">
        <v>11</v>
      </c>
      <c r="G1538" s="1">
        <v>25</v>
      </c>
      <c r="H1538" s="1">
        <v>150</v>
      </c>
      <c r="I1538" s="1">
        <v>100</v>
      </c>
      <c r="J1538" s="1">
        <v>21.295999999999999</v>
      </c>
      <c r="K1538" s="1">
        <v>57.406999999999996</v>
      </c>
      <c r="L1538" s="1">
        <v>42.59</v>
      </c>
      <c r="M1538" s="1">
        <v>96.7</v>
      </c>
      <c r="N1538" s="1">
        <v>3.0190000000000002E-2</v>
      </c>
      <c r="O1538" s="1">
        <v>2.407E-4</v>
      </c>
      <c r="P15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8.110550285421894</v>
      </c>
      <c r="Q1538" s="1">
        <f>LN(Table13[[#This Row],[qe_mg_g]]-Table13[[#This Row],[qt]])</f>
        <v>2.5791139272689465</v>
      </c>
      <c r="R1538" s="1">
        <v>1</v>
      </c>
    </row>
    <row r="1539" spans="1:18" hidden="1" x14ac:dyDescent="0.3">
      <c r="A1539" s="1">
        <v>1538</v>
      </c>
      <c r="B1539" s="1" t="s">
        <v>18</v>
      </c>
      <c r="C1539" s="1">
        <v>2</v>
      </c>
      <c r="D1539" s="1">
        <v>120</v>
      </c>
      <c r="E1539" s="1">
        <v>100</v>
      </c>
      <c r="F1539" s="1">
        <v>11</v>
      </c>
      <c r="G1539" s="1">
        <v>25</v>
      </c>
      <c r="H1539" s="1">
        <v>150</v>
      </c>
      <c r="I1539" s="1">
        <v>100</v>
      </c>
      <c r="J1539" s="1">
        <v>17.532</v>
      </c>
      <c r="K1539" s="1">
        <v>64.936000000000007</v>
      </c>
      <c r="L1539" s="1">
        <v>35.06</v>
      </c>
      <c r="M1539" s="1">
        <v>103.9</v>
      </c>
      <c r="N1539" s="1">
        <v>3.5680000000000003E-2</v>
      </c>
      <c r="O1539" s="1">
        <v>2.2790000000000001E-4</v>
      </c>
      <c r="P15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5.6817714455097512</v>
      </c>
      <c r="Q1539" s="1">
        <f>LN(Table13[[#This Row],[qe_mg_g]]-Table13[[#This Row],[qt]])</f>
        <v>2.4723471546938978</v>
      </c>
      <c r="R1539" s="1">
        <v>2</v>
      </c>
    </row>
    <row r="1540" spans="1:18" hidden="1" x14ac:dyDescent="0.3">
      <c r="A1540" s="1">
        <v>1539</v>
      </c>
      <c r="B1540" s="1" t="s">
        <v>18</v>
      </c>
      <c r="C1540" s="1">
        <v>2</v>
      </c>
      <c r="D1540" s="1">
        <v>120</v>
      </c>
      <c r="E1540" s="1">
        <v>100</v>
      </c>
      <c r="F1540" s="1">
        <v>11</v>
      </c>
      <c r="G1540" s="1">
        <v>25</v>
      </c>
      <c r="H1540" s="1">
        <v>150</v>
      </c>
      <c r="I1540" s="1">
        <v>100</v>
      </c>
      <c r="J1540" s="1">
        <v>18.814</v>
      </c>
      <c r="K1540" s="1">
        <v>62.371000000000002</v>
      </c>
      <c r="L1540" s="1">
        <v>37.630000000000003</v>
      </c>
      <c r="M1540" s="1">
        <v>86.9</v>
      </c>
      <c r="N1540" s="1">
        <v>3.2169999999999997E-2</v>
      </c>
      <c r="O1540" s="1">
        <v>2.6120000000000001E-4</v>
      </c>
      <c r="P15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6.9791073779417587</v>
      </c>
      <c r="Q1540" s="1">
        <f>LN(Table13[[#This Row],[qe_mg_g]]-Table13[[#This Row],[qt]])</f>
        <v>2.471052170010402</v>
      </c>
      <c r="R1540" s="1">
        <v>3</v>
      </c>
    </row>
    <row r="1541" spans="1:18" hidden="1" x14ac:dyDescent="0.3">
      <c r="A1541" s="1">
        <v>1540</v>
      </c>
      <c r="B1541" s="1" t="s">
        <v>18</v>
      </c>
      <c r="C1541" s="1">
        <v>2</v>
      </c>
      <c r="D1541" s="1">
        <v>120</v>
      </c>
      <c r="E1541" s="1">
        <v>200</v>
      </c>
      <c r="F1541" s="1">
        <v>3</v>
      </c>
      <c r="G1541" s="1">
        <v>25</v>
      </c>
      <c r="H1541" s="1">
        <v>150</v>
      </c>
      <c r="I1541" s="1">
        <v>100</v>
      </c>
      <c r="J1541" s="1">
        <v>39.338000000000001</v>
      </c>
      <c r="K1541" s="1">
        <v>121.32299999999999</v>
      </c>
      <c r="L1541" s="1">
        <v>39.340000000000003</v>
      </c>
      <c r="M1541" s="1">
        <v>86.2</v>
      </c>
      <c r="N1541" s="1">
        <v>3.0280000000000001E-2</v>
      </c>
      <c r="O1541" s="1">
        <v>2.109E-4</v>
      </c>
      <c r="P15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19.625297964648134</v>
      </c>
      <c r="Q1541" s="1">
        <f>LN(Table13[[#This Row],[qe_mg_g]]-Table13[[#This Row],[qt]])</f>
        <v>2.9812632013350178</v>
      </c>
      <c r="R1541" s="1">
        <v>1</v>
      </c>
    </row>
    <row r="1542" spans="1:18" hidden="1" x14ac:dyDescent="0.3">
      <c r="A1542" s="1">
        <v>1541</v>
      </c>
      <c r="B1542" s="1" t="s">
        <v>18</v>
      </c>
      <c r="C1542" s="1">
        <v>2</v>
      </c>
      <c r="D1542" s="1">
        <v>120</v>
      </c>
      <c r="E1542" s="1">
        <v>200</v>
      </c>
      <c r="F1542" s="1">
        <v>3</v>
      </c>
      <c r="G1542" s="1">
        <v>25</v>
      </c>
      <c r="H1542" s="1">
        <v>150</v>
      </c>
      <c r="I1542" s="1">
        <v>100</v>
      </c>
      <c r="J1542" s="1">
        <v>40.423000000000002</v>
      </c>
      <c r="K1542" s="1">
        <v>119.154</v>
      </c>
      <c r="L1542" s="1">
        <v>40.42</v>
      </c>
      <c r="M1542" s="1">
        <v>113.1</v>
      </c>
      <c r="N1542" s="1">
        <v>2.6249999999999999E-2</v>
      </c>
      <c r="O1542" s="1">
        <v>2.117E-4</v>
      </c>
      <c r="P15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20.479794861791241</v>
      </c>
      <c r="Q1542" s="1">
        <f>LN(Table13[[#This Row],[qe_mg_g]]-Table13[[#This Row],[qt]])</f>
        <v>2.9928884907443645</v>
      </c>
      <c r="R1542" s="1">
        <v>2</v>
      </c>
    </row>
    <row r="1543" spans="1:18" hidden="1" x14ac:dyDescent="0.3">
      <c r="A1543" s="1">
        <v>1542</v>
      </c>
      <c r="B1543" s="1" t="s">
        <v>18</v>
      </c>
      <c r="C1543" s="1">
        <v>2</v>
      </c>
      <c r="D1543" s="1">
        <v>120</v>
      </c>
      <c r="E1543" s="1">
        <v>200</v>
      </c>
      <c r="F1543" s="1">
        <v>3</v>
      </c>
      <c r="G1543" s="1">
        <v>25</v>
      </c>
      <c r="H1543" s="1">
        <v>150</v>
      </c>
      <c r="I1543" s="1">
        <v>100</v>
      </c>
      <c r="J1543" s="1">
        <v>45.581000000000003</v>
      </c>
      <c r="K1543" s="1">
        <v>108.839</v>
      </c>
      <c r="L1543" s="1">
        <v>45.58</v>
      </c>
      <c r="M1543" s="1">
        <v>90.8</v>
      </c>
      <c r="N1543" s="1">
        <v>3.3410000000000002E-2</v>
      </c>
      <c r="O1543" s="1">
        <v>2.4620000000000002E-4</v>
      </c>
      <c r="P15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26.157099598844145</v>
      </c>
      <c r="Q1543" s="1">
        <f>LN(Table13[[#This Row],[qe_mg_g]]-Table13[[#This Row],[qt]])</f>
        <v>2.9665042872463476</v>
      </c>
      <c r="R1543" s="1">
        <v>3</v>
      </c>
    </row>
    <row r="1544" spans="1:18" hidden="1" x14ac:dyDescent="0.3">
      <c r="A1544" s="1">
        <v>1543</v>
      </c>
      <c r="B1544" s="1" t="s">
        <v>18</v>
      </c>
      <c r="C1544" s="1">
        <v>2</v>
      </c>
      <c r="D1544" s="1">
        <v>120</v>
      </c>
      <c r="E1544" s="1">
        <v>200</v>
      </c>
      <c r="F1544" s="1">
        <v>7</v>
      </c>
      <c r="G1544" s="1">
        <v>25</v>
      </c>
      <c r="H1544" s="1">
        <v>150</v>
      </c>
      <c r="I1544" s="1">
        <v>100</v>
      </c>
      <c r="J1544" s="1">
        <v>57.363</v>
      </c>
      <c r="K1544" s="1">
        <v>85.274000000000001</v>
      </c>
      <c r="L1544" s="1">
        <v>57.36</v>
      </c>
      <c r="M1544" s="1">
        <v>106.6</v>
      </c>
      <c r="N1544" s="1">
        <v>2.7349999999999999E-2</v>
      </c>
      <c r="O1544" s="1">
        <v>2.5329999999999998E-4</v>
      </c>
      <c r="P15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36.455112617924144</v>
      </c>
      <c r="Q1544" s="1">
        <f>LN(Table13[[#This Row],[qe_mg_g]]-Table13[[#This Row],[qt]])</f>
        <v>3.0401264744805085</v>
      </c>
      <c r="R1544" s="1">
        <v>1</v>
      </c>
    </row>
    <row r="1545" spans="1:18" hidden="1" x14ac:dyDescent="0.3">
      <c r="A1545" s="1">
        <v>1544</v>
      </c>
      <c r="B1545" s="1" t="s">
        <v>18</v>
      </c>
      <c r="C1545" s="1">
        <v>2</v>
      </c>
      <c r="D1545" s="1">
        <v>120</v>
      </c>
      <c r="E1545" s="1">
        <v>200</v>
      </c>
      <c r="F1545" s="1">
        <v>7</v>
      </c>
      <c r="G1545" s="1">
        <v>25</v>
      </c>
      <c r="H1545" s="1">
        <v>150</v>
      </c>
      <c r="I1545" s="1">
        <v>100</v>
      </c>
      <c r="J1545" s="1">
        <v>56.213000000000001</v>
      </c>
      <c r="K1545" s="1">
        <v>87.575000000000003</v>
      </c>
      <c r="L1545" s="1">
        <v>56.21</v>
      </c>
      <c r="M1545" s="1">
        <v>80.2</v>
      </c>
      <c r="N1545" s="1">
        <v>3.1009999999999999E-2</v>
      </c>
      <c r="O1545" s="1">
        <v>2.4340000000000001E-4</v>
      </c>
      <c r="P15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34.935263090422737</v>
      </c>
      <c r="Q1545" s="1">
        <f>LN(Table13[[#This Row],[qe_mg_g]]-Table13[[#This Row],[qt]])</f>
        <v>3.0576613105839181</v>
      </c>
      <c r="R1545" s="1">
        <v>2</v>
      </c>
    </row>
    <row r="1546" spans="1:18" hidden="1" x14ac:dyDescent="0.3">
      <c r="A1546" s="1">
        <v>1545</v>
      </c>
      <c r="B1546" s="1" t="s">
        <v>18</v>
      </c>
      <c r="C1546" s="1">
        <v>2</v>
      </c>
      <c r="D1546" s="1">
        <v>120</v>
      </c>
      <c r="E1546" s="1">
        <v>200</v>
      </c>
      <c r="F1546" s="1">
        <v>7</v>
      </c>
      <c r="G1546" s="1">
        <v>25</v>
      </c>
      <c r="H1546" s="1">
        <v>150</v>
      </c>
      <c r="I1546" s="1">
        <v>100</v>
      </c>
      <c r="J1546" s="1">
        <v>57.389000000000003</v>
      </c>
      <c r="K1546" s="1">
        <v>85.222999999999999</v>
      </c>
      <c r="L1546" s="1">
        <v>57.39</v>
      </c>
      <c r="M1546" s="1">
        <v>81.8</v>
      </c>
      <c r="N1546" s="1">
        <v>3.4770000000000002E-2</v>
      </c>
      <c r="O1546" s="1">
        <v>2.719E-4</v>
      </c>
      <c r="P15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37.410154425648741</v>
      </c>
      <c r="Q1546" s="1">
        <f>LN(Table13[[#This Row],[qe_mg_g]]-Table13[[#This Row],[qt]])</f>
        <v>2.9946739924896346</v>
      </c>
      <c r="R1546" s="1">
        <v>3</v>
      </c>
    </row>
    <row r="1547" spans="1:18" hidden="1" x14ac:dyDescent="0.3">
      <c r="A1547" s="1">
        <v>1546</v>
      </c>
      <c r="B1547" s="1" t="s">
        <v>18</v>
      </c>
      <c r="C1547" s="1">
        <v>2</v>
      </c>
      <c r="D1547" s="1">
        <v>120</v>
      </c>
      <c r="E1547" s="1">
        <v>200</v>
      </c>
      <c r="F1547" s="1">
        <v>11</v>
      </c>
      <c r="G1547" s="1">
        <v>25</v>
      </c>
      <c r="H1547" s="1">
        <v>150</v>
      </c>
      <c r="I1547" s="1">
        <v>100</v>
      </c>
      <c r="J1547" s="1">
        <v>51.223999999999997</v>
      </c>
      <c r="K1547" s="1">
        <v>97.551000000000002</v>
      </c>
      <c r="L1547" s="1">
        <v>51.22</v>
      </c>
      <c r="M1547" s="1">
        <v>95.4</v>
      </c>
      <c r="N1547" s="1">
        <v>2.4809999999999999E-2</v>
      </c>
      <c r="O1547" s="1">
        <v>2.988E-4</v>
      </c>
      <c r="P15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33.166319838217618</v>
      </c>
      <c r="Q1547" s="1">
        <f>LN(Table13[[#This Row],[qe_mg_g]]-Table13[[#This Row],[qt]])</f>
        <v>2.8935710880096592</v>
      </c>
      <c r="R1547" s="1">
        <v>1</v>
      </c>
    </row>
    <row r="1548" spans="1:18" hidden="1" x14ac:dyDescent="0.3">
      <c r="A1548" s="1">
        <v>1547</v>
      </c>
      <c r="B1548" s="1" t="s">
        <v>18</v>
      </c>
      <c r="C1548" s="1">
        <v>2</v>
      </c>
      <c r="D1548" s="1">
        <v>120</v>
      </c>
      <c r="E1548" s="1">
        <v>200</v>
      </c>
      <c r="F1548" s="1">
        <v>11</v>
      </c>
      <c r="G1548" s="1">
        <v>25</v>
      </c>
      <c r="H1548" s="1">
        <v>150</v>
      </c>
      <c r="I1548" s="1">
        <v>100</v>
      </c>
      <c r="J1548" s="1">
        <v>46.875</v>
      </c>
      <c r="K1548" s="1">
        <v>106.25</v>
      </c>
      <c r="L1548" s="1">
        <v>46.88</v>
      </c>
      <c r="M1548" s="1">
        <v>88.8</v>
      </c>
      <c r="N1548" s="1">
        <v>3.125E-2</v>
      </c>
      <c r="O1548" s="1">
        <v>2.7920000000000001E-4</v>
      </c>
      <c r="P15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28.639248200739157</v>
      </c>
      <c r="Q1548" s="1">
        <f>LN(Table13[[#This Row],[qe_mg_g]]-Table13[[#This Row],[qt]])</f>
        <v>2.9033840517771523</v>
      </c>
      <c r="R1548" s="1">
        <v>2</v>
      </c>
    </row>
    <row r="1549" spans="1:18" hidden="1" x14ac:dyDescent="0.3">
      <c r="A1549" s="1">
        <v>1548</v>
      </c>
      <c r="B1549" s="1" t="s">
        <v>18</v>
      </c>
      <c r="C1549" s="1">
        <v>2</v>
      </c>
      <c r="D1549" s="1">
        <v>120</v>
      </c>
      <c r="E1549" s="1">
        <v>200</v>
      </c>
      <c r="F1549" s="1">
        <v>11</v>
      </c>
      <c r="G1549" s="1">
        <v>25</v>
      </c>
      <c r="H1549" s="1">
        <v>150</v>
      </c>
      <c r="I1549" s="1">
        <v>100</v>
      </c>
      <c r="J1549" s="1">
        <v>47.036999999999999</v>
      </c>
      <c r="K1549" s="1">
        <v>105.92700000000001</v>
      </c>
      <c r="L1549" s="1">
        <v>47.04</v>
      </c>
      <c r="M1549" s="1">
        <v>119.2</v>
      </c>
      <c r="N1549" s="1">
        <v>3.3250000000000002E-2</v>
      </c>
      <c r="O1549" s="1">
        <v>2.231E-4</v>
      </c>
      <c r="P15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26.21748529846592</v>
      </c>
      <c r="Q1549" s="1">
        <f>LN(Table13[[#This Row],[qe_mg_g]]-Table13[[#This Row],[qt]])</f>
        <v>3.0358907536708775</v>
      </c>
      <c r="R1549" s="1">
        <v>3</v>
      </c>
    </row>
    <row r="1550" spans="1:18" hidden="1" x14ac:dyDescent="0.3">
      <c r="A1550" s="1">
        <v>1549</v>
      </c>
      <c r="B1550" s="1" t="s">
        <v>18</v>
      </c>
      <c r="C1550" s="1">
        <v>2</v>
      </c>
      <c r="D1550" s="1">
        <v>240</v>
      </c>
      <c r="E1550" s="1">
        <v>25</v>
      </c>
      <c r="F1550" s="1">
        <v>3</v>
      </c>
      <c r="G1550" s="1">
        <v>25</v>
      </c>
      <c r="H1550" s="1">
        <v>150</v>
      </c>
      <c r="I1550" s="1">
        <v>100</v>
      </c>
      <c r="J1550" s="1">
        <v>2.76</v>
      </c>
      <c r="K1550" s="1">
        <v>19.48</v>
      </c>
      <c r="L1550" s="1">
        <v>22.08</v>
      </c>
      <c r="M1550" s="1">
        <v>114.4</v>
      </c>
      <c r="N1550" s="1">
        <v>2.1860000000000001E-2</v>
      </c>
      <c r="O1550" s="1">
        <v>2.4630000000000002E-4</v>
      </c>
      <c r="P15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0.38713142060409245</v>
      </c>
      <c r="Q1550" s="1">
        <f>LN(Table13[[#This Row],[qe_mg_g]]-Table13[[#This Row],[qt]])</f>
        <v>0.86409959429164984</v>
      </c>
      <c r="R1550" s="1">
        <v>1</v>
      </c>
    </row>
    <row r="1551" spans="1:18" hidden="1" x14ac:dyDescent="0.3">
      <c r="A1551" s="1">
        <v>1550</v>
      </c>
      <c r="B1551" s="1" t="s">
        <v>18</v>
      </c>
      <c r="C1551" s="1">
        <v>2</v>
      </c>
      <c r="D1551" s="1">
        <v>240</v>
      </c>
      <c r="E1551" s="1">
        <v>25</v>
      </c>
      <c r="F1551" s="1">
        <v>3</v>
      </c>
      <c r="G1551" s="1">
        <v>25</v>
      </c>
      <c r="H1551" s="1">
        <v>150</v>
      </c>
      <c r="I1551" s="1">
        <v>100</v>
      </c>
      <c r="J1551" s="1">
        <v>2.56</v>
      </c>
      <c r="K1551" s="1">
        <v>19.88</v>
      </c>
      <c r="L1551" s="1">
        <v>20.48</v>
      </c>
      <c r="M1551" s="1">
        <v>92.9</v>
      </c>
      <c r="N1551" s="1">
        <v>2.9100000000000001E-2</v>
      </c>
      <c r="O1551" s="1">
        <v>2.41E-4</v>
      </c>
      <c r="P15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0.33017158529651153</v>
      </c>
      <c r="Q1551" s="1">
        <f>LN(Table13[[#This Row],[qe_mg_g]]-Table13[[#This Row],[qt]])</f>
        <v>0.8019246384325267</v>
      </c>
      <c r="R1551" s="1">
        <v>2</v>
      </c>
    </row>
    <row r="1552" spans="1:18" hidden="1" x14ac:dyDescent="0.3">
      <c r="A1552" s="1">
        <v>1551</v>
      </c>
      <c r="B1552" s="1" t="s">
        <v>18</v>
      </c>
      <c r="C1552" s="1">
        <v>2</v>
      </c>
      <c r="D1552" s="1">
        <v>240</v>
      </c>
      <c r="E1552" s="1">
        <v>25</v>
      </c>
      <c r="F1552" s="1">
        <v>3</v>
      </c>
      <c r="G1552" s="1">
        <v>25</v>
      </c>
      <c r="H1552" s="1">
        <v>150</v>
      </c>
      <c r="I1552" s="1">
        <v>100</v>
      </c>
      <c r="J1552" s="1">
        <v>2.7919999999999998</v>
      </c>
      <c r="K1552" s="1">
        <v>19.414999999999999</v>
      </c>
      <c r="L1552" s="1">
        <v>22.34</v>
      </c>
      <c r="M1552" s="1">
        <v>83.5</v>
      </c>
      <c r="N1552" s="1">
        <v>3.6880000000000003E-2</v>
      </c>
      <c r="O1552" s="1">
        <v>2.967E-4</v>
      </c>
      <c r="P15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0.46302908055858344</v>
      </c>
      <c r="Q1552" s="1">
        <f>LN(Table13[[#This Row],[qe_mg_g]]-Table13[[#This Row],[qt]])</f>
        <v>0.84542650453889812</v>
      </c>
      <c r="R1552" s="1">
        <v>3</v>
      </c>
    </row>
    <row r="1553" spans="1:18" hidden="1" x14ac:dyDescent="0.3">
      <c r="A1553" s="1">
        <v>1552</v>
      </c>
      <c r="B1553" s="1" t="s">
        <v>18</v>
      </c>
      <c r="C1553" s="1">
        <v>2</v>
      </c>
      <c r="D1553" s="1">
        <v>240</v>
      </c>
      <c r="E1553" s="1">
        <v>25</v>
      </c>
      <c r="F1553" s="1">
        <v>7</v>
      </c>
      <c r="G1553" s="1">
        <v>25</v>
      </c>
      <c r="H1553" s="1">
        <v>150</v>
      </c>
      <c r="I1553" s="1">
        <v>100</v>
      </c>
      <c r="J1553" s="1">
        <v>4.1920000000000002</v>
      </c>
      <c r="K1553" s="1">
        <v>16.614999999999998</v>
      </c>
      <c r="L1553" s="1">
        <v>33.54</v>
      </c>
      <c r="M1553" s="1">
        <v>123.7</v>
      </c>
      <c r="N1553" s="1">
        <v>2.8799999999999999E-2</v>
      </c>
      <c r="O1553" s="1">
        <v>2.5319999999999997E-4</v>
      </c>
      <c r="P15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0.85106736258718563</v>
      </c>
      <c r="Q1553" s="1">
        <f>LN(Table13[[#This Row],[qe_mg_g]]-Table13[[#This Row],[qt]])</f>
        <v>1.206250000768726</v>
      </c>
      <c r="R1553" s="1">
        <v>1</v>
      </c>
    </row>
    <row r="1554" spans="1:18" hidden="1" x14ac:dyDescent="0.3">
      <c r="A1554" s="1">
        <v>1553</v>
      </c>
      <c r="B1554" s="1" t="s">
        <v>18</v>
      </c>
      <c r="C1554" s="1">
        <v>2</v>
      </c>
      <c r="D1554" s="1">
        <v>240</v>
      </c>
      <c r="E1554" s="1">
        <v>25</v>
      </c>
      <c r="F1554" s="1">
        <v>7</v>
      </c>
      <c r="G1554" s="1">
        <v>25</v>
      </c>
      <c r="H1554" s="1">
        <v>150</v>
      </c>
      <c r="I1554" s="1">
        <v>100</v>
      </c>
      <c r="J1554" s="1">
        <v>4.6550000000000002</v>
      </c>
      <c r="K1554" s="1">
        <v>15.689</v>
      </c>
      <c r="L1554" s="1">
        <v>37.24</v>
      </c>
      <c r="M1554" s="1">
        <v>90.1</v>
      </c>
      <c r="N1554" s="1">
        <v>3.295E-2</v>
      </c>
      <c r="O1554" s="1">
        <v>2.5310000000000003E-4</v>
      </c>
      <c r="P15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1.0261154447415912</v>
      </c>
      <c r="Q1554" s="1">
        <f>LN(Table13[[#This Row],[qe_mg_g]]-Table13[[#This Row],[qt]])</f>
        <v>1.2889253160022538</v>
      </c>
      <c r="R1554" s="1">
        <v>2</v>
      </c>
    </row>
    <row r="1555" spans="1:18" hidden="1" x14ac:dyDescent="0.3">
      <c r="A1555" s="1">
        <v>1554</v>
      </c>
      <c r="B1555" s="1" t="s">
        <v>18</v>
      </c>
      <c r="C1555" s="1">
        <v>2</v>
      </c>
      <c r="D1555" s="1">
        <v>240</v>
      </c>
      <c r="E1555" s="1">
        <v>25</v>
      </c>
      <c r="F1555" s="1">
        <v>7</v>
      </c>
      <c r="G1555" s="1">
        <v>25</v>
      </c>
      <c r="H1555" s="1">
        <v>150</v>
      </c>
      <c r="I1555" s="1">
        <v>100</v>
      </c>
      <c r="J1555" s="1">
        <v>4.4809999999999999</v>
      </c>
      <c r="K1555" s="1">
        <v>16.036999999999999</v>
      </c>
      <c r="L1555" s="1">
        <v>35.85</v>
      </c>
      <c r="M1555" s="1">
        <v>80.400000000000006</v>
      </c>
      <c r="N1555" s="1">
        <v>2.7320000000000001E-2</v>
      </c>
      <c r="O1555" s="1">
        <v>2.0900000000000001E-4</v>
      </c>
      <c r="P15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0.82234480570899804</v>
      </c>
      <c r="Q1555" s="1">
        <f>LN(Table13[[#This Row],[qe_mg_g]]-Table13[[#This Row],[qt]])</f>
        <v>1.2970956466393124</v>
      </c>
      <c r="R1555" s="1">
        <v>3</v>
      </c>
    </row>
    <row r="1556" spans="1:18" hidden="1" x14ac:dyDescent="0.3">
      <c r="A1556" s="1">
        <v>1555</v>
      </c>
      <c r="B1556" s="1" t="s">
        <v>18</v>
      </c>
      <c r="C1556" s="1">
        <v>2</v>
      </c>
      <c r="D1556" s="1">
        <v>240</v>
      </c>
      <c r="E1556" s="1">
        <v>25</v>
      </c>
      <c r="F1556" s="1">
        <v>11</v>
      </c>
      <c r="G1556" s="1">
        <v>25</v>
      </c>
      <c r="H1556" s="1">
        <v>150</v>
      </c>
      <c r="I1556" s="1">
        <v>100</v>
      </c>
      <c r="J1556" s="1">
        <v>3.6110000000000002</v>
      </c>
      <c r="K1556" s="1">
        <v>17.777000000000001</v>
      </c>
      <c r="L1556" s="1">
        <v>28.89</v>
      </c>
      <c r="M1556" s="1">
        <v>82.1</v>
      </c>
      <c r="N1556" s="1">
        <v>2.92E-2</v>
      </c>
      <c r="O1556" s="1">
        <v>2.8430000000000003E-4</v>
      </c>
      <c r="P15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0.71382310736812726</v>
      </c>
      <c r="Q1556" s="1">
        <f>LN(Table13[[#This Row],[qe_mg_g]]-Table13[[#This Row],[qt]])</f>
        <v>1.06373677754852</v>
      </c>
      <c r="R1556" s="1">
        <v>1</v>
      </c>
    </row>
    <row r="1557" spans="1:18" hidden="1" x14ac:dyDescent="0.3">
      <c r="A1557" s="1">
        <v>1556</v>
      </c>
      <c r="B1557" s="1" t="s">
        <v>18</v>
      </c>
      <c r="C1557" s="1">
        <v>2</v>
      </c>
      <c r="D1557" s="1">
        <v>240</v>
      </c>
      <c r="E1557" s="1">
        <v>25</v>
      </c>
      <c r="F1557" s="1">
        <v>11</v>
      </c>
      <c r="G1557" s="1">
        <v>25</v>
      </c>
      <c r="H1557" s="1">
        <v>150</v>
      </c>
      <c r="I1557" s="1">
        <v>100</v>
      </c>
      <c r="J1557" s="1">
        <v>3.9969999999999999</v>
      </c>
      <c r="K1557" s="1">
        <v>17.007000000000001</v>
      </c>
      <c r="L1557" s="1">
        <v>31.97</v>
      </c>
      <c r="M1557" s="1">
        <v>99.5</v>
      </c>
      <c r="N1557" s="1">
        <v>2.9739999999999999E-2</v>
      </c>
      <c r="O1557" s="1">
        <v>2.9700000000000001E-4</v>
      </c>
      <c r="P15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0.88626699518663676</v>
      </c>
      <c r="Q1557" s="1">
        <f>LN(Table13[[#This Row],[qe_mg_g]]-Table13[[#This Row],[qt]])</f>
        <v>1.134858391285976</v>
      </c>
      <c r="R1557" s="1">
        <v>2</v>
      </c>
    </row>
    <row r="1558" spans="1:18" hidden="1" x14ac:dyDescent="0.3">
      <c r="A1558" s="1">
        <v>1557</v>
      </c>
      <c r="B1558" s="1" t="s">
        <v>18</v>
      </c>
      <c r="C1558" s="1">
        <v>2</v>
      </c>
      <c r="D1558" s="1">
        <v>240</v>
      </c>
      <c r="E1558" s="1">
        <v>25</v>
      </c>
      <c r="F1558" s="1">
        <v>11</v>
      </c>
      <c r="G1558" s="1">
        <v>25</v>
      </c>
      <c r="H1558" s="1">
        <v>150</v>
      </c>
      <c r="I1558" s="1">
        <v>100</v>
      </c>
      <c r="J1558" s="1">
        <v>3.7759999999999998</v>
      </c>
      <c r="K1558" s="1">
        <v>17.446999999999999</v>
      </c>
      <c r="L1558" s="1">
        <v>30.21</v>
      </c>
      <c r="M1558" s="1">
        <v>95.1</v>
      </c>
      <c r="N1558" s="1">
        <v>2.572E-2</v>
      </c>
      <c r="O1558" s="1">
        <v>2.5980000000000003E-4</v>
      </c>
      <c r="P15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0.71960189160996968</v>
      </c>
      <c r="Q1558" s="1">
        <f>LN(Table13[[#This Row],[qe_mg_g]]-Table13[[#This Row],[qt]])</f>
        <v>1.1172371338897711</v>
      </c>
      <c r="R1558" s="1">
        <v>3</v>
      </c>
    </row>
    <row r="1559" spans="1:18" hidden="1" x14ac:dyDescent="0.3">
      <c r="A1559" s="1">
        <v>1558</v>
      </c>
      <c r="B1559" s="1" t="s">
        <v>18</v>
      </c>
      <c r="C1559" s="1">
        <v>2</v>
      </c>
      <c r="D1559" s="1">
        <v>240</v>
      </c>
      <c r="E1559" s="1">
        <v>50</v>
      </c>
      <c r="F1559" s="1">
        <v>3</v>
      </c>
      <c r="G1559" s="1">
        <v>25</v>
      </c>
      <c r="H1559" s="1">
        <v>150</v>
      </c>
      <c r="I1559" s="1">
        <v>100</v>
      </c>
      <c r="J1559" s="1">
        <v>9.2850000000000001</v>
      </c>
      <c r="K1559" s="1">
        <v>31.43</v>
      </c>
      <c r="L1559" s="1">
        <v>37.14</v>
      </c>
      <c r="M1559" s="1">
        <v>90.5</v>
      </c>
      <c r="N1559" s="1">
        <v>3.0870000000000002E-2</v>
      </c>
      <c r="O1559" s="1">
        <v>2.409E-4</v>
      </c>
      <c r="P15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3.2433096426627439</v>
      </c>
      <c r="Q1559" s="1">
        <f>LN(Table13[[#This Row],[qe_mg_g]]-Table13[[#This Row],[qt]])</f>
        <v>1.7986838332793831</v>
      </c>
      <c r="R1559" s="1">
        <v>1</v>
      </c>
    </row>
    <row r="1560" spans="1:18" hidden="1" x14ac:dyDescent="0.3">
      <c r="A1560" s="1">
        <v>1559</v>
      </c>
      <c r="B1560" s="1" t="s">
        <v>18</v>
      </c>
      <c r="C1560" s="1">
        <v>2</v>
      </c>
      <c r="D1560" s="1">
        <v>240</v>
      </c>
      <c r="E1560" s="1">
        <v>50</v>
      </c>
      <c r="F1560" s="1">
        <v>3</v>
      </c>
      <c r="G1560" s="1">
        <v>25</v>
      </c>
      <c r="H1560" s="1">
        <v>150</v>
      </c>
      <c r="I1560" s="1">
        <v>100</v>
      </c>
      <c r="J1560" s="1">
        <v>8.4969999999999999</v>
      </c>
      <c r="K1560" s="1">
        <v>33.006</v>
      </c>
      <c r="L1560" s="1">
        <v>33.99</v>
      </c>
      <c r="M1560" s="1">
        <v>62.7</v>
      </c>
      <c r="N1560" s="1">
        <v>2.9329999999999998E-2</v>
      </c>
      <c r="O1560" s="1">
        <v>2.742E-4</v>
      </c>
      <c r="P15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3.0473076245841115</v>
      </c>
      <c r="Q1560" s="1">
        <f>LN(Table13[[#This Row],[qe_mg_g]]-Table13[[#This Row],[qt]])</f>
        <v>1.6955591622042621</v>
      </c>
      <c r="R1560" s="1">
        <v>2</v>
      </c>
    </row>
    <row r="1561" spans="1:18" hidden="1" x14ac:dyDescent="0.3">
      <c r="A1561" s="1">
        <v>1560</v>
      </c>
      <c r="B1561" s="1" t="s">
        <v>18</v>
      </c>
      <c r="C1561" s="1">
        <v>2</v>
      </c>
      <c r="D1561" s="1">
        <v>240</v>
      </c>
      <c r="E1561" s="1">
        <v>50</v>
      </c>
      <c r="F1561" s="1">
        <v>3</v>
      </c>
      <c r="G1561" s="1">
        <v>25</v>
      </c>
      <c r="H1561" s="1">
        <v>150</v>
      </c>
      <c r="I1561" s="1">
        <v>100</v>
      </c>
      <c r="J1561" s="1">
        <v>8.1489999999999991</v>
      </c>
      <c r="K1561" s="1">
        <v>33.701999999999998</v>
      </c>
      <c r="L1561" s="1">
        <v>32.6</v>
      </c>
      <c r="M1561" s="1">
        <v>100.8</v>
      </c>
      <c r="N1561" s="1">
        <v>2.7730000000000001E-2</v>
      </c>
      <c r="O1561" s="1">
        <v>2.5900000000000001E-4</v>
      </c>
      <c r="P15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2.7399235418247652</v>
      </c>
      <c r="Q1561" s="1">
        <f>LN(Table13[[#This Row],[qe_mg_g]]-Table13[[#This Row],[qt]])</f>
        <v>1.6880783681517888</v>
      </c>
      <c r="R1561" s="1">
        <v>3</v>
      </c>
    </row>
    <row r="1562" spans="1:18" hidden="1" x14ac:dyDescent="0.3">
      <c r="A1562" s="1">
        <v>1561</v>
      </c>
      <c r="B1562" s="1" t="s">
        <v>18</v>
      </c>
      <c r="C1562" s="1">
        <v>2</v>
      </c>
      <c r="D1562" s="1">
        <v>240</v>
      </c>
      <c r="E1562" s="1">
        <v>50</v>
      </c>
      <c r="F1562" s="1">
        <v>7</v>
      </c>
      <c r="G1562" s="1">
        <v>25</v>
      </c>
      <c r="H1562" s="1">
        <v>150</v>
      </c>
      <c r="I1562" s="1">
        <v>100</v>
      </c>
      <c r="J1562" s="1">
        <v>12.859</v>
      </c>
      <c r="K1562" s="1">
        <v>24.283000000000001</v>
      </c>
      <c r="L1562" s="1">
        <v>51.43</v>
      </c>
      <c r="M1562" s="1">
        <v>85.9</v>
      </c>
      <c r="N1562" s="1">
        <v>3.4000000000000002E-2</v>
      </c>
      <c r="O1562" s="1">
        <v>2.7320000000000003E-4</v>
      </c>
      <c r="P15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5.8823147831236273</v>
      </c>
      <c r="Q1562" s="1">
        <f>LN(Table13[[#This Row],[qe_mg_g]]-Table13[[#This Row],[qt]])</f>
        <v>1.9425739066791983</v>
      </c>
      <c r="R1562" s="1">
        <v>1</v>
      </c>
    </row>
    <row r="1563" spans="1:18" hidden="1" x14ac:dyDescent="0.3">
      <c r="A1563" s="1">
        <v>1562</v>
      </c>
      <c r="B1563" s="1" t="s">
        <v>18</v>
      </c>
      <c r="C1563" s="1">
        <v>2</v>
      </c>
      <c r="D1563" s="1">
        <v>240</v>
      </c>
      <c r="E1563" s="1">
        <v>50</v>
      </c>
      <c r="F1563" s="1">
        <v>7</v>
      </c>
      <c r="G1563" s="1">
        <v>25</v>
      </c>
      <c r="H1563" s="1">
        <v>150</v>
      </c>
      <c r="I1563" s="1">
        <v>100</v>
      </c>
      <c r="J1563" s="1">
        <v>12.4</v>
      </c>
      <c r="K1563" s="1">
        <v>25.2</v>
      </c>
      <c r="L1563" s="1">
        <v>49.6</v>
      </c>
      <c r="M1563" s="1">
        <v>107.5</v>
      </c>
      <c r="N1563" s="1">
        <v>3.1609999999999999E-2</v>
      </c>
      <c r="O1563" s="1">
        <v>2.6610000000000002E-4</v>
      </c>
      <c r="P15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5.4800235011330907</v>
      </c>
      <c r="Q1563" s="1">
        <f>LN(Table13[[#This Row],[qe_mg_g]]-Table13[[#This Row],[qt]])</f>
        <v>1.9344123735063128</v>
      </c>
      <c r="R1563" s="1">
        <v>2</v>
      </c>
    </row>
    <row r="1564" spans="1:18" hidden="1" x14ac:dyDescent="0.3">
      <c r="A1564" s="1">
        <v>1563</v>
      </c>
      <c r="B1564" s="1" t="s">
        <v>18</v>
      </c>
      <c r="C1564" s="1">
        <v>2</v>
      </c>
      <c r="D1564" s="1">
        <v>240</v>
      </c>
      <c r="E1564" s="1">
        <v>50</v>
      </c>
      <c r="F1564" s="1">
        <v>7</v>
      </c>
      <c r="G1564" s="1">
        <v>25</v>
      </c>
      <c r="H1564" s="1">
        <v>150</v>
      </c>
      <c r="I1564" s="1">
        <v>100</v>
      </c>
      <c r="J1564" s="1">
        <v>11.114000000000001</v>
      </c>
      <c r="K1564" s="1">
        <v>27.771000000000001</v>
      </c>
      <c r="L1564" s="1">
        <v>44.46</v>
      </c>
      <c r="M1564" s="1">
        <v>115.1</v>
      </c>
      <c r="N1564" s="1">
        <v>2.8289999999999999E-2</v>
      </c>
      <c r="O1564" s="1">
        <v>2.4110000000000001E-4</v>
      </c>
      <c r="P15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4.3499584656835255</v>
      </c>
      <c r="Q1564" s="1">
        <f>LN(Table13[[#This Row],[qe_mg_g]]-Table13[[#This Row],[qt]])</f>
        <v>1.9116205715137076</v>
      </c>
      <c r="R1564" s="1">
        <v>3</v>
      </c>
    </row>
    <row r="1565" spans="1:18" hidden="1" x14ac:dyDescent="0.3">
      <c r="A1565" s="1">
        <v>1564</v>
      </c>
      <c r="B1565" s="1" t="s">
        <v>18</v>
      </c>
      <c r="C1565" s="1">
        <v>2</v>
      </c>
      <c r="D1565" s="1">
        <v>240</v>
      </c>
      <c r="E1565" s="1">
        <v>50</v>
      </c>
      <c r="F1565" s="1">
        <v>11</v>
      </c>
      <c r="G1565" s="1">
        <v>25</v>
      </c>
      <c r="H1565" s="1">
        <v>150</v>
      </c>
      <c r="I1565" s="1">
        <v>100</v>
      </c>
      <c r="J1565" s="1">
        <v>12.852</v>
      </c>
      <c r="K1565" s="1">
        <v>24.295999999999999</v>
      </c>
      <c r="L1565" s="1">
        <v>51.41</v>
      </c>
      <c r="M1565" s="1">
        <v>104.5</v>
      </c>
      <c r="N1565" s="1">
        <v>2.8840000000000001E-2</v>
      </c>
      <c r="O1565" s="1">
        <v>1.9489999999999999E-4</v>
      </c>
      <c r="P15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4.8253451705798804</v>
      </c>
      <c r="Q1565" s="1">
        <f>LN(Table13[[#This Row],[qe_mg_g]]-Table13[[#This Row],[qt]])</f>
        <v>2.082767857031405</v>
      </c>
      <c r="R1565" s="1">
        <v>1</v>
      </c>
    </row>
    <row r="1566" spans="1:18" hidden="1" x14ac:dyDescent="0.3">
      <c r="A1566" s="1">
        <v>1565</v>
      </c>
      <c r="B1566" s="1" t="s">
        <v>18</v>
      </c>
      <c r="C1566" s="1">
        <v>2</v>
      </c>
      <c r="D1566" s="1">
        <v>240</v>
      </c>
      <c r="E1566" s="1">
        <v>50</v>
      </c>
      <c r="F1566" s="1">
        <v>11</v>
      </c>
      <c r="G1566" s="1">
        <v>25</v>
      </c>
      <c r="H1566" s="1">
        <v>150</v>
      </c>
      <c r="I1566" s="1">
        <v>100</v>
      </c>
      <c r="J1566" s="1">
        <v>11.685</v>
      </c>
      <c r="K1566" s="1">
        <v>26.63</v>
      </c>
      <c r="L1566" s="1">
        <v>46.74</v>
      </c>
      <c r="M1566" s="1">
        <v>79.8</v>
      </c>
      <c r="N1566" s="1">
        <v>2.699E-2</v>
      </c>
      <c r="O1566" s="1">
        <v>2.4169999999999999E-4</v>
      </c>
      <c r="P15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4.7206201714378206</v>
      </c>
      <c r="Q1566" s="1">
        <f>LN(Table13[[#This Row],[qe_mg_g]]-Table13[[#This Row],[qt]])</f>
        <v>1.9408085621420574</v>
      </c>
      <c r="R1566" s="1">
        <v>2</v>
      </c>
    </row>
    <row r="1567" spans="1:18" hidden="1" x14ac:dyDescent="0.3">
      <c r="A1567" s="1">
        <v>1566</v>
      </c>
      <c r="B1567" s="1" t="s">
        <v>18</v>
      </c>
      <c r="C1567" s="1">
        <v>2</v>
      </c>
      <c r="D1567" s="1">
        <v>240</v>
      </c>
      <c r="E1567" s="1">
        <v>50</v>
      </c>
      <c r="F1567" s="1">
        <v>11</v>
      </c>
      <c r="G1567" s="1">
        <v>25</v>
      </c>
      <c r="H1567" s="1">
        <v>150</v>
      </c>
      <c r="I1567" s="1">
        <v>100</v>
      </c>
      <c r="J1567" s="1">
        <v>11.71</v>
      </c>
      <c r="K1567" s="1">
        <v>26.58</v>
      </c>
      <c r="L1567" s="1">
        <v>46.84</v>
      </c>
      <c r="M1567" s="1">
        <v>111.6</v>
      </c>
      <c r="N1567" s="1">
        <v>2.9530000000000001E-2</v>
      </c>
      <c r="O1567" s="1">
        <v>2.5769999999999998E-4</v>
      </c>
      <c r="P15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4.9186023658607914</v>
      </c>
      <c r="Q1567" s="1">
        <f>LN(Table13[[#This Row],[qe_mg_g]]-Table13[[#This Row],[qt]])</f>
        <v>1.9156567575229526</v>
      </c>
      <c r="R1567" s="1">
        <v>3</v>
      </c>
    </row>
    <row r="1568" spans="1:18" hidden="1" x14ac:dyDescent="0.3">
      <c r="A1568" s="1">
        <v>1567</v>
      </c>
      <c r="B1568" s="1" t="s">
        <v>18</v>
      </c>
      <c r="C1568" s="1">
        <v>2</v>
      </c>
      <c r="D1568" s="1">
        <v>240</v>
      </c>
      <c r="E1568" s="1">
        <v>100</v>
      </c>
      <c r="F1568" s="1">
        <v>3</v>
      </c>
      <c r="G1568" s="1">
        <v>25</v>
      </c>
      <c r="H1568" s="1">
        <v>150</v>
      </c>
      <c r="I1568" s="1">
        <v>100</v>
      </c>
      <c r="J1568" s="1">
        <v>21.076000000000001</v>
      </c>
      <c r="K1568" s="1">
        <v>57.847999999999999</v>
      </c>
      <c r="L1568" s="1">
        <v>42.15</v>
      </c>
      <c r="M1568" s="1">
        <v>102.1</v>
      </c>
      <c r="N1568" s="1">
        <v>3.022E-2</v>
      </c>
      <c r="O1568" s="1">
        <v>2.742E-4</v>
      </c>
      <c r="P15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12.246393751439317</v>
      </c>
      <c r="Q1568" s="1">
        <f>LN(Table13[[#This Row],[qe_mg_g]]-Table13[[#This Row],[qt]])</f>
        <v>2.1781104211596114</v>
      </c>
      <c r="R1568" s="1">
        <v>1</v>
      </c>
    </row>
    <row r="1569" spans="1:18" hidden="1" x14ac:dyDescent="0.3">
      <c r="A1569" s="1">
        <v>1568</v>
      </c>
      <c r="B1569" s="1" t="s">
        <v>18</v>
      </c>
      <c r="C1569" s="1">
        <v>2</v>
      </c>
      <c r="D1569" s="1">
        <v>240</v>
      </c>
      <c r="E1569" s="1">
        <v>100</v>
      </c>
      <c r="F1569" s="1">
        <v>3</v>
      </c>
      <c r="G1569" s="1">
        <v>25</v>
      </c>
      <c r="H1569" s="1">
        <v>150</v>
      </c>
      <c r="I1569" s="1">
        <v>100</v>
      </c>
      <c r="J1569" s="1">
        <v>24.219000000000001</v>
      </c>
      <c r="K1569" s="1">
        <v>51.561</v>
      </c>
      <c r="L1569" s="1">
        <v>48.44</v>
      </c>
      <c r="M1569" s="1">
        <v>107.4</v>
      </c>
      <c r="N1569" s="1">
        <v>2.8910000000000002E-2</v>
      </c>
      <c r="O1569" s="1">
        <v>2.6850000000000002E-4</v>
      </c>
      <c r="P15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14.760937196525996</v>
      </c>
      <c r="Q1569" s="1">
        <f>LN(Table13[[#This Row],[qe_mg_g]]-Table13[[#This Row],[qt]])</f>
        <v>2.2468675844485282</v>
      </c>
      <c r="R1569" s="1">
        <v>2</v>
      </c>
    </row>
    <row r="1570" spans="1:18" hidden="1" x14ac:dyDescent="0.3">
      <c r="A1570" s="1">
        <v>1569</v>
      </c>
      <c r="B1570" s="1" t="s">
        <v>18</v>
      </c>
      <c r="C1570" s="1">
        <v>2</v>
      </c>
      <c r="D1570" s="1">
        <v>240</v>
      </c>
      <c r="E1570" s="1">
        <v>100</v>
      </c>
      <c r="F1570" s="1">
        <v>3</v>
      </c>
      <c r="G1570" s="1">
        <v>25</v>
      </c>
      <c r="H1570" s="1">
        <v>150</v>
      </c>
      <c r="I1570" s="1">
        <v>100</v>
      </c>
      <c r="J1570" s="1">
        <v>22.096</v>
      </c>
      <c r="K1570" s="1">
        <v>55.808999999999997</v>
      </c>
      <c r="L1570" s="1">
        <v>44.19</v>
      </c>
      <c r="M1570" s="1">
        <v>83.8</v>
      </c>
      <c r="N1570" s="1">
        <v>2.879E-2</v>
      </c>
      <c r="O1570" s="1">
        <v>2.521E-4</v>
      </c>
      <c r="P15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12.640724125860089</v>
      </c>
      <c r="Q1570" s="1">
        <f>LN(Table13[[#This Row],[qe_mg_g]]-Table13[[#This Row],[qt]])</f>
        <v>2.2465728792775619</v>
      </c>
      <c r="R1570" s="1">
        <v>3</v>
      </c>
    </row>
    <row r="1571" spans="1:18" hidden="1" x14ac:dyDescent="0.3">
      <c r="A1571" s="1">
        <v>1570</v>
      </c>
      <c r="B1571" s="1" t="s">
        <v>18</v>
      </c>
      <c r="C1571" s="1">
        <v>2</v>
      </c>
      <c r="D1571" s="1">
        <v>240</v>
      </c>
      <c r="E1571" s="1">
        <v>100</v>
      </c>
      <c r="F1571" s="1">
        <v>7</v>
      </c>
      <c r="G1571" s="1">
        <v>25</v>
      </c>
      <c r="H1571" s="1">
        <v>150</v>
      </c>
      <c r="I1571" s="1">
        <v>100</v>
      </c>
      <c r="J1571" s="1">
        <v>34.984999999999999</v>
      </c>
      <c r="K1571" s="1">
        <v>30.03</v>
      </c>
      <c r="L1571" s="1">
        <v>69.97</v>
      </c>
      <c r="M1571" s="1">
        <v>97.2</v>
      </c>
      <c r="N1571" s="1">
        <v>2.6370000000000001E-2</v>
      </c>
      <c r="O1571" s="1">
        <v>2.5139999999999999E-4</v>
      </c>
      <c r="P15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23.738895488589414</v>
      </c>
      <c r="Q1571" s="1">
        <f>LN(Table13[[#This Row],[qe_mg_g]]-Table13[[#This Row],[qt]])</f>
        <v>2.4200218030342433</v>
      </c>
      <c r="R1571" s="1">
        <v>1</v>
      </c>
    </row>
    <row r="1572" spans="1:18" hidden="1" x14ac:dyDescent="0.3">
      <c r="A1572" s="1">
        <v>1571</v>
      </c>
      <c r="B1572" s="1" t="s">
        <v>18</v>
      </c>
      <c r="C1572" s="1">
        <v>2</v>
      </c>
      <c r="D1572" s="1">
        <v>240</v>
      </c>
      <c r="E1572" s="1">
        <v>100</v>
      </c>
      <c r="F1572" s="1">
        <v>7</v>
      </c>
      <c r="G1572" s="1">
        <v>25</v>
      </c>
      <c r="H1572" s="1">
        <v>150</v>
      </c>
      <c r="I1572" s="1">
        <v>100</v>
      </c>
      <c r="J1572" s="1">
        <v>32.665999999999997</v>
      </c>
      <c r="K1572" s="1">
        <v>34.667000000000002</v>
      </c>
      <c r="L1572" s="1">
        <v>65.33</v>
      </c>
      <c r="M1572" s="1">
        <v>102.8</v>
      </c>
      <c r="N1572" s="1">
        <v>3.2759999999999997E-2</v>
      </c>
      <c r="O1572" s="1">
        <v>2.7549999999999997E-4</v>
      </c>
      <c r="P15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22.328252307679218</v>
      </c>
      <c r="Q1572" s="1">
        <f>LN(Table13[[#This Row],[qe_mg_g]]-Table13[[#This Row],[qt]])</f>
        <v>2.3358020206258341</v>
      </c>
      <c r="R1572" s="1">
        <v>2</v>
      </c>
    </row>
    <row r="1573" spans="1:18" hidden="1" x14ac:dyDescent="0.3">
      <c r="A1573" s="1">
        <v>1572</v>
      </c>
      <c r="B1573" s="1" t="s">
        <v>18</v>
      </c>
      <c r="C1573" s="1">
        <v>2</v>
      </c>
      <c r="D1573" s="1">
        <v>240</v>
      </c>
      <c r="E1573" s="1">
        <v>100</v>
      </c>
      <c r="F1573" s="1">
        <v>7</v>
      </c>
      <c r="G1573" s="1">
        <v>25</v>
      </c>
      <c r="H1573" s="1">
        <v>150</v>
      </c>
      <c r="I1573" s="1">
        <v>100</v>
      </c>
      <c r="J1573" s="1">
        <v>30.606999999999999</v>
      </c>
      <c r="K1573" s="1">
        <v>38.786000000000001</v>
      </c>
      <c r="L1573" s="1">
        <v>61.21</v>
      </c>
      <c r="M1573" s="1">
        <v>90.8</v>
      </c>
      <c r="N1573" s="1">
        <v>2.6880000000000001E-2</v>
      </c>
      <c r="O1573" s="1">
        <v>2.675E-4</v>
      </c>
      <c r="P15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20.284127865130749</v>
      </c>
      <c r="Q1573" s="1">
        <f>LN(Table13[[#This Row],[qe_mg_g]]-Table13[[#This Row],[qt]])</f>
        <v>2.3343620289753981</v>
      </c>
      <c r="R1573" s="1">
        <v>3</v>
      </c>
    </row>
    <row r="1574" spans="1:18" hidden="1" x14ac:dyDescent="0.3">
      <c r="A1574" s="1">
        <v>1573</v>
      </c>
      <c r="B1574" s="1" t="s">
        <v>18</v>
      </c>
      <c r="C1574" s="1">
        <v>2</v>
      </c>
      <c r="D1574" s="1">
        <v>240</v>
      </c>
      <c r="E1574" s="1">
        <v>100</v>
      </c>
      <c r="F1574" s="1">
        <v>11</v>
      </c>
      <c r="G1574" s="1">
        <v>25</v>
      </c>
      <c r="H1574" s="1">
        <v>150</v>
      </c>
      <c r="I1574" s="1">
        <v>100</v>
      </c>
      <c r="J1574" s="1">
        <v>29.678999999999998</v>
      </c>
      <c r="K1574" s="1">
        <v>40.642000000000003</v>
      </c>
      <c r="L1574" s="1">
        <v>59.36</v>
      </c>
      <c r="M1574" s="1">
        <v>95.3</v>
      </c>
      <c r="N1574" s="1">
        <v>2.928E-2</v>
      </c>
      <c r="O1574" s="1">
        <v>2.8669999999999998E-4</v>
      </c>
      <c r="P15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19.923079245791108</v>
      </c>
      <c r="Q1574" s="1">
        <f>LN(Table13[[#This Row],[qe_mg_g]]-Table13[[#This Row],[qt]])</f>
        <v>2.2778743575458673</v>
      </c>
      <c r="R1574" s="1">
        <v>1</v>
      </c>
    </row>
    <row r="1575" spans="1:18" hidden="1" x14ac:dyDescent="0.3">
      <c r="A1575" s="1">
        <v>1574</v>
      </c>
      <c r="B1575" s="1" t="s">
        <v>18</v>
      </c>
      <c r="C1575" s="1">
        <v>2</v>
      </c>
      <c r="D1575" s="1">
        <v>240</v>
      </c>
      <c r="E1575" s="1">
        <v>100</v>
      </c>
      <c r="F1575" s="1">
        <v>11</v>
      </c>
      <c r="G1575" s="1">
        <v>25</v>
      </c>
      <c r="H1575" s="1">
        <v>150</v>
      </c>
      <c r="I1575" s="1">
        <v>100</v>
      </c>
      <c r="J1575" s="1">
        <v>27.45</v>
      </c>
      <c r="K1575" s="1">
        <v>45.1</v>
      </c>
      <c r="L1575" s="1">
        <v>54.9</v>
      </c>
      <c r="M1575" s="1">
        <v>106.5</v>
      </c>
      <c r="N1575" s="1">
        <v>2.6429999999999999E-2</v>
      </c>
      <c r="O1575" s="1">
        <v>2.6699999999999998E-4</v>
      </c>
      <c r="P15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17.500728598374188</v>
      </c>
      <c r="Q1575" s="1">
        <f>LN(Table13[[#This Row],[qe_mg_g]]-Table13[[#This Row],[qt]])</f>
        <v>2.2974993225220941</v>
      </c>
      <c r="R1575" s="1">
        <v>2</v>
      </c>
    </row>
    <row r="1576" spans="1:18" hidden="1" x14ac:dyDescent="0.3">
      <c r="A1576" s="1">
        <v>1575</v>
      </c>
      <c r="B1576" s="1" t="s">
        <v>18</v>
      </c>
      <c r="C1576" s="1">
        <v>2</v>
      </c>
      <c r="D1576" s="1">
        <v>240</v>
      </c>
      <c r="E1576" s="1">
        <v>100</v>
      </c>
      <c r="F1576" s="1">
        <v>11</v>
      </c>
      <c r="G1576" s="1">
        <v>25</v>
      </c>
      <c r="H1576" s="1">
        <v>150</v>
      </c>
      <c r="I1576" s="1">
        <v>100</v>
      </c>
      <c r="J1576" s="1">
        <v>24.06</v>
      </c>
      <c r="K1576" s="1">
        <v>51.88</v>
      </c>
      <c r="L1576" s="1">
        <v>48.12</v>
      </c>
      <c r="M1576" s="1">
        <v>83</v>
      </c>
      <c r="N1576" s="1">
        <v>2.896E-2</v>
      </c>
      <c r="O1576" s="1">
        <v>2.354E-4</v>
      </c>
      <c r="P15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13.862032960914537</v>
      </c>
      <c r="Q1576" s="1">
        <f>LN(Table13[[#This Row],[qe_mg_g]]-Table13[[#This Row],[qt]])</f>
        <v>2.3221883905317871</v>
      </c>
      <c r="R1576" s="1">
        <v>3</v>
      </c>
    </row>
    <row r="1577" spans="1:18" hidden="1" x14ac:dyDescent="0.3">
      <c r="A1577" s="1">
        <v>1576</v>
      </c>
      <c r="B1577" s="1" t="s">
        <v>18</v>
      </c>
      <c r="C1577" s="1">
        <v>2</v>
      </c>
      <c r="D1577" s="1">
        <v>240</v>
      </c>
      <c r="E1577" s="1">
        <v>200</v>
      </c>
      <c r="F1577" s="1">
        <v>3</v>
      </c>
      <c r="G1577" s="1">
        <v>25</v>
      </c>
      <c r="H1577" s="1">
        <v>150</v>
      </c>
      <c r="I1577" s="1">
        <v>100</v>
      </c>
      <c r="J1577" s="1">
        <v>47.225999999999999</v>
      </c>
      <c r="K1577" s="1">
        <v>105.547</v>
      </c>
      <c r="L1577" s="1">
        <v>47.23</v>
      </c>
      <c r="M1577" s="1">
        <v>78.400000000000006</v>
      </c>
      <c r="N1577" s="1">
        <v>3.288E-2</v>
      </c>
      <c r="O1577" s="1">
        <v>2.7819999999999999E-4</v>
      </c>
      <c r="P15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35.854969443630694</v>
      </c>
      <c r="Q1577" s="1">
        <f>LN(Table13[[#This Row],[qe_mg_g]]-Table13[[#This Row],[qt]])</f>
        <v>2.4310689418581561</v>
      </c>
      <c r="R1577" s="1">
        <v>1</v>
      </c>
    </row>
    <row r="1578" spans="1:18" hidden="1" x14ac:dyDescent="0.3">
      <c r="A1578" s="1">
        <v>1577</v>
      </c>
      <c r="B1578" s="1" t="s">
        <v>18</v>
      </c>
      <c r="C1578" s="1">
        <v>2</v>
      </c>
      <c r="D1578" s="1">
        <v>240</v>
      </c>
      <c r="E1578" s="1">
        <v>200</v>
      </c>
      <c r="F1578" s="1">
        <v>3</v>
      </c>
      <c r="G1578" s="1">
        <v>25</v>
      </c>
      <c r="H1578" s="1">
        <v>150</v>
      </c>
      <c r="I1578" s="1">
        <v>100</v>
      </c>
      <c r="J1578" s="1">
        <v>39.741999999999997</v>
      </c>
      <c r="K1578" s="1">
        <v>120.51600000000001</v>
      </c>
      <c r="L1578" s="1">
        <v>39.74</v>
      </c>
      <c r="M1578" s="1">
        <v>114.7</v>
      </c>
      <c r="N1578" s="1">
        <v>2.7570000000000001E-2</v>
      </c>
      <c r="O1578" s="1">
        <v>2.7139999999999998E-4</v>
      </c>
      <c r="P15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28.667594000351741</v>
      </c>
      <c r="Q1578" s="1">
        <f>LN(Table13[[#This Row],[qe_mg_g]]-Table13[[#This Row],[qt]])</f>
        <v>2.404636680149554</v>
      </c>
      <c r="R1578" s="1">
        <v>2</v>
      </c>
    </row>
    <row r="1579" spans="1:18" hidden="1" x14ac:dyDescent="0.3">
      <c r="A1579" s="1">
        <v>1578</v>
      </c>
      <c r="B1579" s="1" t="s">
        <v>18</v>
      </c>
      <c r="C1579" s="1">
        <v>2</v>
      </c>
      <c r="D1579" s="1">
        <v>240</v>
      </c>
      <c r="E1579" s="1">
        <v>200</v>
      </c>
      <c r="F1579" s="1">
        <v>3</v>
      </c>
      <c r="G1579" s="1">
        <v>25</v>
      </c>
      <c r="H1579" s="1">
        <v>150</v>
      </c>
      <c r="I1579" s="1">
        <v>100</v>
      </c>
      <c r="J1579" s="1">
        <v>47.890999999999998</v>
      </c>
      <c r="K1579" s="1">
        <v>104.21899999999999</v>
      </c>
      <c r="L1579" s="1">
        <v>47.89</v>
      </c>
      <c r="M1579" s="1">
        <v>100.4</v>
      </c>
      <c r="N1579" s="1">
        <v>2.9440000000000001E-2</v>
      </c>
      <c r="O1579" s="1">
        <v>2.8029999999999998E-4</v>
      </c>
      <c r="P15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36.547054410265396</v>
      </c>
      <c r="Q1579" s="1">
        <f>LN(Table13[[#This Row],[qe_mg_g]]-Table13[[#This Row],[qt]])</f>
        <v>2.4286841733867495</v>
      </c>
      <c r="R1579" s="1">
        <v>3</v>
      </c>
    </row>
    <row r="1580" spans="1:18" hidden="1" x14ac:dyDescent="0.3">
      <c r="A1580" s="1">
        <v>1579</v>
      </c>
      <c r="B1580" s="1" t="s">
        <v>18</v>
      </c>
      <c r="C1580" s="1">
        <v>2</v>
      </c>
      <c r="D1580" s="1">
        <v>240</v>
      </c>
      <c r="E1580" s="1">
        <v>200</v>
      </c>
      <c r="F1580" s="1">
        <v>7</v>
      </c>
      <c r="G1580" s="1">
        <v>25</v>
      </c>
      <c r="H1580" s="1">
        <v>150</v>
      </c>
      <c r="I1580" s="1">
        <v>100</v>
      </c>
      <c r="J1580" s="1">
        <v>60.204999999999998</v>
      </c>
      <c r="K1580" s="1">
        <v>79.590999999999994</v>
      </c>
      <c r="L1580" s="1">
        <v>60.2</v>
      </c>
      <c r="M1580" s="1">
        <v>109.1</v>
      </c>
      <c r="N1580" s="1">
        <v>3.3300000000000003E-2</v>
      </c>
      <c r="O1580" s="1">
        <v>2.6790000000000001E-4</v>
      </c>
      <c r="P15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47.844964443171989</v>
      </c>
      <c r="Q1580" s="1">
        <f>LN(Table13[[#This Row],[qe_mg_g]]-Table13[[#This Row],[qt]])</f>
        <v>2.5144683287914269</v>
      </c>
      <c r="R1580" s="1">
        <v>1</v>
      </c>
    </row>
    <row r="1581" spans="1:18" hidden="1" x14ac:dyDescent="0.3">
      <c r="A1581" s="1">
        <v>1580</v>
      </c>
      <c r="B1581" s="1" t="s">
        <v>18</v>
      </c>
      <c r="C1581" s="1">
        <v>2</v>
      </c>
      <c r="D1581" s="1">
        <v>240</v>
      </c>
      <c r="E1581" s="1">
        <v>200</v>
      </c>
      <c r="F1581" s="1">
        <v>7</v>
      </c>
      <c r="G1581" s="1">
        <v>25</v>
      </c>
      <c r="H1581" s="1">
        <v>150</v>
      </c>
      <c r="I1581" s="1">
        <v>100</v>
      </c>
      <c r="J1581" s="1">
        <v>81.941999999999993</v>
      </c>
      <c r="K1581" s="1">
        <v>36.115000000000002</v>
      </c>
      <c r="L1581" s="1">
        <v>81.94</v>
      </c>
      <c r="M1581" s="1">
        <v>92.1</v>
      </c>
      <c r="N1581" s="1">
        <v>3.2870000000000003E-2</v>
      </c>
      <c r="O1581" s="1">
        <v>2.4729999999999999E-4</v>
      </c>
      <c r="P15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67.966883453101531</v>
      </c>
      <c r="Q1581" s="1">
        <f>LN(Table13[[#This Row],[qe_mg_g]]-Table13[[#This Row],[qt]])</f>
        <v>2.6372783586771189</v>
      </c>
      <c r="R1581" s="1">
        <v>2</v>
      </c>
    </row>
    <row r="1582" spans="1:18" hidden="1" x14ac:dyDescent="0.3">
      <c r="A1582" s="1">
        <v>1581</v>
      </c>
      <c r="B1582" s="1" t="s">
        <v>18</v>
      </c>
      <c r="C1582" s="1">
        <v>2</v>
      </c>
      <c r="D1582" s="1">
        <v>240</v>
      </c>
      <c r="E1582" s="1">
        <v>200</v>
      </c>
      <c r="F1582" s="1">
        <v>7</v>
      </c>
      <c r="G1582" s="1">
        <v>25</v>
      </c>
      <c r="H1582" s="1">
        <v>150</v>
      </c>
      <c r="I1582" s="1">
        <v>100</v>
      </c>
      <c r="J1582" s="1">
        <v>75.287000000000006</v>
      </c>
      <c r="K1582" s="1">
        <v>49.426000000000002</v>
      </c>
      <c r="L1582" s="1">
        <v>75.290000000000006</v>
      </c>
      <c r="M1582" s="1">
        <v>99.9</v>
      </c>
      <c r="N1582" s="1">
        <v>2.8840000000000001E-2</v>
      </c>
      <c r="O1582" s="1">
        <v>2.8269999999999999E-4</v>
      </c>
      <c r="P15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62.961180106997475</v>
      </c>
      <c r="Q1582" s="1">
        <f>LN(Table13[[#This Row],[qe_mg_g]]-Table13[[#This Row],[qt]])</f>
        <v>2.5116962404750391</v>
      </c>
      <c r="R1582" s="1">
        <v>3</v>
      </c>
    </row>
    <row r="1583" spans="1:18" hidden="1" x14ac:dyDescent="0.3">
      <c r="A1583" s="1">
        <v>1582</v>
      </c>
      <c r="B1583" s="1" t="s">
        <v>18</v>
      </c>
      <c r="C1583" s="1">
        <v>2</v>
      </c>
      <c r="D1583" s="1">
        <v>240</v>
      </c>
      <c r="E1583" s="1">
        <v>200</v>
      </c>
      <c r="F1583" s="1">
        <v>11</v>
      </c>
      <c r="G1583" s="1">
        <v>25</v>
      </c>
      <c r="H1583" s="1">
        <v>150</v>
      </c>
      <c r="I1583" s="1">
        <v>100</v>
      </c>
      <c r="J1583" s="1">
        <v>53.502000000000002</v>
      </c>
      <c r="K1583" s="1">
        <v>92.995999999999995</v>
      </c>
      <c r="L1583" s="1">
        <v>53.5</v>
      </c>
      <c r="M1583" s="1">
        <v>78.8</v>
      </c>
      <c r="N1583" s="1">
        <v>2.845E-2</v>
      </c>
      <c r="O1583" s="1">
        <v>2.655E-4</v>
      </c>
      <c r="P15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41.367681352674389</v>
      </c>
      <c r="Q1583" s="1">
        <f>LN(Table13[[#This Row],[qe_mg_g]]-Table13[[#This Row],[qt]])</f>
        <v>2.4960376898746253</v>
      </c>
      <c r="R1583" s="1">
        <v>1</v>
      </c>
    </row>
    <row r="1584" spans="1:18" hidden="1" x14ac:dyDescent="0.3">
      <c r="A1584" s="1">
        <v>1583</v>
      </c>
      <c r="B1584" s="1" t="s">
        <v>18</v>
      </c>
      <c r="C1584" s="1">
        <v>2</v>
      </c>
      <c r="D1584" s="1">
        <v>240</v>
      </c>
      <c r="E1584" s="1">
        <v>200</v>
      </c>
      <c r="F1584" s="1">
        <v>11</v>
      </c>
      <c r="G1584" s="1">
        <v>25</v>
      </c>
      <c r="H1584" s="1">
        <v>150</v>
      </c>
      <c r="I1584" s="1">
        <v>100</v>
      </c>
      <c r="J1584" s="1">
        <v>62.991999999999997</v>
      </c>
      <c r="K1584" s="1">
        <v>74.016000000000005</v>
      </c>
      <c r="L1584" s="1">
        <v>62.99</v>
      </c>
      <c r="M1584" s="1">
        <v>101.7</v>
      </c>
      <c r="N1584" s="1">
        <v>3.3950000000000001E-2</v>
      </c>
      <c r="O1584" s="1">
        <v>2.1599999999999999E-4</v>
      </c>
      <c r="P15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48.224230213063997</v>
      </c>
      <c r="Q1584" s="1">
        <f>LN(Table13[[#This Row],[qe_mg_g]]-Table13[[#This Row],[qt]])</f>
        <v>2.6924470889970635</v>
      </c>
      <c r="R1584" s="1">
        <v>2</v>
      </c>
    </row>
    <row r="1585" spans="1:18" hidden="1" x14ac:dyDescent="0.3">
      <c r="A1585" s="1">
        <v>1584</v>
      </c>
      <c r="B1585" s="1" t="s">
        <v>18</v>
      </c>
      <c r="C1585" s="1">
        <v>2</v>
      </c>
      <c r="D1585" s="1">
        <v>240</v>
      </c>
      <c r="E1585" s="1">
        <v>200</v>
      </c>
      <c r="F1585" s="1">
        <v>11</v>
      </c>
      <c r="G1585" s="1">
        <v>25</v>
      </c>
      <c r="H1585" s="1">
        <v>150</v>
      </c>
      <c r="I1585" s="1">
        <v>100</v>
      </c>
      <c r="J1585" s="1">
        <v>53.744999999999997</v>
      </c>
      <c r="K1585" s="1">
        <v>92.509</v>
      </c>
      <c r="L1585" s="1">
        <v>53.75</v>
      </c>
      <c r="M1585" s="1">
        <v>95.7</v>
      </c>
      <c r="N1585" s="1">
        <v>2.9659999999999999E-2</v>
      </c>
      <c r="O1585" s="1">
        <v>2.521E-4</v>
      </c>
      <c r="P15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41.104434060895258</v>
      </c>
      <c r="Q1585" s="1">
        <f>LN(Table13[[#This Row],[qe_mg_g]]-Table13[[#This Row],[qt]])</f>
        <v>2.5369111613797504</v>
      </c>
      <c r="R1585" s="1">
        <v>3</v>
      </c>
    </row>
    <row r="1586" spans="1:18" hidden="1" x14ac:dyDescent="0.3">
      <c r="A1586" s="1">
        <v>1585</v>
      </c>
      <c r="B1586" s="1" t="s">
        <v>18</v>
      </c>
      <c r="C1586" s="1">
        <v>4</v>
      </c>
      <c r="D1586" s="1">
        <v>30</v>
      </c>
      <c r="E1586" s="1">
        <v>25</v>
      </c>
      <c r="F1586" s="1">
        <v>3</v>
      </c>
      <c r="G1586" s="1">
        <v>25</v>
      </c>
      <c r="H1586" s="1">
        <v>150</v>
      </c>
      <c r="I1586" s="1">
        <v>100</v>
      </c>
      <c r="J1586" s="1">
        <v>0.14299999999999999</v>
      </c>
      <c r="K1586" s="1">
        <v>24.425999999999998</v>
      </c>
      <c r="L1586" s="1">
        <v>2.2999999999999998</v>
      </c>
      <c r="M1586" s="1">
        <v>93.3</v>
      </c>
      <c r="N1586" s="1">
        <v>3.0419999999999999E-2</v>
      </c>
      <c r="O1586" s="1">
        <v>2.4889999999999998E-4</v>
      </c>
      <c r="P15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1.5252981456207707E-4</v>
      </c>
      <c r="Q1586" s="1">
        <f>LN(Table13[[#This Row],[qe_mg_g]]-Table13[[#This Row],[qt]])</f>
        <v>-1.9459778600495854</v>
      </c>
      <c r="R1586" s="1">
        <v>1</v>
      </c>
    </row>
    <row r="1587" spans="1:18" hidden="1" x14ac:dyDescent="0.3">
      <c r="A1587" s="1">
        <v>1586</v>
      </c>
      <c r="B1587" s="1" t="s">
        <v>18</v>
      </c>
      <c r="C1587" s="1">
        <v>4</v>
      </c>
      <c r="D1587" s="1">
        <v>30</v>
      </c>
      <c r="E1587" s="1">
        <v>25</v>
      </c>
      <c r="F1587" s="1">
        <v>3</v>
      </c>
      <c r="G1587" s="1">
        <v>25</v>
      </c>
      <c r="H1587" s="1">
        <v>150</v>
      </c>
      <c r="I1587" s="1">
        <v>100</v>
      </c>
      <c r="J1587" s="1">
        <v>0.124</v>
      </c>
      <c r="K1587" s="1">
        <v>24.504999999999999</v>
      </c>
      <c r="L1587" s="1">
        <v>1.98</v>
      </c>
      <c r="M1587" s="1">
        <v>98.3</v>
      </c>
      <c r="N1587" s="1">
        <v>2.9569999999999999E-2</v>
      </c>
      <c r="O1587" s="1">
        <v>2.4590000000000001E-4</v>
      </c>
      <c r="P15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1.1332508810230859E-4</v>
      </c>
      <c r="Q1587" s="1">
        <f>LN(Table13[[#This Row],[qe_mg_g]]-Table13[[#This Row],[qt]])</f>
        <v>-2.0883880432501161</v>
      </c>
      <c r="R1587" s="1">
        <v>2</v>
      </c>
    </row>
    <row r="1588" spans="1:18" hidden="1" x14ac:dyDescent="0.3">
      <c r="A1588" s="1">
        <v>1587</v>
      </c>
      <c r="B1588" s="1" t="s">
        <v>18</v>
      </c>
      <c r="C1588" s="1">
        <v>4</v>
      </c>
      <c r="D1588" s="1">
        <v>30</v>
      </c>
      <c r="E1588" s="1">
        <v>25</v>
      </c>
      <c r="F1588" s="1">
        <v>3</v>
      </c>
      <c r="G1588" s="1">
        <v>25</v>
      </c>
      <c r="H1588" s="1">
        <v>150</v>
      </c>
      <c r="I1588" s="1">
        <v>100</v>
      </c>
      <c r="J1588" s="1">
        <v>0.13500000000000001</v>
      </c>
      <c r="K1588" s="1">
        <v>24.457999999999998</v>
      </c>
      <c r="L1588" s="1">
        <v>2.17</v>
      </c>
      <c r="M1588" s="1">
        <v>101.1</v>
      </c>
      <c r="N1588" s="1">
        <v>2.87E-2</v>
      </c>
      <c r="O1588" s="1">
        <v>2.8180000000000002E-4</v>
      </c>
      <c r="P15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1.5389850717274881E-4</v>
      </c>
      <c r="Q1588" s="1">
        <f>LN(Table13[[#This Row],[qe_mg_g]]-Table13[[#This Row],[qt]])</f>
        <v>-2.003621139767378</v>
      </c>
      <c r="R1588" s="1">
        <v>3</v>
      </c>
    </row>
    <row r="1589" spans="1:18" hidden="1" x14ac:dyDescent="0.3">
      <c r="A1589" s="1">
        <v>1588</v>
      </c>
      <c r="B1589" s="1" t="s">
        <v>18</v>
      </c>
      <c r="C1589" s="1">
        <v>4</v>
      </c>
      <c r="D1589" s="1">
        <v>30</v>
      </c>
      <c r="E1589" s="1">
        <v>25</v>
      </c>
      <c r="F1589" s="1">
        <v>7</v>
      </c>
      <c r="G1589" s="1">
        <v>25</v>
      </c>
      <c r="H1589" s="1">
        <v>150</v>
      </c>
      <c r="I1589" s="1">
        <v>100</v>
      </c>
      <c r="J1589" s="1">
        <v>0.21299999999999999</v>
      </c>
      <c r="K1589" s="1">
        <v>24.15</v>
      </c>
      <c r="L1589" s="1">
        <v>3.4</v>
      </c>
      <c r="M1589" s="1">
        <v>89.2</v>
      </c>
      <c r="N1589" s="1">
        <v>3.8339999999999999E-2</v>
      </c>
      <c r="O1589" s="1">
        <v>2.241E-4</v>
      </c>
      <c r="P15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3.0457962927545718E-4</v>
      </c>
      <c r="Q1589" s="1">
        <f>LN(Table13[[#This Row],[qe_mg_g]]-Table13[[#This Row],[qt]])</f>
        <v>-1.547894087939923</v>
      </c>
      <c r="R1589" s="1">
        <v>1</v>
      </c>
    </row>
    <row r="1590" spans="1:18" hidden="1" x14ac:dyDescent="0.3">
      <c r="A1590" s="1">
        <v>1589</v>
      </c>
      <c r="B1590" s="1" t="s">
        <v>18</v>
      </c>
      <c r="C1590" s="1">
        <v>4</v>
      </c>
      <c r="D1590" s="1">
        <v>30</v>
      </c>
      <c r="E1590" s="1">
        <v>25</v>
      </c>
      <c r="F1590" s="1">
        <v>7</v>
      </c>
      <c r="G1590" s="1">
        <v>25</v>
      </c>
      <c r="H1590" s="1">
        <v>150</v>
      </c>
      <c r="I1590" s="1">
        <v>100</v>
      </c>
      <c r="J1590" s="1">
        <v>0.20899999999999999</v>
      </c>
      <c r="K1590" s="1">
        <v>24.166</v>
      </c>
      <c r="L1590" s="1">
        <v>3.34</v>
      </c>
      <c r="M1590" s="1">
        <v>111</v>
      </c>
      <c r="N1590" s="1">
        <v>2.3769999999999999E-2</v>
      </c>
      <c r="O1590" s="1">
        <v>2.441E-4</v>
      </c>
      <c r="P15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3.1938713874843551E-4</v>
      </c>
      <c r="Q1590" s="1">
        <f>LN(Table13[[#This Row],[qe_mg_g]]-Table13[[#This Row],[qt]])</f>
        <v>-1.5669503639851636</v>
      </c>
      <c r="R1590" s="1">
        <v>2</v>
      </c>
    </row>
    <row r="1591" spans="1:18" hidden="1" x14ac:dyDescent="0.3">
      <c r="A1591" s="1">
        <v>1590</v>
      </c>
      <c r="B1591" s="1" t="s">
        <v>18</v>
      </c>
      <c r="C1591" s="1">
        <v>4</v>
      </c>
      <c r="D1591" s="1">
        <v>30</v>
      </c>
      <c r="E1591" s="1">
        <v>25</v>
      </c>
      <c r="F1591" s="1">
        <v>7</v>
      </c>
      <c r="G1591" s="1">
        <v>25</v>
      </c>
      <c r="H1591" s="1">
        <v>150</v>
      </c>
      <c r="I1591" s="1">
        <v>100</v>
      </c>
      <c r="J1591" s="1">
        <v>0.28299999999999997</v>
      </c>
      <c r="K1591" s="1">
        <v>23.866</v>
      </c>
      <c r="L1591" s="1">
        <v>4.53</v>
      </c>
      <c r="M1591" s="1">
        <v>76.8</v>
      </c>
      <c r="N1591" s="1">
        <v>2.4049999999999998E-2</v>
      </c>
      <c r="O1591" s="1">
        <v>2.1249999999999999E-4</v>
      </c>
      <c r="P15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5.0964790647073832E-4</v>
      </c>
      <c r="Q1591" s="1">
        <f>LN(Table13[[#This Row],[qe_mg_g]]-Table13[[#This Row],[qt]])</f>
        <v>-1.2641108808601427</v>
      </c>
      <c r="R1591" s="1">
        <v>3</v>
      </c>
    </row>
    <row r="1592" spans="1:18" hidden="1" x14ac:dyDescent="0.3">
      <c r="A1592" s="1">
        <v>1591</v>
      </c>
      <c r="B1592" s="1" t="s">
        <v>18</v>
      </c>
      <c r="C1592" s="1">
        <v>4</v>
      </c>
      <c r="D1592" s="1">
        <v>30</v>
      </c>
      <c r="E1592" s="1">
        <v>25</v>
      </c>
      <c r="F1592" s="1">
        <v>11</v>
      </c>
      <c r="G1592" s="1">
        <v>25</v>
      </c>
      <c r="H1592" s="1">
        <v>150</v>
      </c>
      <c r="I1592" s="1">
        <v>100</v>
      </c>
      <c r="J1592" s="1">
        <v>0.187</v>
      </c>
      <c r="K1592" s="1">
        <v>24.253</v>
      </c>
      <c r="L1592" s="1">
        <v>2.99</v>
      </c>
      <c r="M1592" s="1">
        <v>116.9</v>
      </c>
      <c r="N1592" s="1">
        <v>2.8459999999999999E-2</v>
      </c>
      <c r="O1592" s="1">
        <v>2.6709999999999999E-4</v>
      </c>
      <c r="P15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2.7978735495392903E-4</v>
      </c>
      <c r="Q1592" s="1">
        <f>LN(Table13[[#This Row],[qe_mg_g]]-Table13[[#This Row],[qt]])</f>
        <v>-1.6781439716000341</v>
      </c>
      <c r="R1592" s="1">
        <v>1</v>
      </c>
    </row>
    <row r="1593" spans="1:18" hidden="1" x14ac:dyDescent="0.3">
      <c r="A1593" s="1">
        <v>1592</v>
      </c>
      <c r="B1593" s="1" t="s">
        <v>18</v>
      </c>
      <c r="C1593" s="1">
        <v>4</v>
      </c>
      <c r="D1593" s="1">
        <v>30</v>
      </c>
      <c r="E1593" s="1">
        <v>25</v>
      </c>
      <c r="F1593" s="1">
        <v>11</v>
      </c>
      <c r="G1593" s="1">
        <v>25</v>
      </c>
      <c r="H1593" s="1">
        <v>150</v>
      </c>
      <c r="I1593" s="1">
        <v>100</v>
      </c>
      <c r="J1593" s="1">
        <v>0.19400000000000001</v>
      </c>
      <c r="K1593" s="1">
        <v>24.222000000000001</v>
      </c>
      <c r="L1593" s="1">
        <v>3.11</v>
      </c>
      <c r="M1593" s="1">
        <v>126.8</v>
      </c>
      <c r="N1593" s="1">
        <v>2.9260000000000001E-2</v>
      </c>
      <c r="O1593" s="1">
        <v>1.9249999999999999E-4</v>
      </c>
      <c r="P15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2.1710466678656566E-4</v>
      </c>
      <c r="Q1593" s="1">
        <f>LN(Table13[[#This Row],[qe_mg_g]]-Table13[[#This Row],[qt]])</f>
        <v>-1.6410168427951026</v>
      </c>
      <c r="R1593" s="1">
        <v>2</v>
      </c>
    </row>
    <row r="1594" spans="1:18" hidden="1" x14ac:dyDescent="0.3">
      <c r="A1594" s="1">
        <v>1593</v>
      </c>
      <c r="B1594" s="1" t="s">
        <v>18</v>
      </c>
      <c r="C1594" s="1">
        <v>4</v>
      </c>
      <c r="D1594" s="1">
        <v>30</v>
      </c>
      <c r="E1594" s="1">
        <v>25</v>
      </c>
      <c r="F1594" s="1">
        <v>11</v>
      </c>
      <c r="G1594" s="1">
        <v>25</v>
      </c>
      <c r="H1594" s="1">
        <v>150</v>
      </c>
      <c r="I1594" s="1">
        <v>100</v>
      </c>
      <c r="J1594" s="1">
        <v>0.16</v>
      </c>
      <c r="K1594" s="1">
        <v>24.36</v>
      </c>
      <c r="L1594" s="1">
        <v>2.56</v>
      </c>
      <c r="M1594" s="1">
        <v>93.6</v>
      </c>
      <c r="N1594" s="1">
        <v>2.9219999999999999E-2</v>
      </c>
      <c r="O1594" s="1">
        <v>2.453E-4</v>
      </c>
      <c r="P15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1.8816884247811259E-4</v>
      </c>
      <c r="Q1594" s="1">
        <f>LN(Table13[[#This Row],[qe_mg_g]]-Table13[[#This Row],[qt]])</f>
        <v>-1.8337582111094737</v>
      </c>
      <c r="R1594" s="1">
        <v>3</v>
      </c>
    </row>
    <row r="1595" spans="1:18" hidden="1" x14ac:dyDescent="0.3">
      <c r="A1595" s="1">
        <v>1594</v>
      </c>
      <c r="B1595" s="1" t="s">
        <v>18</v>
      </c>
      <c r="C1595" s="1">
        <v>4</v>
      </c>
      <c r="D1595" s="1">
        <v>30</v>
      </c>
      <c r="E1595" s="1">
        <v>50</v>
      </c>
      <c r="F1595" s="1">
        <v>3</v>
      </c>
      <c r="G1595" s="1">
        <v>25</v>
      </c>
      <c r="H1595" s="1">
        <v>150</v>
      </c>
      <c r="I1595" s="1">
        <v>100</v>
      </c>
      <c r="J1595" s="1">
        <v>0.57399999999999995</v>
      </c>
      <c r="K1595" s="1">
        <v>47.704000000000001</v>
      </c>
      <c r="L1595" s="1">
        <v>4.59</v>
      </c>
      <c r="M1595" s="1">
        <v>119.1</v>
      </c>
      <c r="N1595" s="1">
        <v>2.9479999999999999E-2</v>
      </c>
      <c r="O1595" s="1">
        <v>2.7750000000000002E-4</v>
      </c>
      <c r="P15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2.7298430086908202E-3</v>
      </c>
      <c r="Q1595" s="1">
        <f>LN(Table13[[#This Row],[qe_mg_g]]-Table13[[#This Row],[qt]])</f>
        <v>-0.55989305163465897</v>
      </c>
      <c r="R1595" s="1">
        <v>1</v>
      </c>
    </row>
    <row r="1596" spans="1:18" hidden="1" x14ac:dyDescent="0.3">
      <c r="A1596" s="1">
        <v>1595</v>
      </c>
      <c r="B1596" s="1" t="s">
        <v>18</v>
      </c>
      <c r="C1596" s="1">
        <v>4</v>
      </c>
      <c r="D1596" s="1">
        <v>30</v>
      </c>
      <c r="E1596" s="1">
        <v>50</v>
      </c>
      <c r="F1596" s="1">
        <v>3</v>
      </c>
      <c r="G1596" s="1">
        <v>25</v>
      </c>
      <c r="H1596" s="1">
        <v>150</v>
      </c>
      <c r="I1596" s="1">
        <v>100</v>
      </c>
      <c r="J1596" s="1">
        <v>0.53800000000000003</v>
      </c>
      <c r="K1596" s="1">
        <v>47.847000000000001</v>
      </c>
      <c r="L1596" s="1">
        <v>4.3099999999999996</v>
      </c>
      <c r="M1596" s="1">
        <v>101</v>
      </c>
      <c r="N1596" s="1">
        <v>3.2719999999999999E-2</v>
      </c>
      <c r="O1596" s="1">
        <v>2.5179999999999999E-4</v>
      </c>
      <c r="P15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2.177610055498731E-3</v>
      </c>
      <c r="Q1596" s="1">
        <f>LN(Table13[[#This Row],[qe_mg_g]]-Table13[[#This Row],[qt]])</f>
        <v>-0.62395253486770896</v>
      </c>
      <c r="R1596" s="1">
        <v>2</v>
      </c>
    </row>
    <row r="1597" spans="1:18" hidden="1" x14ac:dyDescent="0.3">
      <c r="A1597" s="1">
        <v>1596</v>
      </c>
      <c r="B1597" s="1" t="s">
        <v>18</v>
      </c>
      <c r="C1597" s="1">
        <v>4</v>
      </c>
      <c r="D1597" s="1">
        <v>30</v>
      </c>
      <c r="E1597" s="1">
        <v>50</v>
      </c>
      <c r="F1597" s="1">
        <v>3</v>
      </c>
      <c r="G1597" s="1">
        <v>25</v>
      </c>
      <c r="H1597" s="1">
        <v>150</v>
      </c>
      <c r="I1597" s="1">
        <v>100</v>
      </c>
      <c r="J1597" s="1">
        <v>0.61799999999999999</v>
      </c>
      <c r="K1597" s="1">
        <v>47.527000000000001</v>
      </c>
      <c r="L1597" s="1">
        <v>4.95</v>
      </c>
      <c r="M1597" s="1">
        <v>78.400000000000006</v>
      </c>
      <c r="N1597" s="1">
        <v>2.845E-2</v>
      </c>
      <c r="O1597" s="1">
        <v>2.4679999999999998E-4</v>
      </c>
      <c r="P15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2.8148853041306773E-3</v>
      </c>
      <c r="Q1597" s="1">
        <f>LN(Table13[[#This Row],[qe_mg_g]]-Table13[[#This Row],[qt]])</f>
        <v>-0.48583205696140352</v>
      </c>
      <c r="R1597" s="1">
        <v>3</v>
      </c>
    </row>
    <row r="1598" spans="1:18" hidden="1" x14ac:dyDescent="0.3">
      <c r="A1598" s="1">
        <v>1597</v>
      </c>
      <c r="B1598" s="1" t="s">
        <v>18</v>
      </c>
      <c r="C1598" s="1">
        <v>4</v>
      </c>
      <c r="D1598" s="1">
        <v>30</v>
      </c>
      <c r="E1598" s="1">
        <v>50</v>
      </c>
      <c r="F1598" s="1">
        <v>7</v>
      </c>
      <c r="G1598" s="1">
        <v>25</v>
      </c>
      <c r="H1598" s="1">
        <v>150</v>
      </c>
      <c r="I1598" s="1">
        <v>100</v>
      </c>
      <c r="J1598" s="1">
        <v>0.94399999999999995</v>
      </c>
      <c r="K1598" s="1">
        <v>46.225000000000001</v>
      </c>
      <c r="L1598" s="1">
        <v>7.55</v>
      </c>
      <c r="M1598" s="1">
        <v>119</v>
      </c>
      <c r="N1598" s="1">
        <v>2.9929999999999998E-2</v>
      </c>
      <c r="O1598" s="1">
        <v>2.1440000000000001E-4</v>
      </c>
      <c r="P15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5.6971944809728727E-3</v>
      </c>
      <c r="Q1598" s="1">
        <f>LN(Table13[[#This Row],[qe_mg_g]]-Table13[[#This Row],[qt]])</f>
        <v>-6.3682561688442704E-2</v>
      </c>
      <c r="R1598" s="1">
        <v>1</v>
      </c>
    </row>
    <row r="1599" spans="1:18" hidden="1" x14ac:dyDescent="0.3">
      <c r="A1599" s="1">
        <v>1598</v>
      </c>
      <c r="B1599" s="1" t="s">
        <v>18</v>
      </c>
      <c r="C1599" s="1">
        <v>4</v>
      </c>
      <c r="D1599" s="1">
        <v>30</v>
      </c>
      <c r="E1599" s="1">
        <v>50</v>
      </c>
      <c r="F1599" s="1">
        <v>7</v>
      </c>
      <c r="G1599" s="1">
        <v>25</v>
      </c>
      <c r="H1599" s="1">
        <v>150</v>
      </c>
      <c r="I1599" s="1">
        <v>100</v>
      </c>
      <c r="J1599" s="1">
        <v>0.97699999999999998</v>
      </c>
      <c r="K1599" s="1">
        <v>46.093000000000004</v>
      </c>
      <c r="L1599" s="1">
        <v>7.81</v>
      </c>
      <c r="M1599" s="1">
        <v>111.3</v>
      </c>
      <c r="N1599" s="1">
        <v>2.4170000000000001E-2</v>
      </c>
      <c r="O1599" s="1">
        <v>2.499E-4</v>
      </c>
      <c r="P15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7.1040696645611155E-3</v>
      </c>
      <c r="Q1599" s="1">
        <f>LN(Table13[[#This Row],[qe_mg_g]]-Table13[[#This Row],[qt]])</f>
        <v>-3.0566501554491952E-2</v>
      </c>
      <c r="R1599" s="1">
        <v>2</v>
      </c>
    </row>
    <row r="1600" spans="1:18" hidden="1" x14ac:dyDescent="0.3">
      <c r="A1600" s="1">
        <v>1599</v>
      </c>
      <c r="B1600" s="1" t="s">
        <v>18</v>
      </c>
      <c r="C1600" s="1">
        <v>4</v>
      </c>
      <c r="D1600" s="1">
        <v>30</v>
      </c>
      <c r="E1600" s="1">
        <v>50</v>
      </c>
      <c r="F1600" s="1">
        <v>7</v>
      </c>
      <c r="G1600" s="1">
        <v>25</v>
      </c>
      <c r="H1600" s="1">
        <v>150</v>
      </c>
      <c r="I1600" s="1">
        <v>100</v>
      </c>
      <c r="J1600" s="1">
        <v>0.77800000000000002</v>
      </c>
      <c r="K1600" s="1">
        <v>46.887999999999998</v>
      </c>
      <c r="L1600" s="1">
        <v>6.22</v>
      </c>
      <c r="M1600" s="1">
        <v>90</v>
      </c>
      <c r="N1600" s="1">
        <v>2.7289999999999998E-2</v>
      </c>
      <c r="O1600" s="1">
        <v>2.7020000000000001E-4</v>
      </c>
      <c r="P16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4.8756837603870003E-3</v>
      </c>
      <c r="Q1600" s="1">
        <f>LN(Table13[[#This Row],[qe_mg_g]]-Table13[[#This Row],[qt]])</f>
        <v>-0.25731542024694737</v>
      </c>
      <c r="R1600" s="1">
        <v>3</v>
      </c>
    </row>
    <row r="1601" spans="1:18" hidden="1" x14ac:dyDescent="0.3">
      <c r="A1601" s="1">
        <v>1600</v>
      </c>
      <c r="B1601" s="1" t="s">
        <v>18</v>
      </c>
      <c r="C1601" s="1">
        <v>4</v>
      </c>
      <c r="D1601" s="1">
        <v>30</v>
      </c>
      <c r="E1601" s="1">
        <v>50</v>
      </c>
      <c r="F1601" s="1">
        <v>11</v>
      </c>
      <c r="G1601" s="1">
        <v>25</v>
      </c>
      <c r="H1601" s="1">
        <v>150</v>
      </c>
      <c r="I1601" s="1">
        <v>100</v>
      </c>
      <c r="J1601" s="1">
        <v>0.67100000000000004</v>
      </c>
      <c r="K1601" s="1">
        <v>47.314999999999998</v>
      </c>
      <c r="L1601" s="1">
        <v>5.37</v>
      </c>
      <c r="M1601" s="1">
        <v>80.7</v>
      </c>
      <c r="N1601" s="1">
        <v>3.2640000000000002E-2</v>
      </c>
      <c r="O1601" s="1">
        <v>2.142E-4</v>
      </c>
      <c r="P16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2.880826983693669E-3</v>
      </c>
      <c r="Q1601" s="1">
        <f>LN(Table13[[#This Row],[qe_mg_g]]-Table13[[#This Row],[qt]])</f>
        <v>-0.40328871863834237</v>
      </c>
      <c r="R1601" s="1">
        <v>1</v>
      </c>
    </row>
    <row r="1602" spans="1:18" hidden="1" x14ac:dyDescent="0.3">
      <c r="A1602" s="1">
        <v>1601</v>
      </c>
      <c r="B1602" s="1" t="s">
        <v>18</v>
      </c>
      <c r="C1602" s="1">
        <v>4</v>
      </c>
      <c r="D1602" s="1">
        <v>30</v>
      </c>
      <c r="E1602" s="1">
        <v>50</v>
      </c>
      <c r="F1602" s="1">
        <v>11</v>
      </c>
      <c r="G1602" s="1">
        <v>25</v>
      </c>
      <c r="H1602" s="1">
        <v>150</v>
      </c>
      <c r="I1602" s="1">
        <v>100</v>
      </c>
      <c r="J1602" s="1">
        <v>0.68400000000000005</v>
      </c>
      <c r="K1602" s="1">
        <v>47.264000000000003</v>
      </c>
      <c r="L1602" s="1">
        <v>5.47</v>
      </c>
      <c r="M1602" s="1">
        <v>87.8</v>
      </c>
      <c r="N1602" s="1">
        <v>2.8899999999999999E-2</v>
      </c>
      <c r="O1602" s="1">
        <v>2.6259999999999999E-4</v>
      </c>
      <c r="P16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3.6660150552420452E-3</v>
      </c>
      <c r="Q1602" s="1">
        <f>LN(Table13[[#This Row],[qe_mg_g]]-Table13[[#This Row],[qt]])</f>
        <v>-0.38517144705826672</v>
      </c>
      <c r="R1602" s="1">
        <v>2</v>
      </c>
    </row>
    <row r="1603" spans="1:18" hidden="1" x14ac:dyDescent="0.3">
      <c r="A1603" s="1">
        <v>1602</v>
      </c>
      <c r="B1603" s="1" t="s">
        <v>18</v>
      </c>
      <c r="C1603" s="1">
        <v>4</v>
      </c>
      <c r="D1603" s="1">
        <v>30</v>
      </c>
      <c r="E1603" s="1">
        <v>50</v>
      </c>
      <c r="F1603" s="1">
        <v>11</v>
      </c>
      <c r="G1603" s="1">
        <v>25</v>
      </c>
      <c r="H1603" s="1">
        <v>150</v>
      </c>
      <c r="I1603" s="1">
        <v>100</v>
      </c>
      <c r="J1603" s="1">
        <v>0.69499999999999995</v>
      </c>
      <c r="K1603" s="1">
        <v>47.218000000000004</v>
      </c>
      <c r="L1603" s="1">
        <v>5.56</v>
      </c>
      <c r="M1603" s="1">
        <v>120.1</v>
      </c>
      <c r="N1603" s="1">
        <v>2.9749999999999999E-2</v>
      </c>
      <c r="O1603" s="1">
        <v>2.5769999999999998E-4</v>
      </c>
      <c r="P16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3.7143091249278509E-3</v>
      </c>
      <c r="Q1603" s="1">
        <f>LN(Table13[[#This Row],[qe_mg_g]]-Table13[[#This Row],[qt]])</f>
        <v>-0.3692020951094962</v>
      </c>
      <c r="R1603" s="1">
        <v>3</v>
      </c>
    </row>
    <row r="1604" spans="1:18" hidden="1" x14ac:dyDescent="0.3">
      <c r="A1604" s="1">
        <v>1603</v>
      </c>
      <c r="B1604" s="1" t="s">
        <v>18</v>
      </c>
      <c r="C1604" s="1">
        <v>4</v>
      </c>
      <c r="D1604" s="1">
        <v>30</v>
      </c>
      <c r="E1604" s="1">
        <v>100</v>
      </c>
      <c r="F1604" s="1">
        <v>3</v>
      </c>
      <c r="G1604" s="1">
        <v>25</v>
      </c>
      <c r="H1604" s="1">
        <v>150</v>
      </c>
      <c r="I1604" s="1">
        <v>100</v>
      </c>
      <c r="J1604" s="1">
        <v>1.871</v>
      </c>
      <c r="K1604" s="1">
        <v>92.516000000000005</v>
      </c>
      <c r="L1604" s="1">
        <v>7.48</v>
      </c>
      <c r="M1604" s="1">
        <v>102.7</v>
      </c>
      <c r="N1604" s="1">
        <v>3.1320000000000001E-2</v>
      </c>
      <c r="O1604" s="1">
        <v>2.475E-4</v>
      </c>
      <c r="P16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2.5636117987595672E-2</v>
      </c>
      <c r="Q1604" s="1">
        <f>LN(Table13[[#This Row],[qe_mg_g]]-Table13[[#This Row],[qt]])</f>
        <v>0.61267648406897868</v>
      </c>
      <c r="R1604" s="1">
        <v>1</v>
      </c>
    </row>
    <row r="1605" spans="1:18" hidden="1" x14ac:dyDescent="0.3">
      <c r="A1605" s="1">
        <v>1604</v>
      </c>
      <c r="B1605" s="1" t="s">
        <v>18</v>
      </c>
      <c r="C1605" s="1">
        <v>4</v>
      </c>
      <c r="D1605" s="1">
        <v>30</v>
      </c>
      <c r="E1605" s="1">
        <v>100</v>
      </c>
      <c r="F1605" s="1">
        <v>3</v>
      </c>
      <c r="G1605" s="1">
        <v>25</v>
      </c>
      <c r="H1605" s="1">
        <v>150</v>
      </c>
      <c r="I1605" s="1">
        <v>100</v>
      </c>
      <c r="J1605" s="1">
        <v>1.6319999999999999</v>
      </c>
      <c r="K1605" s="1">
        <v>93.472999999999999</v>
      </c>
      <c r="L1605" s="1">
        <v>6.53</v>
      </c>
      <c r="M1605" s="1">
        <v>105</v>
      </c>
      <c r="N1605" s="1">
        <v>3.109E-2</v>
      </c>
      <c r="O1605" s="1">
        <v>2.33E-4</v>
      </c>
      <c r="P16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1.8407348617325108E-2</v>
      </c>
      <c r="Q1605" s="1">
        <f>LN(Table13[[#This Row],[qe_mg_g]]-Table13[[#This Row],[qt]])</f>
        <v>0.47846315347215679</v>
      </c>
      <c r="R1605" s="1">
        <v>2</v>
      </c>
    </row>
    <row r="1606" spans="1:18" hidden="1" x14ac:dyDescent="0.3">
      <c r="A1606" s="1">
        <v>1605</v>
      </c>
      <c r="B1606" s="1" t="s">
        <v>18</v>
      </c>
      <c r="C1606" s="1">
        <v>4</v>
      </c>
      <c r="D1606" s="1">
        <v>30</v>
      </c>
      <c r="E1606" s="1">
        <v>100</v>
      </c>
      <c r="F1606" s="1">
        <v>3</v>
      </c>
      <c r="G1606" s="1">
        <v>25</v>
      </c>
      <c r="H1606" s="1">
        <v>150</v>
      </c>
      <c r="I1606" s="1">
        <v>100</v>
      </c>
      <c r="J1606" s="1">
        <v>1.7230000000000001</v>
      </c>
      <c r="K1606" s="1">
        <v>93.108999999999995</v>
      </c>
      <c r="L1606" s="1">
        <v>6.89</v>
      </c>
      <c r="M1606" s="1">
        <v>122.1</v>
      </c>
      <c r="N1606" s="1">
        <v>3.1469999999999998E-2</v>
      </c>
      <c r="O1606" s="1">
        <v>2.4429999999999998E-4</v>
      </c>
      <c r="P16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2.1486486349086422E-2</v>
      </c>
      <c r="Q1606" s="1">
        <f>LN(Table13[[#This Row],[qe_mg_g]]-Table13[[#This Row],[qt]])</f>
        <v>0.5315181571258818</v>
      </c>
      <c r="R1606" s="1">
        <v>3</v>
      </c>
    </row>
    <row r="1607" spans="1:18" hidden="1" x14ac:dyDescent="0.3">
      <c r="A1607" s="1">
        <v>1606</v>
      </c>
      <c r="B1607" s="1" t="s">
        <v>18</v>
      </c>
      <c r="C1607" s="1">
        <v>4</v>
      </c>
      <c r="D1607" s="1">
        <v>30</v>
      </c>
      <c r="E1607" s="1">
        <v>100</v>
      </c>
      <c r="F1607" s="1">
        <v>7</v>
      </c>
      <c r="G1607" s="1">
        <v>25</v>
      </c>
      <c r="H1607" s="1">
        <v>150</v>
      </c>
      <c r="I1607" s="1">
        <v>100</v>
      </c>
      <c r="J1607" s="1">
        <v>2.9889999999999999</v>
      </c>
      <c r="K1607" s="1">
        <v>88.043999999999997</v>
      </c>
      <c r="L1607" s="1">
        <v>11.96</v>
      </c>
      <c r="M1607" s="1">
        <v>87.7</v>
      </c>
      <c r="N1607" s="1">
        <v>3.3910000000000003E-2</v>
      </c>
      <c r="O1607" s="1">
        <v>2.5339999999999998E-4</v>
      </c>
      <c r="P16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6.6408234827927057E-2</v>
      </c>
      <c r="Q1607" s="1">
        <f>LN(Table13[[#This Row],[qe_mg_g]]-Table13[[#This Row],[qt]])</f>
        <v>1.0724708134167504</v>
      </c>
      <c r="R1607" s="1">
        <v>1</v>
      </c>
    </row>
    <row r="1608" spans="1:18" hidden="1" x14ac:dyDescent="0.3">
      <c r="A1608" s="1">
        <v>1607</v>
      </c>
      <c r="B1608" s="1" t="s">
        <v>18</v>
      </c>
      <c r="C1608" s="1">
        <v>4</v>
      </c>
      <c r="D1608" s="1">
        <v>30</v>
      </c>
      <c r="E1608" s="1">
        <v>100</v>
      </c>
      <c r="F1608" s="1">
        <v>7</v>
      </c>
      <c r="G1608" s="1">
        <v>25</v>
      </c>
      <c r="H1608" s="1">
        <v>150</v>
      </c>
      <c r="I1608" s="1">
        <v>100</v>
      </c>
      <c r="J1608" s="1">
        <v>3.165</v>
      </c>
      <c r="K1608" s="1">
        <v>87.340999999999994</v>
      </c>
      <c r="L1608" s="1">
        <v>12.66</v>
      </c>
      <c r="M1608" s="1">
        <v>107.6</v>
      </c>
      <c r="N1608" s="1">
        <v>2.7560000000000001E-2</v>
      </c>
      <c r="O1608" s="1">
        <v>2.875E-4</v>
      </c>
      <c r="P16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8.4102719086535868E-2</v>
      </c>
      <c r="Q1608" s="1">
        <f>LN(Table13[[#This Row],[qe_mg_g]]-Table13[[#This Row],[qt]])</f>
        <v>1.1252208795305072</v>
      </c>
      <c r="R1608" s="1">
        <v>2</v>
      </c>
    </row>
    <row r="1609" spans="1:18" hidden="1" x14ac:dyDescent="0.3">
      <c r="A1609" s="1">
        <v>1608</v>
      </c>
      <c r="B1609" s="1" t="s">
        <v>18</v>
      </c>
      <c r="C1609" s="1">
        <v>4</v>
      </c>
      <c r="D1609" s="1">
        <v>30</v>
      </c>
      <c r="E1609" s="1">
        <v>100</v>
      </c>
      <c r="F1609" s="1">
        <v>7</v>
      </c>
      <c r="G1609" s="1">
        <v>25</v>
      </c>
      <c r="H1609" s="1">
        <v>150</v>
      </c>
      <c r="I1609" s="1">
        <v>100</v>
      </c>
      <c r="J1609" s="1">
        <v>3.7349999999999999</v>
      </c>
      <c r="K1609" s="1">
        <v>85.058999999999997</v>
      </c>
      <c r="L1609" s="1">
        <v>14.94</v>
      </c>
      <c r="M1609" s="1">
        <v>93</v>
      </c>
      <c r="N1609" s="1">
        <v>2.811E-2</v>
      </c>
      <c r="O1609" s="1">
        <v>1.8450000000000001E-4</v>
      </c>
      <c r="P16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7.5650554441652959E-2</v>
      </c>
      <c r="Q1609" s="1">
        <f>LN(Table13[[#This Row],[qe_mg_g]]-Table13[[#This Row],[qt]])</f>
        <v>1.2972853844991785</v>
      </c>
      <c r="R1609" s="1">
        <v>3</v>
      </c>
    </row>
    <row r="1610" spans="1:18" hidden="1" x14ac:dyDescent="0.3">
      <c r="A1610" s="1">
        <v>1609</v>
      </c>
      <c r="B1610" s="1" t="s">
        <v>18</v>
      </c>
      <c r="C1610" s="1">
        <v>4</v>
      </c>
      <c r="D1610" s="1">
        <v>30</v>
      </c>
      <c r="E1610" s="1">
        <v>100</v>
      </c>
      <c r="F1610" s="1">
        <v>11</v>
      </c>
      <c r="G1610" s="1">
        <v>25</v>
      </c>
      <c r="H1610" s="1">
        <v>150</v>
      </c>
      <c r="I1610" s="1">
        <v>100</v>
      </c>
      <c r="J1610" s="1">
        <v>2.1339999999999999</v>
      </c>
      <c r="K1610" s="1">
        <v>91.462999999999994</v>
      </c>
      <c r="L1610" s="1">
        <v>8.5399999999999991</v>
      </c>
      <c r="M1610" s="1">
        <v>79.900000000000006</v>
      </c>
      <c r="N1610" s="1">
        <v>3.041E-2</v>
      </c>
      <c r="O1610" s="1">
        <v>2.418E-4</v>
      </c>
      <c r="P16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3.253081858125273E-2</v>
      </c>
      <c r="Q1610" s="1">
        <f>LN(Table13[[#This Row],[qe_mg_g]]-Table13[[#This Row],[qt]])</f>
        <v>0.74263671031564782</v>
      </c>
      <c r="R1610" s="1">
        <v>1</v>
      </c>
    </row>
    <row r="1611" spans="1:18" hidden="1" x14ac:dyDescent="0.3">
      <c r="A1611" s="1">
        <v>1610</v>
      </c>
      <c r="B1611" s="1" t="s">
        <v>18</v>
      </c>
      <c r="C1611" s="1">
        <v>4</v>
      </c>
      <c r="D1611" s="1">
        <v>30</v>
      </c>
      <c r="E1611" s="1">
        <v>100</v>
      </c>
      <c r="F1611" s="1">
        <v>11</v>
      </c>
      <c r="G1611" s="1">
        <v>25</v>
      </c>
      <c r="H1611" s="1">
        <v>150</v>
      </c>
      <c r="I1611" s="1">
        <v>100</v>
      </c>
      <c r="J1611" s="1">
        <v>2.1640000000000001</v>
      </c>
      <c r="K1611" s="1">
        <v>91.341999999999999</v>
      </c>
      <c r="L1611" s="1">
        <v>8.66</v>
      </c>
      <c r="M1611" s="1">
        <v>95.8</v>
      </c>
      <c r="N1611" s="1">
        <v>3.1519999999999999E-2</v>
      </c>
      <c r="O1611" s="1">
        <v>2.632E-4</v>
      </c>
      <c r="P16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3.6354951790630793E-2</v>
      </c>
      <c r="Q1611" s="1">
        <f>LN(Table13[[#This Row],[qe_mg_g]]-Table13[[#This Row],[qt]])</f>
        <v>0.75501575691312994</v>
      </c>
      <c r="R1611" s="1">
        <v>2</v>
      </c>
    </row>
    <row r="1612" spans="1:18" hidden="1" x14ac:dyDescent="0.3">
      <c r="A1612" s="1">
        <v>1611</v>
      </c>
      <c r="B1612" s="1" t="s">
        <v>18</v>
      </c>
      <c r="C1612" s="1">
        <v>4</v>
      </c>
      <c r="D1612" s="1">
        <v>30</v>
      </c>
      <c r="E1612" s="1">
        <v>100</v>
      </c>
      <c r="F1612" s="1">
        <v>11</v>
      </c>
      <c r="G1612" s="1">
        <v>25</v>
      </c>
      <c r="H1612" s="1">
        <v>150</v>
      </c>
      <c r="I1612" s="1">
        <v>100</v>
      </c>
      <c r="J1612" s="1">
        <v>2.0419999999999998</v>
      </c>
      <c r="K1612" s="1">
        <v>91.834000000000003</v>
      </c>
      <c r="L1612" s="1">
        <v>8.17</v>
      </c>
      <c r="M1612" s="1">
        <v>98.1</v>
      </c>
      <c r="N1612" s="1">
        <v>2.5850000000000001E-2</v>
      </c>
      <c r="O1612" s="1">
        <v>2.7250000000000001E-4</v>
      </c>
      <c r="P16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3.3528123991368682E-2</v>
      </c>
      <c r="Q1612" s="1">
        <f>LN(Table13[[#This Row],[qe_mg_g]]-Table13[[#This Row],[qt]])</f>
        <v>0.69737417223404141</v>
      </c>
      <c r="R1612" s="1">
        <v>3</v>
      </c>
    </row>
    <row r="1613" spans="1:18" hidden="1" x14ac:dyDescent="0.3">
      <c r="A1613" s="1">
        <v>1612</v>
      </c>
      <c r="B1613" s="1" t="s">
        <v>18</v>
      </c>
      <c r="C1613" s="1">
        <v>4</v>
      </c>
      <c r="D1613" s="1">
        <v>30</v>
      </c>
      <c r="E1613" s="1">
        <v>200</v>
      </c>
      <c r="F1613" s="1">
        <v>3</v>
      </c>
      <c r="G1613" s="1">
        <v>25</v>
      </c>
      <c r="H1613" s="1">
        <v>150</v>
      </c>
      <c r="I1613" s="1">
        <v>100</v>
      </c>
      <c r="J1613" s="1">
        <v>7.3120000000000003</v>
      </c>
      <c r="K1613" s="1">
        <v>170.751</v>
      </c>
      <c r="L1613" s="1">
        <v>14.62</v>
      </c>
      <c r="M1613" s="1">
        <v>86.5</v>
      </c>
      <c r="N1613" s="1">
        <v>2.7699999999999999E-2</v>
      </c>
      <c r="O1613" s="1">
        <v>2.385E-4</v>
      </c>
      <c r="P16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0.3635258248709306</v>
      </c>
      <c r="Q1613" s="1">
        <f>LN(Table13[[#This Row],[qe_mg_g]]-Table13[[#This Row],[qt]])</f>
        <v>1.9385220923266797</v>
      </c>
      <c r="R1613" s="1">
        <v>1</v>
      </c>
    </row>
    <row r="1614" spans="1:18" hidden="1" x14ac:dyDescent="0.3">
      <c r="A1614" s="1">
        <v>1613</v>
      </c>
      <c r="B1614" s="1" t="s">
        <v>18</v>
      </c>
      <c r="C1614" s="1">
        <v>4</v>
      </c>
      <c r="D1614" s="1">
        <v>30</v>
      </c>
      <c r="E1614" s="1">
        <v>200</v>
      </c>
      <c r="F1614" s="1">
        <v>3</v>
      </c>
      <c r="G1614" s="1">
        <v>25</v>
      </c>
      <c r="H1614" s="1">
        <v>150</v>
      </c>
      <c r="I1614" s="1">
        <v>100</v>
      </c>
      <c r="J1614" s="1">
        <v>5.4450000000000003</v>
      </c>
      <c r="K1614" s="1">
        <v>178.21899999999999</v>
      </c>
      <c r="L1614" s="1">
        <v>10.89</v>
      </c>
      <c r="M1614" s="1">
        <v>105</v>
      </c>
      <c r="N1614" s="1">
        <v>2.9180000000000001E-2</v>
      </c>
      <c r="O1614" s="1">
        <v>2.743E-4</v>
      </c>
      <c r="P16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0.23351070571743596</v>
      </c>
      <c r="Q1614" s="1">
        <f>LN(Table13[[#This Row],[qe_mg_g]]-Table13[[#This Row],[qt]])</f>
        <v>1.6508656679463656</v>
      </c>
      <c r="R1614" s="1">
        <v>2</v>
      </c>
    </row>
    <row r="1615" spans="1:18" hidden="1" x14ac:dyDescent="0.3">
      <c r="A1615" s="1">
        <v>1614</v>
      </c>
      <c r="B1615" s="1" t="s">
        <v>18</v>
      </c>
      <c r="C1615" s="1">
        <v>4</v>
      </c>
      <c r="D1615" s="1">
        <v>30</v>
      </c>
      <c r="E1615" s="1">
        <v>200</v>
      </c>
      <c r="F1615" s="1">
        <v>3</v>
      </c>
      <c r="G1615" s="1">
        <v>25</v>
      </c>
      <c r="H1615" s="1">
        <v>150</v>
      </c>
      <c r="I1615" s="1">
        <v>100</v>
      </c>
      <c r="J1615" s="1">
        <v>6.1550000000000002</v>
      </c>
      <c r="K1615" s="1">
        <v>175.38</v>
      </c>
      <c r="L1615" s="1">
        <v>12.31</v>
      </c>
      <c r="M1615" s="1">
        <v>90.7</v>
      </c>
      <c r="N1615" s="1">
        <v>2.5479999999999999E-2</v>
      </c>
      <c r="O1615" s="1">
        <v>2.2489999999999999E-4</v>
      </c>
      <c r="P16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0.24541209591926536</v>
      </c>
      <c r="Q1615" s="1">
        <f>LN(Table13[[#This Row],[qe_mg_g]]-Table13[[#This Row],[qt]])</f>
        <v>1.7765761004049163</v>
      </c>
      <c r="R1615" s="1">
        <v>3</v>
      </c>
    </row>
    <row r="1616" spans="1:18" hidden="1" x14ac:dyDescent="0.3">
      <c r="A1616" s="1">
        <v>1615</v>
      </c>
      <c r="B1616" s="1" t="s">
        <v>18</v>
      </c>
      <c r="C1616" s="1">
        <v>4</v>
      </c>
      <c r="D1616" s="1">
        <v>30</v>
      </c>
      <c r="E1616" s="1">
        <v>200</v>
      </c>
      <c r="F1616" s="1">
        <v>7</v>
      </c>
      <c r="G1616" s="1">
        <v>25</v>
      </c>
      <c r="H1616" s="1">
        <v>150</v>
      </c>
      <c r="I1616" s="1">
        <v>100</v>
      </c>
      <c r="J1616" s="1">
        <v>10.134</v>
      </c>
      <c r="K1616" s="1">
        <v>159.46600000000001</v>
      </c>
      <c r="L1616" s="1">
        <v>20.27</v>
      </c>
      <c r="M1616" s="1">
        <v>114.9</v>
      </c>
      <c r="N1616" s="1">
        <v>2.7910000000000001E-2</v>
      </c>
      <c r="O1616" s="1">
        <v>2.5310000000000003E-4</v>
      </c>
      <c r="P16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0.72407021458582554</v>
      </c>
      <c r="Q1616" s="1">
        <f>LN(Table13[[#This Row],[qe_mg_g]]-Table13[[#This Row],[qt]])</f>
        <v>2.2417654918706371</v>
      </c>
      <c r="R1616" s="1">
        <v>1</v>
      </c>
    </row>
    <row r="1617" spans="1:18" hidden="1" x14ac:dyDescent="0.3">
      <c r="A1617" s="1">
        <v>1616</v>
      </c>
      <c r="B1617" s="1" t="s">
        <v>18</v>
      </c>
      <c r="C1617" s="1">
        <v>4</v>
      </c>
      <c r="D1617" s="1">
        <v>30</v>
      </c>
      <c r="E1617" s="1">
        <v>200</v>
      </c>
      <c r="F1617" s="1">
        <v>7</v>
      </c>
      <c r="G1617" s="1">
        <v>25</v>
      </c>
      <c r="H1617" s="1">
        <v>150</v>
      </c>
      <c r="I1617" s="1">
        <v>100</v>
      </c>
      <c r="J1617" s="1">
        <v>10.951000000000001</v>
      </c>
      <c r="K1617" s="1">
        <v>156.19499999999999</v>
      </c>
      <c r="L1617" s="1">
        <v>21.9</v>
      </c>
      <c r="M1617" s="1">
        <v>81</v>
      </c>
      <c r="N1617" s="1">
        <v>2.9499999999999998E-2</v>
      </c>
      <c r="O1617" s="1">
        <v>2.6499999999999999E-4</v>
      </c>
      <c r="P16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0.87704321130439444</v>
      </c>
      <c r="Q1617" s="1">
        <f>LN(Table13[[#This Row],[qe_mg_g]]-Table13[[#This Row],[qt]])</f>
        <v>2.3099535579252981</v>
      </c>
      <c r="R1617" s="1">
        <v>2</v>
      </c>
    </row>
    <row r="1618" spans="1:18" hidden="1" x14ac:dyDescent="0.3">
      <c r="A1618" s="1">
        <v>1617</v>
      </c>
      <c r="B1618" s="1" t="s">
        <v>18</v>
      </c>
      <c r="C1618" s="1">
        <v>4</v>
      </c>
      <c r="D1618" s="1">
        <v>30</v>
      </c>
      <c r="E1618" s="1">
        <v>200</v>
      </c>
      <c r="F1618" s="1">
        <v>7</v>
      </c>
      <c r="G1618" s="1">
        <v>25</v>
      </c>
      <c r="H1618" s="1">
        <v>150</v>
      </c>
      <c r="I1618" s="1">
        <v>100</v>
      </c>
      <c r="J1618" s="1">
        <v>10.106999999999999</v>
      </c>
      <c r="K1618" s="1">
        <v>159.571</v>
      </c>
      <c r="L1618" s="1">
        <v>20.21</v>
      </c>
      <c r="M1618" s="1">
        <v>112.1</v>
      </c>
      <c r="N1618" s="1">
        <v>2.7449999999999999E-2</v>
      </c>
      <c r="O1618" s="1">
        <v>2.3790000000000001E-4</v>
      </c>
      <c r="P16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0.68000373404282799</v>
      </c>
      <c r="Q1618" s="1">
        <f>LN(Table13[[#This Row],[qe_mg_g]]-Table13[[#This Row],[qt]])</f>
        <v>2.2435775163130725</v>
      </c>
      <c r="R1618" s="1">
        <v>3</v>
      </c>
    </row>
    <row r="1619" spans="1:18" hidden="1" x14ac:dyDescent="0.3">
      <c r="A1619" s="1">
        <v>1618</v>
      </c>
      <c r="B1619" s="1" t="s">
        <v>18</v>
      </c>
      <c r="C1619" s="1">
        <v>4</v>
      </c>
      <c r="D1619" s="1">
        <v>30</v>
      </c>
      <c r="E1619" s="1">
        <v>200</v>
      </c>
      <c r="F1619" s="1">
        <v>11</v>
      </c>
      <c r="G1619" s="1">
        <v>25</v>
      </c>
      <c r="H1619" s="1">
        <v>150</v>
      </c>
      <c r="I1619" s="1">
        <v>100</v>
      </c>
      <c r="J1619" s="1">
        <v>8.9390000000000001</v>
      </c>
      <c r="K1619" s="1">
        <v>164.245</v>
      </c>
      <c r="L1619" s="1">
        <v>17.88</v>
      </c>
      <c r="M1619" s="1">
        <v>90</v>
      </c>
      <c r="N1619" s="1">
        <v>3.0110000000000001E-2</v>
      </c>
      <c r="O1619" s="1">
        <v>2.421E-4</v>
      </c>
      <c r="P16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0.54497342069185895</v>
      </c>
      <c r="Q1619" s="1">
        <f>LN(Table13[[#This Row],[qe_mg_g]]-Table13[[#This Row],[qt]])</f>
        <v>2.127520331371497</v>
      </c>
      <c r="R1619" s="1">
        <v>1</v>
      </c>
    </row>
    <row r="1620" spans="1:18" hidden="1" x14ac:dyDescent="0.3">
      <c r="A1620" s="1">
        <v>1619</v>
      </c>
      <c r="B1620" s="1" t="s">
        <v>18</v>
      </c>
      <c r="C1620" s="1">
        <v>4</v>
      </c>
      <c r="D1620" s="1">
        <v>30</v>
      </c>
      <c r="E1620" s="1">
        <v>200</v>
      </c>
      <c r="F1620" s="1">
        <v>11</v>
      </c>
      <c r="G1620" s="1">
        <v>25</v>
      </c>
      <c r="H1620" s="1">
        <v>150</v>
      </c>
      <c r="I1620" s="1">
        <v>100</v>
      </c>
      <c r="J1620" s="1">
        <v>8.6310000000000002</v>
      </c>
      <c r="K1620" s="1">
        <v>165.477</v>
      </c>
      <c r="L1620" s="1">
        <v>17.260000000000002</v>
      </c>
      <c r="M1620" s="1">
        <v>64.3</v>
      </c>
      <c r="N1620" s="1">
        <v>2.4510000000000001E-2</v>
      </c>
      <c r="O1620" s="1">
        <v>2.654E-4</v>
      </c>
      <c r="P16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0.55498399737288739</v>
      </c>
      <c r="Q1620" s="1">
        <f>LN(Table13[[#This Row],[qe_mg_g]]-Table13[[#This Row],[qt]])</f>
        <v>2.088898681952728</v>
      </c>
      <c r="R1620" s="1">
        <v>2</v>
      </c>
    </row>
    <row r="1621" spans="1:18" hidden="1" x14ac:dyDescent="0.3">
      <c r="A1621" s="1">
        <v>1620</v>
      </c>
      <c r="B1621" s="1" t="s">
        <v>18</v>
      </c>
      <c r="C1621" s="1">
        <v>4</v>
      </c>
      <c r="D1621" s="1">
        <v>30</v>
      </c>
      <c r="E1621" s="1">
        <v>200</v>
      </c>
      <c r="F1621" s="1">
        <v>11</v>
      </c>
      <c r="G1621" s="1">
        <v>25</v>
      </c>
      <c r="H1621" s="1">
        <v>150</v>
      </c>
      <c r="I1621" s="1">
        <v>100</v>
      </c>
      <c r="J1621" s="1">
        <v>9.3279999999999994</v>
      </c>
      <c r="K1621" s="1">
        <v>162.68899999999999</v>
      </c>
      <c r="L1621" s="1">
        <v>18.66</v>
      </c>
      <c r="M1621" s="1">
        <v>86.3</v>
      </c>
      <c r="N1621" s="1">
        <v>2.9270000000000001E-2</v>
      </c>
      <c r="O1621" s="1">
        <v>2.5740000000000002E-4</v>
      </c>
      <c r="P16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0.62675759093850514</v>
      </c>
      <c r="Q1621" s="1">
        <f>LN(Table13[[#This Row],[qe_mg_g]]-Table13[[#This Row],[qt]])</f>
        <v>2.1634658211040358</v>
      </c>
      <c r="R1621" s="1">
        <v>3</v>
      </c>
    </row>
    <row r="1622" spans="1:18" hidden="1" x14ac:dyDescent="0.3">
      <c r="A1622" s="1">
        <v>1621</v>
      </c>
      <c r="B1622" s="1" t="s">
        <v>18</v>
      </c>
      <c r="C1622" s="1">
        <v>4</v>
      </c>
      <c r="D1622" s="1">
        <v>60</v>
      </c>
      <c r="E1622" s="1">
        <v>25</v>
      </c>
      <c r="F1622" s="1">
        <v>3</v>
      </c>
      <c r="G1622" s="1">
        <v>25</v>
      </c>
      <c r="H1622" s="1">
        <v>150</v>
      </c>
      <c r="I1622" s="1">
        <v>100</v>
      </c>
      <c r="J1622" s="1">
        <v>0.27800000000000002</v>
      </c>
      <c r="K1622" s="1">
        <v>23.888999999999999</v>
      </c>
      <c r="L1622" s="1">
        <v>4.45</v>
      </c>
      <c r="M1622" s="1">
        <v>69.599999999999994</v>
      </c>
      <c r="N1622" s="1">
        <v>2.734E-2</v>
      </c>
      <c r="O1622" s="1">
        <v>2.4169999999999999E-4</v>
      </c>
      <c r="P16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1.1162722538971676E-3</v>
      </c>
      <c r="Q1622" s="1">
        <f>LN(Table13[[#This Row],[qe_mg_g]]-Table13[[#This Row],[qt]])</f>
        <v>-1.2841576163460009</v>
      </c>
      <c r="R1622" s="1">
        <v>1</v>
      </c>
    </row>
    <row r="1623" spans="1:18" hidden="1" x14ac:dyDescent="0.3">
      <c r="A1623" s="1">
        <v>1622</v>
      </c>
      <c r="B1623" s="1" t="s">
        <v>18</v>
      </c>
      <c r="C1623" s="1">
        <v>4</v>
      </c>
      <c r="D1623" s="1">
        <v>60</v>
      </c>
      <c r="E1623" s="1">
        <v>25</v>
      </c>
      <c r="F1623" s="1">
        <v>3</v>
      </c>
      <c r="G1623" s="1">
        <v>25</v>
      </c>
      <c r="H1623" s="1">
        <v>150</v>
      </c>
      <c r="I1623" s="1">
        <v>100</v>
      </c>
      <c r="J1623" s="1">
        <v>0.27800000000000002</v>
      </c>
      <c r="K1623" s="1">
        <v>23.888000000000002</v>
      </c>
      <c r="L1623" s="1">
        <v>4.45</v>
      </c>
      <c r="M1623" s="1">
        <v>137.5</v>
      </c>
      <c r="N1623" s="1">
        <v>2.9319999999999999E-2</v>
      </c>
      <c r="O1623" s="1">
        <v>2.1479999999999999E-4</v>
      </c>
      <c r="P16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9.9248027016930035E-4</v>
      </c>
      <c r="Q1623" s="1">
        <f>LN(Table13[[#This Row],[qe_mg_g]]-Table13[[#This Row],[qt]])</f>
        <v>-1.2837106261241726</v>
      </c>
      <c r="R1623" s="1">
        <v>2</v>
      </c>
    </row>
    <row r="1624" spans="1:18" hidden="1" x14ac:dyDescent="0.3">
      <c r="A1624" s="1">
        <v>1623</v>
      </c>
      <c r="B1624" s="1" t="s">
        <v>18</v>
      </c>
      <c r="C1624" s="1">
        <v>4</v>
      </c>
      <c r="D1624" s="1">
        <v>60</v>
      </c>
      <c r="E1624" s="1">
        <v>25</v>
      </c>
      <c r="F1624" s="1">
        <v>3</v>
      </c>
      <c r="G1624" s="1">
        <v>25</v>
      </c>
      <c r="H1624" s="1">
        <v>150</v>
      </c>
      <c r="I1624" s="1">
        <v>100</v>
      </c>
      <c r="J1624" s="1">
        <v>0.27100000000000002</v>
      </c>
      <c r="K1624" s="1">
        <v>23.916</v>
      </c>
      <c r="L1624" s="1">
        <v>4.34</v>
      </c>
      <c r="M1624" s="1">
        <v>119.8</v>
      </c>
      <c r="N1624" s="1">
        <v>3.032E-2</v>
      </c>
      <c r="O1624" s="1">
        <v>2.273E-4</v>
      </c>
      <c r="P16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9.9790022057059361E-4</v>
      </c>
      <c r="Q1624" s="1">
        <f>LN(Table13[[#This Row],[qe_mg_g]]-Table13[[#This Row],[qt]])</f>
        <v>-1.309325543053153</v>
      </c>
      <c r="R1624" s="1">
        <v>3</v>
      </c>
    </row>
    <row r="1625" spans="1:18" hidden="1" x14ac:dyDescent="0.3">
      <c r="A1625" s="1">
        <v>1624</v>
      </c>
      <c r="B1625" s="1" t="s">
        <v>18</v>
      </c>
      <c r="C1625" s="1">
        <v>4</v>
      </c>
      <c r="D1625" s="1">
        <v>60</v>
      </c>
      <c r="E1625" s="1">
        <v>25</v>
      </c>
      <c r="F1625" s="1">
        <v>7</v>
      </c>
      <c r="G1625" s="1">
        <v>25</v>
      </c>
      <c r="H1625" s="1">
        <v>150</v>
      </c>
      <c r="I1625" s="1">
        <v>100</v>
      </c>
      <c r="J1625" s="1">
        <v>0.49399999999999999</v>
      </c>
      <c r="K1625" s="1">
        <v>23.021999999999998</v>
      </c>
      <c r="L1625" s="1">
        <v>7.91</v>
      </c>
      <c r="M1625" s="1">
        <v>110</v>
      </c>
      <c r="N1625" s="1">
        <v>2.6919999999999999E-2</v>
      </c>
      <c r="O1625" s="1">
        <v>2.5950000000000002E-4</v>
      </c>
      <c r="P16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3.7706383534533458E-3</v>
      </c>
      <c r="Q1625" s="1">
        <f>LN(Table13[[#This Row],[qe_mg_g]]-Table13[[#This Row],[qt]])</f>
        <v>-0.7128819124021184</v>
      </c>
      <c r="R1625" s="1">
        <v>1</v>
      </c>
    </row>
    <row r="1626" spans="1:18" hidden="1" x14ac:dyDescent="0.3">
      <c r="A1626" s="1">
        <v>1625</v>
      </c>
      <c r="B1626" s="1" t="s">
        <v>18</v>
      </c>
      <c r="C1626" s="1">
        <v>4</v>
      </c>
      <c r="D1626" s="1">
        <v>60</v>
      </c>
      <c r="E1626" s="1">
        <v>25</v>
      </c>
      <c r="F1626" s="1">
        <v>7</v>
      </c>
      <c r="G1626" s="1">
        <v>25</v>
      </c>
      <c r="H1626" s="1">
        <v>150</v>
      </c>
      <c r="I1626" s="1">
        <v>100</v>
      </c>
      <c r="J1626" s="1">
        <v>0.496</v>
      </c>
      <c r="K1626" s="1">
        <v>23.015999999999998</v>
      </c>
      <c r="L1626" s="1">
        <v>7.94</v>
      </c>
      <c r="M1626" s="1">
        <v>117.7</v>
      </c>
      <c r="N1626" s="1">
        <v>2.98E-2</v>
      </c>
      <c r="O1626" s="1">
        <v>2.41E-4</v>
      </c>
      <c r="P16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3.5320588686645186E-3</v>
      </c>
      <c r="Q1626" s="1">
        <f>LN(Table13[[#This Row],[qe_mg_g]]-Table13[[#This Row],[qt]])</f>
        <v>-0.70832591463828221</v>
      </c>
      <c r="R1626" s="1">
        <v>2</v>
      </c>
    </row>
    <row r="1627" spans="1:18" hidden="1" x14ac:dyDescent="0.3">
      <c r="A1627" s="1">
        <v>1626</v>
      </c>
      <c r="B1627" s="1" t="s">
        <v>18</v>
      </c>
      <c r="C1627" s="1">
        <v>4</v>
      </c>
      <c r="D1627" s="1">
        <v>60</v>
      </c>
      <c r="E1627" s="1">
        <v>25</v>
      </c>
      <c r="F1627" s="1">
        <v>7</v>
      </c>
      <c r="G1627" s="1">
        <v>25</v>
      </c>
      <c r="H1627" s="1">
        <v>150</v>
      </c>
      <c r="I1627" s="1">
        <v>100</v>
      </c>
      <c r="J1627" s="1">
        <v>0.50600000000000001</v>
      </c>
      <c r="K1627" s="1">
        <v>22.978000000000002</v>
      </c>
      <c r="L1627" s="1">
        <v>8.09</v>
      </c>
      <c r="M1627" s="1">
        <v>81.8</v>
      </c>
      <c r="N1627" s="1">
        <v>3.1320000000000001E-2</v>
      </c>
      <c r="O1627" s="1">
        <v>2.1570000000000001E-4</v>
      </c>
      <c r="P16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3.2920593608822398E-3</v>
      </c>
      <c r="Q1627" s="1">
        <f>LN(Table13[[#This Row],[qe_mg_g]]-Table13[[#This Row],[qt]])</f>
        <v>-0.68774591242841887</v>
      </c>
      <c r="R1627" s="1">
        <v>3</v>
      </c>
    </row>
    <row r="1628" spans="1:18" hidden="1" x14ac:dyDescent="0.3">
      <c r="A1628" s="1">
        <v>1627</v>
      </c>
      <c r="B1628" s="1" t="s">
        <v>18</v>
      </c>
      <c r="C1628" s="1">
        <v>4</v>
      </c>
      <c r="D1628" s="1">
        <v>60</v>
      </c>
      <c r="E1628" s="1">
        <v>25</v>
      </c>
      <c r="F1628" s="1">
        <v>11</v>
      </c>
      <c r="G1628" s="1">
        <v>25</v>
      </c>
      <c r="H1628" s="1">
        <v>150</v>
      </c>
      <c r="I1628" s="1">
        <v>100</v>
      </c>
      <c r="J1628" s="1">
        <v>0.36499999999999999</v>
      </c>
      <c r="K1628" s="1">
        <v>23.54</v>
      </c>
      <c r="L1628" s="1">
        <v>5.84</v>
      </c>
      <c r="M1628" s="1">
        <v>96.1</v>
      </c>
      <c r="N1628" s="1">
        <v>3.381E-2</v>
      </c>
      <c r="O1628" s="1">
        <v>2.6229999999999998E-4</v>
      </c>
      <c r="P16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2.0847196489899313E-3</v>
      </c>
      <c r="Q1628" s="1">
        <f>LN(Table13[[#This Row],[qe_mg_g]]-Table13[[#This Row],[qt]])</f>
        <v>-1.0135858594191607</v>
      </c>
      <c r="R1628" s="1">
        <v>1</v>
      </c>
    </row>
    <row r="1629" spans="1:18" hidden="1" x14ac:dyDescent="0.3">
      <c r="A1629" s="1">
        <v>1628</v>
      </c>
      <c r="B1629" s="1" t="s">
        <v>18</v>
      </c>
      <c r="C1629" s="1">
        <v>4</v>
      </c>
      <c r="D1629" s="1">
        <v>60</v>
      </c>
      <c r="E1629" s="1">
        <v>25</v>
      </c>
      <c r="F1629" s="1">
        <v>11</v>
      </c>
      <c r="G1629" s="1">
        <v>25</v>
      </c>
      <c r="H1629" s="1">
        <v>150</v>
      </c>
      <c r="I1629" s="1">
        <v>100</v>
      </c>
      <c r="J1629" s="1">
        <v>0.29599999999999999</v>
      </c>
      <c r="K1629" s="1">
        <v>23.814</v>
      </c>
      <c r="L1629" s="1">
        <v>4.74</v>
      </c>
      <c r="M1629" s="1">
        <v>121.4</v>
      </c>
      <c r="N1629" s="1">
        <v>3.465E-2</v>
      </c>
      <c r="O1629" s="1">
        <v>2.721E-4</v>
      </c>
      <c r="P16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1.4235395667378972E-3</v>
      </c>
      <c r="Q1629" s="1">
        <f>LN(Table13[[#This Row],[qe_mg_g]]-Table13[[#This Row],[qt]])</f>
        <v>-1.2222166816312539</v>
      </c>
      <c r="R1629" s="1">
        <v>2</v>
      </c>
    </row>
    <row r="1630" spans="1:18" hidden="1" x14ac:dyDescent="0.3">
      <c r="A1630" s="1">
        <v>1629</v>
      </c>
      <c r="B1630" s="1" t="s">
        <v>18</v>
      </c>
      <c r="C1630" s="1">
        <v>4</v>
      </c>
      <c r="D1630" s="1">
        <v>60</v>
      </c>
      <c r="E1630" s="1">
        <v>25</v>
      </c>
      <c r="F1630" s="1">
        <v>11</v>
      </c>
      <c r="G1630" s="1">
        <v>25</v>
      </c>
      <c r="H1630" s="1">
        <v>150</v>
      </c>
      <c r="I1630" s="1">
        <v>100</v>
      </c>
      <c r="J1630" s="1">
        <v>0.31</v>
      </c>
      <c r="K1630" s="1">
        <v>23.759</v>
      </c>
      <c r="L1630" s="1">
        <v>4.96</v>
      </c>
      <c r="M1630" s="1">
        <v>95.4</v>
      </c>
      <c r="N1630" s="1">
        <v>3.0439999999999998E-2</v>
      </c>
      <c r="O1630" s="1">
        <v>2.3240000000000001E-4</v>
      </c>
      <c r="P16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1.3342509136307036E-3</v>
      </c>
      <c r="Q1630" s="1">
        <f>LN(Table13[[#This Row],[qe_mg_g]]-Table13[[#This Row],[qt]])</f>
        <v>-1.1754963057308316</v>
      </c>
      <c r="R1630" s="1">
        <v>3</v>
      </c>
    </row>
    <row r="1631" spans="1:18" hidden="1" x14ac:dyDescent="0.3">
      <c r="A1631" s="1">
        <v>1630</v>
      </c>
      <c r="B1631" s="1" t="s">
        <v>18</v>
      </c>
      <c r="C1631" s="1">
        <v>4</v>
      </c>
      <c r="D1631" s="1">
        <v>60</v>
      </c>
      <c r="E1631" s="1">
        <v>50</v>
      </c>
      <c r="F1631" s="1">
        <v>3</v>
      </c>
      <c r="G1631" s="1">
        <v>25</v>
      </c>
      <c r="H1631" s="1">
        <v>150</v>
      </c>
      <c r="I1631" s="1">
        <v>100</v>
      </c>
      <c r="J1631" s="1">
        <v>1.1299999999999999</v>
      </c>
      <c r="K1631" s="1">
        <v>45.481000000000002</v>
      </c>
      <c r="L1631" s="1">
        <v>9.0399999999999991</v>
      </c>
      <c r="M1631" s="1">
        <v>102.2</v>
      </c>
      <c r="N1631" s="1">
        <v>2.189E-2</v>
      </c>
      <c r="O1631" s="1">
        <v>2.5849999999999999E-4</v>
      </c>
      <c r="P16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1.9463594208817988E-2</v>
      </c>
      <c r="Q1631" s="1">
        <f>LN(Table13[[#This Row],[qe_mg_g]]-Table13[[#This Row],[qt]])</f>
        <v>0.10484314705783365</v>
      </c>
      <c r="R1631" s="1">
        <v>1</v>
      </c>
    </row>
    <row r="1632" spans="1:18" hidden="1" x14ac:dyDescent="0.3">
      <c r="A1632" s="1">
        <v>1631</v>
      </c>
      <c r="B1632" s="1" t="s">
        <v>18</v>
      </c>
      <c r="C1632" s="1">
        <v>4</v>
      </c>
      <c r="D1632" s="1">
        <v>60</v>
      </c>
      <c r="E1632" s="1">
        <v>50</v>
      </c>
      <c r="F1632" s="1">
        <v>3</v>
      </c>
      <c r="G1632" s="1">
        <v>25</v>
      </c>
      <c r="H1632" s="1">
        <v>150</v>
      </c>
      <c r="I1632" s="1">
        <v>100</v>
      </c>
      <c r="J1632" s="1">
        <v>0.95</v>
      </c>
      <c r="K1632" s="1">
        <v>46.201000000000001</v>
      </c>
      <c r="L1632" s="1">
        <v>7.6</v>
      </c>
      <c r="M1632" s="1">
        <v>98.9</v>
      </c>
      <c r="N1632" s="1">
        <v>2.8889999999999999E-2</v>
      </c>
      <c r="O1632" s="1">
        <v>2.7020000000000001E-4</v>
      </c>
      <c r="P16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1.4409404989987211E-2</v>
      </c>
      <c r="Q1632" s="1">
        <f>LN(Table13[[#This Row],[qe_mg_g]]-Table13[[#This Row],[qt]])</f>
        <v>-6.6577296684745366E-2</v>
      </c>
      <c r="R1632" s="1">
        <v>2</v>
      </c>
    </row>
    <row r="1633" spans="1:18" hidden="1" x14ac:dyDescent="0.3">
      <c r="A1633" s="1">
        <v>1632</v>
      </c>
      <c r="B1633" s="1" t="s">
        <v>18</v>
      </c>
      <c r="C1633" s="1">
        <v>4</v>
      </c>
      <c r="D1633" s="1">
        <v>60</v>
      </c>
      <c r="E1633" s="1">
        <v>50</v>
      </c>
      <c r="F1633" s="1">
        <v>3</v>
      </c>
      <c r="G1633" s="1">
        <v>25</v>
      </c>
      <c r="H1633" s="1">
        <v>150</v>
      </c>
      <c r="I1633" s="1">
        <v>100</v>
      </c>
      <c r="J1633" s="1">
        <v>1.079</v>
      </c>
      <c r="K1633" s="1">
        <v>45.683</v>
      </c>
      <c r="L1633" s="1">
        <v>8.6300000000000008</v>
      </c>
      <c r="M1633" s="1">
        <v>104.2</v>
      </c>
      <c r="N1633" s="1">
        <v>2.8979999999999999E-2</v>
      </c>
      <c r="O1633" s="1">
        <v>2.4899999999999998E-4</v>
      </c>
      <c r="P16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1.7117816881241987E-2</v>
      </c>
      <c r="Q1633" s="1">
        <f>LN(Table13[[#This Row],[qe_mg_g]]-Table13[[#This Row],[qt]])</f>
        <v>6.0042977982694111E-2</v>
      </c>
      <c r="R1633" s="1">
        <v>3</v>
      </c>
    </row>
    <row r="1634" spans="1:18" hidden="1" x14ac:dyDescent="0.3">
      <c r="A1634" s="1">
        <v>1633</v>
      </c>
      <c r="B1634" s="1" t="s">
        <v>18</v>
      </c>
      <c r="C1634" s="1">
        <v>4</v>
      </c>
      <c r="D1634" s="1">
        <v>60</v>
      </c>
      <c r="E1634" s="1">
        <v>50</v>
      </c>
      <c r="F1634" s="1">
        <v>7</v>
      </c>
      <c r="G1634" s="1">
        <v>25</v>
      </c>
      <c r="H1634" s="1">
        <v>150</v>
      </c>
      <c r="I1634" s="1">
        <v>100</v>
      </c>
      <c r="J1634" s="1">
        <v>1.679</v>
      </c>
      <c r="K1634" s="1">
        <v>43.284999999999997</v>
      </c>
      <c r="L1634" s="1">
        <v>13.43</v>
      </c>
      <c r="M1634" s="1">
        <v>88</v>
      </c>
      <c r="N1634" s="1">
        <v>3.1739999999999997E-2</v>
      </c>
      <c r="O1634" s="1">
        <v>2.6150000000000001E-4</v>
      </c>
      <c r="P16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4.3095467413244534E-2</v>
      </c>
      <c r="Q1634" s="1">
        <f>LN(Table13[[#This Row],[qe_mg_g]]-Table13[[#This Row],[qt]])</f>
        <v>0.49219588231331002</v>
      </c>
      <c r="R1634" s="1">
        <v>1</v>
      </c>
    </row>
    <row r="1635" spans="1:18" hidden="1" x14ac:dyDescent="0.3">
      <c r="A1635" s="1">
        <v>1634</v>
      </c>
      <c r="B1635" s="1" t="s">
        <v>18</v>
      </c>
      <c r="C1635" s="1">
        <v>4</v>
      </c>
      <c r="D1635" s="1">
        <v>60</v>
      </c>
      <c r="E1635" s="1">
        <v>50</v>
      </c>
      <c r="F1635" s="1">
        <v>7</v>
      </c>
      <c r="G1635" s="1">
        <v>25</v>
      </c>
      <c r="H1635" s="1">
        <v>150</v>
      </c>
      <c r="I1635" s="1">
        <v>100</v>
      </c>
      <c r="J1635" s="1">
        <v>1.9079999999999999</v>
      </c>
      <c r="K1635" s="1">
        <v>42.366999999999997</v>
      </c>
      <c r="L1635" s="1">
        <v>15.27</v>
      </c>
      <c r="M1635" s="1">
        <v>118.8</v>
      </c>
      <c r="N1635" s="1">
        <v>2.794E-2</v>
      </c>
      <c r="O1635" s="1">
        <v>2.7050000000000002E-4</v>
      </c>
      <c r="P16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5.7310020485236944E-2</v>
      </c>
      <c r="Q1635" s="1">
        <f>LN(Table13[[#This Row],[qe_mg_g]]-Table13[[#This Row],[qt]])</f>
        <v>0.61555853145710415</v>
      </c>
      <c r="R1635" s="1">
        <v>2</v>
      </c>
    </row>
    <row r="1636" spans="1:18" hidden="1" x14ac:dyDescent="0.3">
      <c r="A1636" s="1">
        <v>1635</v>
      </c>
      <c r="B1636" s="1" t="s">
        <v>18</v>
      </c>
      <c r="C1636" s="1">
        <v>4</v>
      </c>
      <c r="D1636" s="1">
        <v>60</v>
      </c>
      <c r="E1636" s="1">
        <v>50</v>
      </c>
      <c r="F1636" s="1">
        <v>7</v>
      </c>
      <c r="G1636" s="1">
        <v>25</v>
      </c>
      <c r="H1636" s="1">
        <v>150</v>
      </c>
      <c r="I1636" s="1">
        <v>100</v>
      </c>
      <c r="J1636" s="1">
        <v>1.532</v>
      </c>
      <c r="K1636" s="1">
        <v>43.87</v>
      </c>
      <c r="L1636" s="1">
        <v>12.26</v>
      </c>
      <c r="M1636" s="1">
        <v>110.4</v>
      </c>
      <c r="N1636" s="1">
        <v>2.845E-2</v>
      </c>
      <c r="O1636" s="1">
        <v>2.2440000000000001E-4</v>
      </c>
      <c r="P16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3.0961689081492792E-2</v>
      </c>
      <c r="Q1636" s="1">
        <f>LN(Table13[[#This Row],[qe_mg_g]]-Table13[[#This Row],[qt]])</f>
        <v>0.40615707592221056</v>
      </c>
      <c r="R1636" s="1">
        <v>3</v>
      </c>
    </row>
    <row r="1637" spans="1:18" hidden="1" x14ac:dyDescent="0.3">
      <c r="A1637" s="1">
        <v>1636</v>
      </c>
      <c r="B1637" s="1" t="s">
        <v>18</v>
      </c>
      <c r="C1637" s="1">
        <v>4</v>
      </c>
      <c r="D1637" s="1">
        <v>60</v>
      </c>
      <c r="E1637" s="1">
        <v>50</v>
      </c>
      <c r="F1637" s="1">
        <v>11</v>
      </c>
      <c r="G1637" s="1">
        <v>25</v>
      </c>
      <c r="H1637" s="1">
        <v>150</v>
      </c>
      <c r="I1637" s="1">
        <v>100</v>
      </c>
      <c r="J1637" s="1">
        <v>1.2709999999999999</v>
      </c>
      <c r="K1637" s="1">
        <v>44.917000000000002</v>
      </c>
      <c r="L1637" s="1">
        <v>10.17</v>
      </c>
      <c r="M1637" s="1">
        <v>59.9</v>
      </c>
      <c r="N1637" s="1">
        <v>2.4750000000000001E-2</v>
      </c>
      <c r="O1637" s="1">
        <v>2.4560000000000001E-4</v>
      </c>
      <c r="P16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2.3367478417154947E-2</v>
      </c>
      <c r="Q1637" s="1">
        <f>LN(Table13[[#This Row],[qe_mg_g]]-Table13[[#This Row],[qt]])</f>
        <v>0.22124777272728638</v>
      </c>
      <c r="R1637" s="1">
        <v>1</v>
      </c>
    </row>
    <row r="1638" spans="1:18" hidden="1" x14ac:dyDescent="0.3">
      <c r="A1638" s="1">
        <v>1637</v>
      </c>
      <c r="B1638" s="1" t="s">
        <v>18</v>
      </c>
      <c r="C1638" s="1">
        <v>4</v>
      </c>
      <c r="D1638" s="1">
        <v>60</v>
      </c>
      <c r="E1638" s="1">
        <v>50</v>
      </c>
      <c r="F1638" s="1">
        <v>11</v>
      </c>
      <c r="G1638" s="1">
        <v>25</v>
      </c>
      <c r="H1638" s="1">
        <v>150</v>
      </c>
      <c r="I1638" s="1">
        <v>100</v>
      </c>
      <c r="J1638" s="1">
        <v>1.2490000000000001</v>
      </c>
      <c r="K1638" s="1">
        <v>45.005000000000003</v>
      </c>
      <c r="L1638" s="1">
        <v>9.99</v>
      </c>
      <c r="M1638" s="1">
        <v>94.5</v>
      </c>
      <c r="N1638" s="1">
        <v>2.5260000000000001E-2</v>
      </c>
      <c r="O1638" s="1">
        <v>2.296E-4</v>
      </c>
      <c r="P16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2.112705690247527E-2</v>
      </c>
      <c r="Q1638" s="1">
        <f>LN(Table13[[#This Row],[qe_mg_g]]-Table13[[#This Row],[qt]])</f>
        <v>0.20528335783895951</v>
      </c>
      <c r="R1638" s="1">
        <v>2</v>
      </c>
    </row>
    <row r="1639" spans="1:18" hidden="1" x14ac:dyDescent="0.3">
      <c r="A1639" s="1">
        <v>1638</v>
      </c>
      <c r="B1639" s="1" t="s">
        <v>18</v>
      </c>
      <c r="C1639" s="1">
        <v>4</v>
      </c>
      <c r="D1639" s="1">
        <v>60</v>
      </c>
      <c r="E1639" s="1">
        <v>50</v>
      </c>
      <c r="F1639" s="1">
        <v>11</v>
      </c>
      <c r="G1639" s="1">
        <v>25</v>
      </c>
      <c r="H1639" s="1">
        <v>150</v>
      </c>
      <c r="I1639" s="1">
        <v>100</v>
      </c>
      <c r="J1639" s="1">
        <v>1.2829999999999999</v>
      </c>
      <c r="K1639" s="1">
        <v>44.868000000000002</v>
      </c>
      <c r="L1639" s="1">
        <v>10.26</v>
      </c>
      <c r="M1639" s="1">
        <v>108.7</v>
      </c>
      <c r="N1639" s="1">
        <v>2.9950000000000001E-2</v>
      </c>
      <c r="O1639" s="1">
        <v>2.789E-4</v>
      </c>
      <c r="P16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2.6966686072756638E-2</v>
      </c>
      <c r="Q1639" s="1">
        <f>LN(Table13[[#This Row],[qe_mg_g]]-Table13[[#This Row],[qt]])</f>
        <v>0.22795859152167944</v>
      </c>
      <c r="R1639" s="1">
        <v>3</v>
      </c>
    </row>
    <row r="1640" spans="1:18" hidden="1" x14ac:dyDescent="0.3">
      <c r="A1640" s="1">
        <v>1639</v>
      </c>
      <c r="B1640" s="1" t="s">
        <v>18</v>
      </c>
      <c r="C1640" s="1">
        <v>4</v>
      </c>
      <c r="D1640" s="1">
        <v>60</v>
      </c>
      <c r="E1640" s="1">
        <v>100</v>
      </c>
      <c r="F1640" s="1">
        <v>3</v>
      </c>
      <c r="G1640" s="1">
        <v>25</v>
      </c>
      <c r="H1640" s="1">
        <v>150</v>
      </c>
      <c r="I1640" s="1">
        <v>100</v>
      </c>
      <c r="J1640" s="1">
        <v>3.6030000000000002</v>
      </c>
      <c r="K1640" s="1">
        <v>85.587000000000003</v>
      </c>
      <c r="L1640" s="1">
        <v>14.41</v>
      </c>
      <c r="M1640" s="1">
        <v>88.8</v>
      </c>
      <c r="N1640" s="1">
        <v>2.9159999999999998E-2</v>
      </c>
      <c r="O1640" s="1">
        <v>2.1489999999999999E-4</v>
      </c>
      <c r="P16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0.15995387610745798</v>
      </c>
      <c r="Q1640" s="1">
        <f>LN(Table13[[#This Row],[qe_mg_g]]-Table13[[#This Row],[qt]])</f>
        <v>1.2363565806920236</v>
      </c>
      <c r="R1640" s="1">
        <v>1</v>
      </c>
    </row>
    <row r="1641" spans="1:18" hidden="1" x14ac:dyDescent="0.3">
      <c r="A1641" s="1">
        <v>1640</v>
      </c>
      <c r="B1641" s="1" t="s">
        <v>18</v>
      </c>
      <c r="C1641" s="1">
        <v>4</v>
      </c>
      <c r="D1641" s="1">
        <v>60</v>
      </c>
      <c r="E1641" s="1">
        <v>100</v>
      </c>
      <c r="F1641" s="1">
        <v>3</v>
      </c>
      <c r="G1641" s="1">
        <v>25</v>
      </c>
      <c r="H1641" s="1">
        <v>150</v>
      </c>
      <c r="I1641" s="1">
        <v>100</v>
      </c>
      <c r="J1641" s="1">
        <v>3.4449999999999998</v>
      </c>
      <c r="K1641" s="1">
        <v>86.22</v>
      </c>
      <c r="L1641" s="1">
        <v>13.78</v>
      </c>
      <c r="M1641" s="1">
        <v>116.7</v>
      </c>
      <c r="N1641" s="1">
        <v>3.2059999999999998E-2</v>
      </c>
      <c r="O1641" s="1">
        <v>2.8509999999999999E-4</v>
      </c>
      <c r="P16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0.19171654694662255</v>
      </c>
      <c r="Q1641" s="1">
        <f>LN(Table13[[#This Row],[qe_mg_g]]-Table13[[#This Row],[qt]])</f>
        <v>1.1796647795860891</v>
      </c>
      <c r="R1641" s="1">
        <v>2</v>
      </c>
    </row>
    <row r="1642" spans="1:18" hidden="1" x14ac:dyDescent="0.3">
      <c r="A1642" s="1">
        <v>1641</v>
      </c>
      <c r="B1642" s="1" t="s">
        <v>18</v>
      </c>
      <c r="C1642" s="1">
        <v>4</v>
      </c>
      <c r="D1642" s="1">
        <v>60</v>
      </c>
      <c r="E1642" s="1">
        <v>100</v>
      </c>
      <c r="F1642" s="1">
        <v>3</v>
      </c>
      <c r="G1642" s="1">
        <v>25</v>
      </c>
      <c r="H1642" s="1">
        <v>150</v>
      </c>
      <c r="I1642" s="1">
        <v>100</v>
      </c>
      <c r="J1642" s="1">
        <v>3.3839999999999999</v>
      </c>
      <c r="K1642" s="1">
        <v>86.463999999999999</v>
      </c>
      <c r="L1642" s="1">
        <v>13.54</v>
      </c>
      <c r="M1642" s="1">
        <v>120.2</v>
      </c>
      <c r="N1642" s="1">
        <v>2.9420000000000002E-2</v>
      </c>
      <c r="O1642" s="1">
        <v>2.8679999999999998E-4</v>
      </c>
      <c r="P16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0.18621311648417255</v>
      </c>
      <c r="Q1642" s="1">
        <f>LN(Table13[[#This Row],[qe_mg_g]]-Table13[[#This Row],[qt]])</f>
        <v>1.1624589716395335</v>
      </c>
      <c r="R1642" s="1">
        <v>3</v>
      </c>
    </row>
    <row r="1643" spans="1:18" hidden="1" x14ac:dyDescent="0.3">
      <c r="A1643" s="1">
        <v>1642</v>
      </c>
      <c r="B1643" s="1" t="s">
        <v>18</v>
      </c>
      <c r="C1643" s="1">
        <v>4</v>
      </c>
      <c r="D1643" s="1">
        <v>60</v>
      </c>
      <c r="E1643" s="1">
        <v>100</v>
      </c>
      <c r="F1643" s="1">
        <v>7</v>
      </c>
      <c r="G1643" s="1">
        <v>25</v>
      </c>
      <c r="H1643" s="1">
        <v>150</v>
      </c>
      <c r="I1643" s="1">
        <v>100</v>
      </c>
      <c r="J1643" s="1">
        <v>5.7610000000000001</v>
      </c>
      <c r="K1643" s="1">
        <v>76.954999999999998</v>
      </c>
      <c r="L1643" s="1">
        <v>23.04</v>
      </c>
      <c r="M1643" s="1">
        <v>110.6</v>
      </c>
      <c r="N1643" s="1">
        <v>3.4430000000000002E-2</v>
      </c>
      <c r="O1643" s="1">
        <v>2.452E-4</v>
      </c>
      <c r="P16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0.45012742383854731</v>
      </c>
      <c r="Q1643" s="1">
        <f>LN(Table13[[#This Row],[qe_mg_g]]-Table13[[#This Row],[qt]])</f>
        <v>1.6697561487143768</v>
      </c>
      <c r="R1643" s="1">
        <v>1</v>
      </c>
    </row>
    <row r="1644" spans="1:18" hidden="1" x14ac:dyDescent="0.3">
      <c r="A1644" s="1">
        <v>1643</v>
      </c>
      <c r="B1644" s="1" t="s">
        <v>18</v>
      </c>
      <c r="C1644" s="1">
        <v>4</v>
      </c>
      <c r="D1644" s="1">
        <v>60</v>
      </c>
      <c r="E1644" s="1">
        <v>100</v>
      </c>
      <c r="F1644" s="1">
        <v>7</v>
      </c>
      <c r="G1644" s="1">
        <v>25</v>
      </c>
      <c r="H1644" s="1">
        <v>150</v>
      </c>
      <c r="I1644" s="1">
        <v>100</v>
      </c>
      <c r="J1644" s="1">
        <v>5.8860000000000001</v>
      </c>
      <c r="K1644" s="1">
        <v>76.456000000000003</v>
      </c>
      <c r="L1644" s="1">
        <v>23.54</v>
      </c>
      <c r="M1644" s="1">
        <v>119.3</v>
      </c>
      <c r="N1644" s="1">
        <v>2.9600000000000001E-2</v>
      </c>
      <c r="O1644" s="1">
        <v>2.1699999999999999E-4</v>
      </c>
      <c r="P16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0.41896979594918132</v>
      </c>
      <c r="Q1644" s="1">
        <f>LN(Table13[[#This Row],[qe_mg_g]]-Table13[[#This Row],[qt]])</f>
        <v>1.6987355446919703</v>
      </c>
      <c r="R1644" s="1">
        <v>2</v>
      </c>
    </row>
    <row r="1645" spans="1:18" hidden="1" x14ac:dyDescent="0.3">
      <c r="A1645" s="1">
        <v>1644</v>
      </c>
      <c r="B1645" s="1" t="s">
        <v>18</v>
      </c>
      <c r="C1645" s="1">
        <v>4</v>
      </c>
      <c r="D1645" s="1">
        <v>60</v>
      </c>
      <c r="E1645" s="1">
        <v>100</v>
      </c>
      <c r="F1645" s="1">
        <v>7</v>
      </c>
      <c r="G1645" s="1">
        <v>25</v>
      </c>
      <c r="H1645" s="1">
        <v>150</v>
      </c>
      <c r="I1645" s="1">
        <v>100</v>
      </c>
      <c r="J1645" s="1">
        <v>6.8860000000000001</v>
      </c>
      <c r="K1645" s="1">
        <v>72.456000000000003</v>
      </c>
      <c r="L1645" s="1">
        <v>27.54</v>
      </c>
      <c r="M1645" s="1">
        <v>93</v>
      </c>
      <c r="N1645" s="1">
        <v>3.048E-2</v>
      </c>
      <c r="O1645" s="1">
        <v>2.789E-4</v>
      </c>
      <c r="P16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0.71149070643814372</v>
      </c>
      <c r="Q1645" s="1">
        <f>LN(Table13[[#This Row],[qe_mg_g]]-Table13[[#This Row],[qt]])</f>
        <v>1.820429412726742</v>
      </c>
      <c r="R1645" s="1">
        <v>3</v>
      </c>
    </row>
    <row r="1646" spans="1:18" hidden="1" x14ac:dyDescent="0.3">
      <c r="A1646" s="1">
        <v>1645</v>
      </c>
      <c r="B1646" s="1" t="s">
        <v>18</v>
      </c>
      <c r="C1646" s="1">
        <v>4</v>
      </c>
      <c r="D1646" s="1">
        <v>60</v>
      </c>
      <c r="E1646" s="1">
        <v>100</v>
      </c>
      <c r="F1646" s="1">
        <v>11</v>
      </c>
      <c r="G1646" s="1">
        <v>25</v>
      </c>
      <c r="H1646" s="1">
        <v>150</v>
      </c>
      <c r="I1646" s="1">
        <v>100</v>
      </c>
      <c r="J1646" s="1">
        <v>4.1059999999999999</v>
      </c>
      <c r="K1646" s="1">
        <v>83.575000000000003</v>
      </c>
      <c r="L1646" s="1">
        <v>16.43</v>
      </c>
      <c r="M1646" s="1">
        <v>84.9</v>
      </c>
      <c r="N1646" s="1">
        <v>3.0759999999999999E-2</v>
      </c>
      <c r="O1646" s="1">
        <v>2.052E-4</v>
      </c>
      <c r="P16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0.19758251074059016</v>
      </c>
      <c r="Q1646" s="1">
        <f>LN(Table13[[#This Row],[qe_mg_g]]-Table13[[#This Row],[qt]])</f>
        <v>1.3631325578655251</v>
      </c>
      <c r="R1646" s="1">
        <v>1</v>
      </c>
    </row>
    <row r="1647" spans="1:18" hidden="1" x14ac:dyDescent="0.3">
      <c r="A1647" s="1">
        <v>1646</v>
      </c>
      <c r="B1647" s="1" t="s">
        <v>18</v>
      </c>
      <c r="C1647" s="1">
        <v>4</v>
      </c>
      <c r="D1647" s="1">
        <v>60</v>
      </c>
      <c r="E1647" s="1">
        <v>100</v>
      </c>
      <c r="F1647" s="1">
        <v>11</v>
      </c>
      <c r="G1647" s="1">
        <v>25</v>
      </c>
      <c r="H1647" s="1">
        <v>150</v>
      </c>
      <c r="I1647" s="1">
        <v>100</v>
      </c>
      <c r="J1647" s="1">
        <v>4.2320000000000002</v>
      </c>
      <c r="K1647" s="1">
        <v>83.072999999999993</v>
      </c>
      <c r="L1647" s="1">
        <v>16.93</v>
      </c>
      <c r="M1647" s="1">
        <v>103.7</v>
      </c>
      <c r="N1647" s="1">
        <v>2.9190000000000001E-2</v>
      </c>
      <c r="O1647" s="1">
        <v>2.1139999999999999E-4</v>
      </c>
      <c r="P16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0.21559533300155351</v>
      </c>
      <c r="Q1647" s="1">
        <f>LN(Table13[[#This Row],[qe_mg_g]]-Table13[[#This Row],[qt]])</f>
        <v>1.3903871410079403</v>
      </c>
      <c r="R1647" s="1">
        <v>2</v>
      </c>
    </row>
    <row r="1648" spans="1:18" hidden="1" x14ac:dyDescent="0.3">
      <c r="A1648" s="1">
        <v>1647</v>
      </c>
      <c r="B1648" s="1" t="s">
        <v>18</v>
      </c>
      <c r="C1648" s="1">
        <v>4</v>
      </c>
      <c r="D1648" s="1">
        <v>60</v>
      </c>
      <c r="E1648" s="1">
        <v>100</v>
      </c>
      <c r="F1648" s="1">
        <v>11</v>
      </c>
      <c r="G1648" s="1">
        <v>25</v>
      </c>
      <c r="H1648" s="1">
        <v>150</v>
      </c>
      <c r="I1648" s="1">
        <v>100</v>
      </c>
      <c r="J1648" s="1">
        <v>4.968</v>
      </c>
      <c r="K1648" s="1">
        <v>80.13</v>
      </c>
      <c r="L1648" s="1">
        <v>19.87</v>
      </c>
      <c r="M1648" s="1">
        <v>101.6</v>
      </c>
      <c r="N1648" s="1">
        <v>3.4290000000000001E-2</v>
      </c>
      <c r="O1648" s="1">
        <v>2.4350000000000001E-4</v>
      </c>
      <c r="P16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0.33618837466000756</v>
      </c>
      <c r="Q1648" s="1">
        <f>LN(Table13[[#This Row],[qe_mg_g]]-Table13[[#This Row],[qt]])</f>
        <v>1.5329480713392321</v>
      </c>
      <c r="R1648" s="1">
        <v>3</v>
      </c>
    </row>
    <row r="1649" spans="1:18" hidden="1" x14ac:dyDescent="0.3">
      <c r="A1649" s="1">
        <v>1648</v>
      </c>
      <c r="B1649" s="1" t="s">
        <v>18</v>
      </c>
      <c r="C1649" s="1">
        <v>4</v>
      </c>
      <c r="D1649" s="1">
        <v>60</v>
      </c>
      <c r="E1649" s="1">
        <v>200</v>
      </c>
      <c r="F1649" s="1">
        <v>3</v>
      </c>
      <c r="G1649" s="1">
        <v>25</v>
      </c>
      <c r="H1649" s="1">
        <v>150</v>
      </c>
      <c r="I1649" s="1">
        <v>100</v>
      </c>
      <c r="J1649" s="1">
        <v>10.375</v>
      </c>
      <c r="K1649" s="1">
        <v>158.499</v>
      </c>
      <c r="L1649" s="1">
        <v>20.75</v>
      </c>
      <c r="M1649" s="1">
        <v>104</v>
      </c>
      <c r="N1649" s="1">
        <v>2.9350000000000001E-2</v>
      </c>
      <c r="O1649" s="1">
        <v>2.206E-4</v>
      </c>
      <c r="P16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1.252705419786015</v>
      </c>
      <c r="Q1649" s="1">
        <f>LN(Table13[[#This Row],[qe_mg_g]]-Table13[[#This Row],[qt]])</f>
        <v>2.2107213711482667</v>
      </c>
      <c r="R1649" s="1">
        <v>1</v>
      </c>
    </row>
    <row r="1650" spans="1:18" hidden="1" x14ac:dyDescent="0.3">
      <c r="A1650" s="1">
        <v>1649</v>
      </c>
      <c r="B1650" s="1" t="s">
        <v>18</v>
      </c>
      <c r="C1650" s="1">
        <v>4</v>
      </c>
      <c r="D1650" s="1">
        <v>60</v>
      </c>
      <c r="E1650" s="1">
        <v>200</v>
      </c>
      <c r="F1650" s="1">
        <v>3</v>
      </c>
      <c r="G1650" s="1">
        <v>25</v>
      </c>
      <c r="H1650" s="1">
        <v>150</v>
      </c>
      <c r="I1650" s="1">
        <v>100</v>
      </c>
      <c r="J1650" s="1">
        <v>12.757999999999999</v>
      </c>
      <c r="K1650" s="1">
        <v>148.96700000000001</v>
      </c>
      <c r="L1650" s="1">
        <v>25.52</v>
      </c>
      <c r="M1650" s="1">
        <v>90.7</v>
      </c>
      <c r="N1650" s="1">
        <v>2.4479999999999998E-2</v>
      </c>
      <c r="O1650" s="1">
        <v>2.832E-4</v>
      </c>
      <c r="P16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2.2729832089827982</v>
      </c>
      <c r="Q1650" s="1">
        <f>LN(Table13[[#This Row],[qe_mg_g]]-Table13[[#This Row],[qt]])</f>
        <v>2.3499472657848566</v>
      </c>
      <c r="R1650" s="1">
        <v>2</v>
      </c>
    </row>
    <row r="1651" spans="1:18" hidden="1" x14ac:dyDescent="0.3">
      <c r="A1651" s="1">
        <v>1650</v>
      </c>
      <c r="B1651" s="1" t="s">
        <v>18</v>
      </c>
      <c r="C1651" s="1">
        <v>4</v>
      </c>
      <c r="D1651" s="1">
        <v>60</v>
      </c>
      <c r="E1651" s="1">
        <v>200</v>
      </c>
      <c r="F1651" s="1">
        <v>3</v>
      </c>
      <c r="G1651" s="1">
        <v>25</v>
      </c>
      <c r="H1651" s="1">
        <v>150</v>
      </c>
      <c r="I1651" s="1">
        <v>100</v>
      </c>
      <c r="J1651" s="1">
        <v>10.756</v>
      </c>
      <c r="K1651" s="1">
        <v>156.97499999999999</v>
      </c>
      <c r="L1651" s="1">
        <v>21.51</v>
      </c>
      <c r="M1651" s="1">
        <v>90.9</v>
      </c>
      <c r="N1651" s="1">
        <v>2.47E-2</v>
      </c>
      <c r="O1651" s="1">
        <v>2.9349999999999998E-4</v>
      </c>
      <c r="P16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1.7128849902417422</v>
      </c>
      <c r="Q1651" s="1">
        <f>LN(Table13[[#This Row],[qe_mg_g]]-Table13[[#This Row],[qt]])</f>
        <v>2.2020036957752525</v>
      </c>
      <c r="R1651" s="1">
        <v>3</v>
      </c>
    </row>
    <row r="1652" spans="1:18" hidden="1" x14ac:dyDescent="0.3">
      <c r="A1652" s="1">
        <v>1651</v>
      </c>
      <c r="B1652" s="1" t="s">
        <v>18</v>
      </c>
      <c r="C1652" s="1">
        <v>4</v>
      </c>
      <c r="D1652" s="1">
        <v>60</v>
      </c>
      <c r="E1652" s="1">
        <v>200</v>
      </c>
      <c r="F1652" s="1">
        <v>7</v>
      </c>
      <c r="G1652" s="1">
        <v>25</v>
      </c>
      <c r="H1652" s="1">
        <v>150</v>
      </c>
      <c r="I1652" s="1">
        <v>100</v>
      </c>
      <c r="J1652" s="1">
        <v>15.856</v>
      </c>
      <c r="K1652" s="1">
        <v>136.578</v>
      </c>
      <c r="L1652" s="1">
        <v>31.71</v>
      </c>
      <c r="M1652" s="1">
        <v>100.9</v>
      </c>
      <c r="N1652" s="1">
        <v>3.2739999999999998E-2</v>
      </c>
      <c r="O1652" s="1">
        <v>2.6049999999999999E-4</v>
      </c>
      <c r="P16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3.1491335607063169</v>
      </c>
      <c r="Q1652" s="1">
        <f>LN(Table13[[#This Row],[qe_mg_g]]-Table13[[#This Row],[qt]])</f>
        <v>2.5421425118694629</v>
      </c>
      <c r="R1652" s="1">
        <v>1</v>
      </c>
    </row>
    <row r="1653" spans="1:18" hidden="1" x14ac:dyDescent="0.3">
      <c r="A1653" s="1">
        <v>1652</v>
      </c>
      <c r="B1653" s="1" t="s">
        <v>18</v>
      </c>
      <c r="C1653" s="1">
        <v>4</v>
      </c>
      <c r="D1653" s="1">
        <v>60</v>
      </c>
      <c r="E1653" s="1">
        <v>200</v>
      </c>
      <c r="F1653" s="1">
        <v>7</v>
      </c>
      <c r="G1653" s="1">
        <v>25</v>
      </c>
      <c r="H1653" s="1">
        <v>150</v>
      </c>
      <c r="I1653" s="1">
        <v>100</v>
      </c>
      <c r="J1653" s="1">
        <v>17.841000000000001</v>
      </c>
      <c r="K1653" s="1">
        <v>128.636</v>
      </c>
      <c r="L1653" s="1">
        <v>35.68</v>
      </c>
      <c r="M1653" s="1">
        <v>74.5</v>
      </c>
      <c r="N1653" s="1">
        <v>2.7570000000000001E-2</v>
      </c>
      <c r="O1653" s="1">
        <v>2.5470000000000001E-4</v>
      </c>
      <c r="P16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3.822178011048762</v>
      </c>
      <c r="Q1653" s="1">
        <f>LN(Table13[[#This Row],[qe_mg_g]]-Table13[[#This Row],[qt]])</f>
        <v>2.6404008544636546</v>
      </c>
      <c r="R1653" s="1">
        <v>2</v>
      </c>
    </row>
    <row r="1654" spans="1:18" hidden="1" x14ac:dyDescent="0.3">
      <c r="A1654" s="1">
        <v>1653</v>
      </c>
      <c r="B1654" s="1" t="s">
        <v>18</v>
      </c>
      <c r="C1654" s="1">
        <v>4</v>
      </c>
      <c r="D1654" s="1">
        <v>60</v>
      </c>
      <c r="E1654" s="1">
        <v>200</v>
      </c>
      <c r="F1654" s="1">
        <v>7</v>
      </c>
      <c r="G1654" s="1">
        <v>25</v>
      </c>
      <c r="H1654" s="1">
        <v>150</v>
      </c>
      <c r="I1654" s="1">
        <v>100</v>
      </c>
      <c r="J1654" s="1">
        <v>16.666</v>
      </c>
      <c r="K1654" s="1">
        <v>133.334</v>
      </c>
      <c r="L1654" s="1">
        <v>33.33</v>
      </c>
      <c r="M1654" s="1">
        <v>103.1</v>
      </c>
      <c r="N1654" s="1">
        <v>3.2050000000000002E-2</v>
      </c>
      <c r="O1654" s="1">
        <v>2.7409999999999999E-4</v>
      </c>
      <c r="P16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3.5852815187211138</v>
      </c>
      <c r="Q1654" s="1">
        <f>LN(Table13[[#This Row],[qe_mg_g]]-Table13[[#This Row],[qt]])</f>
        <v>2.5711392742818511</v>
      </c>
      <c r="R1654" s="1">
        <v>3</v>
      </c>
    </row>
    <row r="1655" spans="1:18" hidden="1" x14ac:dyDescent="0.3">
      <c r="A1655" s="1">
        <v>1654</v>
      </c>
      <c r="B1655" s="1" t="s">
        <v>18</v>
      </c>
      <c r="C1655" s="1">
        <v>4</v>
      </c>
      <c r="D1655" s="1">
        <v>60</v>
      </c>
      <c r="E1655" s="1">
        <v>200</v>
      </c>
      <c r="F1655" s="1">
        <v>11</v>
      </c>
      <c r="G1655" s="1">
        <v>25</v>
      </c>
      <c r="H1655" s="1">
        <v>150</v>
      </c>
      <c r="I1655" s="1">
        <v>100</v>
      </c>
      <c r="J1655" s="1">
        <v>12.301</v>
      </c>
      <c r="K1655" s="1">
        <v>150.79499999999999</v>
      </c>
      <c r="L1655" s="1">
        <v>24.6</v>
      </c>
      <c r="M1655" s="1">
        <v>132.9</v>
      </c>
      <c r="N1655" s="1">
        <v>3.2300000000000002E-2</v>
      </c>
      <c r="O1655" s="1">
        <v>2.5000000000000001E-4</v>
      </c>
      <c r="P16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1.9161589469107612</v>
      </c>
      <c r="Q1655" s="1">
        <f>LN(Table13[[#This Row],[qe_mg_g]]-Table13[[#This Row],[qt]])</f>
        <v>2.340347151779</v>
      </c>
      <c r="R1655" s="1">
        <v>1</v>
      </c>
    </row>
    <row r="1656" spans="1:18" hidden="1" x14ac:dyDescent="0.3">
      <c r="A1656" s="1">
        <v>1655</v>
      </c>
      <c r="B1656" s="1" t="s">
        <v>18</v>
      </c>
      <c r="C1656" s="1">
        <v>4</v>
      </c>
      <c r="D1656" s="1">
        <v>60</v>
      </c>
      <c r="E1656" s="1">
        <v>200</v>
      </c>
      <c r="F1656" s="1">
        <v>11</v>
      </c>
      <c r="G1656" s="1">
        <v>25</v>
      </c>
      <c r="H1656" s="1">
        <v>150</v>
      </c>
      <c r="I1656" s="1">
        <v>100</v>
      </c>
      <c r="J1656" s="1">
        <v>15.183</v>
      </c>
      <c r="K1656" s="1">
        <v>139.268</v>
      </c>
      <c r="L1656" s="1">
        <v>30.37</v>
      </c>
      <c r="M1656" s="1">
        <v>135.5</v>
      </c>
      <c r="N1656" s="1">
        <v>2.5680000000000001E-2</v>
      </c>
      <c r="O1656" s="1">
        <v>2.4439999999999998E-4</v>
      </c>
      <c r="P16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2.7648258952982525</v>
      </c>
      <c r="Q1656" s="1">
        <f>LN(Table13[[#This Row],[qe_mg_g]]-Table13[[#This Row],[qt]])</f>
        <v>2.5191610531940505</v>
      </c>
      <c r="R1656" s="1">
        <v>2</v>
      </c>
    </row>
    <row r="1657" spans="1:18" hidden="1" x14ac:dyDescent="0.3">
      <c r="A1657" s="1">
        <v>1656</v>
      </c>
      <c r="B1657" s="1" t="s">
        <v>18</v>
      </c>
      <c r="C1657" s="1">
        <v>4</v>
      </c>
      <c r="D1657" s="1">
        <v>60</v>
      </c>
      <c r="E1657" s="1">
        <v>200</v>
      </c>
      <c r="F1657" s="1">
        <v>11</v>
      </c>
      <c r="G1657" s="1">
        <v>25</v>
      </c>
      <c r="H1657" s="1">
        <v>150</v>
      </c>
      <c r="I1657" s="1">
        <v>100</v>
      </c>
      <c r="J1657" s="1">
        <v>10.867000000000001</v>
      </c>
      <c r="K1657" s="1">
        <v>156.53100000000001</v>
      </c>
      <c r="L1657" s="1">
        <v>21.73</v>
      </c>
      <c r="M1657" s="1">
        <v>102.9</v>
      </c>
      <c r="N1657" s="1">
        <v>3.1099999999999999E-2</v>
      </c>
      <c r="O1657" s="1">
        <v>2.4899999999999998E-4</v>
      </c>
      <c r="P16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1.5178606361554645</v>
      </c>
      <c r="Q1657" s="1">
        <f>LN(Table13[[#This Row],[qe_mg_g]]-Table13[[#This Row],[qt]])</f>
        <v>2.2352842924163996</v>
      </c>
      <c r="R1657" s="1">
        <v>3</v>
      </c>
    </row>
    <row r="1658" spans="1:18" hidden="1" x14ac:dyDescent="0.3">
      <c r="A1658" s="1">
        <v>1657</v>
      </c>
      <c r="B1658" s="1" t="s">
        <v>18</v>
      </c>
      <c r="C1658" s="1">
        <v>4</v>
      </c>
      <c r="D1658" s="1">
        <v>120</v>
      </c>
      <c r="E1658" s="1">
        <v>25</v>
      </c>
      <c r="F1658" s="1">
        <v>3</v>
      </c>
      <c r="G1658" s="1">
        <v>25</v>
      </c>
      <c r="H1658" s="1">
        <v>150</v>
      </c>
      <c r="I1658" s="1">
        <v>100</v>
      </c>
      <c r="J1658" s="1">
        <v>0.46300000000000002</v>
      </c>
      <c r="K1658" s="1">
        <v>23.149000000000001</v>
      </c>
      <c r="L1658" s="1">
        <v>7.4</v>
      </c>
      <c r="M1658" s="1">
        <v>69.3</v>
      </c>
      <c r="N1658" s="1">
        <v>3.1119999999999998E-2</v>
      </c>
      <c r="O1658" s="1">
        <v>2.8640000000000002E-4</v>
      </c>
      <c r="P16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7.2520366008256105E-3</v>
      </c>
      <c r="Q1658" s="1">
        <f>LN(Table13[[#This Row],[qe_mg_g]]-Table13[[#This Row],[qt]])</f>
        <v>-0.78581533411316407</v>
      </c>
      <c r="R1658" s="1">
        <v>1</v>
      </c>
    </row>
    <row r="1659" spans="1:18" hidden="1" x14ac:dyDescent="0.3">
      <c r="A1659" s="1">
        <v>1658</v>
      </c>
      <c r="B1659" s="1" t="s">
        <v>18</v>
      </c>
      <c r="C1659" s="1">
        <v>4</v>
      </c>
      <c r="D1659" s="1">
        <v>120</v>
      </c>
      <c r="E1659" s="1">
        <v>25</v>
      </c>
      <c r="F1659" s="1">
        <v>3</v>
      </c>
      <c r="G1659" s="1">
        <v>25</v>
      </c>
      <c r="H1659" s="1">
        <v>150</v>
      </c>
      <c r="I1659" s="1">
        <v>100</v>
      </c>
      <c r="J1659" s="1">
        <v>0.46500000000000002</v>
      </c>
      <c r="K1659" s="1">
        <v>23.138000000000002</v>
      </c>
      <c r="L1659" s="1">
        <v>7.45</v>
      </c>
      <c r="M1659" s="1">
        <v>106.6</v>
      </c>
      <c r="N1659" s="1">
        <v>2.53E-2</v>
      </c>
      <c r="O1659" s="1">
        <v>2.6140000000000001E-4</v>
      </c>
      <c r="P16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6.6850370474218612E-3</v>
      </c>
      <c r="Q1659" s="1">
        <f>LN(Table13[[#This Row],[qe_mg_g]]-Table13[[#This Row],[qt]])</f>
        <v>-0.78019863918357157</v>
      </c>
      <c r="R1659" s="1">
        <v>2</v>
      </c>
    </row>
    <row r="1660" spans="1:18" hidden="1" x14ac:dyDescent="0.3">
      <c r="A1660" s="1">
        <v>1659</v>
      </c>
      <c r="B1660" s="1" t="s">
        <v>18</v>
      </c>
      <c r="C1660" s="1">
        <v>4</v>
      </c>
      <c r="D1660" s="1">
        <v>120</v>
      </c>
      <c r="E1660" s="1">
        <v>25</v>
      </c>
      <c r="F1660" s="1">
        <v>3</v>
      </c>
      <c r="G1660" s="1">
        <v>25</v>
      </c>
      <c r="H1660" s="1">
        <v>150</v>
      </c>
      <c r="I1660" s="1">
        <v>100</v>
      </c>
      <c r="J1660" s="1">
        <v>0.47399999999999998</v>
      </c>
      <c r="K1660" s="1">
        <v>23.103000000000002</v>
      </c>
      <c r="L1660" s="1">
        <v>7.59</v>
      </c>
      <c r="M1660" s="1">
        <v>88.6</v>
      </c>
      <c r="N1660" s="1">
        <v>2.7720000000000002E-2</v>
      </c>
      <c r="O1660" s="1">
        <v>2.4020000000000001E-4</v>
      </c>
      <c r="P16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6.3887739148416585E-3</v>
      </c>
      <c r="Q1660" s="1">
        <f>LN(Table13[[#This Row],[qe_mg_g]]-Table13[[#This Row],[qt]])</f>
        <v>-0.76011804179140241</v>
      </c>
      <c r="R1660" s="1">
        <v>3</v>
      </c>
    </row>
    <row r="1661" spans="1:18" hidden="1" x14ac:dyDescent="0.3">
      <c r="A1661" s="1">
        <v>1660</v>
      </c>
      <c r="B1661" s="1" t="s">
        <v>18</v>
      </c>
      <c r="C1661" s="1">
        <v>4</v>
      </c>
      <c r="D1661" s="1">
        <v>120</v>
      </c>
      <c r="E1661" s="1">
        <v>25</v>
      </c>
      <c r="F1661" s="1">
        <v>7</v>
      </c>
      <c r="G1661" s="1">
        <v>25</v>
      </c>
      <c r="H1661" s="1">
        <v>150</v>
      </c>
      <c r="I1661" s="1">
        <v>100</v>
      </c>
      <c r="J1661" s="1">
        <v>0.86899999999999999</v>
      </c>
      <c r="K1661" s="1">
        <v>21.523</v>
      </c>
      <c r="L1661" s="1">
        <v>13.91</v>
      </c>
      <c r="M1661" s="1">
        <v>80.3</v>
      </c>
      <c r="N1661" s="1">
        <v>2.8809999999999999E-2</v>
      </c>
      <c r="O1661" s="1">
        <v>2.4899999999999998E-4</v>
      </c>
      <c r="P16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2.1993142889803367E-2</v>
      </c>
      <c r="Q1661" s="1">
        <f>LN(Table13[[#This Row],[qe_mg_g]]-Table13[[#This Row],[qt]])</f>
        <v>-0.16604648860110979</v>
      </c>
      <c r="R1661" s="1">
        <v>1</v>
      </c>
    </row>
    <row r="1662" spans="1:18" hidden="1" x14ac:dyDescent="0.3">
      <c r="A1662" s="1">
        <v>1661</v>
      </c>
      <c r="B1662" s="1" t="s">
        <v>18</v>
      </c>
      <c r="C1662" s="1">
        <v>4</v>
      </c>
      <c r="D1662" s="1">
        <v>120</v>
      </c>
      <c r="E1662" s="1">
        <v>25</v>
      </c>
      <c r="F1662" s="1">
        <v>7</v>
      </c>
      <c r="G1662" s="1">
        <v>25</v>
      </c>
      <c r="H1662" s="1">
        <v>150</v>
      </c>
      <c r="I1662" s="1">
        <v>100</v>
      </c>
      <c r="J1662" s="1">
        <v>0.75700000000000001</v>
      </c>
      <c r="K1662" s="1">
        <v>21.972000000000001</v>
      </c>
      <c r="L1662" s="1">
        <v>12.11</v>
      </c>
      <c r="M1662" s="1">
        <v>126.9</v>
      </c>
      <c r="N1662" s="1">
        <v>2.7439999999999999E-2</v>
      </c>
      <c r="O1662" s="1">
        <v>2.3330000000000001E-4</v>
      </c>
      <c r="P16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1.5710135345506474E-2</v>
      </c>
      <c r="Q1662" s="1">
        <f>LN(Table13[[#This Row],[qe_mg_g]]-Table13[[#This Row],[qt]])</f>
        <v>-0.29936354980670743</v>
      </c>
      <c r="R1662" s="1">
        <v>2</v>
      </c>
    </row>
    <row r="1663" spans="1:18" hidden="1" x14ac:dyDescent="0.3">
      <c r="A1663" s="1">
        <v>1662</v>
      </c>
      <c r="B1663" s="1" t="s">
        <v>18</v>
      </c>
      <c r="C1663" s="1">
        <v>4</v>
      </c>
      <c r="D1663" s="1">
        <v>120</v>
      </c>
      <c r="E1663" s="1">
        <v>25</v>
      </c>
      <c r="F1663" s="1">
        <v>7</v>
      </c>
      <c r="G1663" s="1">
        <v>25</v>
      </c>
      <c r="H1663" s="1">
        <v>150</v>
      </c>
      <c r="I1663" s="1">
        <v>100</v>
      </c>
      <c r="J1663" s="1">
        <v>0.76600000000000001</v>
      </c>
      <c r="K1663" s="1">
        <v>21.934999999999999</v>
      </c>
      <c r="L1663" s="1">
        <v>12.26</v>
      </c>
      <c r="M1663" s="1">
        <v>127</v>
      </c>
      <c r="N1663" s="1">
        <v>3.1660000000000001E-2</v>
      </c>
      <c r="O1663" s="1">
        <v>2.2660000000000001E-4</v>
      </c>
      <c r="P16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1.5629520739197759E-2</v>
      </c>
      <c r="Q1663" s="1">
        <f>LN(Table13[[#This Row],[qe_mg_g]]-Table13[[#This Row],[qt]])</f>
        <v>-0.28718822206822181</v>
      </c>
      <c r="R1663" s="1">
        <v>3</v>
      </c>
    </row>
    <row r="1664" spans="1:18" hidden="1" x14ac:dyDescent="0.3">
      <c r="A1664" s="1">
        <v>1663</v>
      </c>
      <c r="B1664" s="1" t="s">
        <v>18</v>
      </c>
      <c r="C1664" s="1">
        <v>4</v>
      </c>
      <c r="D1664" s="1">
        <v>120</v>
      </c>
      <c r="E1664" s="1">
        <v>25</v>
      </c>
      <c r="F1664" s="1">
        <v>11</v>
      </c>
      <c r="G1664" s="1">
        <v>25</v>
      </c>
      <c r="H1664" s="1">
        <v>150</v>
      </c>
      <c r="I1664" s="1">
        <v>100</v>
      </c>
      <c r="J1664" s="1">
        <v>0.68300000000000005</v>
      </c>
      <c r="K1664" s="1">
        <v>22.266999999999999</v>
      </c>
      <c r="L1664" s="1">
        <v>10.93</v>
      </c>
      <c r="M1664" s="1">
        <v>103</v>
      </c>
      <c r="N1664" s="1">
        <v>3.0769999999999999E-2</v>
      </c>
      <c r="O1664" s="1">
        <v>2.4140000000000001E-4</v>
      </c>
      <c r="P16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1.325107884882073E-2</v>
      </c>
      <c r="Q1664" s="1">
        <f>LN(Table13[[#This Row],[qe_mg_g]]-Table13[[#This Row],[qt]])</f>
        <v>-0.40085238138189011</v>
      </c>
      <c r="R1664" s="1">
        <v>1</v>
      </c>
    </row>
    <row r="1665" spans="1:18" hidden="1" x14ac:dyDescent="0.3">
      <c r="A1665" s="1">
        <v>1664</v>
      </c>
      <c r="B1665" s="1" t="s">
        <v>18</v>
      </c>
      <c r="C1665" s="1">
        <v>4</v>
      </c>
      <c r="D1665" s="1">
        <v>120</v>
      </c>
      <c r="E1665" s="1">
        <v>25</v>
      </c>
      <c r="F1665" s="1">
        <v>11</v>
      </c>
      <c r="G1665" s="1">
        <v>25</v>
      </c>
      <c r="H1665" s="1">
        <v>150</v>
      </c>
      <c r="I1665" s="1">
        <v>100</v>
      </c>
      <c r="J1665" s="1">
        <v>0.57999999999999996</v>
      </c>
      <c r="K1665" s="1">
        <v>22.681999999999999</v>
      </c>
      <c r="L1665" s="1">
        <v>9.27</v>
      </c>
      <c r="M1665" s="1">
        <v>105.1</v>
      </c>
      <c r="N1665" s="1">
        <v>2.836E-2</v>
      </c>
      <c r="O1665" s="1">
        <v>2.9540000000000002E-4</v>
      </c>
      <c r="P16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1.1684476238061649E-2</v>
      </c>
      <c r="Q1665" s="1">
        <f>LN(Table13[[#This Row],[qe_mg_g]]-Table13[[#This Row],[qt]])</f>
        <v>-0.56507851491288574</v>
      </c>
      <c r="R1665" s="1">
        <v>2</v>
      </c>
    </row>
    <row r="1666" spans="1:18" hidden="1" x14ac:dyDescent="0.3">
      <c r="A1666" s="1">
        <v>1665</v>
      </c>
      <c r="B1666" s="1" t="s">
        <v>18</v>
      </c>
      <c r="C1666" s="1">
        <v>4</v>
      </c>
      <c r="D1666" s="1">
        <v>120</v>
      </c>
      <c r="E1666" s="1">
        <v>25</v>
      </c>
      <c r="F1666" s="1">
        <v>11</v>
      </c>
      <c r="G1666" s="1">
        <v>25</v>
      </c>
      <c r="H1666" s="1">
        <v>150</v>
      </c>
      <c r="I1666" s="1">
        <v>100</v>
      </c>
      <c r="J1666" s="1">
        <v>0.55000000000000004</v>
      </c>
      <c r="K1666" s="1">
        <v>22.797999999999998</v>
      </c>
      <c r="L1666" s="1">
        <v>8.81</v>
      </c>
      <c r="M1666" s="1">
        <v>123</v>
      </c>
      <c r="N1666" s="1">
        <v>2.9669999999999998E-2</v>
      </c>
      <c r="O1666" s="1">
        <v>2.5750000000000002E-4</v>
      </c>
      <c r="P16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9.1910481369131634E-3</v>
      </c>
      <c r="Q1666" s="1">
        <f>LN(Table13[[#This Row],[qe_mg_g]]-Table13[[#This Row],[qt]])</f>
        <v>-0.61468920138911209</v>
      </c>
      <c r="R1666" s="1">
        <v>3</v>
      </c>
    </row>
    <row r="1667" spans="1:18" hidden="1" x14ac:dyDescent="0.3">
      <c r="A1667" s="1">
        <v>1666</v>
      </c>
      <c r="B1667" s="1" t="s">
        <v>18</v>
      </c>
      <c r="C1667" s="1">
        <v>4</v>
      </c>
      <c r="D1667" s="1">
        <v>120</v>
      </c>
      <c r="E1667" s="1">
        <v>50</v>
      </c>
      <c r="F1667" s="1">
        <v>3</v>
      </c>
      <c r="G1667" s="1">
        <v>25</v>
      </c>
      <c r="H1667" s="1">
        <v>150</v>
      </c>
      <c r="I1667" s="1">
        <v>100</v>
      </c>
      <c r="J1667" s="1">
        <v>1.8819999999999999</v>
      </c>
      <c r="K1667" s="1">
        <v>42.472999999999999</v>
      </c>
      <c r="L1667" s="1">
        <v>15.05</v>
      </c>
      <c r="M1667" s="1">
        <v>90.5</v>
      </c>
      <c r="N1667" s="1">
        <v>3.2590000000000001E-2</v>
      </c>
      <c r="O1667" s="1">
        <v>1.8230000000000001E-4</v>
      </c>
      <c r="P16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7.4419242190073606E-2</v>
      </c>
      <c r="Q1667" s="1">
        <f>LN(Table13[[#This Row],[qe_mg_g]]-Table13[[#This Row],[qt]])</f>
        <v>0.59198935333895941</v>
      </c>
      <c r="R1667" s="1">
        <v>1</v>
      </c>
    </row>
    <row r="1668" spans="1:18" hidden="1" x14ac:dyDescent="0.3">
      <c r="A1668" s="1">
        <v>1667</v>
      </c>
      <c r="B1668" s="1" t="s">
        <v>18</v>
      </c>
      <c r="C1668" s="1">
        <v>4</v>
      </c>
      <c r="D1668" s="1">
        <v>120</v>
      </c>
      <c r="E1668" s="1">
        <v>50</v>
      </c>
      <c r="F1668" s="1">
        <v>3</v>
      </c>
      <c r="G1668" s="1">
        <v>25</v>
      </c>
      <c r="H1668" s="1">
        <v>150</v>
      </c>
      <c r="I1668" s="1">
        <v>100</v>
      </c>
      <c r="J1668" s="1">
        <v>1.637</v>
      </c>
      <c r="K1668" s="1">
        <v>43.451999999999998</v>
      </c>
      <c r="L1668" s="1">
        <v>13.1</v>
      </c>
      <c r="M1668" s="1">
        <v>86.1</v>
      </c>
      <c r="N1668" s="1">
        <v>2.6239999999999999E-2</v>
      </c>
      <c r="O1668" s="1">
        <v>2.4459999999999998E-4</v>
      </c>
      <c r="P16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7.505046317175651E-2</v>
      </c>
      <c r="Q1668" s="1">
        <f>LN(Table13[[#This Row],[qe_mg_g]]-Table13[[#This Row],[qt]])</f>
        <v>0.44593474412752937</v>
      </c>
      <c r="R1668" s="1">
        <v>2</v>
      </c>
    </row>
    <row r="1669" spans="1:18" hidden="1" x14ac:dyDescent="0.3">
      <c r="A1669" s="1">
        <v>1668</v>
      </c>
      <c r="B1669" s="1" t="s">
        <v>18</v>
      </c>
      <c r="C1669" s="1">
        <v>4</v>
      </c>
      <c r="D1669" s="1">
        <v>120</v>
      </c>
      <c r="E1669" s="1">
        <v>50</v>
      </c>
      <c r="F1669" s="1">
        <v>3</v>
      </c>
      <c r="G1669" s="1">
        <v>25</v>
      </c>
      <c r="H1669" s="1">
        <v>150</v>
      </c>
      <c r="I1669" s="1">
        <v>100</v>
      </c>
      <c r="J1669" s="1">
        <v>1.8109999999999999</v>
      </c>
      <c r="K1669" s="1">
        <v>42.755000000000003</v>
      </c>
      <c r="L1669" s="1">
        <v>14.49</v>
      </c>
      <c r="M1669" s="1">
        <v>110.5</v>
      </c>
      <c r="N1669" s="1">
        <v>3.0720000000000001E-2</v>
      </c>
      <c r="O1669" s="1">
        <v>2.3340000000000001E-4</v>
      </c>
      <c r="P16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8.7424059936937429E-2</v>
      </c>
      <c r="Q1669" s="1">
        <f>LN(Table13[[#This Row],[qe_mg_g]]-Table13[[#This Row],[qt]])</f>
        <v>0.54440116754344781</v>
      </c>
      <c r="R1669" s="1">
        <v>3</v>
      </c>
    </row>
    <row r="1670" spans="1:18" hidden="1" x14ac:dyDescent="0.3">
      <c r="A1670" s="1">
        <v>1669</v>
      </c>
      <c r="B1670" s="1" t="s">
        <v>18</v>
      </c>
      <c r="C1670" s="1">
        <v>4</v>
      </c>
      <c r="D1670" s="1">
        <v>120</v>
      </c>
      <c r="E1670" s="1">
        <v>50</v>
      </c>
      <c r="F1670" s="1">
        <v>7</v>
      </c>
      <c r="G1670" s="1">
        <v>25</v>
      </c>
      <c r="H1670" s="1">
        <v>150</v>
      </c>
      <c r="I1670" s="1">
        <v>100</v>
      </c>
      <c r="J1670" s="1">
        <v>3</v>
      </c>
      <c r="K1670" s="1">
        <v>37.997999999999998</v>
      </c>
      <c r="L1670" s="1">
        <v>24</v>
      </c>
      <c r="M1670" s="1">
        <v>101.9</v>
      </c>
      <c r="N1670" s="1">
        <v>3.2809999999999999E-2</v>
      </c>
      <c r="O1670" s="1">
        <v>2.6939999999999999E-4</v>
      </c>
      <c r="P16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0.26522902795300568</v>
      </c>
      <c r="Q1670" s="1">
        <f>LN(Table13[[#This Row],[qe_mg_g]]-Table13[[#This Row],[qt]])</f>
        <v>1.0060476927138342</v>
      </c>
      <c r="R1670" s="1">
        <v>1</v>
      </c>
    </row>
    <row r="1671" spans="1:18" hidden="1" x14ac:dyDescent="0.3">
      <c r="A1671" s="1">
        <v>1670</v>
      </c>
      <c r="B1671" s="1" t="s">
        <v>18</v>
      </c>
      <c r="C1671" s="1">
        <v>4</v>
      </c>
      <c r="D1671" s="1">
        <v>120</v>
      </c>
      <c r="E1671" s="1">
        <v>50</v>
      </c>
      <c r="F1671" s="1">
        <v>7</v>
      </c>
      <c r="G1671" s="1">
        <v>25</v>
      </c>
      <c r="H1671" s="1">
        <v>150</v>
      </c>
      <c r="I1671" s="1">
        <v>100</v>
      </c>
      <c r="J1671" s="1">
        <v>2.9119999999999999</v>
      </c>
      <c r="K1671" s="1">
        <v>38.351999999999997</v>
      </c>
      <c r="L1671" s="1">
        <v>23.3</v>
      </c>
      <c r="M1671" s="1">
        <v>86.5</v>
      </c>
      <c r="N1671" s="1">
        <v>2.8039999999999999E-2</v>
      </c>
      <c r="O1671" s="1">
        <v>2.363E-4</v>
      </c>
      <c r="P16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0.222111297544374</v>
      </c>
      <c r="Q1671" s="1">
        <f>LN(Table13[[#This Row],[qe_mg_g]]-Table13[[#This Row],[qt]])</f>
        <v>0.98949981820598543</v>
      </c>
      <c r="R1671" s="1">
        <v>2</v>
      </c>
    </row>
    <row r="1672" spans="1:18" hidden="1" x14ac:dyDescent="0.3">
      <c r="A1672" s="1">
        <v>1671</v>
      </c>
      <c r="B1672" s="1" t="s">
        <v>18</v>
      </c>
      <c r="C1672" s="1">
        <v>4</v>
      </c>
      <c r="D1672" s="1">
        <v>120</v>
      </c>
      <c r="E1672" s="1">
        <v>50</v>
      </c>
      <c r="F1672" s="1">
        <v>7</v>
      </c>
      <c r="G1672" s="1">
        <v>25</v>
      </c>
      <c r="H1672" s="1">
        <v>150</v>
      </c>
      <c r="I1672" s="1">
        <v>100</v>
      </c>
      <c r="J1672" s="1">
        <v>2.8220000000000001</v>
      </c>
      <c r="K1672" s="1">
        <v>38.713000000000001</v>
      </c>
      <c r="L1672" s="1">
        <v>22.57</v>
      </c>
      <c r="M1672" s="1">
        <v>104</v>
      </c>
      <c r="N1672" s="1">
        <v>3.2149999999999998E-2</v>
      </c>
      <c r="O1672" s="1">
        <v>2.4869999999999997E-4</v>
      </c>
      <c r="P16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0.21920665192667835</v>
      </c>
      <c r="Q1672" s="1">
        <f>LN(Table13[[#This Row],[qe_mg_g]]-Table13[[#This Row],[qt]])</f>
        <v>0.95658523295436038</v>
      </c>
      <c r="R1672" s="1">
        <v>3</v>
      </c>
    </row>
    <row r="1673" spans="1:18" hidden="1" x14ac:dyDescent="0.3">
      <c r="A1673" s="1">
        <v>1672</v>
      </c>
      <c r="B1673" s="1" t="s">
        <v>18</v>
      </c>
      <c r="C1673" s="1">
        <v>4</v>
      </c>
      <c r="D1673" s="1">
        <v>120</v>
      </c>
      <c r="E1673" s="1">
        <v>50</v>
      </c>
      <c r="F1673" s="1">
        <v>11</v>
      </c>
      <c r="G1673" s="1">
        <v>25</v>
      </c>
      <c r="H1673" s="1">
        <v>150</v>
      </c>
      <c r="I1673" s="1">
        <v>100</v>
      </c>
      <c r="J1673" s="1">
        <v>2.1890000000000001</v>
      </c>
      <c r="K1673" s="1">
        <v>41.244</v>
      </c>
      <c r="L1673" s="1">
        <v>17.510000000000002</v>
      </c>
      <c r="M1673" s="1">
        <v>102.1</v>
      </c>
      <c r="N1673" s="1">
        <v>2.845E-2</v>
      </c>
      <c r="O1673" s="1">
        <v>2.2690000000000001E-4</v>
      </c>
      <c r="P16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0.12313016402387397</v>
      </c>
      <c r="Q1673" s="1">
        <f>LN(Table13[[#This Row],[qe_mg_g]]-Table13[[#This Row],[qt]])</f>
        <v>0.72555136579696156</v>
      </c>
      <c r="R1673" s="1">
        <v>1</v>
      </c>
    </row>
    <row r="1674" spans="1:18" hidden="1" x14ac:dyDescent="0.3">
      <c r="A1674" s="1">
        <v>1673</v>
      </c>
      <c r="B1674" s="1" t="s">
        <v>18</v>
      </c>
      <c r="C1674" s="1">
        <v>4</v>
      </c>
      <c r="D1674" s="1">
        <v>120</v>
      </c>
      <c r="E1674" s="1">
        <v>50</v>
      </c>
      <c r="F1674" s="1">
        <v>11</v>
      </c>
      <c r="G1674" s="1">
        <v>25</v>
      </c>
      <c r="H1674" s="1">
        <v>150</v>
      </c>
      <c r="I1674" s="1">
        <v>100</v>
      </c>
      <c r="J1674" s="1">
        <v>1.84</v>
      </c>
      <c r="K1674" s="1">
        <v>42.637999999999998</v>
      </c>
      <c r="L1674" s="1">
        <v>14.72</v>
      </c>
      <c r="M1674" s="1">
        <v>89.6</v>
      </c>
      <c r="N1674" s="1">
        <v>3.1419999999999997E-2</v>
      </c>
      <c r="O1674" s="1">
        <v>2.3240000000000001E-4</v>
      </c>
      <c r="P16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8.9809153102433967E-2</v>
      </c>
      <c r="Q1674" s="1">
        <f>LN(Table13[[#This Row],[qe_mg_g]]-Table13[[#This Row],[qt]])</f>
        <v>0.55972483735935596</v>
      </c>
      <c r="R1674" s="1">
        <v>2</v>
      </c>
    </row>
    <row r="1675" spans="1:18" hidden="1" x14ac:dyDescent="0.3">
      <c r="A1675" s="1">
        <v>1674</v>
      </c>
      <c r="B1675" s="1" t="s">
        <v>18</v>
      </c>
      <c r="C1675" s="1">
        <v>4</v>
      </c>
      <c r="D1675" s="1">
        <v>120</v>
      </c>
      <c r="E1675" s="1">
        <v>50</v>
      </c>
      <c r="F1675" s="1">
        <v>11</v>
      </c>
      <c r="G1675" s="1">
        <v>25</v>
      </c>
      <c r="H1675" s="1">
        <v>150</v>
      </c>
      <c r="I1675" s="1">
        <v>100</v>
      </c>
      <c r="J1675" s="1">
        <v>2.1389999999999998</v>
      </c>
      <c r="K1675" s="1">
        <v>41.444000000000003</v>
      </c>
      <c r="L1675" s="1">
        <v>17.11</v>
      </c>
      <c r="M1675" s="1">
        <v>107</v>
      </c>
      <c r="N1675" s="1">
        <v>3.1559999999999998E-2</v>
      </c>
      <c r="O1675" s="1">
        <v>2.23E-4</v>
      </c>
      <c r="P16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0.1158068476887605</v>
      </c>
      <c r="Q1675" s="1">
        <f>LN(Table13[[#This Row],[qe_mg_g]]-Table13[[#This Row],[qt]])</f>
        <v>0.70467703178467556</v>
      </c>
      <c r="R1675" s="1">
        <v>3</v>
      </c>
    </row>
    <row r="1676" spans="1:18" hidden="1" x14ac:dyDescent="0.3">
      <c r="A1676" s="1">
        <v>1675</v>
      </c>
      <c r="B1676" s="1" t="s">
        <v>18</v>
      </c>
      <c r="C1676" s="1">
        <v>4</v>
      </c>
      <c r="D1676" s="1">
        <v>120</v>
      </c>
      <c r="E1676" s="1">
        <v>100</v>
      </c>
      <c r="F1676" s="1">
        <v>3</v>
      </c>
      <c r="G1676" s="1">
        <v>25</v>
      </c>
      <c r="H1676" s="1">
        <v>150</v>
      </c>
      <c r="I1676" s="1">
        <v>100</v>
      </c>
      <c r="J1676" s="1">
        <v>6.2450000000000001</v>
      </c>
      <c r="K1676" s="1">
        <v>75.02</v>
      </c>
      <c r="L1676" s="1">
        <v>24.98</v>
      </c>
      <c r="M1676" s="1">
        <v>116.9</v>
      </c>
      <c r="N1676" s="1">
        <v>2.6610000000000002E-2</v>
      </c>
      <c r="O1676" s="1">
        <v>2.2939999999999999E-4</v>
      </c>
      <c r="P16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0.91610322140471334</v>
      </c>
      <c r="Q1676" s="1">
        <f>LN(Table13[[#This Row],[qe_mg_g]]-Table13[[#This Row],[qt]])</f>
        <v>1.6731442333757425</v>
      </c>
      <c r="R1676" s="1">
        <v>1</v>
      </c>
    </row>
    <row r="1677" spans="1:18" hidden="1" x14ac:dyDescent="0.3">
      <c r="A1677" s="1">
        <v>1676</v>
      </c>
      <c r="B1677" s="1" t="s">
        <v>18</v>
      </c>
      <c r="C1677" s="1">
        <v>4</v>
      </c>
      <c r="D1677" s="1">
        <v>120</v>
      </c>
      <c r="E1677" s="1">
        <v>100</v>
      </c>
      <c r="F1677" s="1">
        <v>3</v>
      </c>
      <c r="G1677" s="1">
        <v>25</v>
      </c>
      <c r="H1677" s="1">
        <v>150</v>
      </c>
      <c r="I1677" s="1">
        <v>100</v>
      </c>
      <c r="J1677" s="1">
        <v>6.3449999999999998</v>
      </c>
      <c r="K1677" s="1">
        <v>74.62</v>
      </c>
      <c r="L1677" s="1">
        <v>25.38</v>
      </c>
      <c r="M1677" s="1">
        <v>97.8</v>
      </c>
      <c r="N1677" s="1">
        <v>2.334E-2</v>
      </c>
      <c r="O1677" s="1">
        <v>2.1499999999999999E-4</v>
      </c>
      <c r="P16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0.89256849053150233</v>
      </c>
      <c r="Q1677" s="1">
        <f>LN(Table13[[#This Row],[qe_mg_g]]-Table13[[#This Row],[qt]])</f>
        <v>1.6960616577068206</v>
      </c>
      <c r="R1677" s="1">
        <v>2</v>
      </c>
    </row>
    <row r="1678" spans="1:18" hidden="1" x14ac:dyDescent="0.3">
      <c r="A1678" s="1">
        <v>1677</v>
      </c>
      <c r="B1678" s="1" t="s">
        <v>18</v>
      </c>
      <c r="C1678" s="1">
        <v>4</v>
      </c>
      <c r="D1678" s="1">
        <v>120</v>
      </c>
      <c r="E1678" s="1">
        <v>100</v>
      </c>
      <c r="F1678" s="1">
        <v>3</v>
      </c>
      <c r="G1678" s="1">
        <v>25</v>
      </c>
      <c r="H1678" s="1">
        <v>150</v>
      </c>
      <c r="I1678" s="1">
        <v>100</v>
      </c>
      <c r="J1678" s="1">
        <v>5.6020000000000003</v>
      </c>
      <c r="K1678" s="1">
        <v>77.591999999999999</v>
      </c>
      <c r="L1678" s="1">
        <v>22.41</v>
      </c>
      <c r="M1678" s="1">
        <v>82.6</v>
      </c>
      <c r="N1678" s="1">
        <v>2.8760000000000001E-2</v>
      </c>
      <c r="O1678" s="1">
        <v>2.5080000000000002E-4</v>
      </c>
      <c r="P16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0.8082206189758061</v>
      </c>
      <c r="Q1678" s="1">
        <f>LN(Table13[[#This Row],[qe_mg_g]]-Table13[[#This Row],[qt]])</f>
        <v>1.5673191151418582</v>
      </c>
      <c r="R1678" s="1">
        <v>3</v>
      </c>
    </row>
    <row r="1679" spans="1:18" hidden="1" x14ac:dyDescent="0.3">
      <c r="A1679" s="1">
        <v>1678</v>
      </c>
      <c r="B1679" s="1" t="s">
        <v>18</v>
      </c>
      <c r="C1679" s="1">
        <v>4</v>
      </c>
      <c r="D1679" s="1">
        <v>120</v>
      </c>
      <c r="E1679" s="1">
        <v>100</v>
      </c>
      <c r="F1679" s="1">
        <v>7</v>
      </c>
      <c r="G1679" s="1">
        <v>25</v>
      </c>
      <c r="H1679" s="1">
        <v>150</v>
      </c>
      <c r="I1679" s="1">
        <v>100</v>
      </c>
      <c r="J1679" s="1">
        <v>10.316000000000001</v>
      </c>
      <c r="K1679" s="1">
        <v>58.734999999999999</v>
      </c>
      <c r="L1679" s="1">
        <v>41.26</v>
      </c>
      <c r="M1679" s="1">
        <v>95.6</v>
      </c>
      <c r="N1679" s="1">
        <v>3.322E-2</v>
      </c>
      <c r="O1679" s="1">
        <v>2.8570000000000001E-4</v>
      </c>
      <c r="P16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2.6952567849347311</v>
      </c>
      <c r="Q1679" s="1">
        <f>LN(Table13[[#This Row],[qe_mg_g]]-Table13[[#This Row],[qt]])</f>
        <v>2.0308738997278155</v>
      </c>
      <c r="R1679" s="1">
        <v>1</v>
      </c>
    </row>
    <row r="1680" spans="1:18" hidden="1" x14ac:dyDescent="0.3">
      <c r="A1680" s="1">
        <v>1679</v>
      </c>
      <c r="B1680" s="1" t="s">
        <v>18</v>
      </c>
      <c r="C1680" s="1">
        <v>4</v>
      </c>
      <c r="D1680" s="1">
        <v>120</v>
      </c>
      <c r="E1680" s="1">
        <v>100</v>
      </c>
      <c r="F1680" s="1">
        <v>7</v>
      </c>
      <c r="G1680" s="1">
        <v>25</v>
      </c>
      <c r="H1680" s="1">
        <v>150</v>
      </c>
      <c r="I1680" s="1">
        <v>100</v>
      </c>
      <c r="J1680" s="1">
        <v>10.292999999999999</v>
      </c>
      <c r="K1680" s="1">
        <v>58.826999999999998</v>
      </c>
      <c r="L1680" s="1">
        <v>41.17</v>
      </c>
      <c r="M1680" s="1">
        <v>104.3</v>
      </c>
      <c r="N1680" s="1">
        <v>2.4109999999999999E-2</v>
      </c>
      <c r="O1680" s="1">
        <v>2.6150000000000001E-4</v>
      </c>
      <c r="P16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2.5129213641382626</v>
      </c>
      <c r="Q1680" s="1">
        <f>LN(Table13[[#This Row],[qe_mg_g]]-Table13[[#This Row],[qt]])</f>
        <v>2.0515664455764617</v>
      </c>
      <c r="R1680" s="1">
        <v>2</v>
      </c>
    </row>
    <row r="1681" spans="1:18" hidden="1" x14ac:dyDescent="0.3">
      <c r="A1681" s="1">
        <v>1680</v>
      </c>
      <c r="B1681" s="1" t="s">
        <v>18</v>
      </c>
      <c r="C1681" s="1">
        <v>4</v>
      </c>
      <c r="D1681" s="1">
        <v>120</v>
      </c>
      <c r="E1681" s="1">
        <v>100</v>
      </c>
      <c r="F1681" s="1">
        <v>7</v>
      </c>
      <c r="G1681" s="1">
        <v>25</v>
      </c>
      <c r="H1681" s="1">
        <v>150</v>
      </c>
      <c r="I1681" s="1">
        <v>100</v>
      </c>
      <c r="J1681" s="1">
        <v>9.9770000000000003</v>
      </c>
      <c r="K1681" s="1">
        <v>60.094000000000001</v>
      </c>
      <c r="L1681" s="1">
        <v>39.909999999999997</v>
      </c>
      <c r="M1681" s="1">
        <v>98.8</v>
      </c>
      <c r="N1681" s="1">
        <v>3.5229999999999997E-2</v>
      </c>
      <c r="O1681" s="1">
        <v>2.7149999999999999E-4</v>
      </c>
      <c r="P16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2.4474765627602495</v>
      </c>
      <c r="Q1681" s="1">
        <f>LN(Table13[[#This Row],[qe_mg_g]]-Table13[[#This Row],[qt]])</f>
        <v>2.0188317512618199</v>
      </c>
      <c r="R1681" s="1">
        <v>3</v>
      </c>
    </row>
    <row r="1682" spans="1:18" hidden="1" x14ac:dyDescent="0.3">
      <c r="A1682" s="1">
        <v>1681</v>
      </c>
      <c r="B1682" s="1" t="s">
        <v>18</v>
      </c>
      <c r="C1682" s="1">
        <v>4</v>
      </c>
      <c r="D1682" s="1">
        <v>120</v>
      </c>
      <c r="E1682" s="1">
        <v>100</v>
      </c>
      <c r="F1682" s="1">
        <v>11</v>
      </c>
      <c r="G1682" s="1">
        <v>25</v>
      </c>
      <c r="H1682" s="1">
        <v>150</v>
      </c>
      <c r="I1682" s="1">
        <v>100</v>
      </c>
      <c r="J1682" s="1">
        <v>7.39</v>
      </c>
      <c r="K1682" s="1">
        <v>70.441000000000003</v>
      </c>
      <c r="L1682" s="1">
        <v>29.56</v>
      </c>
      <c r="M1682" s="1">
        <v>116.3</v>
      </c>
      <c r="N1682" s="1">
        <v>3.1E-2</v>
      </c>
      <c r="O1682" s="1">
        <v>1.8770000000000001E-4</v>
      </c>
      <c r="P16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1.0545505179482855</v>
      </c>
      <c r="Q1682" s="1">
        <f>LN(Table13[[#This Row],[qe_mg_g]]-Table13[[#This Row],[qt]])</f>
        <v>1.8461607634347603</v>
      </c>
      <c r="R1682" s="1">
        <v>1</v>
      </c>
    </row>
    <row r="1683" spans="1:18" hidden="1" x14ac:dyDescent="0.3">
      <c r="A1683" s="1">
        <v>1682</v>
      </c>
      <c r="B1683" s="1" t="s">
        <v>18</v>
      </c>
      <c r="C1683" s="1">
        <v>4</v>
      </c>
      <c r="D1683" s="1">
        <v>120</v>
      </c>
      <c r="E1683" s="1">
        <v>100</v>
      </c>
      <c r="F1683" s="1">
        <v>11</v>
      </c>
      <c r="G1683" s="1">
        <v>25</v>
      </c>
      <c r="H1683" s="1">
        <v>150</v>
      </c>
      <c r="I1683" s="1">
        <v>100</v>
      </c>
      <c r="J1683" s="1">
        <v>6.7140000000000004</v>
      </c>
      <c r="K1683" s="1">
        <v>73.141999999999996</v>
      </c>
      <c r="L1683" s="1">
        <v>26.86</v>
      </c>
      <c r="M1683" s="1">
        <v>118</v>
      </c>
      <c r="N1683" s="1">
        <v>2.758E-2</v>
      </c>
      <c r="O1683" s="1">
        <v>2.4439999999999998E-4</v>
      </c>
      <c r="P16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1.1045472074837299</v>
      </c>
      <c r="Q1683" s="1">
        <f>LN(Table13[[#This Row],[qe_mg_g]]-Table13[[#This Row],[qt]])</f>
        <v>1.7244531733361792</v>
      </c>
      <c r="R1683" s="1">
        <v>2</v>
      </c>
    </row>
    <row r="1684" spans="1:18" hidden="1" x14ac:dyDescent="0.3">
      <c r="A1684" s="1">
        <v>1683</v>
      </c>
      <c r="B1684" s="1" t="s">
        <v>18</v>
      </c>
      <c r="C1684" s="1">
        <v>4</v>
      </c>
      <c r="D1684" s="1">
        <v>120</v>
      </c>
      <c r="E1684" s="1">
        <v>100</v>
      </c>
      <c r="F1684" s="1">
        <v>11</v>
      </c>
      <c r="G1684" s="1">
        <v>25</v>
      </c>
      <c r="H1684" s="1">
        <v>150</v>
      </c>
      <c r="I1684" s="1">
        <v>100</v>
      </c>
      <c r="J1684" s="1">
        <v>6.3689999999999998</v>
      </c>
      <c r="K1684" s="1">
        <v>74.522999999999996</v>
      </c>
      <c r="L1684" s="1">
        <v>25.48</v>
      </c>
      <c r="M1684" s="1">
        <v>126.8</v>
      </c>
      <c r="N1684" s="1">
        <v>3.5040000000000002E-2</v>
      </c>
      <c r="O1684" s="1">
        <v>2.2790000000000001E-4</v>
      </c>
      <c r="P16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0.9447863449917141</v>
      </c>
      <c r="Q1684" s="1">
        <f>LN(Table13[[#This Row],[qe_mg_g]]-Table13[[#This Row],[qt]])</f>
        <v>1.6908729405349214</v>
      </c>
      <c r="R1684" s="1">
        <v>3</v>
      </c>
    </row>
    <row r="1685" spans="1:18" hidden="1" x14ac:dyDescent="0.3">
      <c r="A1685" s="1">
        <v>1684</v>
      </c>
      <c r="B1685" s="1" t="s">
        <v>18</v>
      </c>
      <c r="C1685" s="1">
        <v>4</v>
      </c>
      <c r="D1685" s="1">
        <v>120</v>
      </c>
      <c r="E1685" s="1">
        <v>200</v>
      </c>
      <c r="F1685" s="1">
        <v>3</v>
      </c>
      <c r="G1685" s="1">
        <v>25</v>
      </c>
      <c r="H1685" s="1">
        <v>150</v>
      </c>
      <c r="I1685" s="1">
        <v>100</v>
      </c>
      <c r="J1685" s="1">
        <v>16.911000000000001</v>
      </c>
      <c r="K1685" s="1">
        <v>132.357</v>
      </c>
      <c r="L1685" s="1">
        <v>33.82</v>
      </c>
      <c r="M1685" s="1">
        <v>89.8</v>
      </c>
      <c r="N1685" s="1">
        <v>3.184E-2</v>
      </c>
      <c r="O1685" s="1">
        <v>2.6269999999999999E-4</v>
      </c>
      <c r="P16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5.8804253970897937</v>
      </c>
      <c r="Q1685" s="1">
        <f>LN(Table13[[#This Row],[qe_mg_g]]-Table13[[#This Row],[qt]])</f>
        <v>2.4006709264606862</v>
      </c>
      <c r="R1685" s="1">
        <v>1</v>
      </c>
    </row>
    <row r="1686" spans="1:18" hidden="1" x14ac:dyDescent="0.3">
      <c r="A1686" s="1">
        <v>1685</v>
      </c>
      <c r="B1686" s="1" t="s">
        <v>18</v>
      </c>
      <c r="C1686" s="1">
        <v>4</v>
      </c>
      <c r="D1686" s="1">
        <v>120</v>
      </c>
      <c r="E1686" s="1">
        <v>200</v>
      </c>
      <c r="F1686" s="1">
        <v>3</v>
      </c>
      <c r="G1686" s="1">
        <v>25</v>
      </c>
      <c r="H1686" s="1">
        <v>150</v>
      </c>
      <c r="I1686" s="1">
        <v>100</v>
      </c>
      <c r="J1686" s="1">
        <v>17.908999999999999</v>
      </c>
      <c r="K1686" s="1">
        <v>128.36500000000001</v>
      </c>
      <c r="L1686" s="1">
        <v>35.82</v>
      </c>
      <c r="M1686" s="1">
        <v>105</v>
      </c>
      <c r="N1686" s="1">
        <v>3.8809999999999997E-2</v>
      </c>
      <c r="O1686" s="1">
        <v>2.243E-4</v>
      </c>
      <c r="P16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5.824969618940651</v>
      </c>
      <c r="Q1686" s="1">
        <f>LN(Table13[[#This Row],[qe_mg_g]]-Table13[[#This Row],[qt]])</f>
        <v>2.4918847776771198</v>
      </c>
      <c r="R1686" s="1">
        <v>2</v>
      </c>
    </row>
    <row r="1687" spans="1:18" hidden="1" x14ac:dyDescent="0.3">
      <c r="A1687" s="1">
        <v>1686</v>
      </c>
      <c r="B1687" s="1" t="s">
        <v>18</v>
      </c>
      <c r="C1687" s="1">
        <v>4</v>
      </c>
      <c r="D1687" s="1">
        <v>120</v>
      </c>
      <c r="E1687" s="1">
        <v>200</v>
      </c>
      <c r="F1687" s="1">
        <v>3</v>
      </c>
      <c r="G1687" s="1">
        <v>25</v>
      </c>
      <c r="H1687" s="1">
        <v>150</v>
      </c>
      <c r="I1687" s="1">
        <v>100</v>
      </c>
      <c r="J1687" s="1">
        <v>14.12</v>
      </c>
      <c r="K1687" s="1">
        <v>143.52000000000001</v>
      </c>
      <c r="L1687" s="1">
        <v>28.24</v>
      </c>
      <c r="M1687" s="1">
        <v>94.1</v>
      </c>
      <c r="N1687" s="1">
        <v>2.53E-2</v>
      </c>
      <c r="O1687" s="1">
        <v>2.1269999999999999E-4</v>
      </c>
      <c r="P16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3.7406912490254327</v>
      </c>
      <c r="Q1687" s="1">
        <f>LN(Table13[[#This Row],[qe_mg_g]]-Table13[[#This Row],[qt]])</f>
        <v>2.3398142812018001</v>
      </c>
      <c r="R1687" s="1">
        <v>3</v>
      </c>
    </row>
    <row r="1688" spans="1:18" hidden="1" x14ac:dyDescent="0.3">
      <c r="A1688" s="1">
        <v>1687</v>
      </c>
      <c r="B1688" s="1" t="s">
        <v>18</v>
      </c>
      <c r="C1688" s="1">
        <v>4</v>
      </c>
      <c r="D1688" s="1">
        <v>120</v>
      </c>
      <c r="E1688" s="1">
        <v>200</v>
      </c>
      <c r="F1688" s="1">
        <v>7</v>
      </c>
      <c r="G1688" s="1">
        <v>25</v>
      </c>
      <c r="H1688" s="1">
        <v>150</v>
      </c>
      <c r="I1688" s="1">
        <v>100</v>
      </c>
      <c r="J1688" s="1">
        <v>23.015999999999998</v>
      </c>
      <c r="K1688" s="1">
        <v>107.93600000000001</v>
      </c>
      <c r="L1688" s="1">
        <v>46.03</v>
      </c>
      <c r="M1688" s="1">
        <v>86.2</v>
      </c>
      <c r="N1688" s="1">
        <v>2.7140000000000001E-2</v>
      </c>
      <c r="O1688" s="1">
        <v>2.63E-4</v>
      </c>
      <c r="P16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9.684095162274815</v>
      </c>
      <c r="Q1688" s="1">
        <f>LN(Table13[[#This Row],[qe_mg_g]]-Table13[[#This Row],[qt]])</f>
        <v>2.5901600225356187</v>
      </c>
      <c r="R1688" s="1">
        <v>1</v>
      </c>
    </row>
    <row r="1689" spans="1:18" hidden="1" x14ac:dyDescent="0.3">
      <c r="A1689" s="1">
        <v>1688</v>
      </c>
      <c r="B1689" s="1" t="s">
        <v>18</v>
      </c>
      <c r="C1689" s="1">
        <v>4</v>
      </c>
      <c r="D1689" s="1">
        <v>120</v>
      </c>
      <c r="E1689" s="1">
        <v>200</v>
      </c>
      <c r="F1689" s="1">
        <v>7</v>
      </c>
      <c r="G1689" s="1">
        <v>25</v>
      </c>
      <c r="H1689" s="1">
        <v>150</v>
      </c>
      <c r="I1689" s="1">
        <v>100</v>
      </c>
      <c r="J1689" s="1">
        <v>24.143000000000001</v>
      </c>
      <c r="K1689" s="1">
        <v>103.42700000000001</v>
      </c>
      <c r="L1689" s="1">
        <v>48.29</v>
      </c>
      <c r="M1689" s="1">
        <v>97.3</v>
      </c>
      <c r="N1689" s="1">
        <v>3.2680000000000001E-2</v>
      </c>
      <c r="O1689" s="1">
        <v>2.308E-4</v>
      </c>
      <c r="P16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9.6745435817785914</v>
      </c>
      <c r="Q1689" s="1">
        <f>LN(Table13[[#This Row],[qe_mg_g]]-Table13[[#This Row],[qt]])</f>
        <v>2.6719708603313714</v>
      </c>
      <c r="R1689" s="1">
        <v>2</v>
      </c>
    </row>
    <row r="1690" spans="1:18" hidden="1" x14ac:dyDescent="0.3">
      <c r="A1690" s="1">
        <v>1689</v>
      </c>
      <c r="B1690" s="1" t="s">
        <v>18</v>
      </c>
      <c r="C1690" s="1">
        <v>4</v>
      </c>
      <c r="D1690" s="1">
        <v>120</v>
      </c>
      <c r="E1690" s="1">
        <v>200</v>
      </c>
      <c r="F1690" s="1">
        <v>7</v>
      </c>
      <c r="G1690" s="1">
        <v>25</v>
      </c>
      <c r="H1690" s="1">
        <v>150</v>
      </c>
      <c r="I1690" s="1">
        <v>100</v>
      </c>
      <c r="J1690" s="1">
        <v>24.693000000000001</v>
      </c>
      <c r="K1690" s="1">
        <v>101.227</v>
      </c>
      <c r="L1690" s="1">
        <v>49.39</v>
      </c>
      <c r="M1690" s="1">
        <v>105.5</v>
      </c>
      <c r="N1690" s="1">
        <v>2.418E-2</v>
      </c>
      <c r="O1690" s="1">
        <v>1.9039999999999999E-4</v>
      </c>
      <c r="P16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8.9065108585166026</v>
      </c>
      <c r="Q1690" s="1">
        <f>LN(Table13[[#This Row],[qe_mg_g]]-Table13[[#This Row],[qt]])</f>
        <v>2.7591544565836479</v>
      </c>
      <c r="R1690" s="1">
        <v>3</v>
      </c>
    </row>
    <row r="1691" spans="1:18" hidden="1" x14ac:dyDescent="0.3">
      <c r="A1691" s="1">
        <v>1690</v>
      </c>
      <c r="B1691" s="1" t="s">
        <v>18</v>
      </c>
      <c r="C1691" s="1">
        <v>4</v>
      </c>
      <c r="D1691" s="1">
        <v>120</v>
      </c>
      <c r="E1691" s="1">
        <v>200</v>
      </c>
      <c r="F1691" s="1">
        <v>11</v>
      </c>
      <c r="G1691" s="1">
        <v>25</v>
      </c>
      <c r="H1691" s="1">
        <v>150</v>
      </c>
      <c r="I1691" s="1">
        <v>100</v>
      </c>
      <c r="J1691" s="1">
        <v>20.673999999999999</v>
      </c>
      <c r="K1691" s="1">
        <v>117.303</v>
      </c>
      <c r="L1691" s="1">
        <v>41.35</v>
      </c>
      <c r="M1691" s="1">
        <v>107.4</v>
      </c>
      <c r="N1691" s="1">
        <v>3.619E-2</v>
      </c>
      <c r="O1691" s="1">
        <v>2.5399999999999999E-4</v>
      </c>
      <c r="P16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7.9916810836876486</v>
      </c>
      <c r="Q1691" s="1">
        <f>LN(Table13[[#This Row],[qe_mg_g]]-Table13[[#This Row],[qt]])</f>
        <v>2.5402088121239603</v>
      </c>
      <c r="R1691" s="1">
        <v>1</v>
      </c>
    </row>
    <row r="1692" spans="1:18" hidden="1" x14ac:dyDescent="0.3">
      <c r="A1692" s="1">
        <v>1691</v>
      </c>
      <c r="B1692" s="1" t="s">
        <v>18</v>
      </c>
      <c r="C1692" s="1">
        <v>4</v>
      </c>
      <c r="D1692" s="1">
        <v>120</v>
      </c>
      <c r="E1692" s="1">
        <v>200</v>
      </c>
      <c r="F1692" s="1">
        <v>11</v>
      </c>
      <c r="G1692" s="1">
        <v>25</v>
      </c>
      <c r="H1692" s="1">
        <v>150</v>
      </c>
      <c r="I1692" s="1">
        <v>100</v>
      </c>
      <c r="J1692" s="1">
        <v>21.529</v>
      </c>
      <c r="K1692" s="1">
        <v>113.884</v>
      </c>
      <c r="L1692" s="1">
        <v>43.06</v>
      </c>
      <c r="M1692" s="1">
        <v>97.1</v>
      </c>
      <c r="N1692" s="1">
        <v>3.0890000000000001E-2</v>
      </c>
      <c r="O1692" s="1">
        <v>2.9169999999999999E-4</v>
      </c>
      <c r="P16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9.2519777036706667</v>
      </c>
      <c r="Q1692" s="1">
        <f>LN(Table13[[#This Row],[qe_mg_g]]-Table13[[#This Row],[qt]])</f>
        <v>2.5077294093027254</v>
      </c>
      <c r="R1692" s="1">
        <v>2</v>
      </c>
    </row>
    <row r="1693" spans="1:18" hidden="1" x14ac:dyDescent="0.3">
      <c r="A1693" s="1">
        <v>1692</v>
      </c>
      <c r="B1693" s="1" t="s">
        <v>18</v>
      </c>
      <c r="C1693" s="1">
        <v>4</v>
      </c>
      <c r="D1693" s="1">
        <v>120</v>
      </c>
      <c r="E1693" s="1">
        <v>200</v>
      </c>
      <c r="F1693" s="1">
        <v>11</v>
      </c>
      <c r="G1693" s="1">
        <v>25</v>
      </c>
      <c r="H1693" s="1">
        <v>150</v>
      </c>
      <c r="I1693" s="1">
        <v>100</v>
      </c>
      <c r="J1693" s="1">
        <v>16.216999999999999</v>
      </c>
      <c r="K1693" s="1">
        <v>135.13200000000001</v>
      </c>
      <c r="L1693" s="1">
        <v>32.43</v>
      </c>
      <c r="M1693" s="1">
        <v>106.2</v>
      </c>
      <c r="N1693" s="1">
        <v>3.6409999999999998E-2</v>
      </c>
      <c r="O1693" s="1">
        <v>2.5710000000000002E-4</v>
      </c>
      <c r="P16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5.4080221879354111</v>
      </c>
      <c r="Q1693" s="1">
        <f>LN(Table13[[#This Row],[qe_mg_g]]-Table13[[#This Row],[qt]])</f>
        <v>2.3803770677041012</v>
      </c>
      <c r="R1693" s="1">
        <v>3</v>
      </c>
    </row>
    <row r="1694" spans="1:18" hidden="1" x14ac:dyDescent="0.3">
      <c r="A1694" s="1">
        <v>1693</v>
      </c>
      <c r="B1694" s="1" t="s">
        <v>18</v>
      </c>
      <c r="C1694" s="1">
        <v>4</v>
      </c>
      <c r="D1694" s="1">
        <v>240</v>
      </c>
      <c r="E1694" s="1">
        <v>25</v>
      </c>
      <c r="F1694" s="1">
        <v>3</v>
      </c>
      <c r="G1694" s="1">
        <v>25</v>
      </c>
      <c r="H1694" s="1">
        <v>150</v>
      </c>
      <c r="I1694" s="1">
        <v>100</v>
      </c>
      <c r="J1694" s="1">
        <v>1.008</v>
      </c>
      <c r="K1694" s="1">
        <v>20.968</v>
      </c>
      <c r="L1694" s="1">
        <v>16.13</v>
      </c>
      <c r="M1694" s="1">
        <v>90.6</v>
      </c>
      <c r="N1694" s="1">
        <v>2.9899999999999999E-2</v>
      </c>
      <c r="O1694" s="1">
        <v>2.5080000000000002E-4</v>
      </c>
      <c r="P16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5.7660460275686581E-2</v>
      </c>
      <c r="Q1694" s="1">
        <f>LN(Table13[[#This Row],[qe_mg_g]]-Table13[[#This Row],[qt]])</f>
        <v>-5.0935948007254914E-2</v>
      </c>
      <c r="R1694" s="1">
        <v>1</v>
      </c>
    </row>
    <row r="1695" spans="1:18" hidden="1" x14ac:dyDescent="0.3">
      <c r="A1695" s="1">
        <v>1694</v>
      </c>
      <c r="B1695" s="1" t="s">
        <v>18</v>
      </c>
      <c r="C1695" s="1">
        <v>4</v>
      </c>
      <c r="D1695" s="1">
        <v>240</v>
      </c>
      <c r="E1695" s="1">
        <v>25</v>
      </c>
      <c r="F1695" s="1">
        <v>3</v>
      </c>
      <c r="G1695" s="1">
        <v>25</v>
      </c>
      <c r="H1695" s="1">
        <v>150</v>
      </c>
      <c r="I1695" s="1">
        <v>100</v>
      </c>
      <c r="J1695" s="1">
        <v>0.70199999999999996</v>
      </c>
      <c r="K1695" s="1">
        <v>22.19</v>
      </c>
      <c r="L1695" s="1">
        <v>11.24</v>
      </c>
      <c r="M1695" s="1">
        <v>82.5</v>
      </c>
      <c r="N1695" s="1">
        <v>2.6710000000000001E-2</v>
      </c>
      <c r="O1695" s="1">
        <v>2.7060000000000002E-4</v>
      </c>
      <c r="P16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3.0609169862844069E-2</v>
      </c>
      <c r="Q1695" s="1">
        <f>LN(Table13[[#This Row],[qe_mg_g]]-Table13[[#This Row],[qt]])</f>
        <v>-0.39840385235318926</v>
      </c>
      <c r="R1695" s="1">
        <v>2</v>
      </c>
    </row>
    <row r="1696" spans="1:18" hidden="1" x14ac:dyDescent="0.3">
      <c r="A1696" s="1">
        <v>1695</v>
      </c>
      <c r="B1696" s="1" t="s">
        <v>18</v>
      </c>
      <c r="C1696" s="1">
        <v>4</v>
      </c>
      <c r="D1696" s="1">
        <v>240</v>
      </c>
      <c r="E1696" s="1">
        <v>25</v>
      </c>
      <c r="F1696" s="1">
        <v>3</v>
      </c>
      <c r="G1696" s="1">
        <v>25</v>
      </c>
      <c r="H1696" s="1">
        <v>150</v>
      </c>
      <c r="I1696" s="1">
        <v>100</v>
      </c>
      <c r="J1696" s="1">
        <v>0.94599999999999995</v>
      </c>
      <c r="K1696" s="1">
        <v>21.213999999999999</v>
      </c>
      <c r="L1696" s="1">
        <v>15.14</v>
      </c>
      <c r="M1696" s="1">
        <v>104.9</v>
      </c>
      <c r="N1696" s="1">
        <v>3.2469999999999999E-2</v>
      </c>
      <c r="O1696" s="1">
        <v>2.4590000000000001E-4</v>
      </c>
      <c r="P16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5.0021694661777166E-2</v>
      </c>
      <c r="Q1696" s="1">
        <f>LN(Table13[[#This Row],[qe_mg_g]]-Table13[[#This Row],[qt]])</f>
        <v>-0.10983907909250307</v>
      </c>
      <c r="R1696" s="1">
        <v>3</v>
      </c>
    </row>
    <row r="1697" spans="1:18" hidden="1" x14ac:dyDescent="0.3">
      <c r="A1697" s="1">
        <v>1696</v>
      </c>
      <c r="B1697" s="1" t="s">
        <v>18</v>
      </c>
      <c r="C1697" s="1">
        <v>4</v>
      </c>
      <c r="D1697" s="1">
        <v>240</v>
      </c>
      <c r="E1697" s="1">
        <v>25</v>
      </c>
      <c r="F1697" s="1">
        <v>7</v>
      </c>
      <c r="G1697" s="1">
        <v>25</v>
      </c>
      <c r="H1697" s="1">
        <v>150</v>
      </c>
      <c r="I1697" s="1">
        <v>100</v>
      </c>
      <c r="J1697" s="1">
        <v>1.613</v>
      </c>
      <c r="K1697" s="1">
        <v>18.547000000000001</v>
      </c>
      <c r="L1697" s="1">
        <v>25.81</v>
      </c>
      <c r="M1697" s="1">
        <v>100.1</v>
      </c>
      <c r="N1697" s="1">
        <v>3.0169999999999999E-2</v>
      </c>
      <c r="O1697" s="1">
        <v>2.4340000000000001E-4</v>
      </c>
      <c r="P16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0.1388973353677912</v>
      </c>
      <c r="Q1697" s="1">
        <f>LN(Table13[[#This Row],[qe_mg_g]]-Table13[[#This Row],[qt]])</f>
        <v>0.38804944170273542</v>
      </c>
      <c r="R1697" s="1">
        <v>1</v>
      </c>
    </row>
    <row r="1698" spans="1:18" hidden="1" x14ac:dyDescent="0.3">
      <c r="A1698" s="1">
        <v>1697</v>
      </c>
      <c r="B1698" s="1" t="s">
        <v>18</v>
      </c>
      <c r="C1698" s="1">
        <v>4</v>
      </c>
      <c r="D1698" s="1">
        <v>240</v>
      </c>
      <c r="E1698" s="1">
        <v>25</v>
      </c>
      <c r="F1698" s="1">
        <v>7</v>
      </c>
      <c r="G1698" s="1">
        <v>25</v>
      </c>
      <c r="H1698" s="1">
        <v>150</v>
      </c>
      <c r="I1698" s="1">
        <v>100</v>
      </c>
      <c r="J1698" s="1">
        <v>1.5449999999999999</v>
      </c>
      <c r="K1698" s="1">
        <v>18.818000000000001</v>
      </c>
      <c r="L1698" s="1">
        <v>24.73</v>
      </c>
      <c r="M1698" s="1">
        <v>93.7</v>
      </c>
      <c r="N1698" s="1">
        <v>3.2930000000000001E-2</v>
      </c>
      <c r="O1698" s="1">
        <v>2.2169999999999999E-4</v>
      </c>
      <c r="P16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0.11736100515986617</v>
      </c>
      <c r="Q1698" s="1">
        <f>LN(Table13[[#This Row],[qe_mg_g]]-Table13[[#This Row],[qt]])</f>
        <v>0.35602202722308945</v>
      </c>
      <c r="R1698" s="1">
        <v>2</v>
      </c>
    </row>
    <row r="1699" spans="1:18" hidden="1" x14ac:dyDescent="0.3">
      <c r="A1699" s="1">
        <v>1698</v>
      </c>
      <c r="B1699" s="1" t="s">
        <v>18</v>
      </c>
      <c r="C1699" s="1">
        <v>4</v>
      </c>
      <c r="D1699" s="1">
        <v>240</v>
      </c>
      <c r="E1699" s="1">
        <v>25</v>
      </c>
      <c r="F1699" s="1">
        <v>7</v>
      </c>
      <c r="G1699" s="1">
        <v>25</v>
      </c>
      <c r="H1699" s="1">
        <v>150</v>
      </c>
      <c r="I1699" s="1">
        <v>100</v>
      </c>
      <c r="J1699" s="1">
        <v>1.3120000000000001</v>
      </c>
      <c r="K1699" s="1">
        <v>19.753</v>
      </c>
      <c r="L1699" s="1">
        <v>20.99</v>
      </c>
      <c r="M1699" s="1">
        <v>110.3</v>
      </c>
      <c r="N1699" s="1">
        <v>2.9729999999999999E-2</v>
      </c>
      <c r="O1699" s="1">
        <v>2.387E-4</v>
      </c>
      <c r="P16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9.171861382701435E-2</v>
      </c>
      <c r="Q1699" s="1">
        <f>LN(Table13[[#This Row],[qe_mg_g]]-Table13[[#This Row],[qt]])</f>
        <v>0.19908147655492045</v>
      </c>
      <c r="R1699" s="1">
        <v>3</v>
      </c>
    </row>
    <row r="1700" spans="1:18" hidden="1" x14ac:dyDescent="0.3">
      <c r="A1700" s="1">
        <v>1699</v>
      </c>
      <c r="B1700" s="1" t="s">
        <v>18</v>
      </c>
      <c r="C1700" s="1">
        <v>4</v>
      </c>
      <c r="D1700" s="1">
        <v>240</v>
      </c>
      <c r="E1700" s="1">
        <v>25</v>
      </c>
      <c r="F1700" s="1">
        <v>11</v>
      </c>
      <c r="G1700" s="1">
        <v>25</v>
      </c>
      <c r="H1700" s="1">
        <v>150</v>
      </c>
      <c r="I1700" s="1">
        <v>100</v>
      </c>
      <c r="J1700" s="1">
        <v>1.1839999999999999</v>
      </c>
      <c r="K1700" s="1">
        <v>20.265999999999998</v>
      </c>
      <c r="L1700" s="1">
        <v>18.940000000000001</v>
      </c>
      <c r="M1700" s="1">
        <v>90.9</v>
      </c>
      <c r="N1700" s="1">
        <v>2.9399999999999999E-2</v>
      </c>
      <c r="O1700" s="1">
        <v>2.8499999999999999E-4</v>
      </c>
      <c r="P17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8.8703263392222786E-2</v>
      </c>
      <c r="Q1700" s="1">
        <f>LN(Table13[[#This Row],[qe_mg_g]]-Table13[[#This Row],[qt]])</f>
        <v>9.1025318892543006E-2</v>
      </c>
      <c r="R1700" s="1">
        <v>1</v>
      </c>
    </row>
    <row r="1701" spans="1:18" hidden="1" x14ac:dyDescent="0.3">
      <c r="A1701" s="1">
        <v>1700</v>
      </c>
      <c r="B1701" s="1" t="s">
        <v>18</v>
      </c>
      <c r="C1701" s="1">
        <v>4</v>
      </c>
      <c r="D1701" s="1">
        <v>240</v>
      </c>
      <c r="E1701" s="1">
        <v>25</v>
      </c>
      <c r="F1701" s="1">
        <v>11</v>
      </c>
      <c r="G1701" s="1">
        <v>25</v>
      </c>
      <c r="H1701" s="1">
        <v>150</v>
      </c>
      <c r="I1701" s="1">
        <v>100</v>
      </c>
      <c r="J1701" s="1">
        <v>1.248</v>
      </c>
      <c r="K1701" s="1">
        <v>20.010000000000002</v>
      </c>
      <c r="L1701" s="1">
        <v>19.96</v>
      </c>
      <c r="M1701" s="1">
        <v>123.6</v>
      </c>
      <c r="N1701" s="1">
        <v>2.9149999999999999E-2</v>
      </c>
      <c r="O1701" s="1">
        <v>2.8079999999999999E-4</v>
      </c>
      <c r="P17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9.682022373739782E-2</v>
      </c>
      <c r="Q1701" s="1">
        <f>LN(Table13[[#This Row],[qe_mg_g]]-Table13[[#This Row],[qt]])</f>
        <v>0.14078730890943617</v>
      </c>
      <c r="R1701" s="1">
        <v>2</v>
      </c>
    </row>
    <row r="1702" spans="1:18" hidden="1" x14ac:dyDescent="0.3">
      <c r="A1702" s="1">
        <v>1701</v>
      </c>
      <c r="B1702" s="1" t="s">
        <v>18</v>
      </c>
      <c r="C1702" s="1">
        <v>4</v>
      </c>
      <c r="D1702" s="1">
        <v>240</v>
      </c>
      <c r="E1702" s="1">
        <v>25</v>
      </c>
      <c r="F1702" s="1">
        <v>11</v>
      </c>
      <c r="G1702" s="1">
        <v>25</v>
      </c>
      <c r="H1702" s="1">
        <v>150</v>
      </c>
      <c r="I1702" s="1">
        <v>100</v>
      </c>
      <c r="J1702" s="1">
        <v>1.002</v>
      </c>
      <c r="K1702" s="1">
        <v>20.991</v>
      </c>
      <c r="L1702" s="1">
        <v>16.03</v>
      </c>
      <c r="M1702" s="1">
        <v>86.4</v>
      </c>
      <c r="N1702" s="1">
        <v>2.2950000000000002E-2</v>
      </c>
      <c r="O1702" s="1">
        <v>2.9179999999999999E-4</v>
      </c>
      <c r="P17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6.5701965593450581E-2</v>
      </c>
      <c r="Q1702" s="1">
        <f>LN(Table13[[#This Row],[qe_mg_g]]-Table13[[#This Row],[qt]])</f>
        <v>-6.5821440359640881E-2</v>
      </c>
      <c r="R1702" s="1">
        <v>3</v>
      </c>
    </row>
    <row r="1703" spans="1:18" hidden="1" x14ac:dyDescent="0.3">
      <c r="A1703" s="1">
        <v>1702</v>
      </c>
      <c r="B1703" s="1" t="s">
        <v>18</v>
      </c>
      <c r="C1703" s="1">
        <v>4</v>
      </c>
      <c r="D1703" s="1">
        <v>240</v>
      </c>
      <c r="E1703" s="1">
        <v>50</v>
      </c>
      <c r="F1703" s="1">
        <v>3</v>
      </c>
      <c r="G1703" s="1">
        <v>25</v>
      </c>
      <c r="H1703" s="1">
        <v>150</v>
      </c>
      <c r="I1703" s="1">
        <v>100</v>
      </c>
      <c r="J1703" s="1">
        <v>2.6579999999999999</v>
      </c>
      <c r="K1703" s="1">
        <v>39.368000000000002</v>
      </c>
      <c r="L1703" s="1">
        <v>21.26</v>
      </c>
      <c r="M1703" s="1">
        <v>98.1</v>
      </c>
      <c r="N1703" s="1">
        <v>2.7269999999999999E-2</v>
      </c>
      <c r="O1703" s="1">
        <v>2.6739999999999999E-4</v>
      </c>
      <c r="P17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0.38733038667278974</v>
      </c>
      <c r="Q1703" s="1">
        <f>LN(Table13[[#This Row],[qe_mg_g]]-Table13[[#This Row],[qt]])</f>
        <v>0.82007477183871713</v>
      </c>
      <c r="R1703" s="1">
        <v>1</v>
      </c>
    </row>
    <row r="1704" spans="1:18" hidden="1" x14ac:dyDescent="0.3">
      <c r="A1704" s="1">
        <v>1703</v>
      </c>
      <c r="B1704" s="1" t="s">
        <v>18</v>
      </c>
      <c r="C1704" s="1">
        <v>4</v>
      </c>
      <c r="D1704" s="1">
        <v>240</v>
      </c>
      <c r="E1704" s="1">
        <v>50</v>
      </c>
      <c r="F1704" s="1">
        <v>3</v>
      </c>
      <c r="G1704" s="1">
        <v>25</v>
      </c>
      <c r="H1704" s="1">
        <v>150</v>
      </c>
      <c r="I1704" s="1">
        <v>100</v>
      </c>
      <c r="J1704" s="1">
        <v>2.7850000000000001</v>
      </c>
      <c r="K1704" s="1">
        <v>38.860999999999997</v>
      </c>
      <c r="L1704" s="1">
        <v>22.28</v>
      </c>
      <c r="M1704" s="1">
        <v>80.400000000000006</v>
      </c>
      <c r="N1704" s="1">
        <v>3.1320000000000001E-2</v>
      </c>
      <c r="O1704" s="1">
        <v>2.142E-4</v>
      </c>
      <c r="P17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0.34879463976736719</v>
      </c>
      <c r="Q1704" s="1">
        <f>LN(Table13[[#This Row],[qe_mg_g]]-Table13[[#This Row],[qt]])</f>
        <v>0.89044164852456209</v>
      </c>
      <c r="R1704" s="1">
        <v>2</v>
      </c>
    </row>
    <row r="1705" spans="1:18" hidden="1" x14ac:dyDescent="0.3">
      <c r="A1705" s="1">
        <v>1704</v>
      </c>
      <c r="B1705" s="1" t="s">
        <v>18</v>
      </c>
      <c r="C1705" s="1">
        <v>4</v>
      </c>
      <c r="D1705" s="1">
        <v>240</v>
      </c>
      <c r="E1705" s="1">
        <v>50</v>
      </c>
      <c r="F1705" s="1">
        <v>3</v>
      </c>
      <c r="G1705" s="1">
        <v>25</v>
      </c>
      <c r="H1705" s="1">
        <v>150</v>
      </c>
      <c r="I1705" s="1">
        <v>100</v>
      </c>
      <c r="J1705" s="1">
        <v>2.665</v>
      </c>
      <c r="K1705" s="1">
        <v>39.340000000000003</v>
      </c>
      <c r="L1705" s="1">
        <v>21.32</v>
      </c>
      <c r="M1705" s="1">
        <v>68.400000000000006</v>
      </c>
      <c r="N1705" s="1">
        <v>2.5729999999999999E-2</v>
      </c>
      <c r="O1705" s="1">
        <v>2.5450000000000001E-4</v>
      </c>
      <c r="P17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0.37307536639403799</v>
      </c>
      <c r="Q1705" s="1">
        <f>LN(Table13[[#This Row],[qe_mg_g]]-Table13[[#This Row],[qt]])</f>
        <v>0.82939191594098449</v>
      </c>
      <c r="R1705" s="1">
        <v>3</v>
      </c>
    </row>
    <row r="1706" spans="1:18" hidden="1" x14ac:dyDescent="0.3">
      <c r="A1706" s="1">
        <v>1705</v>
      </c>
      <c r="B1706" s="1" t="s">
        <v>18</v>
      </c>
      <c r="C1706" s="1">
        <v>4</v>
      </c>
      <c r="D1706" s="1">
        <v>240</v>
      </c>
      <c r="E1706" s="1">
        <v>50</v>
      </c>
      <c r="F1706" s="1">
        <v>7</v>
      </c>
      <c r="G1706" s="1">
        <v>25</v>
      </c>
      <c r="H1706" s="1">
        <v>150</v>
      </c>
      <c r="I1706" s="1">
        <v>100</v>
      </c>
      <c r="J1706" s="1">
        <v>3.7730000000000001</v>
      </c>
      <c r="K1706" s="1">
        <v>34.906999999999996</v>
      </c>
      <c r="L1706" s="1">
        <v>30.19</v>
      </c>
      <c r="M1706" s="1">
        <v>77.8</v>
      </c>
      <c r="N1706" s="1">
        <v>2.9989999999999999E-2</v>
      </c>
      <c r="O1706" s="1">
        <v>2.364E-4</v>
      </c>
      <c r="P17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0.66525846741534411</v>
      </c>
      <c r="Q1706" s="1">
        <f>LN(Table13[[#This Row],[qe_mg_g]]-Table13[[#This Row],[qt]])</f>
        <v>1.1338962670732036</v>
      </c>
      <c r="R1706" s="1">
        <v>1</v>
      </c>
    </row>
    <row r="1707" spans="1:18" hidden="1" x14ac:dyDescent="0.3">
      <c r="A1707" s="1">
        <v>1706</v>
      </c>
      <c r="B1707" s="1" t="s">
        <v>18</v>
      </c>
      <c r="C1707" s="1">
        <v>4</v>
      </c>
      <c r="D1707" s="1">
        <v>240</v>
      </c>
      <c r="E1707" s="1">
        <v>50</v>
      </c>
      <c r="F1707" s="1">
        <v>7</v>
      </c>
      <c r="G1707" s="1">
        <v>25</v>
      </c>
      <c r="H1707" s="1">
        <v>150</v>
      </c>
      <c r="I1707" s="1">
        <v>100</v>
      </c>
      <c r="J1707" s="1">
        <v>5.4059999999999997</v>
      </c>
      <c r="K1707" s="1">
        <v>28.378</v>
      </c>
      <c r="L1707" s="1">
        <v>43.24</v>
      </c>
      <c r="M1707" s="1">
        <v>127.5</v>
      </c>
      <c r="N1707" s="1">
        <v>2.7400000000000001E-2</v>
      </c>
      <c r="O1707" s="1">
        <v>2.6390000000000002E-4</v>
      </c>
      <c r="P17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1.3788676344553568</v>
      </c>
      <c r="Q1707" s="1">
        <f>LN(Table13[[#This Row],[qe_mg_g]]-Table13[[#This Row],[qt]])</f>
        <v>1.3930545508460479</v>
      </c>
      <c r="R1707" s="1">
        <v>2</v>
      </c>
    </row>
    <row r="1708" spans="1:18" hidden="1" x14ac:dyDescent="0.3">
      <c r="A1708" s="1">
        <v>1707</v>
      </c>
      <c r="B1708" s="1" t="s">
        <v>18</v>
      </c>
      <c r="C1708" s="1">
        <v>4</v>
      </c>
      <c r="D1708" s="1">
        <v>240</v>
      </c>
      <c r="E1708" s="1">
        <v>50</v>
      </c>
      <c r="F1708" s="1">
        <v>7</v>
      </c>
      <c r="G1708" s="1">
        <v>25</v>
      </c>
      <c r="H1708" s="1">
        <v>150</v>
      </c>
      <c r="I1708" s="1">
        <v>100</v>
      </c>
      <c r="J1708" s="1">
        <v>4.8929999999999998</v>
      </c>
      <c r="K1708" s="1">
        <v>30.428999999999998</v>
      </c>
      <c r="L1708" s="1">
        <v>39.14</v>
      </c>
      <c r="M1708" s="1">
        <v>91</v>
      </c>
      <c r="N1708" s="1">
        <v>2.5510000000000001E-2</v>
      </c>
      <c r="O1708" s="1">
        <v>2.497E-4</v>
      </c>
      <c r="P17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1.1094435660744242</v>
      </c>
      <c r="Q1708" s="1">
        <f>LN(Table13[[#This Row],[qe_mg_g]]-Table13[[#This Row],[qt]])</f>
        <v>1.3306644228402154</v>
      </c>
      <c r="R1708" s="1">
        <v>3</v>
      </c>
    </row>
    <row r="1709" spans="1:18" hidden="1" x14ac:dyDescent="0.3">
      <c r="A1709" s="1">
        <v>1708</v>
      </c>
      <c r="B1709" s="1" t="s">
        <v>18</v>
      </c>
      <c r="C1709" s="1">
        <v>4</v>
      </c>
      <c r="D1709" s="1">
        <v>240</v>
      </c>
      <c r="E1709" s="1">
        <v>50</v>
      </c>
      <c r="F1709" s="1">
        <v>11</v>
      </c>
      <c r="G1709" s="1">
        <v>25</v>
      </c>
      <c r="H1709" s="1">
        <v>150</v>
      </c>
      <c r="I1709" s="1">
        <v>100</v>
      </c>
      <c r="J1709" s="1">
        <v>3.48</v>
      </c>
      <c r="K1709" s="1">
        <v>36.079000000000001</v>
      </c>
      <c r="L1709" s="1">
        <v>27.84</v>
      </c>
      <c r="M1709" s="1">
        <v>93.5</v>
      </c>
      <c r="N1709" s="1">
        <v>3.1329999999999997E-2</v>
      </c>
      <c r="O1709" s="1">
        <v>2.3120000000000001E-4</v>
      </c>
      <c r="P17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0.56322426156625627</v>
      </c>
      <c r="Q1709" s="1">
        <f>LN(Table13[[#This Row],[qe_mg_g]]-Table13[[#This Row],[qt]])</f>
        <v>1.0704788070366256</v>
      </c>
      <c r="R1709" s="1">
        <v>1</v>
      </c>
    </row>
    <row r="1710" spans="1:18" hidden="1" x14ac:dyDescent="0.3">
      <c r="A1710" s="1">
        <v>1709</v>
      </c>
      <c r="B1710" s="1" t="s">
        <v>18</v>
      </c>
      <c r="C1710" s="1">
        <v>4</v>
      </c>
      <c r="D1710" s="1">
        <v>240</v>
      </c>
      <c r="E1710" s="1">
        <v>50</v>
      </c>
      <c r="F1710" s="1">
        <v>11</v>
      </c>
      <c r="G1710" s="1">
        <v>25</v>
      </c>
      <c r="H1710" s="1">
        <v>150</v>
      </c>
      <c r="I1710" s="1">
        <v>100</v>
      </c>
      <c r="J1710" s="1">
        <v>3.169</v>
      </c>
      <c r="K1710" s="1">
        <v>37.325000000000003</v>
      </c>
      <c r="L1710" s="1">
        <v>25.35</v>
      </c>
      <c r="M1710" s="1">
        <v>101.6</v>
      </c>
      <c r="N1710" s="1">
        <v>3.116E-2</v>
      </c>
      <c r="O1710" s="1">
        <v>2.206E-4</v>
      </c>
      <c r="P17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0.45530284886239009</v>
      </c>
      <c r="Q1710" s="1">
        <f>LN(Table13[[#This Row],[qe_mg_g]]-Table13[[#This Row],[qt]])</f>
        <v>0.99831196754357543</v>
      </c>
      <c r="R1710" s="1">
        <v>2</v>
      </c>
    </row>
    <row r="1711" spans="1:18" hidden="1" x14ac:dyDescent="0.3">
      <c r="A1711" s="1">
        <v>1710</v>
      </c>
      <c r="B1711" s="1" t="s">
        <v>18</v>
      </c>
      <c r="C1711" s="1">
        <v>4</v>
      </c>
      <c r="D1711" s="1">
        <v>240</v>
      </c>
      <c r="E1711" s="1">
        <v>50</v>
      </c>
      <c r="F1711" s="1">
        <v>11</v>
      </c>
      <c r="G1711" s="1">
        <v>25</v>
      </c>
      <c r="H1711" s="1">
        <v>150</v>
      </c>
      <c r="I1711" s="1">
        <v>100</v>
      </c>
      <c r="J1711" s="1">
        <v>3.831</v>
      </c>
      <c r="K1711" s="1">
        <v>34.677999999999997</v>
      </c>
      <c r="L1711" s="1">
        <v>30.64</v>
      </c>
      <c r="M1711" s="1">
        <v>73.400000000000006</v>
      </c>
      <c r="N1711" s="1">
        <v>2.827E-2</v>
      </c>
      <c r="O1711" s="1">
        <v>2.4350000000000001E-4</v>
      </c>
      <c r="P17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0.70080046567172027</v>
      </c>
      <c r="Q1711" s="1">
        <f>LN(Table13[[#This Row],[qe_mg_g]]-Table13[[#This Row],[qt]])</f>
        <v>1.1410967515068524</v>
      </c>
      <c r="R1711" s="1">
        <v>3</v>
      </c>
    </row>
    <row r="1712" spans="1:18" hidden="1" x14ac:dyDescent="0.3">
      <c r="A1712" s="1">
        <v>1711</v>
      </c>
      <c r="B1712" s="1" t="s">
        <v>18</v>
      </c>
      <c r="C1712" s="1">
        <v>4</v>
      </c>
      <c r="D1712" s="1">
        <v>240</v>
      </c>
      <c r="E1712" s="1">
        <v>100</v>
      </c>
      <c r="F1712" s="1">
        <v>3</v>
      </c>
      <c r="G1712" s="1">
        <v>25</v>
      </c>
      <c r="H1712" s="1">
        <v>150</v>
      </c>
      <c r="I1712" s="1">
        <v>100</v>
      </c>
      <c r="J1712" s="1">
        <v>7.9880000000000004</v>
      </c>
      <c r="K1712" s="1">
        <v>68.046999999999997</v>
      </c>
      <c r="L1712" s="1">
        <v>31.95</v>
      </c>
      <c r="M1712" s="1">
        <v>91.5</v>
      </c>
      <c r="N1712" s="1">
        <v>3.5610000000000003E-2</v>
      </c>
      <c r="O1712" s="1">
        <v>2.287E-4</v>
      </c>
      <c r="P17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2.4347824006526873</v>
      </c>
      <c r="Q1712" s="1">
        <f>LN(Table13[[#This Row],[qe_mg_g]]-Table13[[#This Row],[qt]])</f>
        <v>1.7143775073997565</v>
      </c>
      <c r="R1712" s="1">
        <v>1</v>
      </c>
    </row>
    <row r="1713" spans="1:18" hidden="1" x14ac:dyDescent="0.3">
      <c r="A1713" s="1">
        <v>1712</v>
      </c>
      <c r="B1713" s="1" t="s">
        <v>18</v>
      </c>
      <c r="C1713" s="1">
        <v>4</v>
      </c>
      <c r="D1713" s="1">
        <v>240</v>
      </c>
      <c r="E1713" s="1">
        <v>100</v>
      </c>
      <c r="F1713" s="1">
        <v>3</v>
      </c>
      <c r="G1713" s="1">
        <v>25</v>
      </c>
      <c r="H1713" s="1">
        <v>150</v>
      </c>
      <c r="I1713" s="1">
        <v>100</v>
      </c>
      <c r="J1713" s="1">
        <v>10.335000000000001</v>
      </c>
      <c r="K1713" s="1">
        <v>58.66</v>
      </c>
      <c r="L1713" s="1">
        <v>41.34</v>
      </c>
      <c r="M1713" s="1">
        <v>106.6</v>
      </c>
      <c r="N1713" s="1">
        <v>3.0280000000000001E-2</v>
      </c>
      <c r="O1713" s="1">
        <v>2.6190000000000002E-4</v>
      </c>
      <c r="P17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4.0699084644363097</v>
      </c>
      <c r="Q1713" s="1">
        <f>LN(Table13[[#This Row],[qe_mg_g]]-Table13[[#This Row],[qt]])</f>
        <v>1.8349931988659889</v>
      </c>
      <c r="R1713" s="1">
        <v>2</v>
      </c>
    </row>
    <row r="1714" spans="1:18" hidden="1" x14ac:dyDescent="0.3">
      <c r="A1714" s="1">
        <v>1713</v>
      </c>
      <c r="B1714" s="1" t="s">
        <v>18</v>
      </c>
      <c r="C1714" s="1">
        <v>4</v>
      </c>
      <c r="D1714" s="1">
        <v>240</v>
      </c>
      <c r="E1714" s="1">
        <v>100</v>
      </c>
      <c r="F1714" s="1">
        <v>3</v>
      </c>
      <c r="G1714" s="1">
        <v>25</v>
      </c>
      <c r="H1714" s="1">
        <v>150</v>
      </c>
      <c r="I1714" s="1">
        <v>100</v>
      </c>
      <c r="J1714" s="1">
        <v>10.403</v>
      </c>
      <c r="K1714" s="1">
        <v>58.389000000000003</v>
      </c>
      <c r="L1714" s="1">
        <v>41.61</v>
      </c>
      <c r="M1714" s="1">
        <v>85.1</v>
      </c>
      <c r="N1714" s="1">
        <v>2.664E-2</v>
      </c>
      <c r="O1714" s="1">
        <v>2.3110000000000001E-4</v>
      </c>
      <c r="P17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3.8062639019260165</v>
      </c>
      <c r="Q1714" s="1">
        <f>LN(Table13[[#This Row],[qe_mg_g]]-Table13[[#This Row],[qt]])</f>
        <v>1.8865749961169451</v>
      </c>
      <c r="R1714" s="1">
        <v>3</v>
      </c>
    </row>
    <row r="1715" spans="1:18" hidden="1" x14ac:dyDescent="0.3">
      <c r="A1715" s="1">
        <v>1714</v>
      </c>
      <c r="B1715" s="1" t="s">
        <v>18</v>
      </c>
      <c r="C1715" s="1">
        <v>4</v>
      </c>
      <c r="D1715" s="1">
        <v>240</v>
      </c>
      <c r="E1715" s="1">
        <v>100</v>
      </c>
      <c r="F1715" s="1">
        <v>7</v>
      </c>
      <c r="G1715" s="1">
        <v>25</v>
      </c>
      <c r="H1715" s="1">
        <v>150</v>
      </c>
      <c r="I1715" s="1">
        <v>100</v>
      </c>
      <c r="J1715" s="1">
        <v>12.871</v>
      </c>
      <c r="K1715" s="1">
        <v>48.518000000000001</v>
      </c>
      <c r="L1715" s="1">
        <v>51.48</v>
      </c>
      <c r="M1715" s="1">
        <v>74.099999999999994</v>
      </c>
      <c r="N1715" s="1">
        <v>3.007E-2</v>
      </c>
      <c r="O1715" s="1">
        <v>2.923E-4</v>
      </c>
      <c r="P17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6.107207110211756</v>
      </c>
      <c r="Q1715" s="1">
        <f>LN(Table13[[#This Row],[qe_mg_g]]-Table13[[#This Row],[qt]])</f>
        <v>1.9115838110802983</v>
      </c>
      <c r="R1715" s="1">
        <v>1</v>
      </c>
    </row>
    <row r="1716" spans="1:18" hidden="1" x14ac:dyDescent="0.3">
      <c r="A1716" s="1">
        <v>1715</v>
      </c>
      <c r="B1716" s="1" t="s">
        <v>18</v>
      </c>
      <c r="C1716" s="1">
        <v>4</v>
      </c>
      <c r="D1716" s="1">
        <v>240</v>
      </c>
      <c r="E1716" s="1">
        <v>100</v>
      </c>
      <c r="F1716" s="1">
        <v>7</v>
      </c>
      <c r="G1716" s="1">
        <v>25</v>
      </c>
      <c r="H1716" s="1">
        <v>150</v>
      </c>
      <c r="I1716" s="1">
        <v>100</v>
      </c>
      <c r="J1716" s="1">
        <v>13.007999999999999</v>
      </c>
      <c r="K1716" s="1">
        <v>47.966999999999999</v>
      </c>
      <c r="L1716" s="1">
        <v>52.03</v>
      </c>
      <c r="M1716" s="1">
        <v>95.6</v>
      </c>
      <c r="N1716" s="1">
        <v>2.8150000000000001E-2</v>
      </c>
      <c r="O1716" s="1">
        <v>2.7250000000000001E-4</v>
      </c>
      <c r="P17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5.9793962628230943</v>
      </c>
      <c r="Q1716" s="1">
        <f>LN(Table13[[#This Row],[qe_mg_g]]-Table13[[#This Row],[qt]])</f>
        <v>1.9499880711851958</v>
      </c>
      <c r="R1716" s="1">
        <v>2</v>
      </c>
    </row>
    <row r="1717" spans="1:18" hidden="1" x14ac:dyDescent="0.3">
      <c r="A1717" s="1">
        <v>1716</v>
      </c>
      <c r="B1717" s="1" t="s">
        <v>18</v>
      </c>
      <c r="C1717" s="1">
        <v>4</v>
      </c>
      <c r="D1717" s="1">
        <v>240</v>
      </c>
      <c r="E1717" s="1">
        <v>100</v>
      </c>
      <c r="F1717" s="1">
        <v>7</v>
      </c>
      <c r="G1717" s="1">
        <v>25</v>
      </c>
      <c r="H1717" s="1">
        <v>150</v>
      </c>
      <c r="I1717" s="1">
        <v>100</v>
      </c>
      <c r="J1717" s="1">
        <v>11.88</v>
      </c>
      <c r="K1717" s="1">
        <v>52.481999999999999</v>
      </c>
      <c r="L1717" s="1">
        <v>47.52</v>
      </c>
      <c r="M1717" s="1">
        <v>127.7</v>
      </c>
      <c r="N1717" s="1">
        <v>3.5799999999999998E-2</v>
      </c>
      <c r="O1717" s="1">
        <v>2.564E-4</v>
      </c>
      <c r="P17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5.0171041148907003</v>
      </c>
      <c r="Q1717" s="1">
        <f>LN(Table13[[#This Row],[qe_mg_g]]-Table13[[#This Row],[qt]])</f>
        <v>1.9261294933479689</v>
      </c>
      <c r="R1717" s="1">
        <v>3</v>
      </c>
    </row>
    <row r="1718" spans="1:18" hidden="1" x14ac:dyDescent="0.3">
      <c r="A1718" s="1">
        <v>1717</v>
      </c>
      <c r="B1718" s="1" t="s">
        <v>18</v>
      </c>
      <c r="C1718" s="1">
        <v>4</v>
      </c>
      <c r="D1718" s="1">
        <v>240</v>
      </c>
      <c r="E1718" s="1">
        <v>100</v>
      </c>
      <c r="F1718" s="1">
        <v>11</v>
      </c>
      <c r="G1718" s="1">
        <v>25</v>
      </c>
      <c r="H1718" s="1">
        <v>150</v>
      </c>
      <c r="I1718" s="1">
        <v>100</v>
      </c>
      <c r="J1718" s="1">
        <v>10.166</v>
      </c>
      <c r="K1718" s="1">
        <v>59.337000000000003</v>
      </c>
      <c r="L1718" s="1">
        <v>40.659999999999997</v>
      </c>
      <c r="M1718" s="1">
        <v>115.5</v>
      </c>
      <c r="N1718" s="1">
        <v>3.3279999999999997E-2</v>
      </c>
      <c r="O1718" s="1">
        <v>2.299E-4</v>
      </c>
      <c r="P17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3.6531709593970434</v>
      </c>
      <c r="Q1718" s="1">
        <f>LN(Table13[[#This Row],[qe_mg_g]]-Table13[[#This Row],[qt]])</f>
        <v>1.8737739302719516</v>
      </c>
      <c r="R1718" s="1">
        <v>1</v>
      </c>
    </row>
    <row r="1719" spans="1:18" hidden="1" x14ac:dyDescent="0.3">
      <c r="A1719" s="1">
        <v>1718</v>
      </c>
      <c r="B1719" s="1" t="s">
        <v>18</v>
      </c>
      <c r="C1719" s="1">
        <v>4</v>
      </c>
      <c r="D1719" s="1">
        <v>240</v>
      </c>
      <c r="E1719" s="1">
        <v>100</v>
      </c>
      <c r="F1719" s="1">
        <v>11</v>
      </c>
      <c r="G1719" s="1">
        <v>25</v>
      </c>
      <c r="H1719" s="1">
        <v>150</v>
      </c>
      <c r="I1719" s="1">
        <v>100</v>
      </c>
      <c r="J1719" s="1">
        <v>9.6940000000000008</v>
      </c>
      <c r="K1719" s="1">
        <v>61.223999999999997</v>
      </c>
      <c r="L1719" s="1">
        <v>38.78</v>
      </c>
      <c r="M1719" s="1">
        <v>80.2</v>
      </c>
      <c r="N1719" s="1">
        <v>3.1230000000000001E-2</v>
      </c>
      <c r="O1719" s="1">
        <v>2.6669999999999998E-4</v>
      </c>
      <c r="P17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3.7118719081999778</v>
      </c>
      <c r="Q1719" s="1">
        <f>LN(Table13[[#This Row],[qe_mg_g]]-Table13[[#This Row],[qt]])</f>
        <v>1.7887763728504571</v>
      </c>
      <c r="R1719" s="1">
        <v>2</v>
      </c>
    </row>
    <row r="1720" spans="1:18" hidden="1" x14ac:dyDescent="0.3">
      <c r="A1720" s="1">
        <v>1719</v>
      </c>
      <c r="B1720" s="1" t="s">
        <v>18</v>
      </c>
      <c r="C1720" s="1">
        <v>4</v>
      </c>
      <c r="D1720" s="1">
        <v>240</v>
      </c>
      <c r="E1720" s="1">
        <v>100</v>
      </c>
      <c r="F1720" s="1">
        <v>11</v>
      </c>
      <c r="G1720" s="1">
        <v>25</v>
      </c>
      <c r="H1720" s="1">
        <v>150</v>
      </c>
      <c r="I1720" s="1">
        <v>100</v>
      </c>
      <c r="J1720" s="1">
        <v>8.94</v>
      </c>
      <c r="K1720" s="1">
        <v>64.241</v>
      </c>
      <c r="L1720" s="1">
        <v>35.76</v>
      </c>
      <c r="M1720" s="1">
        <v>93.2</v>
      </c>
      <c r="N1720" s="1">
        <v>2.596E-2</v>
      </c>
      <c r="O1720" s="1">
        <v>2.275E-4</v>
      </c>
      <c r="P17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2.9324361141947848</v>
      </c>
      <c r="Q1720" s="1">
        <f>LN(Table13[[#This Row],[qe_mg_g]]-Table13[[#This Row],[qt]])</f>
        <v>1.7930193229132187</v>
      </c>
      <c r="R1720" s="1">
        <v>3</v>
      </c>
    </row>
    <row r="1721" spans="1:18" hidden="1" x14ac:dyDescent="0.3">
      <c r="A1721" s="1">
        <v>1720</v>
      </c>
      <c r="B1721" s="1" t="s">
        <v>18</v>
      </c>
      <c r="C1721" s="1">
        <v>4</v>
      </c>
      <c r="D1721" s="1">
        <v>240</v>
      </c>
      <c r="E1721" s="1">
        <v>200</v>
      </c>
      <c r="F1721" s="1">
        <v>3</v>
      </c>
      <c r="G1721" s="1">
        <v>25</v>
      </c>
      <c r="H1721" s="1">
        <v>150</v>
      </c>
      <c r="I1721" s="1">
        <v>100</v>
      </c>
      <c r="J1721" s="1">
        <v>23.067</v>
      </c>
      <c r="K1721" s="1">
        <v>107.733</v>
      </c>
      <c r="L1721" s="1">
        <v>46.13</v>
      </c>
      <c r="M1721" s="1">
        <v>89</v>
      </c>
      <c r="N1721" s="1">
        <v>2.9100000000000001E-2</v>
      </c>
      <c r="O1721" s="1">
        <v>2.0929999999999999E-4</v>
      </c>
      <c r="P17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12.381409829319139</v>
      </c>
      <c r="Q1721" s="1">
        <f>LN(Table13[[#This Row],[qe_mg_g]]-Table13[[#This Row],[qt]])</f>
        <v>2.3688961208144281</v>
      </c>
      <c r="R1721" s="1">
        <v>1</v>
      </c>
    </row>
    <row r="1722" spans="1:18" hidden="1" x14ac:dyDescent="0.3">
      <c r="A1722" s="1">
        <v>1721</v>
      </c>
      <c r="B1722" s="1" t="s">
        <v>18</v>
      </c>
      <c r="C1722" s="1">
        <v>4</v>
      </c>
      <c r="D1722" s="1">
        <v>240</v>
      </c>
      <c r="E1722" s="1">
        <v>200</v>
      </c>
      <c r="F1722" s="1">
        <v>3</v>
      </c>
      <c r="G1722" s="1">
        <v>25</v>
      </c>
      <c r="H1722" s="1">
        <v>150</v>
      </c>
      <c r="I1722" s="1">
        <v>100</v>
      </c>
      <c r="J1722" s="1">
        <v>22.347000000000001</v>
      </c>
      <c r="K1722" s="1">
        <v>110.613</v>
      </c>
      <c r="L1722" s="1">
        <v>44.69</v>
      </c>
      <c r="M1722" s="1">
        <v>99.3</v>
      </c>
      <c r="N1722" s="1">
        <v>2.7810000000000001E-2</v>
      </c>
      <c r="O1722" s="1">
        <v>2.453E-4</v>
      </c>
      <c r="P17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12.696421939399862</v>
      </c>
      <c r="Q1722" s="1">
        <f>LN(Table13[[#This Row],[qe_mg_g]]-Table13[[#This Row],[qt]])</f>
        <v>2.2670178162096666</v>
      </c>
      <c r="R1722" s="1">
        <v>2</v>
      </c>
    </row>
    <row r="1723" spans="1:18" hidden="1" x14ac:dyDescent="0.3">
      <c r="A1723" s="1">
        <v>1722</v>
      </c>
      <c r="B1723" s="1" t="s">
        <v>18</v>
      </c>
      <c r="C1723" s="1">
        <v>4</v>
      </c>
      <c r="D1723" s="1">
        <v>240</v>
      </c>
      <c r="E1723" s="1">
        <v>200</v>
      </c>
      <c r="F1723" s="1">
        <v>3</v>
      </c>
      <c r="G1723" s="1">
        <v>25</v>
      </c>
      <c r="H1723" s="1">
        <v>150</v>
      </c>
      <c r="I1723" s="1">
        <v>100</v>
      </c>
      <c r="J1723" s="1">
        <v>22.332999999999998</v>
      </c>
      <c r="K1723" s="1">
        <v>110.666</v>
      </c>
      <c r="L1723" s="1">
        <v>44.67</v>
      </c>
      <c r="M1723" s="1">
        <v>87.8</v>
      </c>
      <c r="N1723" s="1">
        <v>2.5569999999999999E-2</v>
      </c>
      <c r="O1723" s="1">
        <v>2.9510000000000002E-4</v>
      </c>
      <c r="P17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13.682539914204352</v>
      </c>
      <c r="Q1723" s="1">
        <f>LN(Table13[[#This Row],[qe_mg_g]]-Table13[[#This Row],[qt]])</f>
        <v>2.1576125086386209</v>
      </c>
      <c r="R1723" s="1">
        <v>3</v>
      </c>
    </row>
    <row r="1724" spans="1:18" hidden="1" x14ac:dyDescent="0.3">
      <c r="A1724" s="1">
        <v>1723</v>
      </c>
      <c r="B1724" s="1" t="s">
        <v>18</v>
      </c>
      <c r="C1724" s="1">
        <v>4</v>
      </c>
      <c r="D1724" s="1">
        <v>240</v>
      </c>
      <c r="E1724" s="1">
        <v>200</v>
      </c>
      <c r="F1724" s="1">
        <v>7</v>
      </c>
      <c r="G1724" s="1">
        <v>25</v>
      </c>
      <c r="H1724" s="1">
        <v>150</v>
      </c>
      <c r="I1724" s="1">
        <v>100</v>
      </c>
      <c r="J1724" s="1">
        <v>30.009</v>
      </c>
      <c r="K1724" s="1">
        <v>79.962999999999994</v>
      </c>
      <c r="L1724" s="1">
        <v>60.02</v>
      </c>
      <c r="M1724" s="1">
        <v>98.5</v>
      </c>
      <c r="N1724" s="1">
        <v>3.3029999999999997E-2</v>
      </c>
      <c r="O1724" s="1">
        <v>3.3819999999999998E-4</v>
      </c>
      <c r="P17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21.274714664239482</v>
      </c>
      <c r="Q1724" s="1">
        <f>LN(Table13[[#This Row],[qe_mg_g]]-Table13[[#This Row],[qt]])</f>
        <v>2.1672561240695205</v>
      </c>
      <c r="R1724" s="1">
        <v>1</v>
      </c>
    </row>
    <row r="1725" spans="1:18" hidden="1" x14ac:dyDescent="0.3">
      <c r="A1725" s="1">
        <v>1724</v>
      </c>
      <c r="B1725" s="1" t="s">
        <v>18</v>
      </c>
      <c r="C1725" s="1">
        <v>4</v>
      </c>
      <c r="D1725" s="1">
        <v>240</v>
      </c>
      <c r="E1725" s="1">
        <v>200</v>
      </c>
      <c r="F1725" s="1">
        <v>7</v>
      </c>
      <c r="G1725" s="1">
        <v>25</v>
      </c>
      <c r="H1725" s="1">
        <v>150</v>
      </c>
      <c r="I1725" s="1">
        <v>100</v>
      </c>
      <c r="J1725" s="1">
        <v>28.259</v>
      </c>
      <c r="K1725" s="1">
        <v>86.965999999999994</v>
      </c>
      <c r="L1725" s="1">
        <v>56.52</v>
      </c>
      <c r="M1725" s="1">
        <v>106.7</v>
      </c>
      <c r="N1725" s="1">
        <v>2.7879999999999999E-2</v>
      </c>
      <c r="O1725" s="1">
        <v>2.365E-4</v>
      </c>
      <c r="P17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17.406769612621265</v>
      </c>
      <c r="Q1725" s="1">
        <f>LN(Table13[[#This Row],[qe_mg_g]]-Table13[[#This Row],[qt]])</f>
        <v>2.3843706245177705</v>
      </c>
      <c r="R1725" s="1">
        <v>2</v>
      </c>
    </row>
    <row r="1726" spans="1:18" hidden="1" x14ac:dyDescent="0.3">
      <c r="A1726" s="1">
        <v>1725</v>
      </c>
      <c r="B1726" s="1" t="s">
        <v>18</v>
      </c>
      <c r="C1726" s="1">
        <v>4</v>
      </c>
      <c r="D1726" s="1">
        <v>240</v>
      </c>
      <c r="E1726" s="1">
        <v>200</v>
      </c>
      <c r="F1726" s="1">
        <v>7</v>
      </c>
      <c r="G1726" s="1">
        <v>25</v>
      </c>
      <c r="H1726" s="1">
        <v>150</v>
      </c>
      <c r="I1726" s="1">
        <v>100</v>
      </c>
      <c r="J1726" s="1">
        <v>29.76</v>
      </c>
      <c r="K1726" s="1">
        <v>80.959000000000003</v>
      </c>
      <c r="L1726" s="1">
        <v>59.52</v>
      </c>
      <c r="M1726" s="1">
        <v>83.1</v>
      </c>
      <c r="N1726" s="1">
        <v>2.988E-2</v>
      </c>
      <c r="O1726" s="1">
        <v>2.131E-4</v>
      </c>
      <c r="P17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17.960054000613091</v>
      </c>
      <c r="Q1726" s="1">
        <f>LN(Table13[[#This Row],[qe_mg_g]]-Table13[[#This Row],[qt]])</f>
        <v>2.4680949551380045</v>
      </c>
      <c r="R1726" s="1">
        <v>3</v>
      </c>
    </row>
    <row r="1727" spans="1:18" hidden="1" x14ac:dyDescent="0.3">
      <c r="A1727" s="1">
        <v>1726</v>
      </c>
      <c r="B1727" s="1" t="s">
        <v>18</v>
      </c>
      <c r="C1727" s="1">
        <v>4</v>
      </c>
      <c r="D1727" s="1">
        <v>240</v>
      </c>
      <c r="E1727" s="1">
        <v>200</v>
      </c>
      <c r="F1727" s="1">
        <v>11</v>
      </c>
      <c r="G1727" s="1">
        <v>25</v>
      </c>
      <c r="H1727" s="1">
        <v>150</v>
      </c>
      <c r="I1727" s="1">
        <v>100</v>
      </c>
      <c r="J1727" s="1">
        <v>28.076000000000001</v>
      </c>
      <c r="K1727" s="1">
        <v>87.695999999999998</v>
      </c>
      <c r="L1727" s="1">
        <v>56.15</v>
      </c>
      <c r="M1727" s="1">
        <v>100.8</v>
      </c>
      <c r="N1727" s="1">
        <v>3.1269999999999999E-2</v>
      </c>
      <c r="O1727" s="1">
        <v>2.3829999999999999E-4</v>
      </c>
      <c r="P17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17.301253645112503</v>
      </c>
      <c r="Q1727" s="1">
        <f>LN(Table13[[#This Row],[qe_mg_g]]-Table13[[#This Row],[qt]])</f>
        <v>2.3772050955630855</v>
      </c>
      <c r="R1727" s="1">
        <v>1</v>
      </c>
    </row>
    <row r="1728" spans="1:18" hidden="1" x14ac:dyDescent="0.3">
      <c r="A1728" s="1">
        <v>1727</v>
      </c>
      <c r="B1728" s="1" t="s">
        <v>18</v>
      </c>
      <c r="C1728" s="1">
        <v>4</v>
      </c>
      <c r="D1728" s="1">
        <v>240</v>
      </c>
      <c r="E1728" s="1">
        <v>200</v>
      </c>
      <c r="F1728" s="1">
        <v>11</v>
      </c>
      <c r="G1728" s="1">
        <v>25</v>
      </c>
      <c r="H1728" s="1">
        <v>150</v>
      </c>
      <c r="I1728" s="1">
        <v>100</v>
      </c>
      <c r="J1728" s="1">
        <v>25.015999999999998</v>
      </c>
      <c r="K1728" s="1">
        <v>99.935000000000002</v>
      </c>
      <c r="L1728" s="1">
        <v>50.03</v>
      </c>
      <c r="M1728" s="1">
        <v>104.3</v>
      </c>
      <c r="N1728" s="1">
        <v>2.6509999999999999E-2</v>
      </c>
      <c r="O1728" s="1">
        <v>2.4110000000000001E-4</v>
      </c>
      <c r="P17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14.795065963391442</v>
      </c>
      <c r="Q1728" s="1">
        <f>LN(Table13[[#This Row],[qe_mg_g]]-Table13[[#This Row],[qt]])</f>
        <v>2.3244379736140073</v>
      </c>
      <c r="R1728" s="1">
        <v>2</v>
      </c>
    </row>
    <row r="1729" spans="1:18" hidden="1" x14ac:dyDescent="0.3">
      <c r="A1729" s="1">
        <v>1728</v>
      </c>
      <c r="B1729" s="1" t="s">
        <v>18</v>
      </c>
      <c r="C1729" s="1">
        <v>4</v>
      </c>
      <c r="D1729" s="1">
        <v>240</v>
      </c>
      <c r="E1729" s="1">
        <v>200</v>
      </c>
      <c r="F1729" s="1">
        <v>11</v>
      </c>
      <c r="G1729" s="1">
        <v>25</v>
      </c>
      <c r="H1729" s="1">
        <v>150</v>
      </c>
      <c r="I1729" s="1">
        <v>100</v>
      </c>
      <c r="J1729" s="1">
        <v>23.87</v>
      </c>
      <c r="K1729" s="1">
        <v>104.521</v>
      </c>
      <c r="L1729" s="1">
        <v>47.74</v>
      </c>
      <c r="M1729" s="1">
        <v>86.6</v>
      </c>
      <c r="N1729" s="1">
        <v>2.367E-2</v>
      </c>
      <c r="O1729" s="1">
        <v>2.8350000000000001E-4</v>
      </c>
      <c r="P17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14.773599187047765</v>
      </c>
      <c r="Q1729" s="1">
        <f>LN(Table13[[#This Row],[qe_mg_g]]-Table13[[#This Row],[qt]])</f>
        <v>2.2078788202258992</v>
      </c>
      <c r="R1729" s="1">
        <v>3</v>
      </c>
    </row>
    <row r="1730" spans="1:18" hidden="1" x14ac:dyDescent="0.3">
      <c r="A1730" s="1">
        <v>1729</v>
      </c>
      <c r="B1730" s="1" t="s">
        <v>19</v>
      </c>
      <c r="C1730" s="1">
        <v>0.5</v>
      </c>
      <c r="D1730" s="1">
        <v>30</v>
      </c>
      <c r="E1730" s="1">
        <v>25</v>
      </c>
      <c r="F1730" s="1">
        <v>3</v>
      </c>
      <c r="G1730" s="1">
        <v>25</v>
      </c>
      <c r="H1730" s="1">
        <v>150</v>
      </c>
      <c r="I1730" s="1">
        <v>100</v>
      </c>
      <c r="J1730" s="1">
        <v>9.4309999999999992</v>
      </c>
      <c r="K1730" s="1">
        <v>20.283999999999999</v>
      </c>
      <c r="L1730" s="1">
        <v>18.86</v>
      </c>
      <c r="M1730" s="1">
        <v>64.099999999999994</v>
      </c>
      <c r="N1730" s="1">
        <v>6.0879999999999997E-2</v>
      </c>
      <c r="O1730" s="1">
        <v>3.0499999999999999E-4</v>
      </c>
      <c r="P17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0.74918546486026116</v>
      </c>
      <c r="Q1730" s="1">
        <f>LN(Table13[[#This Row],[qe_mg_g]]-Table13[[#This Row],[qt]])</f>
        <v>2.1612305546519655</v>
      </c>
      <c r="R1730" s="1">
        <v>1</v>
      </c>
    </row>
    <row r="1731" spans="1:18" hidden="1" x14ac:dyDescent="0.3">
      <c r="A1731" s="1">
        <v>1730</v>
      </c>
      <c r="B1731" s="1" t="s">
        <v>19</v>
      </c>
      <c r="C1731" s="1">
        <v>0.5</v>
      </c>
      <c r="D1731" s="1">
        <v>30</v>
      </c>
      <c r="E1731" s="1">
        <v>25</v>
      </c>
      <c r="F1731" s="1">
        <v>3</v>
      </c>
      <c r="G1731" s="1">
        <v>25</v>
      </c>
      <c r="H1731" s="1">
        <v>150</v>
      </c>
      <c r="I1731" s="1">
        <v>100</v>
      </c>
      <c r="J1731" s="1">
        <v>9.1530000000000005</v>
      </c>
      <c r="K1731" s="1">
        <v>20.423999999999999</v>
      </c>
      <c r="L1731" s="1">
        <v>18.309999999999999</v>
      </c>
      <c r="M1731" s="1">
        <v>75.5</v>
      </c>
      <c r="N1731" s="1">
        <v>6.4630000000000007E-2</v>
      </c>
      <c r="O1731" s="1">
        <v>3.4890000000000002E-4</v>
      </c>
      <c r="P17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0.80023232174569814</v>
      </c>
      <c r="Q1731" s="1">
        <f>LN(Table13[[#This Row],[qe_mg_g]]-Table13[[#This Row],[qt]])</f>
        <v>2.1225929424161087</v>
      </c>
      <c r="R1731" s="1">
        <v>2</v>
      </c>
    </row>
    <row r="1732" spans="1:18" hidden="1" x14ac:dyDescent="0.3">
      <c r="A1732" s="1">
        <v>1731</v>
      </c>
      <c r="B1732" s="1" t="s">
        <v>19</v>
      </c>
      <c r="C1732" s="1">
        <v>0.5</v>
      </c>
      <c r="D1732" s="1">
        <v>30</v>
      </c>
      <c r="E1732" s="1">
        <v>25</v>
      </c>
      <c r="F1732" s="1">
        <v>3</v>
      </c>
      <c r="G1732" s="1">
        <v>25</v>
      </c>
      <c r="H1732" s="1">
        <v>150</v>
      </c>
      <c r="I1732" s="1">
        <v>100</v>
      </c>
      <c r="J1732" s="1">
        <v>10.086</v>
      </c>
      <c r="K1732" s="1">
        <v>19.957000000000001</v>
      </c>
      <c r="L1732" s="1">
        <v>20.170000000000002</v>
      </c>
      <c r="M1732" s="1">
        <v>49.4</v>
      </c>
      <c r="N1732" s="1">
        <v>5.738E-2</v>
      </c>
      <c r="O1732" s="1">
        <v>3.2489999999999998E-4</v>
      </c>
      <c r="P17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0.9027856578827349</v>
      </c>
      <c r="Q1732" s="1">
        <f>LN(Table13[[#This Row],[qe_mg_g]]-Table13[[#This Row],[qt]])</f>
        <v>2.217377289545662</v>
      </c>
      <c r="R1732" s="1">
        <v>3</v>
      </c>
    </row>
    <row r="1733" spans="1:18" hidden="1" x14ac:dyDescent="0.3">
      <c r="A1733" s="1">
        <v>1732</v>
      </c>
      <c r="B1733" s="1" t="s">
        <v>19</v>
      </c>
      <c r="C1733" s="1">
        <v>0.5</v>
      </c>
      <c r="D1733" s="1">
        <v>30</v>
      </c>
      <c r="E1733" s="1">
        <v>25</v>
      </c>
      <c r="F1733" s="1">
        <v>7</v>
      </c>
      <c r="G1733" s="1">
        <v>25</v>
      </c>
      <c r="H1733" s="1">
        <v>150</v>
      </c>
      <c r="I1733" s="1">
        <v>100</v>
      </c>
      <c r="J1733" s="1">
        <v>13.84</v>
      </c>
      <c r="K1733" s="1">
        <v>18.079999999999998</v>
      </c>
      <c r="L1733" s="1">
        <v>27.68</v>
      </c>
      <c r="M1733" s="1">
        <v>43.7</v>
      </c>
      <c r="N1733" s="1">
        <v>5.5120000000000002E-2</v>
      </c>
      <c r="O1733" s="1">
        <v>3.1040000000000001E-4</v>
      </c>
      <c r="P17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1.5800400936122352</v>
      </c>
      <c r="Q1733" s="1">
        <f>LN(Table13[[#This Row],[qe_mg_g]]-Table13[[#This Row],[qt]])</f>
        <v>2.5063386602243956</v>
      </c>
      <c r="R1733" s="1">
        <v>1</v>
      </c>
    </row>
    <row r="1734" spans="1:18" hidden="1" x14ac:dyDescent="0.3">
      <c r="A1734" s="1">
        <v>1733</v>
      </c>
      <c r="B1734" s="1" t="s">
        <v>19</v>
      </c>
      <c r="C1734" s="1">
        <v>0.5</v>
      </c>
      <c r="D1734" s="1">
        <v>30</v>
      </c>
      <c r="E1734" s="1">
        <v>25</v>
      </c>
      <c r="F1734" s="1">
        <v>7</v>
      </c>
      <c r="G1734" s="1">
        <v>25</v>
      </c>
      <c r="H1734" s="1">
        <v>150</v>
      </c>
      <c r="I1734" s="1">
        <v>100</v>
      </c>
      <c r="J1734" s="1">
        <v>16.059999999999999</v>
      </c>
      <c r="K1734" s="1">
        <v>16.97</v>
      </c>
      <c r="L1734" s="1">
        <v>32.119999999999997</v>
      </c>
      <c r="M1734" s="1">
        <v>45.8</v>
      </c>
      <c r="N1734" s="1">
        <v>5.0700000000000002E-2</v>
      </c>
      <c r="O1734" s="1">
        <v>3.7990000000000002E-4</v>
      </c>
      <c r="P17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2.4847559300444515</v>
      </c>
      <c r="Q1734" s="1">
        <f>LN(Table13[[#This Row],[qe_mg_g]]-Table13[[#This Row],[qt]])</f>
        <v>2.6082478450289464</v>
      </c>
      <c r="R1734" s="1">
        <v>2</v>
      </c>
    </row>
    <row r="1735" spans="1:18" hidden="1" x14ac:dyDescent="0.3">
      <c r="A1735" s="1">
        <v>1734</v>
      </c>
      <c r="B1735" s="1" t="s">
        <v>19</v>
      </c>
      <c r="C1735" s="1">
        <v>0.5</v>
      </c>
      <c r="D1735" s="1">
        <v>30</v>
      </c>
      <c r="E1735" s="1">
        <v>25</v>
      </c>
      <c r="F1735" s="1">
        <v>7</v>
      </c>
      <c r="G1735" s="1">
        <v>25</v>
      </c>
      <c r="H1735" s="1">
        <v>150</v>
      </c>
      <c r="I1735" s="1">
        <v>100</v>
      </c>
      <c r="J1735" s="1">
        <v>16.414999999999999</v>
      </c>
      <c r="K1735" s="1">
        <v>16.792000000000002</v>
      </c>
      <c r="L1735" s="1">
        <v>32.83</v>
      </c>
      <c r="M1735" s="1">
        <v>54.5</v>
      </c>
      <c r="N1735" s="1">
        <v>5.9830000000000001E-2</v>
      </c>
      <c r="O1735" s="1">
        <v>3.6680000000000003E-4</v>
      </c>
      <c r="P17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2.5114139284676886</v>
      </c>
      <c r="Q1735" s="1">
        <f>LN(Table13[[#This Row],[qe_mg_g]]-Table13[[#This Row],[qt]])</f>
        <v>2.6321467976204733</v>
      </c>
      <c r="R1735" s="1">
        <v>3</v>
      </c>
    </row>
    <row r="1736" spans="1:18" hidden="1" x14ac:dyDescent="0.3">
      <c r="A1736" s="1">
        <v>1735</v>
      </c>
      <c r="B1736" s="1" t="s">
        <v>19</v>
      </c>
      <c r="C1736" s="1">
        <v>0.5</v>
      </c>
      <c r="D1736" s="1">
        <v>30</v>
      </c>
      <c r="E1736" s="1">
        <v>25</v>
      </c>
      <c r="F1736" s="1">
        <v>11</v>
      </c>
      <c r="G1736" s="1">
        <v>25</v>
      </c>
      <c r="H1736" s="1">
        <v>150</v>
      </c>
      <c r="I1736" s="1">
        <v>100</v>
      </c>
      <c r="J1736" s="1">
        <v>13.519</v>
      </c>
      <c r="K1736" s="1">
        <v>18.239999999999998</v>
      </c>
      <c r="L1736" s="1">
        <v>27.04</v>
      </c>
      <c r="M1736" s="1">
        <v>50.8</v>
      </c>
      <c r="N1736" s="1">
        <v>5.2639999999999999E-2</v>
      </c>
      <c r="O1736" s="1">
        <v>3.0449999999999997E-4</v>
      </c>
      <c r="P17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1.4860250558465464</v>
      </c>
      <c r="Q1736" s="1">
        <f>LN(Table13[[#This Row],[qe_mg_g]]-Table13[[#This Row],[qt]])</f>
        <v>2.4876507931928633</v>
      </c>
      <c r="R1736" s="1">
        <v>1</v>
      </c>
    </row>
    <row r="1737" spans="1:18" hidden="1" x14ac:dyDescent="0.3">
      <c r="A1737" s="1">
        <v>1736</v>
      </c>
      <c r="B1737" s="1" t="s">
        <v>19</v>
      </c>
      <c r="C1737" s="1">
        <v>0.5</v>
      </c>
      <c r="D1737" s="1">
        <v>30</v>
      </c>
      <c r="E1737" s="1">
        <v>25</v>
      </c>
      <c r="F1737" s="1">
        <v>11</v>
      </c>
      <c r="G1737" s="1">
        <v>25</v>
      </c>
      <c r="H1737" s="1">
        <v>150</v>
      </c>
      <c r="I1737" s="1">
        <v>100</v>
      </c>
      <c r="J1737" s="1">
        <v>11.907</v>
      </c>
      <c r="K1737" s="1">
        <v>19.045999999999999</v>
      </c>
      <c r="L1737" s="1">
        <v>23.81</v>
      </c>
      <c r="M1737" s="1">
        <v>62.4</v>
      </c>
      <c r="N1737" s="1">
        <v>6.2149999999999997E-2</v>
      </c>
      <c r="O1737" s="1">
        <v>3.836E-4</v>
      </c>
      <c r="P17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1.4349417047787614</v>
      </c>
      <c r="Q1737" s="1">
        <f>LN(Table13[[#This Row],[qe_mg_g]]-Table13[[#This Row],[qt]])</f>
        <v>2.3487105953626579</v>
      </c>
      <c r="R1737" s="1">
        <v>2</v>
      </c>
    </row>
    <row r="1738" spans="1:18" hidden="1" x14ac:dyDescent="0.3">
      <c r="A1738" s="1">
        <v>1737</v>
      </c>
      <c r="B1738" s="1" t="s">
        <v>19</v>
      </c>
      <c r="C1738" s="1">
        <v>0.5</v>
      </c>
      <c r="D1738" s="1">
        <v>30</v>
      </c>
      <c r="E1738" s="1">
        <v>25</v>
      </c>
      <c r="F1738" s="1">
        <v>11</v>
      </c>
      <c r="G1738" s="1">
        <v>25</v>
      </c>
      <c r="H1738" s="1">
        <v>150</v>
      </c>
      <c r="I1738" s="1">
        <v>100</v>
      </c>
      <c r="J1738" s="1">
        <v>10.734</v>
      </c>
      <c r="K1738" s="1">
        <v>19.632999999999999</v>
      </c>
      <c r="L1738" s="1">
        <v>21.47</v>
      </c>
      <c r="M1738" s="1">
        <v>63.4</v>
      </c>
      <c r="N1738" s="1">
        <v>4.4889999999999999E-2</v>
      </c>
      <c r="O1738" s="1">
        <v>3.814E-4</v>
      </c>
      <c r="P17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1.1741284015976268</v>
      </c>
      <c r="Q1738" s="1">
        <f>LN(Table13[[#This Row],[qe_mg_g]]-Table13[[#This Row],[qt]])</f>
        <v>2.2575742958436527</v>
      </c>
      <c r="R1738" s="1">
        <v>3</v>
      </c>
    </row>
    <row r="1739" spans="1:18" hidden="1" x14ac:dyDescent="0.3">
      <c r="A1739" s="1">
        <v>1738</v>
      </c>
      <c r="B1739" s="1" t="s">
        <v>19</v>
      </c>
      <c r="C1739" s="1">
        <v>0.5</v>
      </c>
      <c r="D1739" s="1">
        <v>30</v>
      </c>
      <c r="E1739" s="1">
        <v>50</v>
      </c>
      <c r="F1739" s="1">
        <v>3</v>
      </c>
      <c r="G1739" s="1">
        <v>25</v>
      </c>
      <c r="H1739" s="1">
        <v>150</v>
      </c>
      <c r="I1739" s="1">
        <v>100</v>
      </c>
      <c r="J1739" s="1">
        <v>29.875</v>
      </c>
      <c r="K1739" s="1">
        <v>35.061999999999998</v>
      </c>
      <c r="L1739" s="1">
        <v>29.88</v>
      </c>
      <c r="M1739" s="1">
        <v>60.3</v>
      </c>
      <c r="N1739" s="1">
        <v>4.7669999999999997E-2</v>
      </c>
      <c r="O1739" s="1">
        <v>3.9100000000000002E-4</v>
      </c>
      <c r="P17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7.7524782546718791</v>
      </c>
      <c r="Q1739" s="1">
        <f>LN(Table13[[#This Row],[qe_mg_g]]-Table13[[#This Row],[qt]])</f>
        <v>3.0965961731096421</v>
      </c>
      <c r="R1739" s="1">
        <v>1</v>
      </c>
    </row>
    <row r="1740" spans="1:18" hidden="1" x14ac:dyDescent="0.3">
      <c r="A1740" s="1">
        <v>1739</v>
      </c>
      <c r="B1740" s="1" t="s">
        <v>19</v>
      </c>
      <c r="C1740" s="1">
        <v>0.5</v>
      </c>
      <c r="D1740" s="1">
        <v>30</v>
      </c>
      <c r="E1740" s="1">
        <v>50</v>
      </c>
      <c r="F1740" s="1">
        <v>3</v>
      </c>
      <c r="G1740" s="1">
        <v>25</v>
      </c>
      <c r="H1740" s="1">
        <v>150</v>
      </c>
      <c r="I1740" s="1">
        <v>100</v>
      </c>
      <c r="J1740" s="1">
        <v>27.52</v>
      </c>
      <c r="K1740" s="1">
        <v>36.24</v>
      </c>
      <c r="L1740" s="1">
        <v>27.52</v>
      </c>
      <c r="M1740" s="1">
        <v>49.1</v>
      </c>
      <c r="N1740" s="1">
        <v>4.9509999999999998E-2</v>
      </c>
      <c r="O1740" s="1">
        <v>2.8860000000000002E-4</v>
      </c>
      <c r="P17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5.2954117492611612</v>
      </c>
      <c r="Q1740" s="1">
        <f>LN(Table13[[#This Row],[qe_mg_g]]-Table13[[#This Row],[qt]])</f>
        <v>3.1011992548274003</v>
      </c>
      <c r="R1740" s="1">
        <v>2</v>
      </c>
    </row>
    <row r="1741" spans="1:18" hidden="1" x14ac:dyDescent="0.3">
      <c r="A1741" s="1">
        <v>1740</v>
      </c>
      <c r="B1741" s="1" t="s">
        <v>19</v>
      </c>
      <c r="C1741" s="1">
        <v>0.5</v>
      </c>
      <c r="D1741" s="1">
        <v>30</v>
      </c>
      <c r="E1741" s="1">
        <v>50</v>
      </c>
      <c r="F1741" s="1">
        <v>3</v>
      </c>
      <c r="G1741" s="1">
        <v>25</v>
      </c>
      <c r="H1741" s="1">
        <v>150</v>
      </c>
      <c r="I1741" s="1">
        <v>100</v>
      </c>
      <c r="J1741" s="1">
        <v>30.867000000000001</v>
      </c>
      <c r="K1741" s="1">
        <v>34.566000000000003</v>
      </c>
      <c r="L1741" s="1">
        <v>30.87</v>
      </c>
      <c r="M1741" s="1">
        <v>69.3</v>
      </c>
      <c r="N1741" s="1">
        <v>6.9669999999999996E-2</v>
      </c>
      <c r="O1741" s="1">
        <v>3.5340000000000002E-4</v>
      </c>
      <c r="P17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7.6106767585075525</v>
      </c>
      <c r="Q1741" s="1">
        <f>LN(Table13[[#This Row],[qe_mg_g]]-Table13[[#This Row],[qt]])</f>
        <v>3.1465770624329621</v>
      </c>
      <c r="R1741" s="1">
        <v>3</v>
      </c>
    </row>
    <row r="1742" spans="1:18" hidden="1" x14ac:dyDescent="0.3">
      <c r="A1742" s="1">
        <v>1741</v>
      </c>
      <c r="B1742" s="1" t="s">
        <v>19</v>
      </c>
      <c r="C1742" s="1">
        <v>0.5</v>
      </c>
      <c r="D1742" s="1">
        <v>30</v>
      </c>
      <c r="E1742" s="1">
        <v>50</v>
      </c>
      <c r="F1742" s="1">
        <v>7</v>
      </c>
      <c r="G1742" s="1">
        <v>25</v>
      </c>
      <c r="H1742" s="1">
        <v>150</v>
      </c>
      <c r="I1742" s="1">
        <v>100</v>
      </c>
      <c r="J1742" s="1">
        <v>51.424999999999997</v>
      </c>
      <c r="K1742" s="1">
        <v>24.288</v>
      </c>
      <c r="L1742" s="1">
        <v>51.42</v>
      </c>
      <c r="M1742" s="1">
        <v>56.4</v>
      </c>
      <c r="N1742" s="1">
        <v>5.774E-2</v>
      </c>
      <c r="O1742" s="1">
        <v>3.3799999999999998E-4</v>
      </c>
      <c r="P17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17.624995464851114</v>
      </c>
      <c r="Q1742" s="1">
        <f>LN(Table13[[#This Row],[qe_mg_g]]-Table13[[#This Row],[qt]])</f>
        <v>3.5204609366649668</v>
      </c>
      <c r="R1742" s="1">
        <v>1</v>
      </c>
    </row>
    <row r="1743" spans="1:18" hidden="1" x14ac:dyDescent="0.3">
      <c r="A1743" s="1">
        <v>1742</v>
      </c>
      <c r="B1743" s="1" t="s">
        <v>19</v>
      </c>
      <c r="C1743" s="1">
        <v>0.5</v>
      </c>
      <c r="D1743" s="1">
        <v>30</v>
      </c>
      <c r="E1743" s="1">
        <v>50</v>
      </c>
      <c r="F1743" s="1">
        <v>7</v>
      </c>
      <c r="G1743" s="1">
        <v>25</v>
      </c>
      <c r="H1743" s="1">
        <v>150</v>
      </c>
      <c r="I1743" s="1">
        <v>100</v>
      </c>
      <c r="J1743" s="1">
        <v>48.347999999999999</v>
      </c>
      <c r="K1743" s="1">
        <v>25.826000000000001</v>
      </c>
      <c r="L1743" s="1">
        <v>48.35</v>
      </c>
      <c r="M1743" s="1">
        <v>58.9</v>
      </c>
      <c r="N1743" s="1">
        <v>5.1819999999999998E-2</v>
      </c>
      <c r="O1743" s="1">
        <v>3.4729999999999999E-4</v>
      </c>
      <c r="P17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16.196118459097441</v>
      </c>
      <c r="Q1743" s="1">
        <f>LN(Table13[[#This Row],[qe_mg_g]]-Table13[[#This Row],[qt]])</f>
        <v>3.470470972793962</v>
      </c>
      <c r="R1743" s="1">
        <v>2</v>
      </c>
    </row>
    <row r="1744" spans="1:18" hidden="1" x14ac:dyDescent="0.3">
      <c r="A1744" s="1">
        <v>1743</v>
      </c>
      <c r="B1744" s="1" t="s">
        <v>19</v>
      </c>
      <c r="C1744" s="1">
        <v>0.5</v>
      </c>
      <c r="D1744" s="1">
        <v>30</v>
      </c>
      <c r="E1744" s="1">
        <v>50</v>
      </c>
      <c r="F1744" s="1">
        <v>7</v>
      </c>
      <c r="G1744" s="1">
        <v>25</v>
      </c>
      <c r="H1744" s="1">
        <v>150</v>
      </c>
      <c r="I1744" s="1">
        <v>100</v>
      </c>
      <c r="J1744" s="1">
        <v>47.500999999999998</v>
      </c>
      <c r="K1744" s="1">
        <v>26.248999999999999</v>
      </c>
      <c r="L1744" s="1">
        <v>47.5</v>
      </c>
      <c r="M1744" s="1">
        <v>61.3</v>
      </c>
      <c r="N1744" s="1">
        <v>4.9140000000000003E-2</v>
      </c>
      <c r="O1744" s="1">
        <v>3.4820000000000001E-4</v>
      </c>
      <c r="P17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15.753142374185519</v>
      </c>
      <c r="Q1744" s="1">
        <f>LN(Table13[[#This Row],[qe_mg_g]]-Table13[[#This Row],[qt]])</f>
        <v>3.4578252467097692</v>
      </c>
      <c r="R1744" s="1">
        <v>3</v>
      </c>
    </row>
    <row r="1745" spans="1:18" hidden="1" x14ac:dyDescent="0.3">
      <c r="A1745" s="1">
        <v>1744</v>
      </c>
      <c r="B1745" s="1" t="s">
        <v>19</v>
      </c>
      <c r="C1745" s="1">
        <v>0.5</v>
      </c>
      <c r="D1745" s="1">
        <v>30</v>
      </c>
      <c r="E1745" s="1">
        <v>50</v>
      </c>
      <c r="F1745" s="1">
        <v>11</v>
      </c>
      <c r="G1745" s="1">
        <v>25</v>
      </c>
      <c r="H1745" s="1">
        <v>150</v>
      </c>
      <c r="I1745" s="1">
        <v>100</v>
      </c>
      <c r="J1745" s="1">
        <v>42.243000000000002</v>
      </c>
      <c r="K1745" s="1">
        <v>28.879000000000001</v>
      </c>
      <c r="L1745" s="1">
        <v>42.24</v>
      </c>
      <c r="M1745" s="1">
        <v>64.099999999999994</v>
      </c>
      <c r="N1745" s="1">
        <v>6.2420000000000003E-2</v>
      </c>
      <c r="O1745" s="1">
        <v>3.5090000000000002E-4</v>
      </c>
      <c r="P17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13.002858699050471</v>
      </c>
      <c r="Q1745" s="1">
        <f>LN(Table13[[#This Row],[qe_mg_g]]-Table13[[#This Row],[qt]])</f>
        <v>3.375542467323716</v>
      </c>
      <c r="R1745" s="1">
        <v>1</v>
      </c>
    </row>
    <row r="1746" spans="1:18" hidden="1" x14ac:dyDescent="0.3">
      <c r="A1746" s="1">
        <v>1745</v>
      </c>
      <c r="B1746" s="1" t="s">
        <v>19</v>
      </c>
      <c r="C1746" s="1">
        <v>0.5</v>
      </c>
      <c r="D1746" s="1">
        <v>30</v>
      </c>
      <c r="E1746" s="1">
        <v>50</v>
      </c>
      <c r="F1746" s="1">
        <v>11</v>
      </c>
      <c r="G1746" s="1">
        <v>25</v>
      </c>
      <c r="H1746" s="1">
        <v>150</v>
      </c>
      <c r="I1746" s="1">
        <v>100</v>
      </c>
      <c r="J1746" s="1">
        <v>38.094000000000001</v>
      </c>
      <c r="K1746" s="1">
        <v>30.952999999999999</v>
      </c>
      <c r="L1746" s="1">
        <v>38.090000000000003</v>
      </c>
      <c r="M1746" s="1">
        <v>62.7</v>
      </c>
      <c r="N1746" s="1">
        <v>6.3579999999999998E-2</v>
      </c>
      <c r="O1746" s="1">
        <v>2.8170000000000002E-4</v>
      </c>
      <c r="P17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9.2770951621267255</v>
      </c>
      <c r="Q1746" s="1">
        <f>LN(Table13[[#This Row],[qe_mg_g]]-Table13[[#This Row],[qt]])</f>
        <v>3.3609621884775818</v>
      </c>
      <c r="R1746" s="1">
        <v>2</v>
      </c>
    </row>
    <row r="1747" spans="1:18" hidden="1" x14ac:dyDescent="0.3">
      <c r="A1747" s="1">
        <v>1746</v>
      </c>
      <c r="B1747" s="1" t="s">
        <v>19</v>
      </c>
      <c r="C1747" s="1">
        <v>0.5</v>
      </c>
      <c r="D1747" s="1">
        <v>30</v>
      </c>
      <c r="E1747" s="1">
        <v>50</v>
      </c>
      <c r="F1747" s="1">
        <v>11</v>
      </c>
      <c r="G1747" s="1">
        <v>25</v>
      </c>
      <c r="H1747" s="1">
        <v>150</v>
      </c>
      <c r="I1747" s="1">
        <v>100</v>
      </c>
      <c r="J1747" s="1">
        <v>33.826000000000001</v>
      </c>
      <c r="K1747" s="1">
        <v>33.087000000000003</v>
      </c>
      <c r="L1747" s="1">
        <v>33.83</v>
      </c>
      <c r="M1747" s="1">
        <v>65.3</v>
      </c>
      <c r="N1747" s="1">
        <v>5.348E-2</v>
      </c>
      <c r="O1747" s="1">
        <v>3.2650000000000002E-4</v>
      </c>
      <c r="P17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8.4182423324114222</v>
      </c>
      <c r="Q1747" s="1">
        <f>LN(Table13[[#This Row],[qe_mg_g]]-Table13[[#This Row],[qt]])</f>
        <v>3.2350545473771044</v>
      </c>
      <c r="R1747" s="1">
        <v>3</v>
      </c>
    </row>
    <row r="1748" spans="1:18" hidden="1" x14ac:dyDescent="0.3">
      <c r="A1748" s="1">
        <v>1747</v>
      </c>
      <c r="B1748" s="1" t="s">
        <v>19</v>
      </c>
      <c r="C1748" s="1">
        <v>0.5</v>
      </c>
      <c r="D1748" s="1">
        <v>30</v>
      </c>
      <c r="E1748" s="1">
        <v>100</v>
      </c>
      <c r="F1748" s="1">
        <v>3</v>
      </c>
      <c r="G1748" s="1">
        <v>25</v>
      </c>
      <c r="H1748" s="1">
        <v>150</v>
      </c>
      <c r="I1748" s="1">
        <v>100</v>
      </c>
      <c r="J1748" s="1">
        <v>74.546999999999997</v>
      </c>
      <c r="K1748" s="1">
        <v>62.726999999999997</v>
      </c>
      <c r="L1748" s="1">
        <v>37.270000000000003</v>
      </c>
      <c r="M1748" s="1">
        <v>50</v>
      </c>
      <c r="N1748" s="1">
        <v>4.7289999999999999E-2</v>
      </c>
      <c r="O1748" s="1">
        <v>4.2319999999999999E-4</v>
      </c>
      <c r="P17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36.248020149972483</v>
      </c>
      <c r="Q1748" s="1">
        <f>LN(Table13[[#This Row],[qe_mg_g]]-Table13[[#This Row],[qt]])</f>
        <v>3.6454232600623455</v>
      </c>
      <c r="R1748" s="1">
        <v>1</v>
      </c>
    </row>
    <row r="1749" spans="1:18" hidden="1" x14ac:dyDescent="0.3">
      <c r="A1749" s="1">
        <v>1748</v>
      </c>
      <c r="B1749" s="1" t="s">
        <v>19</v>
      </c>
      <c r="C1749" s="1">
        <v>0.5</v>
      </c>
      <c r="D1749" s="1">
        <v>30</v>
      </c>
      <c r="E1749" s="1">
        <v>100</v>
      </c>
      <c r="F1749" s="1">
        <v>3</v>
      </c>
      <c r="G1749" s="1">
        <v>25</v>
      </c>
      <c r="H1749" s="1">
        <v>150</v>
      </c>
      <c r="I1749" s="1">
        <v>100</v>
      </c>
      <c r="J1749" s="1">
        <v>81.593000000000004</v>
      </c>
      <c r="K1749" s="1">
        <v>59.204000000000001</v>
      </c>
      <c r="L1749" s="1">
        <v>40.799999999999997</v>
      </c>
      <c r="M1749" s="1">
        <v>54.1</v>
      </c>
      <c r="N1749" s="1">
        <v>5.8229999999999997E-2</v>
      </c>
      <c r="O1749" s="1">
        <v>3.837E-4</v>
      </c>
      <c r="P17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39.517771166780342</v>
      </c>
      <c r="Q1749" s="1">
        <f>LN(Table13[[#This Row],[qe_mg_g]]-Table13[[#This Row],[qt]])</f>
        <v>3.7394591787601112</v>
      </c>
      <c r="R1749" s="1">
        <v>2</v>
      </c>
    </row>
    <row r="1750" spans="1:18" hidden="1" x14ac:dyDescent="0.3">
      <c r="A1750" s="1">
        <v>1749</v>
      </c>
      <c r="B1750" s="1" t="s">
        <v>19</v>
      </c>
      <c r="C1750" s="1">
        <v>0.5</v>
      </c>
      <c r="D1750" s="1">
        <v>30</v>
      </c>
      <c r="E1750" s="1">
        <v>100</v>
      </c>
      <c r="F1750" s="1">
        <v>3</v>
      </c>
      <c r="G1750" s="1">
        <v>25</v>
      </c>
      <c r="H1750" s="1">
        <v>150</v>
      </c>
      <c r="I1750" s="1">
        <v>100</v>
      </c>
      <c r="J1750" s="1">
        <v>87.132000000000005</v>
      </c>
      <c r="K1750" s="1">
        <v>56.433999999999997</v>
      </c>
      <c r="L1750" s="1">
        <v>43.57</v>
      </c>
      <c r="M1750" s="1">
        <v>63.3</v>
      </c>
      <c r="N1750" s="1">
        <v>5.1529999999999999E-2</v>
      </c>
      <c r="O1750" s="1">
        <v>3.3960000000000001E-4</v>
      </c>
      <c r="P17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40.974261834356277</v>
      </c>
      <c r="Q1750" s="1">
        <f>LN(Table13[[#This Row],[qe_mg_g]]-Table13[[#This Row],[qt]])</f>
        <v>3.8320646211215754</v>
      </c>
      <c r="R1750" s="1">
        <v>3</v>
      </c>
    </row>
    <row r="1751" spans="1:18" hidden="1" x14ac:dyDescent="0.3">
      <c r="A1751" s="1">
        <v>1750</v>
      </c>
      <c r="B1751" s="1" t="s">
        <v>19</v>
      </c>
      <c r="C1751" s="1">
        <v>0.5</v>
      </c>
      <c r="D1751" s="1">
        <v>30</v>
      </c>
      <c r="E1751" s="1">
        <v>100</v>
      </c>
      <c r="F1751" s="1">
        <v>7</v>
      </c>
      <c r="G1751" s="1">
        <v>25</v>
      </c>
      <c r="H1751" s="1">
        <v>150</v>
      </c>
      <c r="I1751" s="1">
        <v>100</v>
      </c>
      <c r="J1751" s="1">
        <v>127.876</v>
      </c>
      <c r="K1751" s="1">
        <v>36.061999999999998</v>
      </c>
      <c r="L1751" s="1">
        <v>63.94</v>
      </c>
      <c r="M1751" s="1">
        <v>50.2</v>
      </c>
      <c r="N1751" s="1">
        <v>5.4969999999999998E-2</v>
      </c>
      <c r="O1751" s="1">
        <v>3.6400000000000001E-4</v>
      </c>
      <c r="P17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74.51442259244628</v>
      </c>
      <c r="Q1751" s="1">
        <f>LN(Table13[[#This Row],[qe_mg_g]]-Table13[[#This Row],[qt]])</f>
        <v>3.9770909627812592</v>
      </c>
      <c r="R1751" s="1">
        <v>1</v>
      </c>
    </row>
    <row r="1752" spans="1:18" hidden="1" x14ac:dyDescent="0.3">
      <c r="A1752" s="1">
        <v>1751</v>
      </c>
      <c r="B1752" s="1" t="s">
        <v>19</v>
      </c>
      <c r="C1752" s="1">
        <v>0.5</v>
      </c>
      <c r="D1752" s="1">
        <v>30</v>
      </c>
      <c r="E1752" s="1">
        <v>100</v>
      </c>
      <c r="F1752" s="1">
        <v>7</v>
      </c>
      <c r="G1752" s="1">
        <v>25</v>
      </c>
      <c r="H1752" s="1">
        <v>150</v>
      </c>
      <c r="I1752" s="1">
        <v>100</v>
      </c>
      <c r="J1752" s="1">
        <v>128.01300000000001</v>
      </c>
      <c r="K1752" s="1">
        <v>35.993000000000002</v>
      </c>
      <c r="L1752" s="1">
        <v>64.010000000000005</v>
      </c>
      <c r="M1752" s="1">
        <v>40</v>
      </c>
      <c r="N1752" s="1">
        <v>5.8930000000000003E-2</v>
      </c>
      <c r="O1752" s="1">
        <v>3.4180000000000001E-4</v>
      </c>
      <c r="P17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72.659505069630441</v>
      </c>
      <c r="Q1752" s="1">
        <f>LN(Table13[[#This Row],[qe_mg_g]]-Table13[[#This Row],[qt]])</f>
        <v>4.013739799534684</v>
      </c>
      <c r="R1752" s="1">
        <v>2</v>
      </c>
    </row>
    <row r="1753" spans="1:18" hidden="1" x14ac:dyDescent="0.3">
      <c r="A1753" s="1">
        <v>1752</v>
      </c>
      <c r="B1753" s="1" t="s">
        <v>19</v>
      </c>
      <c r="C1753" s="1">
        <v>0.5</v>
      </c>
      <c r="D1753" s="1">
        <v>30</v>
      </c>
      <c r="E1753" s="1">
        <v>100</v>
      </c>
      <c r="F1753" s="1">
        <v>7</v>
      </c>
      <c r="G1753" s="1">
        <v>25</v>
      </c>
      <c r="H1753" s="1">
        <v>150</v>
      </c>
      <c r="I1753" s="1">
        <v>100</v>
      </c>
      <c r="J1753" s="1">
        <v>127.35299999999999</v>
      </c>
      <c r="K1753" s="1">
        <v>36.323</v>
      </c>
      <c r="L1753" s="1">
        <v>63.68</v>
      </c>
      <c r="M1753" s="1">
        <v>60.9</v>
      </c>
      <c r="N1753" s="1">
        <v>6.3839999999999994E-2</v>
      </c>
      <c r="O1753" s="1">
        <v>3.9740000000000001E-4</v>
      </c>
      <c r="P17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76.782029388084638</v>
      </c>
      <c r="Q1753" s="1">
        <f>LN(Table13[[#This Row],[qe_mg_g]]-Table13[[#This Row],[qt]])</f>
        <v>3.923377708340869</v>
      </c>
      <c r="R1753" s="1">
        <v>3</v>
      </c>
    </row>
    <row r="1754" spans="1:18" hidden="1" x14ac:dyDescent="0.3">
      <c r="A1754" s="1">
        <v>1753</v>
      </c>
      <c r="B1754" s="1" t="s">
        <v>19</v>
      </c>
      <c r="C1754" s="1">
        <v>0.5</v>
      </c>
      <c r="D1754" s="1">
        <v>30</v>
      </c>
      <c r="E1754" s="1">
        <v>100</v>
      </c>
      <c r="F1754" s="1">
        <v>11</v>
      </c>
      <c r="G1754" s="1">
        <v>25</v>
      </c>
      <c r="H1754" s="1">
        <v>150</v>
      </c>
      <c r="I1754" s="1">
        <v>100</v>
      </c>
      <c r="J1754" s="1">
        <v>106.459</v>
      </c>
      <c r="K1754" s="1">
        <v>46.77</v>
      </c>
      <c r="L1754" s="1">
        <v>53.23</v>
      </c>
      <c r="M1754" s="1">
        <v>66.400000000000006</v>
      </c>
      <c r="N1754" s="1">
        <v>5.6599999999999998E-2</v>
      </c>
      <c r="O1754" s="1">
        <v>3.5110000000000002E-4</v>
      </c>
      <c r="P17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56.274037188743186</v>
      </c>
      <c r="Q1754" s="1">
        <f>LN(Table13[[#This Row],[qe_mg_g]]-Table13[[#This Row],[qt]])</f>
        <v>3.9157154362324476</v>
      </c>
      <c r="R1754" s="1">
        <v>1</v>
      </c>
    </row>
    <row r="1755" spans="1:18" hidden="1" x14ac:dyDescent="0.3">
      <c r="A1755" s="1">
        <v>1754</v>
      </c>
      <c r="B1755" s="1" t="s">
        <v>19</v>
      </c>
      <c r="C1755" s="1">
        <v>0.5</v>
      </c>
      <c r="D1755" s="1">
        <v>30</v>
      </c>
      <c r="E1755" s="1">
        <v>100</v>
      </c>
      <c r="F1755" s="1">
        <v>11</v>
      </c>
      <c r="G1755" s="1">
        <v>25</v>
      </c>
      <c r="H1755" s="1">
        <v>150</v>
      </c>
      <c r="I1755" s="1">
        <v>100</v>
      </c>
      <c r="J1755" s="1">
        <v>103.233</v>
      </c>
      <c r="K1755" s="1">
        <v>48.383000000000003</v>
      </c>
      <c r="L1755" s="1">
        <v>51.62</v>
      </c>
      <c r="M1755" s="1">
        <v>60.5</v>
      </c>
      <c r="N1755" s="1">
        <v>5.33E-2</v>
      </c>
      <c r="O1755" s="1">
        <v>3.6420000000000002E-4</v>
      </c>
      <c r="P17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54.719513738148699</v>
      </c>
      <c r="Q1755" s="1">
        <f>LN(Table13[[#This Row],[qe_mg_g]]-Table13[[#This Row],[qt]])</f>
        <v>3.8818418265445698</v>
      </c>
      <c r="R1755" s="1">
        <v>2</v>
      </c>
    </row>
    <row r="1756" spans="1:18" hidden="1" x14ac:dyDescent="0.3">
      <c r="A1756" s="1">
        <v>1755</v>
      </c>
      <c r="B1756" s="1" t="s">
        <v>19</v>
      </c>
      <c r="C1756" s="1">
        <v>0.5</v>
      </c>
      <c r="D1756" s="1">
        <v>30</v>
      </c>
      <c r="E1756" s="1">
        <v>100</v>
      </c>
      <c r="F1756" s="1">
        <v>11</v>
      </c>
      <c r="G1756" s="1">
        <v>25</v>
      </c>
      <c r="H1756" s="1">
        <v>150</v>
      </c>
      <c r="I1756" s="1">
        <v>100</v>
      </c>
      <c r="J1756" s="1">
        <v>97.05</v>
      </c>
      <c r="K1756" s="1">
        <v>51.475000000000001</v>
      </c>
      <c r="L1756" s="1">
        <v>48.53</v>
      </c>
      <c r="M1756" s="1">
        <v>47.6</v>
      </c>
      <c r="N1756" s="1">
        <v>6.2100000000000002E-2</v>
      </c>
      <c r="O1756" s="1">
        <v>3.5189999999999999E-4</v>
      </c>
      <c r="P17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49.113583692401626</v>
      </c>
      <c r="Q1756" s="1">
        <f>LN(Table13[[#This Row],[qe_mg_g]]-Table13[[#This Row],[qt]])</f>
        <v>3.8698754725115485</v>
      </c>
      <c r="R1756" s="1">
        <v>3</v>
      </c>
    </row>
    <row r="1757" spans="1:18" hidden="1" x14ac:dyDescent="0.3">
      <c r="A1757" s="1">
        <v>1756</v>
      </c>
      <c r="B1757" s="1" t="s">
        <v>19</v>
      </c>
      <c r="C1757" s="1">
        <v>0.5</v>
      </c>
      <c r="D1757" s="1">
        <v>30</v>
      </c>
      <c r="E1757" s="1">
        <v>200</v>
      </c>
      <c r="F1757" s="1">
        <v>3</v>
      </c>
      <c r="G1757" s="1">
        <v>25</v>
      </c>
      <c r="H1757" s="1">
        <v>150</v>
      </c>
      <c r="I1757" s="1">
        <v>100</v>
      </c>
      <c r="J1757" s="1">
        <v>163.16900000000001</v>
      </c>
      <c r="K1757" s="1">
        <v>118.41500000000001</v>
      </c>
      <c r="L1757" s="1">
        <v>40.79</v>
      </c>
      <c r="M1757" s="1">
        <v>41.2</v>
      </c>
      <c r="N1757" s="1">
        <v>5.194E-2</v>
      </c>
      <c r="O1757" s="1">
        <v>3.5110000000000002E-4</v>
      </c>
      <c r="P17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103.15080890703862</v>
      </c>
      <c r="Q1757" s="1">
        <f>LN(Table13[[#This Row],[qe_mg_g]]-Table13[[#This Row],[qt]])</f>
        <v>4.0946477011535416</v>
      </c>
      <c r="R1757" s="1">
        <v>1</v>
      </c>
    </row>
    <row r="1758" spans="1:18" hidden="1" x14ac:dyDescent="0.3">
      <c r="A1758" s="1">
        <v>1757</v>
      </c>
      <c r="B1758" s="1" t="s">
        <v>19</v>
      </c>
      <c r="C1758" s="1">
        <v>0.5</v>
      </c>
      <c r="D1758" s="1">
        <v>30</v>
      </c>
      <c r="E1758" s="1">
        <v>200</v>
      </c>
      <c r="F1758" s="1">
        <v>3</v>
      </c>
      <c r="G1758" s="1">
        <v>25</v>
      </c>
      <c r="H1758" s="1">
        <v>150</v>
      </c>
      <c r="I1758" s="1">
        <v>100</v>
      </c>
      <c r="J1758" s="1">
        <v>154.066</v>
      </c>
      <c r="K1758" s="1">
        <v>122.967</v>
      </c>
      <c r="L1758" s="1">
        <v>38.520000000000003</v>
      </c>
      <c r="M1758" s="1">
        <v>57.8</v>
      </c>
      <c r="N1758" s="1">
        <v>5.6710000000000003E-2</v>
      </c>
      <c r="O1758" s="1">
        <v>3.1050000000000001E-4</v>
      </c>
      <c r="P17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90.797784493064924</v>
      </c>
      <c r="Q1758" s="1">
        <f>LN(Table13[[#This Row],[qe_mg_g]]-Table13[[#This Row],[qt]])</f>
        <v>4.1473830783503418</v>
      </c>
      <c r="R1758" s="1">
        <v>2</v>
      </c>
    </row>
    <row r="1759" spans="1:18" hidden="1" x14ac:dyDescent="0.3">
      <c r="A1759" s="1">
        <v>1758</v>
      </c>
      <c r="B1759" s="1" t="s">
        <v>19</v>
      </c>
      <c r="C1759" s="1">
        <v>0.5</v>
      </c>
      <c r="D1759" s="1">
        <v>30</v>
      </c>
      <c r="E1759" s="1">
        <v>200</v>
      </c>
      <c r="F1759" s="1">
        <v>3</v>
      </c>
      <c r="G1759" s="1">
        <v>25</v>
      </c>
      <c r="H1759" s="1">
        <v>150</v>
      </c>
      <c r="I1759" s="1">
        <v>100</v>
      </c>
      <c r="J1759" s="1">
        <v>131.14699999999999</v>
      </c>
      <c r="K1759" s="1">
        <v>134.42599999999999</v>
      </c>
      <c r="L1759" s="1">
        <v>32.79</v>
      </c>
      <c r="M1759" s="1">
        <v>57.2</v>
      </c>
      <c r="N1759" s="1">
        <v>4.7500000000000001E-2</v>
      </c>
      <c r="O1759" s="1">
        <v>3.3139999999999998E-4</v>
      </c>
      <c r="P17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74.22218588664424</v>
      </c>
      <c r="Q1759" s="1">
        <f>LN(Table13[[#This Row],[qe_mg_g]]-Table13[[#This Row],[qt]])</f>
        <v>4.0417313464786089</v>
      </c>
      <c r="R1759" s="1">
        <v>3</v>
      </c>
    </row>
    <row r="1760" spans="1:18" hidden="1" x14ac:dyDescent="0.3">
      <c r="A1760" s="1">
        <v>1759</v>
      </c>
      <c r="B1760" s="1" t="s">
        <v>19</v>
      </c>
      <c r="C1760" s="1">
        <v>0.5</v>
      </c>
      <c r="D1760" s="1">
        <v>30</v>
      </c>
      <c r="E1760" s="1">
        <v>200</v>
      </c>
      <c r="F1760" s="1">
        <v>7</v>
      </c>
      <c r="G1760" s="1">
        <v>25</v>
      </c>
      <c r="H1760" s="1">
        <v>150</v>
      </c>
      <c r="I1760" s="1">
        <v>100</v>
      </c>
      <c r="J1760" s="1">
        <v>213.72300000000001</v>
      </c>
      <c r="K1760" s="1">
        <v>93.138000000000005</v>
      </c>
      <c r="L1760" s="1">
        <v>53.43</v>
      </c>
      <c r="M1760" s="1">
        <v>46.5</v>
      </c>
      <c r="N1760" s="1">
        <v>6.3829999999999998E-2</v>
      </c>
      <c r="O1760" s="1">
        <v>3.9280000000000001E-4</v>
      </c>
      <c r="P17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152.98055825055303</v>
      </c>
      <c r="Q1760" s="1">
        <f>LN(Table13[[#This Row],[qe_mg_g]]-Table13[[#This Row],[qt]])</f>
        <v>4.1066426588334259</v>
      </c>
      <c r="R1760" s="1">
        <v>1</v>
      </c>
    </row>
    <row r="1761" spans="1:18" hidden="1" x14ac:dyDescent="0.3">
      <c r="A1761" s="1">
        <v>1760</v>
      </c>
      <c r="B1761" s="1" t="s">
        <v>19</v>
      </c>
      <c r="C1761" s="1">
        <v>0.5</v>
      </c>
      <c r="D1761" s="1">
        <v>30</v>
      </c>
      <c r="E1761" s="1">
        <v>200</v>
      </c>
      <c r="F1761" s="1">
        <v>7</v>
      </c>
      <c r="G1761" s="1">
        <v>25</v>
      </c>
      <c r="H1761" s="1">
        <v>150</v>
      </c>
      <c r="I1761" s="1">
        <v>100</v>
      </c>
      <c r="J1761" s="1">
        <v>183.77</v>
      </c>
      <c r="K1761" s="1">
        <v>108.11499999999999</v>
      </c>
      <c r="L1761" s="1">
        <v>45.94</v>
      </c>
      <c r="M1761" s="1">
        <v>46.9</v>
      </c>
      <c r="N1761" s="1">
        <v>4.2430000000000002E-2</v>
      </c>
      <c r="O1761" s="1">
        <v>3.2259999999999998E-4</v>
      </c>
      <c r="P17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117.63061673288752</v>
      </c>
      <c r="Q1761" s="1">
        <f>LN(Table13[[#This Row],[qe_mg_g]]-Table13[[#This Row],[qt]])</f>
        <v>4.1917643828520603</v>
      </c>
      <c r="R1761" s="1">
        <v>2</v>
      </c>
    </row>
    <row r="1762" spans="1:18" hidden="1" x14ac:dyDescent="0.3">
      <c r="A1762" s="1">
        <v>1761</v>
      </c>
      <c r="B1762" s="1" t="s">
        <v>19</v>
      </c>
      <c r="C1762" s="1">
        <v>0.5</v>
      </c>
      <c r="D1762" s="1">
        <v>30</v>
      </c>
      <c r="E1762" s="1">
        <v>200</v>
      </c>
      <c r="F1762" s="1">
        <v>7</v>
      </c>
      <c r="G1762" s="1">
        <v>25</v>
      </c>
      <c r="H1762" s="1">
        <v>150</v>
      </c>
      <c r="I1762" s="1">
        <v>100</v>
      </c>
      <c r="J1762" s="1">
        <v>217.56</v>
      </c>
      <c r="K1762" s="1">
        <v>91.22</v>
      </c>
      <c r="L1762" s="1">
        <v>54.39</v>
      </c>
      <c r="M1762" s="1">
        <v>51.2</v>
      </c>
      <c r="N1762" s="1">
        <v>5.7529999999999998E-2</v>
      </c>
      <c r="O1762" s="1">
        <v>2.967E-4</v>
      </c>
      <c r="P17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143.47183912056221</v>
      </c>
      <c r="Q1762" s="1">
        <f>LN(Table13[[#This Row],[qe_mg_g]]-Table13[[#This Row],[qt]])</f>
        <v>4.3052557473297854</v>
      </c>
      <c r="R1762" s="1">
        <v>3</v>
      </c>
    </row>
    <row r="1763" spans="1:18" hidden="1" x14ac:dyDescent="0.3">
      <c r="A1763" s="1">
        <v>1762</v>
      </c>
      <c r="B1763" s="1" t="s">
        <v>19</v>
      </c>
      <c r="C1763" s="1">
        <v>0.5</v>
      </c>
      <c r="D1763" s="1">
        <v>30</v>
      </c>
      <c r="E1763" s="1">
        <v>200</v>
      </c>
      <c r="F1763" s="1">
        <v>11</v>
      </c>
      <c r="G1763" s="1">
        <v>25</v>
      </c>
      <c r="H1763" s="1">
        <v>150</v>
      </c>
      <c r="I1763" s="1">
        <v>100</v>
      </c>
      <c r="J1763" s="1">
        <v>177.31700000000001</v>
      </c>
      <c r="K1763" s="1">
        <v>111.342</v>
      </c>
      <c r="L1763" s="1">
        <v>44.33</v>
      </c>
      <c r="M1763" s="1">
        <v>50</v>
      </c>
      <c r="N1763" s="1">
        <v>5.5070000000000001E-2</v>
      </c>
      <c r="O1763" s="1">
        <v>3.4670000000000002E-4</v>
      </c>
      <c r="P17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114.97525911778671</v>
      </c>
      <c r="Q1763" s="1">
        <f>LN(Table13[[#This Row],[qe_mg_g]]-Table13[[#This Row],[qt]])</f>
        <v>4.1326311995542397</v>
      </c>
      <c r="R1763" s="1">
        <v>1</v>
      </c>
    </row>
    <row r="1764" spans="1:18" hidden="1" x14ac:dyDescent="0.3">
      <c r="A1764" s="1">
        <v>1763</v>
      </c>
      <c r="B1764" s="1" t="s">
        <v>19</v>
      </c>
      <c r="C1764" s="1">
        <v>0.5</v>
      </c>
      <c r="D1764" s="1">
        <v>30</v>
      </c>
      <c r="E1764" s="1">
        <v>200</v>
      </c>
      <c r="F1764" s="1">
        <v>11</v>
      </c>
      <c r="G1764" s="1">
        <v>25</v>
      </c>
      <c r="H1764" s="1">
        <v>150</v>
      </c>
      <c r="I1764" s="1">
        <v>100</v>
      </c>
      <c r="J1764" s="1">
        <v>152.988</v>
      </c>
      <c r="K1764" s="1">
        <v>123.506</v>
      </c>
      <c r="L1764" s="1">
        <v>38.25</v>
      </c>
      <c r="M1764" s="1">
        <v>45.1</v>
      </c>
      <c r="N1764" s="1">
        <v>6.0319999999999999E-2</v>
      </c>
      <c r="O1764" s="1">
        <v>3.6400000000000001E-4</v>
      </c>
      <c r="P17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95.702618057612909</v>
      </c>
      <c r="Q1764" s="1">
        <f>LN(Table13[[#This Row],[qe_mg_g]]-Table13[[#This Row],[qt]])</f>
        <v>4.0480454767299623</v>
      </c>
      <c r="R1764" s="1">
        <v>2</v>
      </c>
    </row>
    <row r="1765" spans="1:18" hidden="1" x14ac:dyDescent="0.3">
      <c r="A1765" s="1">
        <v>1764</v>
      </c>
      <c r="B1765" s="1" t="s">
        <v>19</v>
      </c>
      <c r="C1765" s="1">
        <v>0.5</v>
      </c>
      <c r="D1765" s="1">
        <v>30</v>
      </c>
      <c r="E1765" s="1">
        <v>200</v>
      </c>
      <c r="F1765" s="1">
        <v>11</v>
      </c>
      <c r="G1765" s="1">
        <v>25</v>
      </c>
      <c r="H1765" s="1">
        <v>150</v>
      </c>
      <c r="I1765" s="1">
        <v>100</v>
      </c>
      <c r="J1765" s="1">
        <v>180.28</v>
      </c>
      <c r="K1765" s="1">
        <v>109.86</v>
      </c>
      <c r="L1765" s="1">
        <v>45.07</v>
      </c>
      <c r="M1765" s="1">
        <v>57.2</v>
      </c>
      <c r="N1765" s="1">
        <v>5.5789999999999999E-2</v>
      </c>
      <c r="O1765" s="1">
        <v>2.8959999999999999E-4</v>
      </c>
      <c r="P17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110.0302544390607</v>
      </c>
      <c r="Q1765" s="1">
        <f>LN(Table13[[#This Row],[qe_mg_g]]-Table13[[#This Row],[qt]])</f>
        <v>4.2520566862989586</v>
      </c>
      <c r="R1765" s="1">
        <v>3</v>
      </c>
    </row>
    <row r="1766" spans="1:18" hidden="1" x14ac:dyDescent="0.3">
      <c r="A1766" s="1">
        <v>1765</v>
      </c>
      <c r="B1766" s="1" t="s">
        <v>19</v>
      </c>
      <c r="C1766" s="1">
        <v>0.5</v>
      </c>
      <c r="D1766" s="1">
        <v>60</v>
      </c>
      <c r="E1766" s="1">
        <v>25</v>
      </c>
      <c r="F1766" s="1">
        <v>3</v>
      </c>
      <c r="G1766" s="1">
        <v>25</v>
      </c>
      <c r="H1766" s="1">
        <v>150</v>
      </c>
      <c r="I1766" s="1">
        <v>100</v>
      </c>
      <c r="J1766" s="1">
        <v>15.250999999999999</v>
      </c>
      <c r="K1766" s="1">
        <v>17.375</v>
      </c>
      <c r="L1766" s="1">
        <v>30.5</v>
      </c>
      <c r="M1766" s="1">
        <v>54.3</v>
      </c>
      <c r="N1766" s="1">
        <v>6.5740000000000007E-2</v>
      </c>
      <c r="O1766" s="1">
        <v>3.7399999999999998E-4</v>
      </c>
      <c r="P17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3.8885864973133852</v>
      </c>
      <c r="Q1766" s="1">
        <f>LN(Table13[[#This Row],[qe_mg_g]]-Table13[[#This Row],[qt]])</f>
        <v>2.4303108469497912</v>
      </c>
      <c r="R1766" s="1">
        <v>1</v>
      </c>
    </row>
    <row r="1767" spans="1:18" hidden="1" x14ac:dyDescent="0.3">
      <c r="A1767" s="1">
        <v>1766</v>
      </c>
      <c r="B1767" s="1" t="s">
        <v>19</v>
      </c>
      <c r="C1767" s="1">
        <v>0.5</v>
      </c>
      <c r="D1767" s="1">
        <v>60</v>
      </c>
      <c r="E1767" s="1">
        <v>25</v>
      </c>
      <c r="F1767" s="1">
        <v>3</v>
      </c>
      <c r="G1767" s="1">
        <v>25</v>
      </c>
      <c r="H1767" s="1">
        <v>150</v>
      </c>
      <c r="I1767" s="1">
        <v>100</v>
      </c>
      <c r="J1767" s="1">
        <v>17.216000000000001</v>
      </c>
      <c r="K1767" s="1">
        <v>16.391999999999999</v>
      </c>
      <c r="L1767" s="1">
        <v>34.43</v>
      </c>
      <c r="M1767" s="1">
        <v>59.4</v>
      </c>
      <c r="N1767" s="1">
        <v>5.1090000000000003E-2</v>
      </c>
      <c r="O1767" s="1">
        <v>3.5409999999999999E-4</v>
      </c>
      <c r="P17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4.6106669788165746</v>
      </c>
      <c r="Q1767" s="1">
        <f>LN(Table13[[#This Row],[qe_mg_g]]-Table13[[#This Row],[qt]])</f>
        <v>2.5341199800595051</v>
      </c>
      <c r="R1767" s="1">
        <v>2</v>
      </c>
    </row>
    <row r="1768" spans="1:18" hidden="1" x14ac:dyDescent="0.3">
      <c r="A1768" s="1">
        <v>1767</v>
      </c>
      <c r="B1768" s="1" t="s">
        <v>19</v>
      </c>
      <c r="C1768" s="1">
        <v>0.5</v>
      </c>
      <c r="D1768" s="1">
        <v>60</v>
      </c>
      <c r="E1768" s="1">
        <v>25</v>
      </c>
      <c r="F1768" s="1">
        <v>3</v>
      </c>
      <c r="G1768" s="1">
        <v>25</v>
      </c>
      <c r="H1768" s="1">
        <v>150</v>
      </c>
      <c r="I1768" s="1">
        <v>100</v>
      </c>
      <c r="J1768" s="1">
        <v>15.802</v>
      </c>
      <c r="K1768" s="1">
        <v>17.099</v>
      </c>
      <c r="L1768" s="1">
        <v>31.6</v>
      </c>
      <c r="M1768" s="1">
        <v>46.9</v>
      </c>
      <c r="N1768" s="1">
        <v>5.289E-2</v>
      </c>
      <c r="O1768" s="1">
        <v>3.4279999999999998E-4</v>
      </c>
      <c r="P17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3.8761020986790902</v>
      </c>
      <c r="Q1768" s="1">
        <f>LN(Table13[[#This Row],[qe_mg_g]]-Table13[[#This Row],[qt]])</f>
        <v>2.4787123296480775</v>
      </c>
      <c r="R1768" s="1">
        <v>3</v>
      </c>
    </row>
    <row r="1769" spans="1:18" hidden="1" x14ac:dyDescent="0.3">
      <c r="A1769" s="1">
        <v>1768</v>
      </c>
      <c r="B1769" s="1" t="s">
        <v>19</v>
      </c>
      <c r="C1769" s="1">
        <v>0.5</v>
      </c>
      <c r="D1769" s="1">
        <v>60</v>
      </c>
      <c r="E1769" s="1">
        <v>25</v>
      </c>
      <c r="F1769" s="1">
        <v>7</v>
      </c>
      <c r="G1769" s="1">
        <v>25</v>
      </c>
      <c r="H1769" s="1">
        <v>150</v>
      </c>
      <c r="I1769" s="1">
        <v>100</v>
      </c>
      <c r="J1769" s="1">
        <v>26.88</v>
      </c>
      <c r="K1769" s="1">
        <v>11.56</v>
      </c>
      <c r="L1769" s="1">
        <v>53.76</v>
      </c>
      <c r="M1769" s="1">
        <v>37.5</v>
      </c>
      <c r="N1769" s="1">
        <v>6.1629999999999997E-2</v>
      </c>
      <c r="O1769" s="1">
        <v>3.1720000000000001E-4</v>
      </c>
      <c r="P17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9.0972844607857244</v>
      </c>
      <c r="Q1769" s="1">
        <f>LN(Table13[[#This Row],[qe_mg_g]]-Table13[[#This Row],[qt]])</f>
        <v>2.8782269484132752</v>
      </c>
      <c r="R1769" s="1">
        <v>1</v>
      </c>
    </row>
    <row r="1770" spans="1:18" hidden="1" x14ac:dyDescent="0.3">
      <c r="A1770" s="1">
        <v>1769</v>
      </c>
      <c r="B1770" s="1" t="s">
        <v>19</v>
      </c>
      <c r="C1770" s="1">
        <v>0.5</v>
      </c>
      <c r="D1770" s="1">
        <v>60</v>
      </c>
      <c r="E1770" s="1">
        <v>25</v>
      </c>
      <c r="F1770" s="1">
        <v>7</v>
      </c>
      <c r="G1770" s="1">
        <v>25</v>
      </c>
      <c r="H1770" s="1">
        <v>150</v>
      </c>
      <c r="I1770" s="1">
        <v>100</v>
      </c>
      <c r="J1770" s="1">
        <v>21.843</v>
      </c>
      <c r="K1770" s="1">
        <v>14.077999999999999</v>
      </c>
      <c r="L1770" s="1">
        <v>43.69</v>
      </c>
      <c r="M1770" s="1">
        <v>64.2</v>
      </c>
      <c r="N1770" s="1">
        <v>5.9029999999999999E-2</v>
      </c>
      <c r="O1770" s="1">
        <v>3.9389999999999998E-4</v>
      </c>
      <c r="P17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7.4369451784894638</v>
      </c>
      <c r="Q1770" s="1">
        <f>LN(Table13[[#This Row],[qe_mg_g]]-Table13[[#This Row],[qt]])</f>
        <v>2.6676485919236632</v>
      </c>
      <c r="R1770" s="1">
        <v>2</v>
      </c>
    </row>
    <row r="1771" spans="1:18" hidden="1" x14ac:dyDescent="0.3">
      <c r="A1771" s="1">
        <v>1770</v>
      </c>
      <c r="B1771" s="1" t="s">
        <v>19</v>
      </c>
      <c r="C1771" s="1">
        <v>0.5</v>
      </c>
      <c r="D1771" s="1">
        <v>60</v>
      </c>
      <c r="E1771" s="1">
        <v>25</v>
      </c>
      <c r="F1771" s="1">
        <v>7</v>
      </c>
      <c r="G1771" s="1">
        <v>25</v>
      </c>
      <c r="H1771" s="1">
        <v>150</v>
      </c>
      <c r="I1771" s="1">
        <v>100</v>
      </c>
      <c r="J1771" s="1">
        <v>25.518000000000001</v>
      </c>
      <c r="K1771" s="1">
        <v>12.241</v>
      </c>
      <c r="L1771" s="1">
        <v>51.04</v>
      </c>
      <c r="M1771" s="1">
        <v>71.400000000000006</v>
      </c>
      <c r="N1771" s="1">
        <v>5.8069999999999997E-2</v>
      </c>
      <c r="O1771" s="1">
        <v>3.4450000000000003E-4</v>
      </c>
      <c r="P17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8.8118020529362706</v>
      </c>
      <c r="Q1771" s="1">
        <f>LN(Table13[[#This Row],[qe_mg_g]]-Table13[[#This Row],[qt]])</f>
        <v>2.8157797851240303</v>
      </c>
      <c r="R1771" s="1">
        <v>3</v>
      </c>
    </row>
    <row r="1772" spans="1:18" hidden="1" x14ac:dyDescent="0.3">
      <c r="A1772" s="1">
        <v>1771</v>
      </c>
      <c r="B1772" s="1" t="s">
        <v>19</v>
      </c>
      <c r="C1772" s="1">
        <v>0.5</v>
      </c>
      <c r="D1772" s="1">
        <v>60</v>
      </c>
      <c r="E1772" s="1">
        <v>25</v>
      </c>
      <c r="F1772" s="1">
        <v>11</v>
      </c>
      <c r="G1772" s="1">
        <v>25</v>
      </c>
      <c r="H1772" s="1">
        <v>150</v>
      </c>
      <c r="I1772" s="1">
        <v>100</v>
      </c>
      <c r="J1772" s="1">
        <v>19.335000000000001</v>
      </c>
      <c r="K1772" s="1">
        <v>15.333</v>
      </c>
      <c r="L1772" s="1">
        <v>38.67</v>
      </c>
      <c r="M1772" s="1">
        <v>64.7</v>
      </c>
      <c r="N1772" s="1">
        <v>5.0709999999999998E-2</v>
      </c>
      <c r="O1772" s="1">
        <v>3.2719999999999998E-4</v>
      </c>
      <c r="P17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5.3199129091542865</v>
      </c>
      <c r="Q1772" s="1">
        <f>LN(Table13[[#This Row],[qe_mg_g]]-Table13[[#This Row],[qt]])</f>
        <v>2.6401343987141557</v>
      </c>
      <c r="R1772" s="1">
        <v>1</v>
      </c>
    </row>
    <row r="1773" spans="1:18" hidden="1" x14ac:dyDescent="0.3">
      <c r="A1773" s="1">
        <v>1772</v>
      </c>
      <c r="B1773" s="1" t="s">
        <v>19</v>
      </c>
      <c r="C1773" s="1">
        <v>0.5</v>
      </c>
      <c r="D1773" s="1">
        <v>60</v>
      </c>
      <c r="E1773" s="1">
        <v>25</v>
      </c>
      <c r="F1773" s="1">
        <v>11</v>
      </c>
      <c r="G1773" s="1">
        <v>25</v>
      </c>
      <c r="H1773" s="1">
        <v>150</v>
      </c>
      <c r="I1773" s="1">
        <v>100</v>
      </c>
      <c r="J1773" s="1">
        <v>18.472999999999999</v>
      </c>
      <c r="K1773" s="1">
        <v>15.763</v>
      </c>
      <c r="L1773" s="1">
        <v>36.950000000000003</v>
      </c>
      <c r="M1773" s="1">
        <v>37.299999999999997</v>
      </c>
      <c r="N1773" s="1">
        <v>5.5759999999999997E-2</v>
      </c>
      <c r="O1773" s="1">
        <v>2.8400000000000002E-4</v>
      </c>
      <c r="P17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4.4227397861080808</v>
      </c>
      <c r="Q1773" s="1">
        <f>LN(Table13[[#This Row],[qe_mg_g]]-Table13[[#This Row],[qt]])</f>
        <v>2.6426409161699538</v>
      </c>
      <c r="R1773" s="1">
        <v>2</v>
      </c>
    </row>
    <row r="1774" spans="1:18" hidden="1" x14ac:dyDescent="0.3">
      <c r="A1774" s="1">
        <v>1773</v>
      </c>
      <c r="B1774" s="1" t="s">
        <v>19</v>
      </c>
      <c r="C1774" s="1">
        <v>0.5</v>
      </c>
      <c r="D1774" s="1">
        <v>60</v>
      </c>
      <c r="E1774" s="1">
        <v>25</v>
      </c>
      <c r="F1774" s="1">
        <v>11</v>
      </c>
      <c r="G1774" s="1">
        <v>25</v>
      </c>
      <c r="H1774" s="1">
        <v>150</v>
      </c>
      <c r="I1774" s="1">
        <v>100</v>
      </c>
      <c r="J1774" s="1">
        <v>18.952000000000002</v>
      </c>
      <c r="K1774" s="1">
        <v>15.523999999999999</v>
      </c>
      <c r="L1774" s="1">
        <v>37.9</v>
      </c>
      <c r="M1774" s="1">
        <v>61.6</v>
      </c>
      <c r="N1774" s="1">
        <v>5.2380000000000003E-2</v>
      </c>
      <c r="O1774" s="1">
        <v>4.0870000000000001E-4</v>
      </c>
      <c r="P17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6.0131932590313406</v>
      </c>
      <c r="Q1774" s="1">
        <f>LN(Table13[[#This Row],[qe_mg_g]]-Table13[[#This Row],[qt]])</f>
        <v>2.5602310700578572</v>
      </c>
      <c r="R1774" s="1">
        <v>3</v>
      </c>
    </row>
    <row r="1775" spans="1:18" hidden="1" x14ac:dyDescent="0.3">
      <c r="A1775" s="1">
        <v>1774</v>
      </c>
      <c r="B1775" s="1" t="s">
        <v>19</v>
      </c>
      <c r="C1775" s="1">
        <v>0.5</v>
      </c>
      <c r="D1775" s="1">
        <v>60</v>
      </c>
      <c r="E1775" s="1">
        <v>50</v>
      </c>
      <c r="F1775" s="1">
        <v>3</v>
      </c>
      <c r="G1775" s="1">
        <v>25</v>
      </c>
      <c r="H1775" s="1">
        <v>150</v>
      </c>
      <c r="I1775" s="1">
        <v>100</v>
      </c>
      <c r="J1775" s="1">
        <v>38.533999999999999</v>
      </c>
      <c r="K1775" s="1">
        <v>30.733000000000001</v>
      </c>
      <c r="L1775" s="1">
        <v>38.53</v>
      </c>
      <c r="M1775" s="1">
        <v>64.3</v>
      </c>
      <c r="N1775" s="1">
        <v>5.8709999999999998E-2</v>
      </c>
      <c r="O1775" s="1">
        <v>2.899E-4</v>
      </c>
      <c r="P17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15.463345812016726</v>
      </c>
      <c r="Q1775" s="1">
        <f>LN(Table13[[#This Row],[qe_mg_g]]-Table13[[#This Row],[qt]])</f>
        <v>3.1385614284365575</v>
      </c>
      <c r="R1775" s="1">
        <v>1</v>
      </c>
    </row>
    <row r="1776" spans="1:18" hidden="1" x14ac:dyDescent="0.3">
      <c r="A1776" s="1">
        <v>1775</v>
      </c>
      <c r="B1776" s="1" t="s">
        <v>19</v>
      </c>
      <c r="C1776" s="1">
        <v>0.5</v>
      </c>
      <c r="D1776" s="1">
        <v>60</v>
      </c>
      <c r="E1776" s="1">
        <v>50</v>
      </c>
      <c r="F1776" s="1">
        <v>3</v>
      </c>
      <c r="G1776" s="1">
        <v>25</v>
      </c>
      <c r="H1776" s="1">
        <v>150</v>
      </c>
      <c r="I1776" s="1">
        <v>100</v>
      </c>
      <c r="J1776" s="1">
        <v>51.067</v>
      </c>
      <c r="K1776" s="1">
        <v>24.466999999999999</v>
      </c>
      <c r="L1776" s="1">
        <v>51.07</v>
      </c>
      <c r="M1776" s="1">
        <v>54</v>
      </c>
      <c r="N1776" s="1">
        <v>5.0169999999999999E-2</v>
      </c>
      <c r="O1776" s="1">
        <v>3.0079999999999999E-4</v>
      </c>
      <c r="P17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24.492541467641232</v>
      </c>
      <c r="Q1776" s="1">
        <f>LN(Table13[[#This Row],[qe_mg_g]]-Table13[[#This Row],[qt]])</f>
        <v>3.2799505489445675</v>
      </c>
      <c r="R1776" s="1">
        <v>2</v>
      </c>
    </row>
    <row r="1777" spans="1:18" hidden="1" x14ac:dyDescent="0.3">
      <c r="A1777" s="1">
        <v>1776</v>
      </c>
      <c r="B1777" s="1" t="s">
        <v>19</v>
      </c>
      <c r="C1777" s="1">
        <v>0.5</v>
      </c>
      <c r="D1777" s="1">
        <v>60</v>
      </c>
      <c r="E1777" s="1">
        <v>50</v>
      </c>
      <c r="F1777" s="1">
        <v>3</v>
      </c>
      <c r="G1777" s="1">
        <v>25</v>
      </c>
      <c r="H1777" s="1">
        <v>150</v>
      </c>
      <c r="I1777" s="1">
        <v>100</v>
      </c>
      <c r="J1777" s="1">
        <v>42.261000000000003</v>
      </c>
      <c r="K1777" s="1">
        <v>28.869</v>
      </c>
      <c r="L1777" s="1">
        <v>42.26</v>
      </c>
      <c r="M1777" s="1">
        <v>53.5</v>
      </c>
      <c r="N1777" s="1">
        <v>5.5559999999999998E-2</v>
      </c>
      <c r="O1777" s="1">
        <v>3.3960000000000001E-4</v>
      </c>
      <c r="P17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19.553585117595645</v>
      </c>
      <c r="Q1777" s="1">
        <f>LN(Table13[[#This Row],[qe_mg_g]]-Table13[[#This Row],[qt]])</f>
        <v>3.1226915179518593</v>
      </c>
      <c r="R1777" s="1">
        <v>3</v>
      </c>
    </row>
    <row r="1778" spans="1:18" hidden="1" x14ac:dyDescent="0.3">
      <c r="A1778" s="1">
        <v>1777</v>
      </c>
      <c r="B1778" s="1" t="s">
        <v>19</v>
      </c>
      <c r="C1778" s="1">
        <v>0.5</v>
      </c>
      <c r="D1778" s="1">
        <v>60</v>
      </c>
      <c r="E1778" s="1">
        <v>50</v>
      </c>
      <c r="F1778" s="1">
        <v>7</v>
      </c>
      <c r="G1778" s="1">
        <v>25</v>
      </c>
      <c r="H1778" s="1">
        <v>150</v>
      </c>
      <c r="I1778" s="1">
        <v>100</v>
      </c>
      <c r="J1778" s="1">
        <v>66.402000000000001</v>
      </c>
      <c r="K1778" s="1">
        <v>16.798999999999999</v>
      </c>
      <c r="L1778" s="1">
        <v>66.400000000000006</v>
      </c>
      <c r="M1778" s="1">
        <v>51.4</v>
      </c>
      <c r="N1778" s="1">
        <v>4.4359999999999997E-2</v>
      </c>
      <c r="O1778" s="1">
        <v>3.4479999999999998E-4</v>
      </c>
      <c r="P17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38.428240671992775</v>
      </c>
      <c r="Q1778" s="1">
        <f>LN(Table13[[#This Row],[qe_mg_g]]-Table13[[#This Row],[qt]])</f>
        <v>3.3312669039029017</v>
      </c>
      <c r="R1778" s="1">
        <v>1</v>
      </c>
    </row>
    <row r="1779" spans="1:18" hidden="1" x14ac:dyDescent="0.3">
      <c r="A1779" s="1">
        <v>1778</v>
      </c>
      <c r="B1779" s="1" t="s">
        <v>19</v>
      </c>
      <c r="C1779" s="1">
        <v>0.5</v>
      </c>
      <c r="D1779" s="1">
        <v>60</v>
      </c>
      <c r="E1779" s="1">
        <v>50</v>
      </c>
      <c r="F1779" s="1">
        <v>7</v>
      </c>
      <c r="G1779" s="1">
        <v>25</v>
      </c>
      <c r="H1779" s="1">
        <v>150</v>
      </c>
      <c r="I1779" s="1">
        <v>100</v>
      </c>
      <c r="J1779" s="1">
        <v>53.046999999999997</v>
      </c>
      <c r="K1779" s="1">
        <v>23.477</v>
      </c>
      <c r="L1779" s="1">
        <v>53.05</v>
      </c>
      <c r="M1779" s="1">
        <v>57.4</v>
      </c>
      <c r="N1779" s="1">
        <v>4.9610000000000001E-2</v>
      </c>
      <c r="O1779" s="1">
        <v>3.5570000000000003E-4</v>
      </c>
      <c r="P17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28.167174173845535</v>
      </c>
      <c r="Q1779" s="1">
        <f>LN(Table13[[#This Row],[qe_mg_g]]-Table13[[#This Row],[qt]])</f>
        <v>3.2140572672899821</v>
      </c>
      <c r="R1779" s="1">
        <v>2</v>
      </c>
    </row>
    <row r="1780" spans="1:18" hidden="1" x14ac:dyDescent="0.3">
      <c r="A1780" s="1">
        <v>1779</v>
      </c>
      <c r="B1780" s="1" t="s">
        <v>19</v>
      </c>
      <c r="C1780" s="1">
        <v>0.5</v>
      </c>
      <c r="D1780" s="1">
        <v>60</v>
      </c>
      <c r="E1780" s="1">
        <v>50</v>
      </c>
      <c r="F1780" s="1">
        <v>7</v>
      </c>
      <c r="G1780" s="1">
        <v>25</v>
      </c>
      <c r="H1780" s="1">
        <v>150</v>
      </c>
      <c r="I1780" s="1">
        <v>100</v>
      </c>
      <c r="J1780" s="1">
        <v>69.433000000000007</v>
      </c>
      <c r="K1780" s="1">
        <v>15.284000000000001</v>
      </c>
      <c r="L1780" s="1">
        <v>69.430000000000007</v>
      </c>
      <c r="M1780" s="1">
        <v>46.8</v>
      </c>
      <c r="N1780" s="1">
        <v>6.0839999999999998E-2</v>
      </c>
      <c r="O1780" s="1">
        <v>3.3480000000000001E-4</v>
      </c>
      <c r="P17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40.439402708959172</v>
      </c>
      <c r="Q1780" s="1">
        <f>LN(Table13[[#This Row],[qe_mg_g]]-Table13[[#This Row],[qt]])</f>
        <v>3.367075022542747</v>
      </c>
      <c r="R1780" s="1">
        <v>3</v>
      </c>
    </row>
    <row r="1781" spans="1:18" hidden="1" x14ac:dyDescent="0.3">
      <c r="A1781" s="1">
        <v>1780</v>
      </c>
      <c r="B1781" s="1" t="s">
        <v>19</v>
      </c>
      <c r="C1781" s="1">
        <v>0.5</v>
      </c>
      <c r="D1781" s="1">
        <v>60</v>
      </c>
      <c r="E1781" s="1">
        <v>50</v>
      </c>
      <c r="F1781" s="1">
        <v>11</v>
      </c>
      <c r="G1781" s="1">
        <v>25</v>
      </c>
      <c r="H1781" s="1">
        <v>150</v>
      </c>
      <c r="I1781" s="1">
        <v>100</v>
      </c>
      <c r="J1781" s="1">
        <v>57.31</v>
      </c>
      <c r="K1781" s="1">
        <v>21.344999999999999</v>
      </c>
      <c r="L1781" s="1">
        <v>57.31</v>
      </c>
      <c r="M1781" s="1">
        <v>51.6</v>
      </c>
      <c r="N1781" s="1">
        <v>5.0380000000000001E-2</v>
      </c>
      <c r="O1781" s="1">
        <v>3.7409999999999999E-4</v>
      </c>
      <c r="P17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32.244178271815564</v>
      </c>
      <c r="Q1781" s="1">
        <f>LN(Table13[[#This Row],[qe_mg_g]]-Table13[[#This Row],[qt]])</f>
        <v>3.2215052340673522</v>
      </c>
      <c r="R1781" s="1">
        <v>1</v>
      </c>
    </row>
    <row r="1782" spans="1:18" hidden="1" x14ac:dyDescent="0.3">
      <c r="A1782" s="1">
        <v>1781</v>
      </c>
      <c r="B1782" s="1" t="s">
        <v>19</v>
      </c>
      <c r="C1782" s="1">
        <v>0.5</v>
      </c>
      <c r="D1782" s="1">
        <v>60</v>
      </c>
      <c r="E1782" s="1">
        <v>50</v>
      </c>
      <c r="F1782" s="1">
        <v>11</v>
      </c>
      <c r="G1782" s="1">
        <v>25</v>
      </c>
      <c r="H1782" s="1">
        <v>150</v>
      </c>
      <c r="I1782" s="1">
        <v>100</v>
      </c>
      <c r="J1782" s="1">
        <v>49.488999999999997</v>
      </c>
      <c r="K1782" s="1">
        <v>25.256</v>
      </c>
      <c r="L1782" s="1">
        <v>49.49</v>
      </c>
      <c r="M1782" s="1">
        <v>47.7</v>
      </c>
      <c r="N1782" s="1">
        <v>5.237E-2</v>
      </c>
      <c r="O1782" s="1">
        <v>3.4840000000000001E-4</v>
      </c>
      <c r="P17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25.164320327557707</v>
      </c>
      <c r="Q1782" s="1">
        <f>LN(Table13[[#This Row],[qe_mg_g]]-Table13[[#This Row],[qt]])</f>
        <v>3.1914914593293404</v>
      </c>
      <c r="R1782" s="1">
        <v>2</v>
      </c>
    </row>
    <row r="1783" spans="1:18" hidden="1" x14ac:dyDescent="0.3">
      <c r="A1783" s="1">
        <v>1782</v>
      </c>
      <c r="B1783" s="1" t="s">
        <v>19</v>
      </c>
      <c r="C1783" s="1">
        <v>0.5</v>
      </c>
      <c r="D1783" s="1">
        <v>60</v>
      </c>
      <c r="E1783" s="1">
        <v>50</v>
      </c>
      <c r="F1783" s="1">
        <v>11</v>
      </c>
      <c r="G1783" s="1">
        <v>25</v>
      </c>
      <c r="H1783" s="1">
        <v>150</v>
      </c>
      <c r="I1783" s="1">
        <v>100</v>
      </c>
      <c r="J1783" s="1">
        <v>55.841999999999999</v>
      </c>
      <c r="K1783" s="1">
        <v>22.079000000000001</v>
      </c>
      <c r="L1783" s="1">
        <v>55.84</v>
      </c>
      <c r="M1783" s="1">
        <v>38.700000000000003</v>
      </c>
      <c r="N1783" s="1">
        <v>5.5129999999999998E-2</v>
      </c>
      <c r="O1783" s="1">
        <v>3.7189999999999999E-4</v>
      </c>
      <c r="P17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30.979779009509883</v>
      </c>
      <c r="Q1783" s="1">
        <f>LN(Table13[[#This Row],[qe_mg_g]]-Table13[[#This Row],[qt]])</f>
        <v>3.2133494220151664</v>
      </c>
      <c r="R1783" s="1">
        <v>3</v>
      </c>
    </row>
    <row r="1784" spans="1:18" hidden="1" x14ac:dyDescent="0.3">
      <c r="A1784" s="1">
        <v>1783</v>
      </c>
      <c r="B1784" s="1" t="s">
        <v>19</v>
      </c>
      <c r="C1784" s="1">
        <v>0.5</v>
      </c>
      <c r="D1784" s="1">
        <v>60</v>
      </c>
      <c r="E1784" s="1">
        <v>100</v>
      </c>
      <c r="F1784" s="1">
        <v>3</v>
      </c>
      <c r="G1784" s="1">
        <v>25</v>
      </c>
      <c r="H1784" s="1">
        <v>150</v>
      </c>
      <c r="I1784" s="1">
        <v>100</v>
      </c>
      <c r="J1784" s="1">
        <v>104.06699999999999</v>
      </c>
      <c r="K1784" s="1">
        <v>47.966999999999999</v>
      </c>
      <c r="L1784" s="1">
        <v>52.03</v>
      </c>
      <c r="M1784" s="1">
        <v>65.3</v>
      </c>
      <c r="N1784" s="1">
        <v>5.459E-2</v>
      </c>
      <c r="O1784" s="1">
        <v>3.435E-4</v>
      </c>
      <c r="P17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70.975449065335781</v>
      </c>
      <c r="Q1784" s="1">
        <f>LN(Table13[[#This Row],[qe_mg_g]]-Table13[[#This Row],[qt]])</f>
        <v>3.4992779910274781</v>
      </c>
      <c r="R1784" s="1">
        <v>1</v>
      </c>
    </row>
    <row r="1785" spans="1:18" hidden="1" x14ac:dyDescent="0.3">
      <c r="A1785" s="1">
        <v>1784</v>
      </c>
      <c r="B1785" s="1" t="s">
        <v>19</v>
      </c>
      <c r="C1785" s="1">
        <v>0.5</v>
      </c>
      <c r="D1785" s="1">
        <v>60</v>
      </c>
      <c r="E1785" s="1">
        <v>100</v>
      </c>
      <c r="F1785" s="1">
        <v>3</v>
      </c>
      <c r="G1785" s="1">
        <v>25</v>
      </c>
      <c r="H1785" s="1">
        <v>150</v>
      </c>
      <c r="I1785" s="1">
        <v>100</v>
      </c>
      <c r="J1785" s="1">
        <v>106.934</v>
      </c>
      <c r="K1785" s="1">
        <v>46.533000000000001</v>
      </c>
      <c r="L1785" s="1">
        <v>53.47</v>
      </c>
      <c r="M1785" s="1">
        <v>55.4</v>
      </c>
      <c r="N1785" s="1">
        <v>5.2850000000000001E-2</v>
      </c>
      <c r="O1785" s="1">
        <v>3.681E-4</v>
      </c>
      <c r="P17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75.12491825735168</v>
      </c>
      <c r="Q1785" s="1">
        <f>LN(Table13[[#This Row],[qe_mg_g]]-Table13[[#This Row],[qt]])</f>
        <v>3.4597518384047001</v>
      </c>
      <c r="R1785" s="1">
        <v>2</v>
      </c>
    </row>
    <row r="1786" spans="1:18" hidden="1" x14ac:dyDescent="0.3">
      <c r="A1786" s="1">
        <v>1785</v>
      </c>
      <c r="B1786" s="1" t="s">
        <v>19</v>
      </c>
      <c r="C1786" s="1">
        <v>0.5</v>
      </c>
      <c r="D1786" s="1">
        <v>60</v>
      </c>
      <c r="E1786" s="1">
        <v>100</v>
      </c>
      <c r="F1786" s="1">
        <v>3</v>
      </c>
      <c r="G1786" s="1">
        <v>25</v>
      </c>
      <c r="H1786" s="1">
        <v>150</v>
      </c>
      <c r="I1786" s="1">
        <v>100</v>
      </c>
      <c r="J1786" s="1">
        <v>97.986000000000004</v>
      </c>
      <c r="K1786" s="1">
        <v>51.006999999999998</v>
      </c>
      <c r="L1786" s="1">
        <v>48.99</v>
      </c>
      <c r="M1786" s="1">
        <v>49.5</v>
      </c>
      <c r="N1786" s="1">
        <v>5.21E-2</v>
      </c>
      <c r="O1786" s="1">
        <v>3.9740000000000001E-4</v>
      </c>
      <c r="P17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68.617027240885477</v>
      </c>
      <c r="Q1786" s="1">
        <f>LN(Table13[[#This Row],[qe_mg_g]]-Table13[[#This Row],[qt]])</f>
        <v>3.3799387687430378</v>
      </c>
      <c r="R1786" s="1">
        <v>3</v>
      </c>
    </row>
    <row r="1787" spans="1:18" hidden="1" x14ac:dyDescent="0.3">
      <c r="A1787" s="1">
        <v>1786</v>
      </c>
      <c r="B1787" s="1" t="s">
        <v>19</v>
      </c>
      <c r="C1787" s="1">
        <v>0.5</v>
      </c>
      <c r="D1787" s="1">
        <v>60</v>
      </c>
      <c r="E1787" s="1">
        <v>100</v>
      </c>
      <c r="F1787" s="1">
        <v>7</v>
      </c>
      <c r="G1787" s="1">
        <v>25</v>
      </c>
      <c r="H1787" s="1">
        <v>150</v>
      </c>
      <c r="I1787" s="1">
        <v>100</v>
      </c>
      <c r="J1787" s="1">
        <v>113.297</v>
      </c>
      <c r="K1787" s="1">
        <v>43.350999999999999</v>
      </c>
      <c r="L1787" s="1">
        <v>56.65</v>
      </c>
      <c r="M1787" s="1">
        <v>57.8</v>
      </c>
      <c r="N1787" s="1">
        <v>5.5190000000000003E-2</v>
      </c>
      <c r="O1787" s="1">
        <v>2.9119999999999998E-4</v>
      </c>
      <c r="P17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75.271813769521728</v>
      </c>
      <c r="Q1787" s="1">
        <f>LN(Table13[[#This Row],[qe_mg_g]]-Table13[[#This Row],[qt]])</f>
        <v>3.6382487357133311</v>
      </c>
      <c r="R1787" s="1">
        <v>1</v>
      </c>
    </row>
    <row r="1788" spans="1:18" hidden="1" x14ac:dyDescent="0.3">
      <c r="A1788" s="1">
        <v>1787</v>
      </c>
      <c r="B1788" s="1" t="s">
        <v>19</v>
      </c>
      <c r="C1788" s="1">
        <v>0.5</v>
      </c>
      <c r="D1788" s="1">
        <v>60</v>
      </c>
      <c r="E1788" s="1">
        <v>100</v>
      </c>
      <c r="F1788" s="1">
        <v>7</v>
      </c>
      <c r="G1788" s="1">
        <v>25</v>
      </c>
      <c r="H1788" s="1">
        <v>150</v>
      </c>
      <c r="I1788" s="1">
        <v>100</v>
      </c>
      <c r="J1788" s="1">
        <v>149.45099999999999</v>
      </c>
      <c r="K1788" s="1">
        <v>25.274999999999999</v>
      </c>
      <c r="L1788" s="1">
        <v>74.73</v>
      </c>
      <c r="M1788" s="1">
        <v>58.4</v>
      </c>
      <c r="N1788" s="1">
        <v>5.824E-2</v>
      </c>
      <c r="O1788" s="1">
        <v>2.5720000000000002E-4</v>
      </c>
      <c r="P17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104.24949319430705</v>
      </c>
      <c r="Q1788" s="1">
        <f>LN(Table13[[#This Row],[qe_mg_g]]-Table13[[#This Row],[qt]])</f>
        <v>3.8111304226916758</v>
      </c>
      <c r="R1788" s="1">
        <v>2</v>
      </c>
    </row>
    <row r="1789" spans="1:18" hidden="1" x14ac:dyDescent="0.3">
      <c r="A1789" s="1">
        <v>1788</v>
      </c>
      <c r="B1789" s="1" t="s">
        <v>19</v>
      </c>
      <c r="C1789" s="1">
        <v>0.5</v>
      </c>
      <c r="D1789" s="1">
        <v>60</v>
      </c>
      <c r="E1789" s="1">
        <v>100</v>
      </c>
      <c r="F1789" s="1">
        <v>7</v>
      </c>
      <c r="G1789" s="1">
        <v>25</v>
      </c>
      <c r="H1789" s="1">
        <v>150</v>
      </c>
      <c r="I1789" s="1">
        <v>100</v>
      </c>
      <c r="J1789" s="1">
        <v>160.27000000000001</v>
      </c>
      <c r="K1789" s="1">
        <v>19.864999999999998</v>
      </c>
      <c r="L1789" s="1">
        <v>80.14</v>
      </c>
      <c r="M1789" s="1">
        <v>48.5</v>
      </c>
      <c r="N1789" s="1">
        <v>5.8779999999999999E-2</v>
      </c>
      <c r="O1789" s="1">
        <v>3.7589999999999998E-4</v>
      </c>
      <c r="P17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125.53990428765275</v>
      </c>
      <c r="Q1789" s="1">
        <f>LN(Table13[[#This Row],[qe_mg_g]]-Table13[[#This Row],[qt]])</f>
        <v>3.547606622650465</v>
      </c>
      <c r="R1789" s="1">
        <v>3</v>
      </c>
    </row>
    <row r="1790" spans="1:18" hidden="1" x14ac:dyDescent="0.3">
      <c r="A1790" s="1">
        <v>1789</v>
      </c>
      <c r="B1790" s="1" t="s">
        <v>19</v>
      </c>
      <c r="C1790" s="1">
        <v>0.5</v>
      </c>
      <c r="D1790" s="1">
        <v>60</v>
      </c>
      <c r="E1790" s="1">
        <v>100</v>
      </c>
      <c r="F1790" s="1">
        <v>11</v>
      </c>
      <c r="G1790" s="1">
        <v>25</v>
      </c>
      <c r="H1790" s="1">
        <v>150</v>
      </c>
      <c r="I1790" s="1">
        <v>100</v>
      </c>
      <c r="J1790" s="1">
        <v>112.623</v>
      </c>
      <c r="K1790" s="1">
        <v>43.689</v>
      </c>
      <c r="L1790" s="1">
        <v>56.31</v>
      </c>
      <c r="M1790" s="1">
        <v>59.9</v>
      </c>
      <c r="N1790" s="1">
        <v>5.2880000000000003E-2</v>
      </c>
      <c r="O1790" s="1">
        <v>2.7750000000000002E-4</v>
      </c>
      <c r="P17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73.452138991447455</v>
      </c>
      <c r="Q1790" s="1">
        <f>LN(Table13[[#This Row],[qe_mg_g]]-Table13[[#This Row],[qt]])</f>
        <v>3.6679331287624892</v>
      </c>
      <c r="R1790" s="1">
        <v>1</v>
      </c>
    </row>
    <row r="1791" spans="1:18" hidden="1" x14ac:dyDescent="0.3">
      <c r="A1791" s="1">
        <v>1790</v>
      </c>
      <c r="B1791" s="1" t="s">
        <v>19</v>
      </c>
      <c r="C1791" s="1">
        <v>0.5</v>
      </c>
      <c r="D1791" s="1">
        <v>60</v>
      </c>
      <c r="E1791" s="1">
        <v>100</v>
      </c>
      <c r="F1791" s="1">
        <v>11</v>
      </c>
      <c r="G1791" s="1">
        <v>25</v>
      </c>
      <c r="H1791" s="1">
        <v>150</v>
      </c>
      <c r="I1791" s="1">
        <v>100</v>
      </c>
      <c r="J1791" s="1">
        <v>129.79400000000001</v>
      </c>
      <c r="K1791" s="1">
        <v>35.103000000000002</v>
      </c>
      <c r="L1791" s="1">
        <v>64.900000000000006</v>
      </c>
      <c r="M1791" s="1">
        <v>48.2</v>
      </c>
      <c r="N1791" s="1">
        <v>5.0299999999999997E-2</v>
      </c>
      <c r="O1791" s="1">
        <v>3.3589999999999998E-4</v>
      </c>
      <c r="P17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93.89833398210439</v>
      </c>
      <c r="Q1791" s="1">
        <f>LN(Table13[[#This Row],[qe_mg_g]]-Table13[[#This Row],[qt]])</f>
        <v>3.5806165644710384</v>
      </c>
      <c r="R1791" s="1">
        <v>2</v>
      </c>
    </row>
    <row r="1792" spans="1:18" hidden="1" x14ac:dyDescent="0.3">
      <c r="A1792" s="1">
        <v>1791</v>
      </c>
      <c r="B1792" s="1" t="s">
        <v>19</v>
      </c>
      <c r="C1792" s="1">
        <v>0.5</v>
      </c>
      <c r="D1792" s="1">
        <v>60</v>
      </c>
      <c r="E1792" s="1">
        <v>100</v>
      </c>
      <c r="F1792" s="1">
        <v>11</v>
      </c>
      <c r="G1792" s="1">
        <v>25</v>
      </c>
      <c r="H1792" s="1">
        <v>150</v>
      </c>
      <c r="I1792" s="1">
        <v>100</v>
      </c>
      <c r="J1792" s="1">
        <v>122.273</v>
      </c>
      <c r="K1792" s="1">
        <v>38.863999999999997</v>
      </c>
      <c r="L1792" s="1">
        <v>61.14</v>
      </c>
      <c r="M1792" s="1">
        <v>54.1</v>
      </c>
      <c r="N1792" s="1">
        <v>5.8009999999999999E-2</v>
      </c>
      <c r="O1792" s="1">
        <v>3.0309999999999999E-4</v>
      </c>
      <c r="P17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84.343093555102399</v>
      </c>
      <c r="Q1792" s="1">
        <f>LN(Table13[[#This Row],[qe_mg_g]]-Table13[[#This Row],[qt]])</f>
        <v>3.6357398891777972</v>
      </c>
      <c r="R1792" s="1">
        <v>3</v>
      </c>
    </row>
    <row r="1793" spans="1:18" hidden="1" x14ac:dyDescent="0.3">
      <c r="A1793" s="1">
        <v>1792</v>
      </c>
      <c r="B1793" s="1" t="s">
        <v>19</v>
      </c>
      <c r="C1793" s="1">
        <v>0.5</v>
      </c>
      <c r="D1793" s="1">
        <v>60</v>
      </c>
      <c r="E1793" s="1">
        <v>200</v>
      </c>
      <c r="F1793" s="1">
        <v>3</v>
      </c>
      <c r="G1793" s="1">
        <v>25</v>
      </c>
      <c r="H1793" s="1">
        <v>150</v>
      </c>
      <c r="I1793" s="1">
        <v>100</v>
      </c>
      <c r="J1793" s="1">
        <v>160.488</v>
      </c>
      <c r="K1793" s="1">
        <v>119.756</v>
      </c>
      <c r="L1793" s="1">
        <v>40.119999999999997</v>
      </c>
      <c r="M1793" s="1">
        <v>53.6</v>
      </c>
      <c r="N1793" s="1">
        <v>6.5439999999999998E-2</v>
      </c>
      <c r="O1793" s="1">
        <v>3.4600000000000001E-4</v>
      </c>
      <c r="P17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123.43860694075251</v>
      </c>
      <c r="Q1793" s="1">
        <f>LN(Table13[[#This Row],[qe_mg_g]]-Table13[[#This Row],[qt]])</f>
        <v>3.6122519699411804</v>
      </c>
      <c r="R1793" s="1">
        <v>1</v>
      </c>
    </row>
    <row r="1794" spans="1:18" hidden="1" x14ac:dyDescent="0.3">
      <c r="A1794" s="1">
        <v>1793</v>
      </c>
      <c r="B1794" s="1" t="s">
        <v>19</v>
      </c>
      <c r="C1794" s="1">
        <v>0.5</v>
      </c>
      <c r="D1794" s="1">
        <v>60</v>
      </c>
      <c r="E1794" s="1">
        <v>200</v>
      </c>
      <c r="F1794" s="1">
        <v>3</v>
      </c>
      <c r="G1794" s="1">
        <v>25</v>
      </c>
      <c r="H1794" s="1">
        <v>150</v>
      </c>
      <c r="I1794" s="1">
        <v>100</v>
      </c>
      <c r="J1794" s="1">
        <v>182.14500000000001</v>
      </c>
      <c r="K1794" s="1">
        <v>108.928</v>
      </c>
      <c r="L1794" s="1">
        <v>45.54</v>
      </c>
      <c r="M1794" s="1">
        <v>54.9</v>
      </c>
      <c r="N1794" s="1">
        <v>5.2339999999999998E-2</v>
      </c>
      <c r="O1794" s="1">
        <v>3.414E-4</v>
      </c>
      <c r="P17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143.64515639841485</v>
      </c>
      <c r="Q1794" s="1">
        <f>LN(Table13[[#This Row],[qe_mg_g]]-Table13[[#This Row],[qt]])</f>
        <v>3.6506541789889981</v>
      </c>
      <c r="R1794" s="1">
        <v>2</v>
      </c>
    </row>
    <row r="1795" spans="1:18" hidden="1" x14ac:dyDescent="0.3">
      <c r="A1795" s="1">
        <v>1794</v>
      </c>
      <c r="B1795" s="1" t="s">
        <v>19</v>
      </c>
      <c r="C1795" s="1">
        <v>0.5</v>
      </c>
      <c r="D1795" s="1">
        <v>60</v>
      </c>
      <c r="E1795" s="1">
        <v>200</v>
      </c>
      <c r="F1795" s="1">
        <v>3</v>
      </c>
      <c r="G1795" s="1">
        <v>25</v>
      </c>
      <c r="H1795" s="1">
        <v>150</v>
      </c>
      <c r="I1795" s="1">
        <v>100</v>
      </c>
      <c r="J1795" s="1">
        <v>167.28899999999999</v>
      </c>
      <c r="K1795" s="1">
        <v>116.355</v>
      </c>
      <c r="L1795" s="1">
        <v>41.82</v>
      </c>
      <c r="M1795" s="1">
        <v>59.5</v>
      </c>
      <c r="N1795" s="1">
        <v>6.2560000000000004E-2</v>
      </c>
      <c r="O1795" s="1">
        <v>3.6259999999999998E-4</v>
      </c>
      <c r="P17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131.23175755666784</v>
      </c>
      <c r="Q1795" s="1">
        <f>LN(Table13[[#This Row],[qe_mg_g]]-Table13[[#This Row],[qt]])</f>
        <v>3.5851077435069998</v>
      </c>
      <c r="R1795" s="1">
        <v>3</v>
      </c>
    </row>
    <row r="1796" spans="1:18" hidden="1" x14ac:dyDescent="0.3">
      <c r="A1796" s="1">
        <v>1795</v>
      </c>
      <c r="B1796" s="1" t="s">
        <v>19</v>
      </c>
      <c r="C1796" s="1">
        <v>0.5</v>
      </c>
      <c r="D1796" s="1">
        <v>60</v>
      </c>
      <c r="E1796" s="1">
        <v>200</v>
      </c>
      <c r="F1796" s="1">
        <v>7</v>
      </c>
      <c r="G1796" s="1">
        <v>25</v>
      </c>
      <c r="H1796" s="1">
        <v>150</v>
      </c>
      <c r="I1796" s="1">
        <v>100</v>
      </c>
      <c r="J1796" s="1">
        <v>256.40899999999999</v>
      </c>
      <c r="K1796" s="1">
        <v>71.795000000000002</v>
      </c>
      <c r="L1796" s="1">
        <v>64.099999999999994</v>
      </c>
      <c r="M1796" s="1">
        <v>46.7</v>
      </c>
      <c r="N1796" s="1">
        <v>5.2720000000000003E-2</v>
      </c>
      <c r="O1796" s="1">
        <v>3.2459999999999998E-4</v>
      </c>
      <c r="P17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213.63011642318924</v>
      </c>
      <c r="Q1796" s="1">
        <f>LN(Table13[[#This Row],[qe_mg_g]]-Table13[[#This Row],[qt]])</f>
        <v>3.7560446064649873</v>
      </c>
      <c r="R1796" s="1">
        <v>1</v>
      </c>
    </row>
    <row r="1797" spans="1:18" hidden="1" x14ac:dyDescent="0.3">
      <c r="A1797" s="1">
        <v>1796</v>
      </c>
      <c r="B1797" s="1" t="s">
        <v>19</v>
      </c>
      <c r="C1797" s="1">
        <v>0.5</v>
      </c>
      <c r="D1797" s="1">
        <v>60</v>
      </c>
      <c r="E1797" s="1">
        <v>200</v>
      </c>
      <c r="F1797" s="1">
        <v>7</v>
      </c>
      <c r="G1797" s="1">
        <v>25</v>
      </c>
      <c r="H1797" s="1">
        <v>150</v>
      </c>
      <c r="I1797" s="1">
        <v>100</v>
      </c>
      <c r="J1797" s="1">
        <v>241.94800000000001</v>
      </c>
      <c r="K1797" s="1">
        <v>79.025999999999996</v>
      </c>
      <c r="L1797" s="1">
        <v>60.49</v>
      </c>
      <c r="M1797" s="1">
        <v>51.6</v>
      </c>
      <c r="N1797" s="1">
        <v>5.901E-2</v>
      </c>
      <c r="O1797" s="1">
        <v>3.1740000000000002E-4</v>
      </c>
      <c r="P17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198.80199993615017</v>
      </c>
      <c r="Q1797" s="1">
        <f>LN(Table13[[#This Row],[qe_mg_g]]-Table13[[#This Row],[qt]])</f>
        <v>3.7645897148282672</v>
      </c>
      <c r="R1797" s="1">
        <v>2</v>
      </c>
    </row>
    <row r="1798" spans="1:18" hidden="1" x14ac:dyDescent="0.3">
      <c r="A1798" s="1">
        <v>1797</v>
      </c>
      <c r="B1798" s="1" t="s">
        <v>19</v>
      </c>
      <c r="C1798" s="1">
        <v>0.5</v>
      </c>
      <c r="D1798" s="1">
        <v>60</v>
      </c>
      <c r="E1798" s="1">
        <v>200</v>
      </c>
      <c r="F1798" s="1">
        <v>7</v>
      </c>
      <c r="G1798" s="1">
        <v>25</v>
      </c>
      <c r="H1798" s="1">
        <v>150</v>
      </c>
      <c r="I1798" s="1">
        <v>100</v>
      </c>
      <c r="J1798" s="1">
        <v>237.45</v>
      </c>
      <c r="K1798" s="1">
        <v>81.275000000000006</v>
      </c>
      <c r="L1798" s="1">
        <v>59.36</v>
      </c>
      <c r="M1798" s="1">
        <v>60.2</v>
      </c>
      <c r="N1798" s="1">
        <v>4.3639999999999998E-2</v>
      </c>
      <c r="O1798" s="1">
        <v>4.2430000000000001E-4</v>
      </c>
      <c r="P17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203.74525490134343</v>
      </c>
      <c r="Q1798" s="1">
        <f>LN(Table13[[#This Row],[qe_mg_g]]-Table13[[#This Row],[qt]])</f>
        <v>3.5176386315607853</v>
      </c>
      <c r="R1798" s="1">
        <v>3</v>
      </c>
    </row>
    <row r="1799" spans="1:18" hidden="1" x14ac:dyDescent="0.3">
      <c r="A1799" s="1">
        <v>1798</v>
      </c>
      <c r="B1799" s="1" t="s">
        <v>19</v>
      </c>
      <c r="C1799" s="1">
        <v>0.5</v>
      </c>
      <c r="D1799" s="1">
        <v>60</v>
      </c>
      <c r="E1799" s="1">
        <v>200</v>
      </c>
      <c r="F1799" s="1">
        <v>11</v>
      </c>
      <c r="G1799" s="1">
        <v>25</v>
      </c>
      <c r="H1799" s="1">
        <v>150</v>
      </c>
      <c r="I1799" s="1">
        <v>100</v>
      </c>
      <c r="J1799" s="1">
        <v>192.267</v>
      </c>
      <c r="K1799" s="1">
        <v>103.867</v>
      </c>
      <c r="L1799" s="1">
        <v>48.07</v>
      </c>
      <c r="M1799" s="1">
        <v>38</v>
      </c>
      <c r="N1799" s="1">
        <v>5.5870000000000003E-2</v>
      </c>
      <c r="O1799" s="1">
        <v>3.5120000000000003E-4</v>
      </c>
      <c r="P17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154.20525704022216</v>
      </c>
      <c r="Q1799" s="1">
        <f>LN(Table13[[#This Row],[qe_mg_g]]-Table13[[#This Row],[qt]])</f>
        <v>3.6392096558740357</v>
      </c>
      <c r="R1799" s="1">
        <v>1</v>
      </c>
    </row>
    <row r="1800" spans="1:18" hidden="1" x14ac:dyDescent="0.3">
      <c r="A1800" s="1">
        <v>1799</v>
      </c>
      <c r="B1800" s="1" t="s">
        <v>19</v>
      </c>
      <c r="C1800" s="1">
        <v>0.5</v>
      </c>
      <c r="D1800" s="1">
        <v>60</v>
      </c>
      <c r="E1800" s="1">
        <v>200</v>
      </c>
      <c r="F1800" s="1">
        <v>11</v>
      </c>
      <c r="G1800" s="1">
        <v>25</v>
      </c>
      <c r="H1800" s="1">
        <v>150</v>
      </c>
      <c r="I1800" s="1">
        <v>100</v>
      </c>
      <c r="J1800" s="1">
        <v>195.03</v>
      </c>
      <c r="K1800" s="1">
        <v>102.485</v>
      </c>
      <c r="L1800" s="1">
        <v>48.76</v>
      </c>
      <c r="M1800" s="1">
        <v>62.7</v>
      </c>
      <c r="N1800" s="1">
        <v>5.9110000000000003E-2</v>
      </c>
      <c r="O1800" s="1">
        <v>3.6039999999999998E-4</v>
      </c>
      <c r="P18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157.64880160006481</v>
      </c>
      <c r="Q1800" s="1">
        <f>LN(Table13[[#This Row],[qe_mg_g]]-Table13[[#This Row],[qt]])</f>
        <v>3.6211678614368683</v>
      </c>
      <c r="R1800" s="1">
        <v>2</v>
      </c>
    </row>
    <row r="1801" spans="1:18" hidden="1" x14ac:dyDescent="0.3">
      <c r="A1801" s="1">
        <v>1800</v>
      </c>
      <c r="B1801" s="1" t="s">
        <v>19</v>
      </c>
      <c r="C1801" s="1">
        <v>0.5</v>
      </c>
      <c r="D1801" s="1">
        <v>60</v>
      </c>
      <c r="E1801" s="1">
        <v>200</v>
      </c>
      <c r="F1801" s="1">
        <v>11</v>
      </c>
      <c r="G1801" s="1">
        <v>25</v>
      </c>
      <c r="H1801" s="1">
        <v>150</v>
      </c>
      <c r="I1801" s="1">
        <v>100</v>
      </c>
      <c r="J1801" s="1">
        <v>202.33600000000001</v>
      </c>
      <c r="K1801" s="1">
        <v>98.831999999999994</v>
      </c>
      <c r="L1801" s="1">
        <v>50.58</v>
      </c>
      <c r="M1801" s="1">
        <v>53.7</v>
      </c>
      <c r="N1801" s="1">
        <v>6.4769999999999994E-2</v>
      </c>
      <c r="O1801" s="1">
        <v>2.9819999999999998E-4</v>
      </c>
      <c r="P18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158.54218419378336</v>
      </c>
      <c r="Q1801" s="1">
        <f>LN(Table13[[#This Row],[qe_mg_g]]-Table13[[#This Row],[qt]])</f>
        <v>3.7794926157750335</v>
      </c>
      <c r="R1801" s="1">
        <v>3</v>
      </c>
    </row>
    <row r="1802" spans="1:18" hidden="1" x14ac:dyDescent="0.3">
      <c r="A1802" s="1">
        <v>1801</v>
      </c>
      <c r="B1802" s="1" t="s">
        <v>19</v>
      </c>
      <c r="C1802" s="1">
        <v>0.5</v>
      </c>
      <c r="D1802" s="1">
        <v>120</v>
      </c>
      <c r="E1802" s="1">
        <v>25</v>
      </c>
      <c r="F1802" s="1">
        <v>3</v>
      </c>
      <c r="G1802" s="1">
        <v>25</v>
      </c>
      <c r="H1802" s="1">
        <v>150</v>
      </c>
      <c r="I1802" s="1">
        <v>100</v>
      </c>
      <c r="J1802" s="1">
        <v>21.939</v>
      </c>
      <c r="K1802" s="1">
        <v>14.031000000000001</v>
      </c>
      <c r="L1802" s="1">
        <v>43.88</v>
      </c>
      <c r="M1802" s="1">
        <v>55.1</v>
      </c>
      <c r="N1802" s="1">
        <v>5.9470000000000002E-2</v>
      </c>
      <c r="O1802" s="1">
        <v>3.2049999999999998E-4</v>
      </c>
      <c r="P18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10.040035856922895</v>
      </c>
      <c r="Q1802" s="1">
        <f>LN(Table13[[#This Row],[qe_mg_g]]-Table13[[#This Row],[qt]])</f>
        <v>2.4764513495284479</v>
      </c>
      <c r="R1802" s="1">
        <v>1</v>
      </c>
    </row>
    <row r="1803" spans="1:18" hidden="1" x14ac:dyDescent="0.3">
      <c r="A1803" s="1">
        <v>1802</v>
      </c>
      <c r="B1803" s="1" t="s">
        <v>19</v>
      </c>
      <c r="C1803" s="1">
        <v>0.5</v>
      </c>
      <c r="D1803" s="1">
        <v>120</v>
      </c>
      <c r="E1803" s="1">
        <v>25</v>
      </c>
      <c r="F1803" s="1">
        <v>3</v>
      </c>
      <c r="G1803" s="1">
        <v>25</v>
      </c>
      <c r="H1803" s="1">
        <v>150</v>
      </c>
      <c r="I1803" s="1">
        <v>100</v>
      </c>
      <c r="J1803" s="1">
        <v>19.074000000000002</v>
      </c>
      <c r="K1803" s="1">
        <v>15.462999999999999</v>
      </c>
      <c r="L1803" s="1">
        <v>38.15</v>
      </c>
      <c r="M1803" s="1">
        <v>55.8</v>
      </c>
      <c r="N1803" s="1">
        <v>5.6550000000000003E-2</v>
      </c>
      <c r="O1803" s="1">
        <v>4.0210000000000002E-4</v>
      </c>
      <c r="P18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9.1414803532845106</v>
      </c>
      <c r="Q1803" s="1">
        <f>LN(Table13[[#This Row],[qe_mg_g]]-Table13[[#This Row],[qt]])</f>
        <v>2.2958141867278665</v>
      </c>
      <c r="R1803" s="1">
        <v>2</v>
      </c>
    </row>
    <row r="1804" spans="1:18" hidden="1" x14ac:dyDescent="0.3">
      <c r="A1804" s="1">
        <v>1803</v>
      </c>
      <c r="B1804" s="1" t="s">
        <v>19</v>
      </c>
      <c r="C1804" s="1">
        <v>0.5</v>
      </c>
      <c r="D1804" s="1">
        <v>120</v>
      </c>
      <c r="E1804" s="1">
        <v>25</v>
      </c>
      <c r="F1804" s="1">
        <v>3</v>
      </c>
      <c r="G1804" s="1">
        <v>25</v>
      </c>
      <c r="H1804" s="1">
        <v>150</v>
      </c>
      <c r="I1804" s="1">
        <v>100</v>
      </c>
      <c r="J1804" s="1">
        <v>19.794</v>
      </c>
      <c r="K1804" s="1">
        <v>15.103</v>
      </c>
      <c r="L1804" s="1">
        <v>39.590000000000003</v>
      </c>
      <c r="M1804" s="1">
        <v>64</v>
      </c>
      <c r="N1804" s="1">
        <v>6.8019999999999997E-2</v>
      </c>
      <c r="O1804" s="1">
        <v>3.368E-4</v>
      </c>
      <c r="P18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8.7972985348824739</v>
      </c>
      <c r="Q1804" s="1">
        <f>LN(Table13[[#This Row],[qe_mg_g]]-Table13[[#This Row],[qt]])</f>
        <v>2.3975953610218319</v>
      </c>
      <c r="R1804" s="1">
        <v>3</v>
      </c>
    </row>
    <row r="1805" spans="1:18" hidden="1" x14ac:dyDescent="0.3">
      <c r="A1805" s="1">
        <v>1804</v>
      </c>
      <c r="B1805" s="1" t="s">
        <v>19</v>
      </c>
      <c r="C1805" s="1">
        <v>0.5</v>
      </c>
      <c r="D1805" s="1">
        <v>120</v>
      </c>
      <c r="E1805" s="1">
        <v>25</v>
      </c>
      <c r="F1805" s="1">
        <v>7</v>
      </c>
      <c r="G1805" s="1">
        <v>25</v>
      </c>
      <c r="H1805" s="1">
        <v>150</v>
      </c>
      <c r="I1805" s="1">
        <v>100</v>
      </c>
      <c r="J1805" s="1">
        <v>29.259</v>
      </c>
      <c r="K1805" s="1">
        <v>10.37</v>
      </c>
      <c r="L1805" s="1">
        <v>58.52</v>
      </c>
      <c r="M1805" s="1">
        <v>51.2</v>
      </c>
      <c r="N1805" s="1">
        <v>5.5079999999999997E-2</v>
      </c>
      <c r="O1805" s="1">
        <v>3.6969999999999999E-4</v>
      </c>
      <c r="P18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16.526880414084403</v>
      </c>
      <c r="Q1805" s="1">
        <f>LN(Table13[[#This Row],[qe_mg_g]]-Table13[[#This Row],[qt]])</f>
        <v>2.5441279019233018</v>
      </c>
      <c r="R1805" s="1">
        <v>1</v>
      </c>
    </row>
    <row r="1806" spans="1:18" hidden="1" x14ac:dyDescent="0.3">
      <c r="A1806" s="1">
        <v>1805</v>
      </c>
      <c r="B1806" s="1" t="s">
        <v>19</v>
      </c>
      <c r="C1806" s="1">
        <v>0.5</v>
      </c>
      <c r="D1806" s="1">
        <v>120</v>
      </c>
      <c r="E1806" s="1">
        <v>25</v>
      </c>
      <c r="F1806" s="1">
        <v>7</v>
      </c>
      <c r="G1806" s="1">
        <v>25</v>
      </c>
      <c r="H1806" s="1">
        <v>150</v>
      </c>
      <c r="I1806" s="1">
        <v>100</v>
      </c>
      <c r="J1806" s="1">
        <v>30.834</v>
      </c>
      <c r="K1806" s="1">
        <v>9.5830000000000002</v>
      </c>
      <c r="L1806" s="1">
        <v>61.67</v>
      </c>
      <c r="M1806" s="1">
        <v>67.3</v>
      </c>
      <c r="N1806" s="1">
        <v>4.8869999999999997E-2</v>
      </c>
      <c r="O1806" s="1">
        <v>2.8909999999999998E-4</v>
      </c>
      <c r="P18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15.936139257815617</v>
      </c>
      <c r="Q1806" s="1">
        <f>LN(Table13[[#This Row],[qe_mg_g]]-Table13[[#This Row],[qt]])</f>
        <v>2.7012176282935885</v>
      </c>
      <c r="R1806" s="1">
        <v>2</v>
      </c>
    </row>
    <row r="1807" spans="1:18" hidden="1" x14ac:dyDescent="0.3">
      <c r="A1807" s="1">
        <v>1806</v>
      </c>
      <c r="B1807" s="1" t="s">
        <v>19</v>
      </c>
      <c r="C1807" s="1">
        <v>0.5</v>
      </c>
      <c r="D1807" s="1">
        <v>120</v>
      </c>
      <c r="E1807" s="1">
        <v>25</v>
      </c>
      <c r="F1807" s="1">
        <v>7</v>
      </c>
      <c r="G1807" s="1">
        <v>25</v>
      </c>
      <c r="H1807" s="1">
        <v>150</v>
      </c>
      <c r="I1807" s="1">
        <v>100</v>
      </c>
      <c r="J1807" s="1">
        <v>34.658000000000001</v>
      </c>
      <c r="K1807" s="1">
        <v>7.6710000000000003</v>
      </c>
      <c r="L1807" s="1">
        <v>69.319999999999993</v>
      </c>
      <c r="M1807" s="1">
        <v>35.9</v>
      </c>
      <c r="N1807" s="1">
        <v>5.3879999999999997E-2</v>
      </c>
      <c r="O1807" s="1">
        <v>4.5909999999999999E-4</v>
      </c>
      <c r="P18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22.745490310679873</v>
      </c>
      <c r="Q1807" s="1">
        <f>LN(Table13[[#This Row],[qe_mg_g]]-Table13[[#This Row],[qt]])</f>
        <v>2.4775890823541871</v>
      </c>
      <c r="R1807" s="1">
        <v>3</v>
      </c>
    </row>
    <row r="1808" spans="1:18" hidden="1" x14ac:dyDescent="0.3">
      <c r="A1808" s="1">
        <v>1807</v>
      </c>
      <c r="B1808" s="1" t="s">
        <v>19</v>
      </c>
      <c r="C1808" s="1">
        <v>0.5</v>
      </c>
      <c r="D1808" s="1">
        <v>120</v>
      </c>
      <c r="E1808" s="1">
        <v>25</v>
      </c>
      <c r="F1808" s="1">
        <v>11</v>
      </c>
      <c r="G1808" s="1">
        <v>25</v>
      </c>
      <c r="H1808" s="1">
        <v>150</v>
      </c>
      <c r="I1808" s="1">
        <v>100</v>
      </c>
      <c r="J1808" s="1">
        <v>25.81</v>
      </c>
      <c r="K1808" s="1">
        <v>12.095000000000001</v>
      </c>
      <c r="L1808" s="1">
        <v>51.62</v>
      </c>
      <c r="M1808" s="1">
        <v>45.4</v>
      </c>
      <c r="N1808" s="1">
        <v>5.4679999999999999E-2</v>
      </c>
      <c r="O1808" s="1">
        <v>3.4820000000000001E-4</v>
      </c>
      <c r="P18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13.392062790556155</v>
      </c>
      <c r="Q1808" s="1">
        <f>LN(Table13[[#This Row],[qe_mg_g]]-Table13[[#This Row],[qt]])</f>
        <v>2.5191419765153453</v>
      </c>
      <c r="R1808" s="1">
        <v>1</v>
      </c>
    </row>
    <row r="1809" spans="1:18" hidden="1" x14ac:dyDescent="0.3">
      <c r="A1809" s="1">
        <v>1808</v>
      </c>
      <c r="B1809" s="1" t="s">
        <v>19</v>
      </c>
      <c r="C1809" s="1">
        <v>0.5</v>
      </c>
      <c r="D1809" s="1">
        <v>120</v>
      </c>
      <c r="E1809" s="1">
        <v>25</v>
      </c>
      <c r="F1809" s="1">
        <v>11</v>
      </c>
      <c r="G1809" s="1">
        <v>25</v>
      </c>
      <c r="H1809" s="1">
        <v>150</v>
      </c>
      <c r="I1809" s="1">
        <v>100</v>
      </c>
      <c r="J1809" s="1">
        <v>26.122</v>
      </c>
      <c r="K1809" s="1">
        <v>11.939</v>
      </c>
      <c r="L1809" s="1">
        <v>52.24</v>
      </c>
      <c r="M1809" s="1">
        <v>60</v>
      </c>
      <c r="N1809" s="1">
        <v>4.9279999999999997E-2</v>
      </c>
      <c r="O1809" s="1">
        <v>4.0910000000000002E-4</v>
      </c>
      <c r="P18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14.676935641198565</v>
      </c>
      <c r="Q1809" s="1">
        <f>LN(Table13[[#This Row],[qe_mg_g]]-Table13[[#This Row],[qt]])</f>
        <v>2.4375585767003343</v>
      </c>
      <c r="R1809" s="1">
        <v>2</v>
      </c>
    </row>
    <row r="1810" spans="1:18" hidden="1" x14ac:dyDescent="0.3">
      <c r="A1810" s="1">
        <v>1809</v>
      </c>
      <c r="B1810" s="1" t="s">
        <v>19</v>
      </c>
      <c r="C1810" s="1">
        <v>0.5</v>
      </c>
      <c r="D1810" s="1">
        <v>120</v>
      </c>
      <c r="E1810" s="1">
        <v>25</v>
      </c>
      <c r="F1810" s="1">
        <v>11</v>
      </c>
      <c r="G1810" s="1">
        <v>25</v>
      </c>
      <c r="H1810" s="1">
        <v>150</v>
      </c>
      <c r="I1810" s="1">
        <v>100</v>
      </c>
      <c r="J1810" s="1">
        <v>26.274999999999999</v>
      </c>
      <c r="K1810" s="1">
        <v>11.863</v>
      </c>
      <c r="L1810" s="1">
        <v>52.55</v>
      </c>
      <c r="M1810" s="1">
        <v>60.5</v>
      </c>
      <c r="N1810" s="1">
        <v>5.1549999999999999E-2</v>
      </c>
      <c r="O1810" s="1">
        <v>3.9500000000000001E-4</v>
      </c>
      <c r="P18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14.57348114062531</v>
      </c>
      <c r="Q1810" s="1">
        <f>LN(Table13[[#This Row],[qe_mg_g]]-Table13[[#This Row],[qt]])</f>
        <v>2.4597186504187794</v>
      </c>
      <c r="R1810" s="1">
        <v>3</v>
      </c>
    </row>
    <row r="1811" spans="1:18" hidden="1" x14ac:dyDescent="0.3">
      <c r="A1811" s="1">
        <v>1810</v>
      </c>
      <c r="B1811" s="1" t="s">
        <v>19</v>
      </c>
      <c r="C1811" s="1">
        <v>0.5</v>
      </c>
      <c r="D1811" s="1">
        <v>120</v>
      </c>
      <c r="E1811" s="1">
        <v>50</v>
      </c>
      <c r="F1811" s="1">
        <v>3</v>
      </c>
      <c r="G1811" s="1">
        <v>25</v>
      </c>
      <c r="H1811" s="1">
        <v>150</v>
      </c>
      <c r="I1811" s="1">
        <v>100</v>
      </c>
      <c r="J1811" s="1">
        <v>52.679000000000002</v>
      </c>
      <c r="K1811" s="1">
        <v>23.661000000000001</v>
      </c>
      <c r="L1811" s="1">
        <v>52.68</v>
      </c>
      <c r="M1811" s="1">
        <v>56.8</v>
      </c>
      <c r="N1811" s="1">
        <v>4.9869999999999998E-2</v>
      </c>
      <c r="O1811" s="1">
        <v>3.1510000000000002E-4</v>
      </c>
      <c r="P18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35.071784154844551</v>
      </c>
      <c r="Q1811" s="1">
        <f>LN(Table13[[#This Row],[qe_mg_g]]-Table13[[#This Row],[qt]])</f>
        <v>2.8683088092226927</v>
      </c>
      <c r="R1811" s="1">
        <v>1</v>
      </c>
    </row>
    <row r="1812" spans="1:18" hidden="1" x14ac:dyDescent="0.3">
      <c r="A1812" s="1">
        <v>1811</v>
      </c>
      <c r="B1812" s="1" t="s">
        <v>19</v>
      </c>
      <c r="C1812" s="1">
        <v>0.5</v>
      </c>
      <c r="D1812" s="1">
        <v>120</v>
      </c>
      <c r="E1812" s="1">
        <v>50</v>
      </c>
      <c r="F1812" s="1">
        <v>3</v>
      </c>
      <c r="G1812" s="1">
        <v>25</v>
      </c>
      <c r="H1812" s="1">
        <v>150</v>
      </c>
      <c r="I1812" s="1">
        <v>100</v>
      </c>
      <c r="J1812" s="1">
        <v>56.228000000000002</v>
      </c>
      <c r="K1812" s="1">
        <v>21.885999999999999</v>
      </c>
      <c r="L1812" s="1">
        <v>56.23</v>
      </c>
      <c r="M1812" s="1">
        <v>50.9</v>
      </c>
      <c r="N1812" s="1">
        <v>5.0299999999999997E-2</v>
      </c>
      <c r="O1812" s="1">
        <v>3.2749999999999999E-4</v>
      </c>
      <c r="P18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38.710181536042384</v>
      </c>
      <c r="Q1812" s="1">
        <f>LN(Table13[[#This Row],[qe_mg_g]]-Table13[[#This Row],[qt]])</f>
        <v>2.8632185608579768</v>
      </c>
      <c r="R1812" s="1">
        <v>2</v>
      </c>
    </row>
    <row r="1813" spans="1:18" hidden="1" x14ac:dyDescent="0.3">
      <c r="A1813" s="1">
        <v>1812</v>
      </c>
      <c r="B1813" s="1" t="s">
        <v>19</v>
      </c>
      <c r="C1813" s="1">
        <v>0.5</v>
      </c>
      <c r="D1813" s="1">
        <v>120</v>
      </c>
      <c r="E1813" s="1">
        <v>50</v>
      </c>
      <c r="F1813" s="1">
        <v>3</v>
      </c>
      <c r="G1813" s="1">
        <v>25</v>
      </c>
      <c r="H1813" s="1">
        <v>150</v>
      </c>
      <c r="I1813" s="1">
        <v>100</v>
      </c>
      <c r="J1813" s="1">
        <v>56.268999999999998</v>
      </c>
      <c r="K1813" s="1">
        <v>21.866</v>
      </c>
      <c r="L1813" s="1">
        <v>56.27</v>
      </c>
      <c r="M1813" s="1">
        <v>49.4</v>
      </c>
      <c r="N1813" s="1">
        <v>5.4350000000000002E-2</v>
      </c>
      <c r="O1813" s="1">
        <v>3.5050000000000001E-4</v>
      </c>
      <c r="P18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39.555472744285254</v>
      </c>
      <c r="Q1813" s="1">
        <f>LN(Table13[[#This Row],[qe_mg_g]]-Table13[[#This Row],[qt]])</f>
        <v>2.8162184068496159</v>
      </c>
      <c r="R1813" s="1">
        <v>3</v>
      </c>
    </row>
    <row r="1814" spans="1:18" hidden="1" x14ac:dyDescent="0.3">
      <c r="A1814" s="1">
        <v>1813</v>
      </c>
      <c r="B1814" s="1" t="s">
        <v>19</v>
      </c>
      <c r="C1814" s="1">
        <v>0.5</v>
      </c>
      <c r="D1814" s="1">
        <v>120</v>
      </c>
      <c r="E1814" s="1">
        <v>50</v>
      </c>
      <c r="F1814" s="1">
        <v>7</v>
      </c>
      <c r="G1814" s="1">
        <v>25</v>
      </c>
      <c r="H1814" s="1">
        <v>150</v>
      </c>
      <c r="I1814" s="1">
        <v>100</v>
      </c>
      <c r="J1814" s="1">
        <v>66.051000000000002</v>
      </c>
      <c r="K1814" s="1">
        <v>16.975000000000001</v>
      </c>
      <c r="L1814" s="1">
        <v>66.05</v>
      </c>
      <c r="M1814" s="1">
        <v>42.5</v>
      </c>
      <c r="N1814" s="1">
        <v>5.6849999999999998E-2</v>
      </c>
      <c r="O1814" s="1">
        <v>3.2420000000000002E-4</v>
      </c>
      <c r="P18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47.547495431584423</v>
      </c>
      <c r="Q1814" s="1">
        <f>LN(Table13[[#This Row],[qe_mg_g]]-Table13[[#This Row],[qt]])</f>
        <v>2.9179601502740931</v>
      </c>
      <c r="R1814" s="1">
        <v>1</v>
      </c>
    </row>
    <row r="1815" spans="1:18" hidden="1" x14ac:dyDescent="0.3">
      <c r="A1815" s="1">
        <v>1814</v>
      </c>
      <c r="B1815" s="1" t="s">
        <v>19</v>
      </c>
      <c r="C1815" s="1">
        <v>0.5</v>
      </c>
      <c r="D1815" s="1">
        <v>120</v>
      </c>
      <c r="E1815" s="1">
        <v>50</v>
      </c>
      <c r="F1815" s="1">
        <v>7</v>
      </c>
      <c r="G1815" s="1">
        <v>25</v>
      </c>
      <c r="H1815" s="1">
        <v>150</v>
      </c>
      <c r="I1815" s="1">
        <v>100</v>
      </c>
      <c r="J1815" s="1">
        <v>81.933000000000007</v>
      </c>
      <c r="K1815" s="1">
        <v>9.0340000000000007</v>
      </c>
      <c r="L1815" s="1">
        <v>81.93</v>
      </c>
      <c r="M1815" s="1">
        <v>62.5</v>
      </c>
      <c r="N1815" s="1">
        <v>5.8959999999999999E-2</v>
      </c>
      <c r="O1815" s="1">
        <v>4.1370000000000003E-4</v>
      </c>
      <c r="P18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65.764614519218625</v>
      </c>
      <c r="Q1815" s="1">
        <f>LN(Table13[[#This Row],[qe_mg_g]]-Table13[[#This Row],[qt]])</f>
        <v>2.783057822022776</v>
      </c>
      <c r="R1815" s="1">
        <v>2</v>
      </c>
    </row>
    <row r="1816" spans="1:18" hidden="1" x14ac:dyDescent="0.3">
      <c r="A1816" s="1">
        <v>1815</v>
      </c>
      <c r="B1816" s="1" t="s">
        <v>19</v>
      </c>
      <c r="C1816" s="1">
        <v>0.5</v>
      </c>
      <c r="D1816" s="1">
        <v>120</v>
      </c>
      <c r="E1816" s="1">
        <v>50</v>
      </c>
      <c r="F1816" s="1">
        <v>7</v>
      </c>
      <c r="G1816" s="1">
        <v>25</v>
      </c>
      <c r="H1816" s="1">
        <v>150</v>
      </c>
      <c r="I1816" s="1">
        <v>100</v>
      </c>
      <c r="J1816" s="1">
        <v>75.846000000000004</v>
      </c>
      <c r="K1816" s="1">
        <v>12.077</v>
      </c>
      <c r="L1816" s="1">
        <v>75.849999999999994</v>
      </c>
      <c r="M1816" s="1">
        <v>59.9</v>
      </c>
      <c r="N1816" s="1">
        <v>5.1790000000000003E-2</v>
      </c>
      <c r="O1816" s="1">
        <v>4.3580000000000002E-4</v>
      </c>
      <c r="P18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60.574303754081015</v>
      </c>
      <c r="Q1816" s="1">
        <f>LN(Table13[[#This Row],[qe_mg_g]]-Table13[[#This Row],[qt]])</f>
        <v>2.7260011966184554</v>
      </c>
      <c r="R1816" s="1">
        <v>3</v>
      </c>
    </row>
    <row r="1817" spans="1:18" hidden="1" x14ac:dyDescent="0.3">
      <c r="A1817" s="1">
        <v>1816</v>
      </c>
      <c r="B1817" s="1" t="s">
        <v>19</v>
      </c>
      <c r="C1817" s="1">
        <v>0.5</v>
      </c>
      <c r="D1817" s="1">
        <v>120</v>
      </c>
      <c r="E1817" s="1">
        <v>50</v>
      </c>
      <c r="F1817" s="1">
        <v>11</v>
      </c>
      <c r="G1817" s="1">
        <v>25</v>
      </c>
      <c r="H1817" s="1">
        <v>150</v>
      </c>
      <c r="I1817" s="1">
        <v>100</v>
      </c>
      <c r="J1817" s="1">
        <v>71.334999999999994</v>
      </c>
      <c r="K1817" s="1">
        <v>14.333</v>
      </c>
      <c r="L1817" s="1">
        <v>71.33</v>
      </c>
      <c r="M1817" s="1">
        <v>54.6</v>
      </c>
      <c r="N1817" s="1">
        <v>5.713E-2</v>
      </c>
      <c r="O1817" s="1">
        <v>3.9760000000000002E-4</v>
      </c>
      <c r="P18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55.135516726614256</v>
      </c>
      <c r="Q1817" s="1">
        <f>LN(Table13[[#This Row],[qe_mg_g]]-Table13[[#This Row],[qt]])</f>
        <v>2.7849793450250435</v>
      </c>
      <c r="R1817" s="1">
        <v>1</v>
      </c>
    </row>
    <row r="1818" spans="1:18" hidden="1" x14ac:dyDescent="0.3">
      <c r="A1818" s="1">
        <v>1817</v>
      </c>
      <c r="B1818" s="1" t="s">
        <v>19</v>
      </c>
      <c r="C1818" s="1">
        <v>0.5</v>
      </c>
      <c r="D1818" s="1">
        <v>120</v>
      </c>
      <c r="E1818" s="1">
        <v>50</v>
      </c>
      <c r="F1818" s="1">
        <v>11</v>
      </c>
      <c r="G1818" s="1">
        <v>25</v>
      </c>
      <c r="H1818" s="1">
        <v>150</v>
      </c>
      <c r="I1818" s="1">
        <v>100</v>
      </c>
      <c r="J1818" s="1">
        <v>61.991999999999997</v>
      </c>
      <c r="K1818" s="1">
        <v>19.004000000000001</v>
      </c>
      <c r="L1818" s="1">
        <v>61.99</v>
      </c>
      <c r="M1818" s="1">
        <v>49.2</v>
      </c>
      <c r="N1818" s="1">
        <v>5.9810000000000002E-2</v>
      </c>
      <c r="O1818" s="1">
        <v>3.5270000000000001E-4</v>
      </c>
      <c r="P18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44.884856812023799</v>
      </c>
      <c r="Q1818" s="1">
        <f>LN(Table13[[#This Row],[qe_mg_g]]-Table13[[#This Row],[qt]])</f>
        <v>2.8394961065746123</v>
      </c>
      <c r="R1818" s="1">
        <v>2</v>
      </c>
    </row>
    <row r="1819" spans="1:18" hidden="1" x14ac:dyDescent="0.3">
      <c r="A1819" s="1">
        <v>1818</v>
      </c>
      <c r="B1819" s="1" t="s">
        <v>19</v>
      </c>
      <c r="C1819" s="1">
        <v>0.5</v>
      </c>
      <c r="D1819" s="1">
        <v>120</v>
      </c>
      <c r="E1819" s="1">
        <v>50</v>
      </c>
      <c r="F1819" s="1">
        <v>11</v>
      </c>
      <c r="G1819" s="1">
        <v>25</v>
      </c>
      <c r="H1819" s="1">
        <v>150</v>
      </c>
      <c r="I1819" s="1">
        <v>100</v>
      </c>
      <c r="J1819" s="1">
        <v>63.44</v>
      </c>
      <c r="K1819" s="1">
        <v>18.28</v>
      </c>
      <c r="L1819" s="1">
        <v>63.44</v>
      </c>
      <c r="M1819" s="1">
        <v>47.7</v>
      </c>
      <c r="N1819" s="1">
        <v>4.555E-2</v>
      </c>
      <c r="O1819" s="1">
        <v>3.5829999999999998E-4</v>
      </c>
      <c r="P18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46.421308970408248</v>
      </c>
      <c r="Q1819" s="1">
        <f>LN(Table13[[#This Row],[qe_mg_g]]-Table13[[#This Row],[qt]])</f>
        <v>2.834312212408105</v>
      </c>
      <c r="R1819" s="1">
        <v>3</v>
      </c>
    </row>
    <row r="1820" spans="1:18" hidden="1" x14ac:dyDescent="0.3">
      <c r="A1820" s="1">
        <v>1819</v>
      </c>
      <c r="B1820" s="1" t="s">
        <v>19</v>
      </c>
      <c r="C1820" s="1">
        <v>0.5</v>
      </c>
      <c r="D1820" s="1">
        <v>120</v>
      </c>
      <c r="E1820" s="1">
        <v>100</v>
      </c>
      <c r="F1820" s="1">
        <v>3</v>
      </c>
      <c r="G1820" s="1">
        <v>25</v>
      </c>
      <c r="H1820" s="1">
        <v>150</v>
      </c>
      <c r="I1820" s="1">
        <v>100</v>
      </c>
      <c r="J1820" s="1">
        <v>125.238</v>
      </c>
      <c r="K1820" s="1">
        <v>37.381</v>
      </c>
      <c r="L1820" s="1">
        <v>62.62</v>
      </c>
      <c r="M1820" s="1">
        <v>52.7</v>
      </c>
      <c r="N1820" s="1">
        <v>6.2899999999999998E-2</v>
      </c>
      <c r="O1820" s="1">
        <v>3.2539999999999999E-4</v>
      </c>
      <c r="P18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103.97624086764206</v>
      </c>
      <c r="Q1820" s="1">
        <f>LN(Table13[[#This Row],[qe_mg_g]]-Table13[[#This Row],[qt]])</f>
        <v>3.0569101132516825</v>
      </c>
      <c r="R1820" s="1">
        <v>1</v>
      </c>
    </row>
    <row r="1821" spans="1:18" hidden="1" x14ac:dyDescent="0.3">
      <c r="A1821" s="1">
        <v>1820</v>
      </c>
      <c r="B1821" s="1" t="s">
        <v>19</v>
      </c>
      <c r="C1821" s="1">
        <v>0.5</v>
      </c>
      <c r="D1821" s="1">
        <v>120</v>
      </c>
      <c r="E1821" s="1">
        <v>100</v>
      </c>
      <c r="F1821" s="1">
        <v>3</v>
      </c>
      <c r="G1821" s="1">
        <v>25</v>
      </c>
      <c r="H1821" s="1">
        <v>150</v>
      </c>
      <c r="I1821" s="1">
        <v>100</v>
      </c>
      <c r="J1821" s="1">
        <v>109.081</v>
      </c>
      <c r="K1821" s="1">
        <v>45.459000000000003</v>
      </c>
      <c r="L1821" s="1">
        <v>54.54</v>
      </c>
      <c r="M1821" s="1">
        <v>54</v>
      </c>
      <c r="N1821" s="1">
        <v>5.4550000000000001E-2</v>
      </c>
      <c r="O1821" s="1">
        <v>3.769E-4</v>
      </c>
      <c r="P18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90.697126124843876</v>
      </c>
      <c r="Q1821" s="1">
        <f>LN(Table13[[#This Row],[qe_mg_g]]-Table13[[#This Row],[qt]])</f>
        <v>2.9114738605060668</v>
      </c>
      <c r="R1821" s="1">
        <v>2</v>
      </c>
    </row>
    <row r="1822" spans="1:18" hidden="1" x14ac:dyDescent="0.3">
      <c r="A1822" s="1">
        <v>1821</v>
      </c>
      <c r="B1822" s="1" t="s">
        <v>19</v>
      </c>
      <c r="C1822" s="1">
        <v>0.5</v>
      </c>
      <c r="D1822" s="1">
        <v>120</v>
      </c>
      <c r="E1822" s="1">
        <v>100</v>
      </c>
      <c r="F1822" s="1">
        <v>3</v>
      </c>
      <c r="G1822" s="1">
        <v>25</v>
      </c>
      <c r="H1822" s="1">
        <v>150</v>
      </c>
      <c r="I1822" s="1">
        <v>100</v>
      </c>
      <c r="J1822" s="1">
        <v>111.38800000000001</v>
      </c>
      <c r="K1822" s="1">
        <v>44.305999999999997</v>
      </c>
      <c r="L1822" s="1">
        <v>55.69</v>
      </c>
      <c r="M1822" s="1">
        <v>65.7</v>
      </c>
      <c r="N1822" s="1">
        <v>6.5820000000000004E-2</v>
      </c>
      <c r="O1822" s="1">
        <v>3.4860000000000002E-4</v>
      </c>
      <c r="P18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91.706690684214564</v>
      </c>
      <c r="Q1822" s="1">
        <f>LN(Table13[[#This Row],[qe_mg_g]]-Table13[[#This Row],[qt]])</f>
        <v>2.9796694196847175</v>
      </c>
      <c r="R1822" s="1">
        <v>3</v>
      </c>
    </row>
    <row r="1823" spans="1:18" hidden="1" x14ac:dyDescent="0.3">
      <c r="A1823" s="1">
        <v>1822</v>
      </c>
      <c r="B1823" s="1" t="s">
        <v>19</v>
      </c>
      <c r="C1823" s="1">
        <v>0.5</v>
      </c>
      <c r="D1823" s="1">
        <v>120</v>
      </c>
      <c r="E1823" s="1">
        <v>100</v>
      </c>
      <c r="F1823" s="1">
        <v>7</v>
      </c>
      <c r="G1823" s="1">
        <v>25</v>
      </c>
      <c r="H1823" s="1">
        <v>150</v>
      </c>
      <c r="I1823" s="1">
        <v>100</v>
      </c>
      <c r="J1823" s="1">
        <v>177.292</v>
      </c>
      <c r="K1823" s="1">
        <v>11.353999999999999</v>
      </c>
      <c r="L1823" s="1">
        <v>88.65</v>
      </c>
      <c r="M1823" s="1">
        <v>45.9</v>
      </c>
      <c r="N1823" s="1">
        <v>6.0909999999999999E-2</v>
      </c>
      <c r="O1823" s="1">
        <v>3.8670000000000002E-4</v>
      </c>
      <c r="P18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158.07764146720879</v>
      </c>
      <c r="Q1823" s="1">
        <f>LN(Table13[[#This Row],[qe_mg_g]]-Table13[[#This Row],[qt]])</f>
        <v>2.9556578397900939</v>
      </c>
      <c r="R1823" s="1">
        <v>1</v>
      </c>
    </row>
    <row r="1824" spans="1:18" hidden="1" x14ac:dyDescent="0.3">
      <c r="A1824" s="1">
        <v>1823</v>
      </c>
      <c r="B1824" s="1" t="s">
        <v>19</v>
      </c>
      <c r="C1824" s="1">
        <v>0.5</v>
      </c>
      <c r="D1824" s="1">
        <v>120</v>
      </c>
      <c r="E1824" s="1">
        <v>100</v>
      </c>
      <c r="F1824" s="1">
        <v>7</v>
      </c>
      <c r="G1824" s="1">
        <v>25</v>
      </c>
      <c r="H1824" s="1">
        <v>150</v>
      </c>
      <c r="I1824" s="1">
        <v>100</v>
      </c>
      <c r="J1824" s="1">
        <v>172.88300000000001</v>
      </c>
      <c r="K1824" s="1">
        <v>13.558</v>
      </c>
      <c r="L1824" s="1">
        <v>86.44</v>
      </c>
      <c r="M1824" s="1">
        <v>54.4</v>
      </c>
      <c r="N1824" s="1">
        <v>3.875E-2</v>
      </c>
      <c r="O1824" s="1">
        <v>3.2749999999999999E-4</v>
      </c>
      <c r="P18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150.70230925718954</v>
      </c>
      <c r="Q1824" s="1">
        <f>LN(Table13[[#This Row],[qe_mg_g]]-Table13[[#This Row],[qt]])</f>
        <v>3.0992221240347066</v>
      </c>
      <c r="R1824" s="1">
        <v>2</v>
      </c>
    </row>
    <row r="1825" spans="1:18" hidden="1" x14ac:dyDescent="0.3">
      <c r="A1825" s="1">
        <v>1824</v>
      </c>
      <c r="B1825" s="1" t="s">
        <v>19</v>
      </c>
      <c r="C1825" s="1">
        <v>0.5</v>
      </c>
      <c r="D1825" s="1">
        <v>120</v>
      </c>
      <c r="E1825" s="1">
        <v>100</v>
      </c>
      <c r="F1825" s="1">
        <v>7</v>
      </c>
      <c r="G1825" s="1">
        <v>25</v>
      </c>
      <c r="H1825" s="1">
        <v>150</v>
      </c>
      <c r="I1825" s="1">
        <v>100</v>
      </c>
      <c r="J1825" s="1">
        <v>155.887</v>
      </c>
      <c r="K1825" s="1">
        <v>22.056999999999999</v>
      </c>
      <c r="L1825" s="1">
        <v>77.94</v>
      </c>
      <c r="M1825" s="1">
        <v>46.5</v>
      </c>
      <c r="N1825" s="1">
        <v>5.5669999999999997E-2</v>
      </c>
      <c r="O1825" s="1">
        <v>3.3530000000000002E-4</v>
      </c>
      <c r="P18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134.45118775442572</v>
      </c>
      <c r="Q1825" s="1">
        <f>LN(Table13[[#This Row],[qe_mg_g]]-Table13[[#This Row],[qt]])</f>
        <v>3.0650629927574418</v>
      </c>
      <c r="R1825" s="1">
        <v>3</v>
      </c>
    </row>
    <row r="1826" spans="1:18" hidden="1" x14ac:dyDescent="0.3">
      <c r="A1826" s="1">
        <v>1825</v>
      </c>
      <c r="B1826" s="1" t="s">
        <v>19</v>
      </c>
      <c r="C1826" s="1">
        <v>0.5</v>
      </c>
      <c r="D1826" s="1">
        <v>120</v>
      </c>
      <c r="E1826" s="1">
        <v>100</v>
      </c>
      <c r="F1826" s="1">
        <v>11</v>
      </c>
      <c r="G1826" s="1">
        <v>25</v>
      </c>
      <c r="H1826" s="1">
        <v>150</v>
      </c>
      <c r="I1826" s="1">
        <v>100</v>
      </c>
      <c r="J1826" s="1">
        <v>127.99</v>
      </c>
      <c r="K1826" s="1">
        <v>36.005000000000003</v>
      </c>
      <c r="L1826" s="1">
        <v>63.99</v>
      </c>
      <c r="M1826" s="1">
        <v>45.9</v>
      </c>
      <c r="N1826" s="1">
        <v>5.1060000000000001E-2</v>
      </c>
      <c r="O1826" s="1">
        <v>3.8929999999999998E-4</v>
      </c>
      <c r="P18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109.65117157096044</v>
      </c>
      <c r="Q1826" s="1">
        <f>LN(Table13[[#This Row],[qe_mg_g]]-Table13[[#This Row],[qt]])</f>
        <v>2.9090205841466181</v>
      </c>
      <c r="R1826" s="1">
        <v>1</v>
      </c>
    </row>
    <row r="1827" spans="1:18" hidden="1" x14ac:dyDescent="0.3">
      <c r="A1827" s="1">
        <v>1826</v>
      </c>
      <c r="B1827" s="1" t="s">
        <v>19</v>
      </c>
      <c r="C1827" s="1">
        <v>0.5</v>
      </c>
      <c r="D1827" s="1">
        <v>120</v>
      </c>
      <c r="E1827" s="1">
        <v>100</v>
      </c>
      <c r="F1827" s="1">
        <v>11</v>
      </c>
      <c r="G1827" s="1">
        <v>25</v>
      </c>
      <c r="H1827" s="1">
        <v>150</v>
      </c>
      <c r="I1827" s="1">
        <v>100</v>
      </c>
      <c r="J1827" s="1">
        <v>129.54499999999999</v>
      </c>
      <c r="K1827" s="1">
        <v>35.226999999999997</v>
      </c>
      <c r="L1827" s="1">
        <v>64.77</v>
      </c>
      <c r="M1827" s="1">
        <v>50.3</v>
      </c>
      <c r="N1827" s="1">
        <v>5.2490000000000002E-2</v>
      </c>
      <c r="O1827" s="1">
        <v>3.6190000000000001E-4</v>
      </c>
      <c r="P18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109.99363551458141</v>
      </c>
      <c r="Q1827" s="1">
        <f>LN(Table13[[#This Row],[qe_mg_g]]-Table13[[#This Row],[qt]])</f>
        <v>2.973045078646408</v>
      </c>
      <c r="R1827" s="1">
        <v>2</v>
      </c>
    </row>
    <row r="1828" spans="1:18" hidden="1" x14ac:dyDescent="0.3">
      <c r="A1828" s="1">
        <v>1827</v>
      </c>
      <c r="B1828" s="1" t="s">
        <v>19</v>
      </c>
      <c r="C1828" s="1">
        <v>0.5</v>
      </c>
      <c r="D1828" s="1">
        <v>120</v>
      </c>
      <c r="E1828" s="1">
        <v>100</v>
      </c>
      <c r="F1828" s="1">
        <v>11</v>
      </c>
      <c r="G1828" s="1">
        <v>25</v>
      </c>
      <c r="H1828" s="1">
        <v>150</v>
      </c>
      <c r="I1828" s="1">
        <v>100</v>
      </c>
      <c r="J1828" s="1">
        <v>140.16800000000001</v>
      </c>
      <c r="K1828" s="1">
        <v>29.916</v>
      </c>
      <c r="L1828" s="1">
        <v>70.08</v>
      </c>
      <c r="M1828" s="1">
        <v>29.6</v>
      </c>
      <c r="N1828" s="1">
        <v>6.062E-2</v>
      </c>
      <c r="O1828" s="1">
        <v>4.0030000000000003E-4</v>
      </c>
      <c r="P18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122.0423042411182</v>
      </c>
      <c r="Q1828" s="1">
        <f>LN(Table13[[#This Row],[qe_mg_g]]-Table13[[#This Row],[qt]])</f>
        <v>2.8973305867009151</v>
      </c>
      <c r="R1828" s="1">
        <v>3</v>
      </c>
    </row>
    <row r="1829" spans="1:18" hidden="1" x14ac:dyDescent="0.3">
      <c r="A1829" s="1">
        <v>1828</v>
      </c>
      <c r="B1829" s="1" t="s">
        <v>19</v>
      </c>
      <c r="C1829" s="1">
        <v>0.5</v>
      </c>
      <c r="D1829" s="1">
        <v>120</v>
      </c>
      <c r="E1829" s="1">
        <v>200</v>
      </c>
      <c r="F1829" s="1">
        <v>3</v>
      </c>
      <c r="G1829" s="1">
        <v>25</v>
      </c>
      <c r="H1829" s="1">
        <v>150</v>
      </c>
      <c r="I1829" s="1">
        <v>100</v>
      </c>
      <c r="J1829" s="1">
        <v>172.947</v>
      </c>
      <c r="K1829" s="1">
        <v>113.526</v>
      </c>
      <c r="L1829" s="1">
        <v>43.24</v>
      </c>
      <c r="M1829" s="1">
        <v>46.6</v>
      </c>
      <c r="N1829" s="1">
        <v>5.2519999999999997E-2</v>
      </c>
      <c r="O1829" s="1">
        <v>3.235E-4</v>
      </c>
      <c r="P18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150.52654016800645</v>
      </c>
      <c r="Q1829" s="1">
        <f>LN(Table13[[#This Row],[qe_mg_g]]-Table13[[#This Row],[qt]])</f>
        <v>3.1099739273352744</v>
      </c>
      <c r="R1829" s="1">
        <v>1</v>
      </c>
    </row>
    <row r="1830" spans="1:18" hidden="1" x14ac:dyDescent="0.3">
      <c r="A1830" s="1">
        <v>1829</v>
      </c>
      <c r="B1830" s="1" t="s">
        <v>19</v>
      </c>
      <c r="C1830" s="1">
        <v>0.5</v>
      </c>
      <c r="D1830" s="1">
        <v>120</v>
      </c>
      <c r="E1830" s="1">
        <v>200</v>
      </c>
      <c r="F1830" s="1">
        <v>3</v>
      </c>
      <c r="G1830" s="1">
        <v>25</v>
      </c>
      <c r="H1830" s="1">
        <v>150</v>
      </c>
      <c r="I1830" s="1">
        <v>100</v>
      </c>
      <c r="J1830" s="1">
        <v>189.596</v>
      </c>
      <c r="K1830" s="1">
        <v>105.202</v>
      </c>
      <c r="L1830" s="1">
        <v>47.4</v>
      </c>
      <c r="M1830" s="1">
        <v>38.6</v>
      </c>
      <c r="N1830" s="1">
        <v>4.8849999999999998E-2</v>
      </c>
      <c r="O1830" s="1">
        <v>4.0390000000000001E-4</v>
      </c>
      <c r="P18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170.98870846325508</v>
      </c>
      <c r="Q1830" s="1">
        <f>LN(Table13[[#This Row],[qe_mg_g]]-Table13[[#This Row],[qt]])</f>
        <v>2.9235535220047</v>
      </c>
      <c r="R1830" s="1">
        <v>2</v>
      </c>
    </row>
    <row r="1831" spans="1:18" hidden="1" x14ac:dyDescent="0.3">
      <c r="A1831" s="1">
        <v>1830</v>
      </c>
      <c r="B1831" s="1" t="s">
        <v>19</v>
      </c>
      <c r="C1831" s="1">
        <v>0.5</v>
      </c>
      <c r="D1831" s="1">
        <v>120</v>
      </c>
      <c r="E1831" s="1">
        <v>200</v>
      </c>
      <c r="F1831" s="1">
        <v>3</v>
      </c>
      <c r="G1831" s="1">
        <v>25</v>
      </c>
      <c r="H1831" s="1">
        <v>150</v>
      </c>
      <c r="I1831" s="1">
        <v>100</v>
      </c>
      <c r="J1831" s="1">
        <v>174.541</v>
      </c>
      <c r="K1831" s="1">
        <v>112.729</v>
      </c>
      <c r="L1831" s="1">
        <v>43.64</v>
      </c>
      <c r="M1831" s="1">
        <v>64.7</v>
      </c>
      <c r="N1831" s="1">
        <v>5.6950000000000001E-2</v>
      </c>
      <c r="O1831" s="1">
        <v>2.8669999999999998E-4</v>
      </c>
      <c r="P18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149.62404378204013</v>
      </c>
      <c r="Q1831" s="1">
        <f>LN(Table13[[#This Row],[qe_mg_g]]-Table13[[#This Row],[qt]])</f>
        <v>3.2155485443228522</v>
      </c>
      <c r="R1831" s="1">
        <v>3</v>
      </c>
    </row>
    <row r="1832" spans="1:18" hidden="1" x14ac:dyDescent="0.3">
      <c r="A1832" s="1">
        <v>1831</v>
      </c>
      <c r="B1832" s="1" t="s">
        <v>19</v>
      </c>
      <c r="C1832" s="1">
        <v>0.5</v>
      </c>
      <c r="D1832" s="1">
        <v>120</v>
      </c>
      <c r="E1832" s="1">
        <v>200</v>
      </c>
      <c r="F1832" s="1">
        <v>7</v>
      </c>
      <c r="G1832" s="1">
        <v>25</v>
      </c>
      <c r="H1832" s="1">
        <v>150</v>
      </c>
      <c r="I1832" s="1">
        <v>100</v>
      </c>
      <c r="J1832" s="1">
        <v>266.81299999999999</v>
      </c>
      <c r="K1832" s="1">
        <v>66.593999999999994</v>
      </c>
      <c r="L1832" s="1">
        <v>66.7</v>
      </c>
      <c r="M1832" s="1">
        <v>53.6</v>
      </c>
      <c r="N1832" s="1">
        <v>5.2490000000000002E-2</v>
      </c>
      <c r="O1832" s="1">
        <v>3.5859999999999999E-4</v>
      </c>
      <c r="P18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245.43631740672029</v>
      </c>
      <c r="Q1832" s="1">
        <f>LN(Table13[[#This Row],[qe_mg_g]]-Table13[[#This Row],[qt]])</f>
        <v>3.0623007295389941</v>
      </c>
      <c r="R1832" s="1">
        <v>1</v>
      </c>
    </row>
    <row r="1833" spans="1:18" hidden="1" x14ac:dyDescent="0.3">
      <c r="A1833" s="1">
        <v>1832</v>
      </c>
      <c r="B1833" s="1" t="s">
        <v>19</v>
      </c>
      <c r="C1833" s="1">
        <v>0.5</v>
      </c>
      <c r="D1833" s="1">
        <v>120</v>
      </c>
      <c r="E1833" s="1">
        <v>200</v>
      </c>
      <c r="F1833" s="1">
        <v>7</v>
      </c>
      <c r="G1833" s="1">
        <v>25</v>
      </c>
      <c r="H1833" s="1">
        <v>150</v>
      </c>
      <c r="I1833" s="1">
        <v>100</v>
      </c>
      <c r="J1833" s="1">
        <v>263.93900000000002</v>
      </c>
      <c r="K1833" s="1">
        <v>68.03</v>
      </c>
      <c r="L1833" s="1">
        <v>65.98</v>
      </c>
      <c r="M1833" s="1">
        <v>60.3</v>
      </c>
      <c r="N1833" s="1">
        <v>6.148E-2</v>
      </c>
      <c r="O1833" s="1">
        <v>3.6430000000000002E-4</v>
      </c>
      <c r="P18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242.88847534356938</v>
      </c>
      <c r="Q1833" s="1">
        <f>LN(Table13[[#This Row],[qe_mg_g]]-Table13[[#This Row],[qt]])</f>
        <v>3.0469254841137778</v>
      </c>
      <c r="R1833" s="1">
        <v>2</v>
      </c>
    </row>
    <row r="1834" spans="1:18" hidden="1" x14ac:dyDescent="0.3">
      <c r="A1834" s="1">
        <v>1833</v>
      </c>
      <c r="B1834" s="1" t="s">
        <v>19</v>
      </c>
      <c r="C1834" s="1">
        <v>0.5</v>
      </c>
      <c r="D1834" s="1">
        <v>120</v>
      </c>
      <c r="E1834" s="1">
        <v>200</v>
      </c>
      <c r="F1834" s="1">
        <v>7</v>
      </c>
      <c r="G1834" s="1">
        <v>25</v>
      </c>
      <c r="H1834" s="1">
        <v>150</v>
      </c>
      <c r="I1834" s="1">
        <v>100</v>
      </c>
      <c r="J1834" s="1">
        <v>230.85300000000001</v>
      </c>
      <c r="K1834" s="1">
        <v>84.572999999999993</v>
      </c>
      <c r="L1834" s="1">
        <v>57.71</v>
      </c>
      <c r="M1834" s="1">
        <v>50.7</v>
      </c>
      <c r="N1834" s="1">
        <v>7.1190000000000003E-2</v>
      </c>
      <c r="O1834" s="1">
        <v>3.7540000000000002E-4</v>
      </c>
      <c r="P18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210.6017881332277</v>
      </c>
      <c r="Q1834" s="1">
        <f>LN(Table13[[#This Row],[qe_mg_g]]-Table13[[#This Row],[qt]])</f>
        <v>3.0082146370345977</v>
      </c>
      <c r="R1834" s="1">
        <v>3</v>
      </c>
    </row>
    <row r="1835" spans="1:18" hidden="1" x14ac:dyDescent="0.3">
      <c r="A1835" s="1">
        <v>1834</v>
      </c>
      <c r="B1835" s="1" t="s">
        <v>19</v>
      </c>
      <c r="C1835" s="1">
        <v>0.5</v>
      </c>
      <c r="D1835" s="1">
        <v>120</v>
      </c>
      <c r="E1835" s="1">
        <v>200</v>
      </c>
      <c r="F1835" s="1">
        <v>11</v>
      </c>
      <c r="G1835" s="1">
        <v>25</v>
      </c>
      <c r="H1835" s="1">
        <v>150</v>
      </c>
      <c r="I1835" s="1">
        <v>100</v>
      </c>
      <c r="J1835" s="1">
        <v>249.66300000000001</v>
      </c>
      <c r="K1835" s="1">
        <v>75.168999999999997</v>
      </c>
      <c r="L1835" s="1">
        <v>62.42</v>
      </c>
      <c r="M1835" s="1">
        <v>66</v>
      </c>
      <c r="N1835" s="1">
        <v>5.6329999999999998E-2</v>
      </c>
      <c r="O1835" s="1">
        <v>3.6049999999999998E-4</v>
      </c>
      <c r="P18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228.5058741686172</v>
      </c>
      <c r="Q1835" s="1">
        <f>LN(Table13[[#This Row],[qe_mg_g]]-Table13[[#This Row],[qt]])</f>
        <v>3.0519767674894172</v>
      </c>
      <c r="R1835" s="1">
        <v>1</v>
      </c>
    </row>
    <row r="1836" spans="1:18" hidden="1" x14ac:dyDescent="0.3">
      <c r="A1836" s="1">
        <v>1835</v>
      </c>
      <c r="B1836" s="1" t="s">
        <v>19</v>
      </c>
      <c r="C1836" s="1">
        <v>0.5</v>
      </c>
      <c r="D1836" s="1">
        <v>120</v>
      </c>
      <c r="E1836" s="1">
        <v>200</v>
      </c>
      <c r="F1836" s="1">
        <v>11</v>
      </c>
      <c r="G1836" s="1">
        <v>25</v>
      </c>
      <c r="H1836" s="1">
        <v>150</v>
      </c>
      <c r="I1836" s="1">
        <v>100</v>
      </c>
      <c r="J1836" s="1">
        <v>213.59800000000001</v>
      </c>
      <c r="K1836" s="1">
        <v>93.200999999999993</v>
      </c>
      <c r="L1836" s="1">
        <v>53.4</v>
      </c>
      <c r="M1836" s="1">
        <v>40.299999999999997</v>
      </c>
      <c r="N1836" s="1">
        <v>5.5100000000000003E-2</v>
      </c>
      <c r="O1836" s="1">
        <v>3.924E-4</v>
      </c>
      <c r="P18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194.28167869903211</v>
      </c>
      <c r="Q1836" s="1">
        <f>LN(Table13[[#This Row],[qe_mg_g]]-Table13[[#This Row],[qt]])</f>
        <v>2.9609504018017119</v>
      </c>
      <c r="R1836" s="1">
        <v>2</v>
      </c>
    </row>
    <row r="1837" spans="1:18" hidden="1" x14ac:dyDescent="0.3">
      <c r="A1837" s="1">
        <v>1836</v>
      </c>
      <c r="B1837" s="1" t="s">
        <v>19</v>
      </c>
      <c r="C1837" s="1">
        <v>0.5</v>
      </c>
      <c r="D1837" s="1">
        <v>120</v>
      </c>
      <c r="E1837" s="1">
        <v>200</v>
      </c>
      <c r="F1837" s="1">
        <v>11</v>
      </c>
      <c r="G1837" s="1">
        <v>25</v>
      </c>
      <c r="H1837" s="1">
        <v>150</v>
      </c>
      <c r="I1837" s="1">
        <v>100</v>
      </c>
      <c r="J1837" s="1">
        <v>205.15799999999999</v>
      </c>
      <c r="K1837" s="1">
        <v>97.421000000000006</v>
      </c>
      <c r="L1837" s="1">
        <v>51.29</v>
      </c>
      <c r="M1837" s="1">
        <v>57.9</v>
      </c>
      <c r="N1837" s="1">
        <v>5.9679999999999997E-2</v>
      </c>
      <c r="O1837" s="1">
        <v>3.1819999999999998E-4</v>
      </c>
      <c r="P18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181.93366960182738</v>
      </c>
      <c r="Q1837" s="1">
        <f>LN(Table13[[#This Row],[qe_mg_g]]-Table13[[#This Row],[qt]])</f>
        <v>3.1452004532045201</v>
      </c>
      <c r="R1837" s="1">
        <v>3</v>
      </c>
    </row>
    <row r="1838" spans="1:18" hidden="1" x14ac:dyDescent="0.3">
      <c r="A1838" s="1">
        <v>1837</v>
      </c>
      <c r="B1838" s="1" t="s">
        <v>19</v>
      </c>
      <c r="C1838" s="1">
        <v>0.5</v>
      </c>
      <c r="D1838" s="1">
        <v>240</v>
      </c>
      <c r="E1838" s="1">
        <v>25</v>
      </c>
      <c r="F1838" s="1">
        <v>3</v>
      </c>
      <c r="G1838" s="1">
        <v>25</v>
      </c>
      <c r="H1838" s="1">
        <v>150</v>
      </c>
      <c r="I1838" s="1">
        <v>100</v>
      </c>
      <c r="J1838" s="1">
        <v>26.260999999999999</v>
      </c>
      <c r="K1838" s="1">
        <v>11.87</v>
      </c>
      <c r="L1838" s="1">
        <v>52.52</v>
      </c>
      <c r="M1838" s="1">
        <v>46.2</v>
      </c>
      <c r="N1838" s="1">
        <v>5.0479999999999997E-2</v>
      </c>
      <c r="O1838" s="1">
        <v>3.0489999999999998E-4</v>
      </c>
      <c r="P18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17.272662633505234</v>
      </c>
      <c r="Q1838" s="1">
        <f>LN(Table13[[#This Row],[qe_mg_g]]-Table13[[#This Row],[qt]])</f>
        <v>2.1959278888316898</v>
      </c>
      <c r="R1838" s="1">
        <v>1</v>
      </c>
    </row>
    <row r="1839" spans="1:18" hidden="1" x14ac:dyDescent="0.3">
      <c r="A1839" s="1">
        <v>1838</v>
      </c>
      <c r="B1839" s="1" t="s">
        <v>19</v>
      </c>
      <c r="C1839" s="1">
        <v>0.5</v>
      </c>
      <c r="D1839" s="1">
        <v>240</v>
      </c>
      <c r="E1839" s="1">
        <v>25</v>
      </c>
      <c r="F1839" s="1">
        <v>3</v>
      </c>
      <c r="G1839" s="1">
        <v>25</v>
      </c>
      <c r="H1839" s="1">
        <v>150</v>
      </c>
      <c r="I1839" s="1">
        <v>100</v>
      </c>
      <c r="J1839" s="1">
        <v>25.408000000000001</v>
      </c>
      <c r="K1839" s="1">
        <v>12.295999999999999</v>
      </c>
      <c r="L1839" s="1">
        <v>50.82</v>
      </c>
      <c r="M1839" s="1">
        <v>66.2</v>
      </c>
      <c r="N1839" s="1">
        <v>4.9959999999999997E-2</v>
      </c>
      <c r="O1839" s="1">
        <v>3.5439999999999999E-4</v>
      </c>
      <c r="P18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17.370298848936407</v>
      </c>
      <c r="Q1839" s="1">
        <f>LN(Table13[[#This Row],[qe_mg_g]]-Table13[[#This Row],[qt]])</f>
        <v>2.0841431158214765</v>
      </c>
      <c r="R1839" s="1">
        <v>2</v>
      </c>
    </row>
    <row r="1840" spans="1:18" hidden="1" x14ac:dyDescent="0.3">
      <c r="A1840" s="1">
        <v>1839</v>
      </c>
      <c r="B1840" s="1" t="s">
        <v>19</v>
      </c>
      <c r="C1840" s="1">
        <v>0.5</v>
      </c>
      <c r="D1840" s="1">
        <v>240</v>
      </c>
      <c r="E1840" s="1">
        <v>25</v>
      </c>
      <c r="F1840" s="1">
        <v>3</v>
      </c>
      <c r="G1840" s="1">
        <v>25</v>
      </c>
      <c r="H1840" s="1">
        <v>150</v>
      </c>
      <c r="I1840" s="1">
        <v>100</v>
      </c>
      <c r="J1840" s="1">
        <v>26.163</v>
      </c>
      <c r="K1840" s="1">
        <v>11.917999999999999</v>
      </c>
      <c r="L1840" s="1">
        <v>52.33</v>
      </c>
      <c r="M1840" s="1">
        <v>64.2</v>
      </c>
      <c r="N1840" s="1">
        <v>6.2210000000000001E-2</v>
      </c>
      <c r="O1840" s="1">
        <v>3.8020000000000003E-4</v>
      </c>
      <c r="P18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18.439197996851213</v>
      </c>
      <c r="Q1840" s="1">
        <f>LN(Table13[[#This Row],[qe_mg_g]]-Table13[[#This Row],[qt]])</f>
        <v>2.0443067302590463</v>
      </c>
      <c r="R1840" s="1">
        <v>3</v>
      </c>
    </row>
    <row r="1841" spans="1:18" hidden="1" x14ac:dyDescent="0.3">
      <c r="A1841" s="1">
        <v>1840</v>
      </c>
      <c r="B1841" s="1" t="s">
        <v>19</v>
      </c>
      <c r="C1841" s="1">
        <v>0.5</v>
      </c>
      <c r="D1841" s="1">
        <v>240</v>
      </c>
      <c r="E1841" s="1">
        <v>25</v>
      </c>
      <c r="F1841" s="1">
        <v>7</v>
      </c>
      <c r="G1841" s="1">
        <v>25</v>
      </c>
      <c r="H1841" s="1">
        <v>150</v>
      </c>
      <c r="I1841" s="1">
        <v>100</v>
      </c>
      <c r="J1841" s="1">
        <v>39.374000000000002</v>
      </c>
      <c r="K1841" s="1">
        <v>5.3129999999999997</v>
      </c>
      <c r="L1841" s="1">
        <v>78.75</v>
      </c>
      <c r="M1841" s="1">
        <v>52.7</v>
      </c>
      <c r="N1841" s="1">
        <v>4.8439999999999997E-2</v>
      </c>
      <c r="O1841" s="1">
        <v>4.1800000000000002E-4</v>
      </c>
      <c r="P18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31.419656051436355</v>
      </c>
      <c r="Q1841" s="1">
        <f>LN(Table13[[#This Row],[qe_mg_g]]-Table13[[#This Row],[qt]])</f>
        <v>2.0737181880637632</v>
      </c>
      <c r="R1841" s="1">
        <v>1</v>
      </c>
    </row>
    <row r="1842" spans="1:18" hidden="1" x14ac:dyDescent="0.3">
      <c r="A1842" s="1">
        <v>1841</v>
      </c>
      <c r="B1842" s="1" t="s">
        <v>19</v>
      </c>
      <c r="C1842" s="1">
        <v>0.5</v>
      </c>
      <c r="D1842" s="1">
        <v>240</v>
      </c>
      <c r="E1842" s="1">
        <v>25</v>
      </c>
      <c r="F1842" s="1">
        <v>7</v>
      </c>
      <c r="G1842" s="1">
        <v>25</v>
      </c>
      <c r="H1842" s="1">
        <v>150</v>
      </c>
      <c r="I1842" s="1">
        <v>100</v>
      </c>
      <c r="J1842" s="1">
        <v>36.499000000000002</v>
      </c>
      <c r="K1842" s="1">
        <v>6.7510000000000003</v>
      </c>
      <c r="L1842" s="1">
        <v>73</v>
      </c>
      <c r="M1842" s="1">
        <v>60</v>
      </c>
      <c r="N1842" s="1">
        <v>6.0830000000000002E-2</v>
      </c>
      <c r="O1842" s="1">
        <v>3.3060000000000001E-4</v>
      </c>
      <c r="P18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27.130617377945605</v>
      </c>
      <c r="Q1842" s="1">
        <f>LN(Table13[[#This Row],[qe_mg_g]]-Table13[[#This Row],[qt]])</f>
        <v>2.2373404689769698</v>
      </c>
      <c r="R1842" s="1">
        <v>2</v>
      </c>
    </row>
    <row r="1843" spans="1:18" hidden="1" x14ac:dyDescent="0.3">
      <c r="A1843" s="1">
        <v>1842</v>
      </c>
      <c r="B1843" s="1" t="s">
        <v>19</v>
      </c>
      <c r="C1843" s="1">
        <v>0.5</v>
      </c>
      <c r="D1843" s="1">
        <v>240</v>
      </c>
      <c r="E1843" s="1">
        <v>25</v>
      </c>
      <c r="F1843" s="1">
        <v>7</v>
      </c>
      <c r="G1843" s="1">
        <v>25</v>
      </c>
      <c r="H1843" s="1">
        <v>150</v>
      </c>
      <c r="I1843" s="1">
        <v>100</v>
      </c>
      <c r="J1843" s="1">
        <v>41.348999999999997</v>
      </c>
      <c r="K1843" s="1">
        <v>4.3250000000000002</v>
      </c>
      <c r="L1843" s="1">
        <v>82.7</v>
      </c>
      <c r="M1843" s="1">
        <v>60.8</v>
      </c>
      <c r="N1843" s="1">
        <v>6.4500000000000002E-2</v>
      </c>
      <c r="O1843" s="1">
        <v>3.3359999999999998E-4</v>
      </c>
      <c r="P18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31.756524956832028</v>
      </c>
      <c r="Q1843" s="1">
        <f>LN(Table13[[#This Row],[qe_mg_g]]-Table13[[#This Row],[qt]])</f>
        <v>2.2609789414330024</v>
      </c>
      <c r="R1843" s="1">
        <v>3</v>
      </c>
    </row>
    <row r="1844" spans="1:18" hidden="1" x14ac:dyDescent="0.3">
      <c r="A1844" s="1">
        <v>1843</v>
      </c>
      <c r="B1844" s="1" t="s">
        <v>19</v>
      </c>
      <c r="C1844" s="1">
        <v>0.5</v>
      </c>
      <c r="D1844" s="1">
        <v>240</v>
      </c>
      <c r="E1844" s="1">
        <v>25</v>
      </c>
      <c r="F1844" s="1">
        <v>11</v>
      </c>
      <c r="G1844" s="1">
        <v>25</v>
      </c>
      <c r="H1844" s="1">
        <v>150</v>
      </c>
      <c r="I1844" s="1">
        <v>100</v>
      </c>
      <c r="J1844" s="1">
        <v>28.808</v>
      </c>
      <c r="K1844" s="1">
        <v>10.596</v>
      </c>
      <c r="L1844" s="1">
        <v>57.62</v>
      </c>
      <c r="M1844" s="1">
        <v>50.4</v>
      </c>
      <c r="N1844" s="1">
        <v>5.6149999999999999E-2</v>
      </c>
      <c r="O1844" s="1">
        <v>3.5199999999999999E-4</v>
      </c>
      <c r="P18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20.418215993719471</v>
      </c>
      <c r="Q1844" s="1">
        <f>LN(Table13[[#This Row],[qe_mg_g]]-Table13[[#This Row],[qt]])</f>
        <v>2.1270147759618547</v>
      </c>
      <c r="R1844" s="1">
        <v>1</v>
      </c>
    </row>
    <row r="1845" spans="1:18" hidden="1" x14ac:dyDescent="0.3">
      <c r="A1845" s="1">
        <v>1844</v>
      </c>
      <c r="B1845" s="1" t="s">
        <v>19</v>
      </c>
      <c r="C1845" s="1">
        <v>0.5</v>
      </c>
      <c r="D1845" s="1">
        <v>240</v>
      </c>
      <c r="E1845" s="1">
        <v>25</v>
      </c>
      <c r="F1845" s="1">
        <v>11</v>
      </c>
      <c r="G1845" s="1">
        <v>25</v>
      </c>
      <c r="H1845" s="1">
        <v>150</v>
      </c>
      <c r="I1845" s="1">
        <v>100</v>
      </c>
      <c r="J1845" s="1">
        <v>30.786000000000001</v>
      </c>
      <c r="K1845" s="1">
        <v>9.6069999999999993</v>
      </c>
      <c r="L1845" s="1">
        <v>61.57</v>
      </c>
      <c r="M1845" s="1">
        <v>38.9</v>
      </c>
      <c r="N1845" s="1">
        <v>5.7590000000000002E-2</v>
      </c>
      <c r="O1845" s="1">
        <v>4.1899999999999999E-4</v>
      </c>
      <c r="P18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23.26959340272693</v>
      </c>
      <c r="Q1845" s="1">
        <f>LN(Table13[[#This Row],[qe_mg_g]]-Table13[[#This Row],[qt]])</f>
        <v>2.0170881776496099</v>
      </c>
      <c r="R1845" s="1">
        <v>2</v>
      </c>
    </row>
    <row r="1846" spans="1:18" hidden="1" x14ac:dyDescent="0.3">
      <c r="A1846" s="1">
        <v>1845</v>
      </c>
      <c r="B1846" s="1" t="s">
        <v>19</v>
      </c>
      <c r="C1846" s="1">
        <v>0.5</v>
      </c>
      <c r="D1846" s="1">
        <v>240</v>
      </c>
      <c r="E1846" s="1">
        <v>25</v>
      </c>
      <c r="F1846" s="1">
        <v>11</v>
      </c>
      <c r="G1846" s="1">
        <v>25</v>
      </c>
      <c r="H1846" s="1">
        <v>150</v>
      </c>
      <c r="I1846" s="1">
        <v>100</v>
      </c>
      <c r="J1846" s="1">
        <v>32.686</v>
      </c>
      <c r="K1846" s="1">
        <v>8.657</v>
      </c>
      <c r="L1846" s="1">
        <v>65.37</v>
      </c>
      <c r="M1846" s="1">
        <v>59.5</v>
      </c>
      <c r="N1846" s="1">
        <v>5.815E-2</v>
      </c>
      <c r="O1846" s="1">
        <v>3.6390000000000001E-4</v>
      </c>
      <c r="P18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24.206403388175961</v>
      </c>
      <c r="Q1846" s="1">
        <f>LN(Table13[[#This Row],[qe_mg_g]]-Table13[[#This Row],[qt]])</f>
        <v>2.1376628793119812</v>
      </c>
      <c r="R1846" s="1">
        <v>3</v>
      </c>
    </row>
    <row r="1847" spans="1:18" hidden="1" x14ac:dyDescent="0.3">
      <c r="A1847" s="1">
        <v>1846</v>
      </c>
      <c r="B1847" s="1" t="s">
        <v>19</v>
      </c>
      <c r="C1847" s="1">
        <v>0.5</v>
      </c>
      <c r="D1847" s="1">
        <v>240</v>
      </c>
      <c r="E1847" s="1">
        <v>50</v>
      </c>
      <c r="F1847" s="1">
        <v>3</v>
      </c>
      <c r="G1847" s="1">
        <v>25</v>
      </c>
      <c r="H1847" s="1">
        <v>150</v>
      </c>
      <c r="I1847" s="1">
        <v>100</v>
      </c>
      <c r="J1847" s="1">
        <v>65.298000000000002</v>
      </c>
      <c r="K1847" s="1">
        <v>17.350999999999999</v>
      </c>
      <c r="L1847" s="1">
        <v>65.3</v>
      </c>
      <c r="M1847" s="1">
        <v>57.8</v>
      </c>
      <c r="N1847" s="1">
        <v>5.3280000000000001E-2</v>
      </c>
      <c r="O1847" s="1">
        <v>3.2210000000000002E-4</v>
      </c>
      <c r="P18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54.501009888531001</v>
      </c>
      <c r="Q1847" s="1">
        <f>LN(Table13[[#This Row],[qe_mg_g]]-Table13[[#This Row],[qt]])</f>
        <v>2.3792674019054565</v>
      </c>
      <c r="R1847" s="1">
        <v>1</v>
      </c>
    </row>
    <row r="1848" spans="1:18" hidden="1" x14ac:dyDescent="0.3">
      <c r="A1848" s="1">
        <v>1847</v>
      </c>
      <c r="B1848" s="1" t="s">
        <v>19</v>
      </c>
      <c r="C1848" s="1">
        <v>0.5</v>
      </c>
      <c r="D1848" s="1">
        <v>240</v>
      </c>
      <c r="E1848" s="1">
        <v>50</v>
      </c>
      <c r="F1848" s="1">
        <v>3</v>
      </c>
      <c r="G1848" s="1">
        <v>25</v>
      </c>
      <c r="H1848" s="1">
        <v>150</v>
      </c>
      <c r="I1848" s="1">
        <v>100</v>
      </c>
      <c r="J1848" s="1">
        <v>60.231999999999999</v>
      </c>
      <c r="K1848" s="1">
        <v>19.884</v>
      </c>
      <c r="L1848" s="1">
        <v>60.23</v>
      </c>
      <c r="M1848" s="1">
        <v>57.1</v>
      </c>
      <c r="N1848" s="1">
        <v>5.3260000000000002E-2</v>
      </c>
      <c r="O1848" s="1">
        <v>3.6099999999999999E-4</v>
      </c>
      <c r="P18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50.546063624547621</v>
      </c>
      <c r="Q1848" s="1">
        <f>LN(Table13[[#This Row],[qe_mg_g]]-Table13[[#This Row],[qt]])</f>
        <v>2.2706749752471338</v>
      </c>
      <c r="R1848" s="1">
        <v>2</v>
      </c>
    </row>
    <row r="1849" spans="1:18" hidden="1" x14ac:dyDescent="0.3">
      <c r="A1849" s="1">
        <v>1848</v>
      </c>
      <c r="B1849" s="1" t="s">
        <v>19</v>
      </c>
      <c r="C1849" s="1">
        <v>0.5</v>
      </c>
      <c r="D1849" s="1">
        <v>240</v>
      </c>
      <c r="E1849" s="1">
        <v>50</v>
      </c>
      <c r="F1849" s="1">
        <v>3</v>
      </c>
      <c r="G1849" s="1">
        <v>25</v>
      </c>
      <c r="H1849" s="1">
        <v>150</v>
      </c>
      <c r="I1849" s="1">
        <v>100</v>
      </c>
      <c r="J1849" s="1">
        <v>63.185000000000002</v>
      </c>
      <c r="K1849" s="1">
        <v>18.408000000000001</v>
      </c>
      <c r="L1849" s="1">
        <v>63.18</v>
      </c>
      <c r="M1849" s="1">
        <v>61.4</v>
      </c>
      <c r="N1849" s="1">
        <v>6.2059999999999997E-2</v>
      </c>
      <c r="O1849" s="1">
        <v>3.5270000000000001E-4</v>
      </c>
      <c r="P18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53.232229985248068</v>
      </c>
      <c r="Q1849" s="1">
        <f>LN(Table13[[#This Row],[qe_mg_g]]-Table13[[#This Row],[qt]])</f>
        <v>2.2978509058686432</v>
      </c>
      <c r="R1849" s="1">
        <v>3</v>
      </c>
    </row>
    <row r="1850" spans="1:18" hidden="1" x14ac:dyDescent="0.3">
      <c r="A1850" s="1">
        <v>1849</v>
      </c>
      <c r="B1850" s="1" t="s">
        <v>19</v>
      </c>
      <c r="C1850" s="1">
        <v>0.5</v>
      </c>
      <c r="D1850" s="1">
        <v>240</v>
      </c>
      <c r="E1850" s="1">
        <v>50</v>
      </c>
      <c r="F1850" s="1">
        <v>7</v>
      </c>
      <c r="G1850" s="1">
        <v>25</v>
      </c>
      <c r="H1850" s="1">
        <v>150</v>
      </c>
      <c r="I1850" s="1">
        <v>100</v>
      </c>
      <c r="J1850" s="1">
        <v>76.998999999999995</v>
      </c>
      <c r="K1850" s="1">
        <v>11.5</v>
      </c>
      <c r="L1850" s="1">
        <v>77</v>
      </c>
      <c r="M1850" s="1">
        <v>51.7</v>
      </c>
      <c r="N1850" s="1">
        <v>5.5239999999999997E-2</v>
      </c>
      <c r="O1850" s="1">
        <v>2.8570000000000001E-4</v>
      </c>
      <c r="P18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64.737363403191125</v>
      </c>
      <c r="Q1850" s="1">
        <f>LN(Table13[[#This Row],[qe_mg_g]]-Table13[[#This Row],[qt]])</f>
        <v>2.5064754123664104</v>
      </c>
      <c r="R1850" s="1">
        <v>1</v>
      </c>
    </row>
    <row r="1851" spans="1:18" hidden="1" x14ac:dyDescent="0.3">
      <c r="A1851" s="1">
        <v>1850</v>
      </c>
      <c r="B1851" s="1" t="s">
        <v>19</v>
      </c>
      <c r="C1851" s="1">
        <v>0.5</v>
      </c>
      <c r="D1851" s="1">
        <v>240</v>
      </c>
      <c r="E1851" s="1">
        <v>50</v>
      </c>
      <c r="F1851" s="1">
        <v>7</v>
      </c>
      <c r="G1851" s="1">
        <v>25</v>
      </c>
      <c r="H1851" s="1">
        <v>150</v>
      </c>
      <c r="I1851" s="1">
        <v>100</v>
      </c>
      <c r="J1851" s="1">
        <v>92.997</v>
      </c>
      <c r="K1851" s="1">
        <v>3.5009999999999999</v>
      </c>
      <c r="L1851" s="1">
        <v>93</v>
      </c>
      <c r="M1851" s="1">
        <v>55.7</v>
      </c>
      <c r="N1851" s="1">
        <v>5.7099999999999998E-2</v>
      </c>
      <c r="O1851" s="1">
        <v>3.9780000000000002E-4</v>
      </c>
      <c r="P18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83.583023345772915</v>
      </c>
      <c r="Q1851" s="1">
        <f>LN(Table13[[#This Row],[qe_mg_g]]-Table13[[#This Row],[qt]])</f>
        <v>2.2421954630764795</v>
      </c>
      <c r="R1851" s="1">
        <v>2</v>
      </c>
    </row>
    <row r="1852" spans="1:18" hidden="1" x14ac:dyDescent="0.3">
      <c r="A1852" s="1">
        <v>1851</v>
      </c>
      <c r="B1852" s="1" t="s">
        <v>19</v>
      </c>
      <c r="C1852" s="1">
        <v>0.5</v>
      </c>
      <c r="D1852" s="1">
        <v>240</v>
      </c>
      <c r="E1852" s="1">
        <v>50</v>
      </c>
      <c r="F1852" s="1">
        <v>7</v>
      </c>
      <c r="G1852" s="1">
        <v>25</v>
      </c>
      <c r="H1852" s="1">
        <v>150</v>
      </c>
      <c r="I1852" s="1">
        <v>100</v>
      </c>
      <c r="J1852" s="1">
        <v>81.019000000000005</v>
      </c>
      <c r="K1852" s="1">
        <v>9.49</v>
      </c>
      <c r="L1852" s="1">
        <v>81.02</v>
      </c>
      <c r="M1852" s="1">
        <v>59.2</v>
      </c>
      <c r="N1852" s="1">
        <v>5.4399999999999997E-2</v>
      </c>
      <c r="O1852" s="1">
        <v>3.436E-4</v>
      </c>
      <c r="P18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70.471231580815243</v>
      </c>
      <c r="Q1852" s="1">
        <f>LN(Table13[[#This Row],[qe_mg_g]]-Table13[[#This Row],[qt]])</f>
        <v>2.3559143132997766</v>
      </c>
      <c r="R1852" s="1">
        <v>3</v>
      </c>
    </row>
    <row r="1853" spans="1:18" hidden="1" x14ac:dyDescent="0.3">
      <c r="A1853" s="1">
        <v>1852</v>
      </c>
      <c r="B1853" s="1" t="s">
        <v>19</v>
      </c>
      <c r="C1853" s="1">
        <v>0.5</v>
      </c>
      <c r="D1853" s="1">
        <v>240</v>
      </c>
      <c r="E1853" s="1">
        <v>50</v>
      </c>
      <c r="F1853" s="1">
        <v>11</v>
      </c>
      <c r="G1853" s="1">
        <v>25</v>
      </c>
      <c r="H1853" s="1">
        <v>150</v>
      </c>
      <c r="I1853" s="1">
        <v>100</v>
      </c>
      <c r="J1853" s="1">
        <v>66.840999999999994</v>
      </c>
      <c r="K1853" s="1">
        <v>16.579999999999998</v>
      </c>
      <c r="L1853" s="1">
        <v>66.84</v>
      </c>
      <c r="M1853" s="1">
        <v>68.2</v>
      </c>
      <c r="N1853" s="1">
        <v>5.2929999999999998E-2</v>
      </c>
      <c r="O1853" s="1">
        <v>3.745E-4</v>
      </c>
      <c r="P18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57.302735673169082</v>
      </c>
      <c r="Q1853" s="1">
        <f>LN(Table13[[#This Row],[qe_mg_g]]-Table13[[#This Row],[qt]])</f>
        <v>2.2553115325168727</v>
      </c>
      <c r="R1853" s="1">
        <v>1</v>
      </c>
    </row>
    <row r="1854" spans="1:18" hidden="1" x14ac:dyDescent="0.3">
      <c r="A1854" s="1">
        <v>1853</v>
      </c>
      <c r="B1854" s="1" t="s">
        <v>19</v>
      </c>
      <c r="C1854" s="1">
        <v>0.5</v>
      </c>
      <c r="D1854" s="1">
        <v>240</v>
      </c>
      <c r="E1854" s="1">
        <v>50</v>
      </c>
      <c r="F1854" s="1">
        <v>11</v>
      </c>
      <c r="G1854" s="1">
        <v>25</v>
      </c>
      <c r="H1854" s="1">
        <v>150</v>
      </c>
      <c r="I1854" s="1">
        <v>100</v>
      </c>
      <c r="J1854" s="1">
        <v>61.386000000000003</v>
      </c>
      <c r="K1854" s="1">
        <v>19.306999999999999</v>
      </c>
      <c r="L1854" s="1">
        <v>61.39</v>
      </c>
      <c r="M1854" s="1">
        <v>64.2</v>
      </c>
      <c r="N1854" s="1">
        <v>6.0789999999999997E-2</v>
      </c>
      <c r="O1854" s="1">
        <v>3.5340000000000002E-4</v>
      </c>
      <c r="P18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51.495425299483884</v>
      </c>
      <c r="Q1854" s="1">
        <f>LN(Table13[[#This Row],[qe_mg_g]]-Table13[[#This Row],[qt]])</f>
        <v>2.291582253199743</v>
      </c>
      <c r="R1854" s="1">
        <v>2</v>
      </c>
    </row>
    <row r="1855" spans="1:18" hidden="1" x14ac:dyDescent="0.3">
      <c r="A1855" s="1">
        <v>1854</v>
      </c>
      <c r="B1855" s="1" t="s">
        <v>19</v>
      </c>
      <c r="C1855" s="1">
        <v>0.5</v>
      </c>
      <c r="D1855" s="1">
        <v>240</v>
      </c>
      <c r="E1855" s="1">
        <v>50</v>
      </c>
      <c r="F1855" s="1">
        <v>11</v>
      </c>
      <c r="G1855" s="1">
        <v>25</v>
      </c>
      <c r="H1855" s="1">
        <v>150</v>
      </c>
      <c r="I1855" s="1">
        <v>100</v>
      </c>
      <c r="J1855" s="1">
        <v>69.537999999999997</v>
      </c>
      <c r="K1855" s="1">
        <v>15.231</v>
      </c>
      <c r="L1855" s="1">
        <v>69.540000000000006</v>
      </c>
      <c r="M1855" s="1">
        <v>57.8</v>
      </c>
      <c r="N1855" s="1">
        <v>6.7589999999999997E-2</v>
      </c>
      <c r="O1855" s="1">
        <v>2.8830000000000001E-4</v>
      </c>
      <c r="P18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57.572359540486481</v>
      </c>
      <c r="Q1855" s="1">
        <f>LN(Table13[[#This Row],[qe_mg_g]]-Table13[[#This Row],[qt]])</f>
        <v>2.4820392476765045</v>
      </c>
      <c r="R1855" s="1">
        <v>3</v>
      </c>
    </row>
    <row r="1856" spans="1:18" hidden="1" x14ac:dyDescent="0.3">
      <c r="A1856" s="1">
        <v>1855</v>
      </c>
      <c r="B1856" s="1" t="s">
        <v>19</v>
      </c>
      <c r="C1856" s="1">
        <v>0.5</v>
      </c>
      <c r="D1856" s="1">
        <v>240</v>
      </c>
      <c r="E1856" s="1">
        <v>100</v>
      </c>
      <c r="F1856" s="1">
        <v>3</v>
      </c>
      <c r="G1856" s="1">
        <v>25</v>
      </c>
      <c r="H1856" s="1">
        <v>150</v>
      </c>
      <c r="I1856" s="1">
        <v>100</v>
      </c>
      <c r="J1856" s="1">
        <v>134.084</v>
      </c>
      <c r="K1856" s="1">
        <v>32.957999999999998</v>
      </c>
      <c r="L1856" s="1">
        <v>67.040000000000006</v>
      </c>
      <c r="M1856" s="1">
        <v>47.1</v>
      </c>
      <c r="N1856" s="1">
        <v>5.4890000000000001E-2</v>
      </c>
      <c r="O1856" s="1">
        <v>3.413E-4</v>
      </c>
      <c r="P18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122.89456425548883</v>
      </c>
      <c r="Q1856" s="1">
        <f>LN(Table13[[#This Row],[qe_mg_g]]-Table13[[#This Row],[qt]])</f>
        <v>2.4149700960757916</v>
      </c>
      <c r="R1856" s="1">
        <v>1</v>
      </c>
    </row>
    <row r="1857" spans="1:18" hidden="1" x14ac:dyDescent="0.3">
      <c r="A1857" s="1">
        <v>1856</v>
      </c>
      <c r="B1857" s="1" t="s">
        <v>19</v>
      </c>
      <c r="C1857" s="1">
        <v>0.5</v>
      </c>
      <c r="D1857" s="1">
        <v>240</v>
      </c>
      <c r="E1857" s="1">
        <v>100</v>
      </c>
      <c r="F1857" s="1">
        <v>3</v>
      </c>
      <c r="G1857" s="1">
        <v>25</v>
      </c>
      <c r="H1857" s="1">
        <v>150</v>
      </c>
      <c r="I1857" s="1">
        <v>100</v>
      </c>
      <c r="J1857" s="1">
        <v>123.313</v>
      </c>
      <c r="K1857" s="1">
        <v>38.343000000000004</v>
      </c>
      <c r="L1857" s="1">
        <v>61.66</v>
      </c>
      <c r="M1857" s="1">
        <v>54.5</v>
      </c>
      <c r="N1857" s="1">
        <v>4.8759999999999998E-2</v>
      </c>
      <c r="O1857" s="1">
        <v>3.86E-4</v>
      </c>
      <c r="P18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113.38738701723349</v>
      </c>
      <c r="Q1857" s="1">
        <f>LN(Table13[[#This Row],[qe_mg_g]]-Table13[[#This Row],[qt]])</f>
        <v>2.2951185861539014</v>
      </c>
      <c r="R1857" s="1">
        <v>2</v>
      </c>
    </row>
    <row r="1858" spans="1:18" hidden="1" x14ac:dyDescent="0.3">
      <c r="A1858" s="1">
        <v>1857</v>
      </c>
      <c r="B1858" s="1" t="s">
        <v>19</v>
      </c>
      <c r="C1858" s="1">
        <v>0.5</v>
      </c>
      <c r="D1858" s="1">
        <v>240</v>
      </c>
      <c r="E1858" s="1">
        <v>100</v>
      </c>
      <c r="F1858" s="1">
        <v>3</v>
      </c>
      <c r="G1858" s="1">
        <v>25</v>
      </c>
      <c r="H1858" s="1">
        <v>150</v>
      </c>
      <c r="I1858" s="1">
        <v>100</v>
      </c>
      <c r="J1858" s="1">
        <v>111.15900000000001</v>
      </c>
      <c r="K1858" s="1">
        <v>44.42</v>
      </c>
      <c r="L1858" s="1">
        <v>55.58</v>
      </c>
      <c r="M1858" s="1">
        <v>59</v>
      </c>
      <c r="N1858" s="1">
        <v>5.3199999999999997E-2</v>
      </c>
      <c r="O1858" s="1">
        <v>3.0899999999999998E-4</v>
      </c>
      <c r="P18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99.133427283546339</v>
      </c>
      <c r="Q1858" s="1">
        <f>LN(Table13[[#This Row],[qe_mg_g]]-Table13[[#This Row],[qt]])</f>
        <v>2.4870354420056024</v>
      </c>
      <c r="R1858" s="1">
        <v>3</v>
      </c>
    </row>
    <row r="1859" spans="1:18" hidden="1" x14ac:dyDescent="0.3">
      <c r="A1859" s="1">
        <v>1858</v>
      </c>
      <c r="B1859" s="1" t="s">
        <v>19</v>
      </c>
      <c r="C1859" s="1">
        <v>0.5</v>
      </c>
      <c r="D1859" s="1">
        <v>240</v>
      </c>
      <c r="E1859" s="1">
        <v>100</v>
      </c>
      <c r="F1859" s="1">
        <v>7</v>
      </c>
      <c r="G1859" s="1">
        <v>25</v>
      </c>
      <c r="H1859" s="1">
        <v>150</v>
      </c>
      <c r="I1859" s="1">
        <v>100</v>
      </c>
      <c r="J1859" s="1">
        <v>175.381</v>
      </c>
      <c r="K1859" s="1">
        <v>12.31</v>
      </c>
      <c r="L1859" s="1">
        <v>87.69</v>
      </c>
      <c r="M1859" s="1">
        <v>41.8</v>
      </c>
      <c r="N1859" s="1">
        <v>5.5219999999999998E-2</v>
      </c>
      <c r="O1859" s="1">
        <v>3.0019999999999998E-4</v>
      </c>
      <c r="P18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162.51924247877369</v>
      </c>
      <c r="Q1859" s="1">
        <f>LN(Table13[[#This Row],[qe_mg_g]]-Table13[[#This Row],[qt]])</f>
        <v>2.5542583751967824</v>
      </c>
      <c r="R1859" s="1">
        <v>1</v>
      </c>
    </row>
    <row r="1860" spans="1:18" hidden="1" x14ac:dyDescent="0.3">
      <c r="A1860" s="1">
        <v>1859</v>
      </c>
      <c r="B1860" s="1" t="s">
        <v>19</v>
      </c>
      <c r="C1860" s="1">
        <v>0.5</v>
      </c>
      <c r="D1860" s="1">
        <v>240</v>
      </c>
      <c r="E1860" s="1">
        <v>100</v>
      </c>
      <c r="F1860" s="1">
        <v>7</v>
      </c>
      <c r="G1860" s="1">
        <v>25</v>
      </c>
      <c r="H1860" s="1">
        <v>150</v>
      </c>
      <c r="I1860" s="1">
        <v>100</v>
      </c>
      <c r="J1860" s="1">
        <v>178.51499999999999</v>
      </c>
      <c r="K1860" s="1">
        <v>10.743</v>
      </c>
      <c r="L1860" s="1">
        <v>89.26</v>
      </c>
      <c r="M1860" s="1">
        <v>47</v>
      </c>
      <c r="N1860" s="1">
        <v>5.2519999999999997E-2</v>
      </c>
      <c r="O1860" s="1">
        <v>3.6029999999999998E-4</v>
      </c>
      <c r="P18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167.6541435555522</v>
      </c>
      <c r="Q1860" s="1">
        <f>LN(Table13[[#This Row],[qe_mg_g]]-Table13[[#This Row],[qt]])</f>
        <v>2.3851651736843329</v>
      </c>
      <c r="R1860" s="1">
        <v>2</v>
      </c>
    </row>
    <row r="1861" spans="1:18" hidden="1" x14ac:dyDescent="0.3">
      <c r="A1861" s="1">
        <v>1860</v>
      </c>
      <c r="B1861" s="1" t="s">
        <v>19</v>
      </c>
      <c r="C1861" s="1">
        <v>0.5</v>
      </c>
      <c r="D1861" s="1">
        <v>240</v>
      </c>
      <c r="E1861" s="1">
        <v>100</v>
      </c>
      <c r="F1861" s="1">
        <v>7</v>
      </c>
      <c r="G1861" s="1">
        <v>25</v>
      </c>
      <c r="H1861" s="1">
        <v>150</v>
      </c>
      <c r="I1861" s="1">
        <v>100</v>
      </c>
      <c r="J1861" s="1">
        <v>163.57900000000001</v>
      </c>
      <c r="K1861" s="1">
        <v>18.21</v>
      </c>
      <c r="L1861" s="1">
        <v>81.790000000000006</v>
      </c>
      <c r="M1861" s="1">
        <v>54.1</v>
      </c>
      <c r="N1861" s="1">
        <v>4.6670000000000003E-2</v>
      </c>
      <c r="O1861" s="1">
        <v>3.7209999999999999E-4</v>
      </c>
      <c r="P18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153.09871518205102</v>
      </c>
      <c r="Q1861" s="1">
        <f>LN(Table13[[#This Row],[qe_mg_g]]-Table13[[#This Row],[qt]])</f>
        <v>2.3494958558088088</v>
      </c>
      <c r="R1861" s="1">
        <v>3</v>
      </c>
    </row>
    <row r="1862" spans="1:18" hidden="1" x14ac:dyDescent="0.3">
      <c r="A1862" s="1">
        <v>1861</v>
      </c>
      <c r="B1862" s="1" t="s">
        <v>19</v>
      </c>
      <c r="C1862" s="1">
        <v>0.5</v>
      </c>
      <c r="D1862" s="1">
        <v>240</v>
      </c>
      <c r="E1862" s="1">
        <v>100</v>
      </c>
      <c r="F1862" s="1">
        <v>11</v>
      </c>
      <c r="G1862" s="1">
        <v>25</v>
      </c>
      <c r="H1862" s="1">
        <v>150</v>
      </c>
      <c r="I1862" s="1">
        <v>100</v>
      </c>
      <c r="J1862" s="1">
        <v>163.4</v>
      </c>
      <c r="K1862" s="1">
        <v>18.3</v>
      </c>
      <c r="L1862" s="1">
        <v>81.7</v>
      </c>
      <c r="M1862" s="1">
        <v>77.400000000000006</v>
      </c>
      <c r="N1862" s="1">
        <v>5.5500000000000001E-2</v>
      </c>
      <c r="O1862" s="1">
        <v>3.7760000000000002E-4</v>
      </c>
      <c r="P18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153.06343642940027</v>
      </c>
      <c r="Q1862" s="1">
        <f>LN(Table13[[#This Row],[qe_mg_g]]-Table13[[#This Row],[qt]])</f>
        <v>2.3356874705731356</v>
      </c>
      <c r="R1862" s="1">
        <v>1</v>
      </c>
    </row>
    <row r="1863" spans="1:18" hidden="1" x14ac:dyDescent="0.3">
      <c r="A1863" s="1">
        <v>1862</v>
      </c>
      <c r="B1863" s="1" t="s">
        <v>19</v>
      </c>
      <c r="C1863" s="1">
        <v>0.5</v>
      </c>
      <c r="D1863" s="1">
        <v>240</v>
      </c>
      <c r="E1863" s="1">
        <v>100</v>
      </c>
      <c r="F1863" s="1">
        <v>11</v>
      </c>
      <c r="G1863" s="1">
        <v>25</v>
      </c>
      <c r="H1863" s="1">
        <v>150</v>
      </c>
      <c r="I1863" s="1">
        <v>100</v>
      </c>
      <c r="J1863" s="1">
        <v>127.30500000000001</v>
      </c>
      <c r="K1863" s="1">
        <v>36.347000000000001</v>
      </c>
      <c r="L1863" s="1">
        <v>63.65</v>
      </c>
      <c r="M1863" s="1">
        <v>66.8</v>
      </c>
      <c r="N1863" s="1">
        <v>5.9270000000000003E-2</v>
      </c>
      <c r="O1863" s="1">
        <v>3.3310000000000002E-4</v>
      </c>
      <c r="P18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115.91536822752437</v>
      </c>
      <c r="Q1863" s="1">
        <f>LN(Table13[[#This Row],[qe_mg_g]]-Table13[[#This Row],[qt]])</f>
        <v>2.4327034479176768</v>
      </c>
      <c r="R1863" s="1">
        <v>2</v>
      </c>
    </row>
    <row r="1864" spans="1:18" hidden="1" x14ac:dyDescent="0.3">
      <c r="A1864" s="1">
        <v>1863</v>
      </c>
      <c r="B1864" s="1" t="s">
        <v>19</v>
      </c>
      <c r="C1864" s="1">
        <v>0.5</v>
      </c>
      <c r="D1864" s="1">
        <v>240</v>
      </c>
      <c r="E1864" s="1">
        <v>100</v>
      </c>
      <c r="F1864" s="1">
        <v>11</v>
      </c>
      <c r="G1864" s="1">
        <v>25</v>
      </c>
      <c r="H1864" s="1">
        <v>150</v>
      </c>
      <c r="I1864" s="1">
        <v>100</v>
      </c>
      <c r="J1864" s="1">
        <v>158.02799999999999</v>
      </c>
      <c r="K1864" s="1">
        <v>20.986000000000001</v>
      </c>
      <c r="L1864" s="1">
        <v>79.010000000000005</v>
      </c>
      <c r="M1864" s="1">
        <v>52.5</v>
      </c>
      <c r="N1864" s="1">
        <v>5.2479999999999999E-2</v>
      </c>
      <c r="O1864" s="1">
        <v>3.6660000000000002E-4</v>
      </c>
      <c r="P18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147.42489456864337</v>
      </c>
      <c r="Q1864" s="1">
        <f>LN(Table13[[#This Row],[qe_mg_g]]-Table13[[#This Row],[qt]])</f>
        <v>2.3611469234344136</v>
      </c>
      <c r="R1864" s="1">
        <v>3</v>
      </c>
    </row>
    <row r="1865" spans="1:18" hidden="1" x14ac:dyDescent="0.3">
      <c r="A1865" s="1">
        <v>1864</v>
      </c>
      <c r="B1865" s="1" t="s">
        <v>19</v>
      </c>
      <c r="C1865" s="1">
        <v>0.5</v>
      </c>
      <c r="D1865" s="1">
        <v>240</v>
      </c>
      <c r="E1865" s="1">
        <v>200</v>
      </c>
      <c r="F1865" s="1">
        <v>3</v>
      </c>
      <c r="G1865" s="1">
        <v>25</v>
      </c>
      <c r="H1865" s="1">
        <v>150</v>
      </c>
      <c r="I1865" s="1">
        <v>100</v>
      </c>
      <c r="J1865" s="1">
        <v>182.12700000000001</v>
      </c>
      <c r="K1865" s="1">
        <v>108.93600000000001</v>
      </c>
      <c r="L1865" s="1">
        <v>45.53</v>
      </c>
      <c r="M1865" s="1">
        <v>62.9</v>
      </c>
      <c r="N1865" s="1">
        <v>4.9189999999999998E-2</v>
      </c>
      <c r="O1865" s="1">
        <v>3.1320000000000002E-4</v>
      </c>
      <c r="P18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169.72907738000424</v>
      </c>
      <c r="Q1865" s="1">
        <f>LN(Table13[[#This Row],[qe_mg_g]]-Table13[[#This Row],[qt]])</f>
        <v>2.5175289279306625</v>
      </c>
      <c r="R1865" s="1">
        <v>1</v>
      </c>
    </row>
    <row r="1866" spans="1:18" hidden="1" x14ac:dyDescent="0.3">
      <c r="A1866" s="1">
        <v>1865</v>
      </c>
      <c r="B1866" s="1" t="s">
        <v>19</v>
      </c>
      <c r="C1866" s="1">
        <v>0.5</v>
      </c>
      <c r="D1866" s="1">
        <v>240</v>
      </c>
      <c r="E1866" s="1">
        <v>200</v>
      </c>
      <c r="F1866" s="1">
        <v>3</v>
      </c>
      <c r="G1866" s="1">
        <v>25</v>
      </c>
      <c r="H1866" s="1">
        <v>150</v>
      </c>
      <c r="I1866" s="1">
        <v>100</v>
      </c>
      <c r="J1866" s="1">
        <v>184.244</v>
      </c>
      <c r="K1866" s="1">
        <v>107.878</v>
      </c>
      <c r="L1866" s="1">
        <v>46.06</v>
      </c>
      <c r="M1866" s="1">
        <v>60.8</v>
      </c>
      <c r="N1866" s="1">
        <v>5.1610000000000003E-2</v>
      </c>
      <c r="O1866" s="1">
        <v>3.0279999999999999E-4</v>
      </c>
      <c r="P18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171.43983467739869</v>
      </c>
      <c r="Q1866" s="1">
        <f>LN(Table13[[#This Row],[qe_mg_g]]-Table13[[#This Row],[qt]])</f>
        <v>2.549770533817552</v>
      </c>
      <c r="R1866" s="1">
        <v>2</v>
      </c>
    </row>
    <row r="1867" spans="1:18" hidden="1" x14ac:dyDescent="0.3">
      <c r="A1867" s="1">
        <v>1866</v>
      </c>
      <c r="B1867" s="1" t="s">
        <v>19</v>
      </c>
      <c r="C1867" s="1">
        <v>0.5</v>
      </c>
      <c r="D1867" s="1">
        <v>240</v>
      </c>
      <c r="E1867" s="1">
        <v>200</v>
      </c>
      <c r="F1867" s="1">
        <v>3</v>
      </c>
      <c r="G1867" s="1">
        <v>25</v>
      </c>
      <c r="H1867" s="1">
        <v>150</v>
      </c>
      <c r="I1867" s="1">
        <v>100</v>
      </c>
      <c r="J1867" s="1">
        <v>188.43100000000001</v>
      </c>
      <c r="K1867" s="1">
        <v>105.78400000000001</v>
      </c>
      <c r="L1867" s="1">
        <v>47.11</v>
      </c>
      <c r="M1867" s="1">
        <v>54.3</v>
      </c>
      <c r="N1867" s="1">
        <v>4.8500000000000001E-2</v>
      </c>
      <c r="O1867" s="1">
        <v>3.0969999999999999E-4</v>
      </c>
      <c r="P18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175.87370457651357</v>
      </c>
      <c r="Q1867" s="1">
        <f>LN(Table13[[#This Row],[qe_mg_g]]-Table13[[#This Row],[qt]])</f>
        <v>2.5303018053277104</v>
      </c>
      <c r="R1867" s="1">
        <v>3</v>
      </c>
    </row>
    <row r="1868" spans="1:18" hidden="1" x14ac:dyDescent="0.3">
      <c r="A1868" s="1">
        <v>1867</v>
      </c>
      <c r="B1868" s="1" t="s">
        <v>19</v>
      </c>
      <c r="C1868" s="1">
        <v>0.5</v>
      </c>
      <c r="D1868" s="1">
        <v>240</v>
      </c>
      <c r="E1868" s="1">
        <v>200</v>
      </c>
      <c r="F1868" s="1">
        <v>7</v>
      </c>
      <c r="G1868" s="1">
        <v>25</v>
      </c>
      <c r="H1868" s="1">
        <v>150</v>
      </c>
      <c r="I1868" s="1">
        <v>100</v>
      </c>
      <c r="J1868" s="1">
        <v>300</v>
      </c>
      <c r="K1868" s="1">
        <v>50</v>
      </c>
      <c r="L1868" s="1">
        <v>76.319999999999993</v>
      </c>
      <c r="M1868" s="1">
        <v>47.5</v>
      </c>
      <c r="N1868" s="1">
        <v>5.3220000000000003E-2</v>
      </c>
      <c r="O1868" s="1">
        <v>3.3710000000000001E-4</v>
      </c>
      <c r="P18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288.12877900535</v>
      </c>
      <c r="Q1868" s="1">
        <f>LN(Table13[[#This Row],[qe_mg_g]]-Table13[[#This Row],[qt]])</f>
        <v>2.474117067244674</v>
      </c>
      <c r="R1868" s="1">
        <v>1</v>
      </c>
    </row>
    <row r="1869" spans="1:18" hidden="1" x14ac:dyDescent="0.3">
      <c r="A1869" s="1">
        <v>1868</v>
      </c>
      <c r="B1869" s="1" t="s">
        <v>19</v>
      </c>
      <c r="C1869" s="1">
        <v>0.5</v>
      </c>
      <c r="D1869" s="1">
        <v>240</v>
      </c>
      <c r="E1869" s="1">
        <v>200</v>
      </c>
      <c r="F1869" s="1">
        <v>7</v>
      </c>
      <c r="G1869" s="1">
        <v>25</v>
      </c>
      <c r="H1869" s="1">
        <v>150</v>
      </c>
      <c r="I1869" s="1">
        <v>100</v>
      </c>
      <c r="J1869" s="1">
        <v>258.12</v>
      </c>
      <c r="K1869" s="1">
        <v>70.94</v>
      </c>
      <c r="L1869" s="1">
        <v>64.53</v>
      </c>
      <c r="M1869" s="1">
        <v>59.6</v>
      </c>
      <c r="N1869" s="1">
        <v>6.021E-2</v>
      </c>
      <c r="O1869" s="1">
        <v>3.3930000000000001E-4</v>
      </c>
      <c r="P18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246.39751809120659</v>
      </c>
      <c r="Q1869" s="1">
        <f>LN(Table13[[#This Row],[qe_mg_g]]-Table13[[#This Row],[qt]])</f>
        <v>2.4615085286913039</v>
      </c>
      <c r="R1869" s="1">
        <v>2</v>
      </c>
    </row>
    <row r="1870" spans="1:18" hidden="1" x14ac:dyDescent="0.3">
      <c r="A1870" s="1">
        <v>1869</v>
      </c>
      <c r="B1870" s="1" t="s">
        <v>19</v>
      </c>
      <c r="C1870" s="1">
        <v>0.5</v>
      </c>
      <c r="D1870" s="1">
        <v>240</v>
      </c>
      <c r="E1870" s="1">
        <v>200</v>
      </c>
      <c r="F1870" s="1">
        <v>7</v>
      </c>
      <c r="G1870" s="1">
        <v>25</v>
      </c>
      <c r="H1870" s="1">
        <v>150</v>
      </c>
      <c r="I1870" s="1">
        <v>100</v>
      </c>
      <c r="J1870" s="1">
        <v>242.94399999999999</v>
      </c>
      <c r="K1870" s="1">
        <v>78.528000000000006</v>
      </c>
      <c r="L1870" s="1">
        <v>60.74</v>
      </c>
      <c r="M1870" s="1">
        <v>65</v>
      </c>
      <c r="N1870" s="1">
        <v>5.4480000000000001E-2</v>
      </c>
      <c r="O1870" s="1">
        <v>4.1060000000000001E-4</v>
      </c>
      <c r="P18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233.20312433161322</v>
      </c>
      <c r="Q1870" s="1">
        <f>LN(Table13[[#This Row],[qe_mg_g]]-Table13[[#This Row],[qt]])</f>
        <v>2.2763310179651133</v>
      </c>
      <c r="R1870" s="1">
        <v>3</v>
      </c>
    </row>
    <row r="1871" spans="1:18" hidden="1" x14ac:dyDescent="0.3">
      <c r="A1871" s="1">
        <v>1870</v>
      </c>
      <c r="B1871" s="1" t="s">
        <v>19</v>
      </c>
      <c r="C1871" s="1">
        <v>0.5</v>
      </c>
      <c r="D1871" s="1">
        <v>240</v>
      </c>
      <c r="E1871" s="1">
        <v>200</v>
      </c>
      <c r="F1871" s="1">
        <v>11</v>
      </c>
      <c r="G1871" s="1">
        <v>25</v>
      </c>
      <c r="H1871" s="1">
        <v>150</v>
      </c>
      <c r="I1871" s="1">
        <v>100</v>
      </c>
      <c r="J1871" s="1">
        <v>189.16</v>
      </c>
      <c r="K1871" s="1">
        <v>105.42</v>
      </c>
      <c r="L1871" s="1">
        <v>47.29</v>
      </c>
      <c r="M1871" s="1">
        <v>56.1</v>
      </c>
      <c r="N1871" s="1">
        <v>6.5549999999999997E-2</v>
      </c>
      <c r="O1871" s="1">
        <v>3.3760000000000002E-4</v>
      </c>
      <c r="P18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177.57392816257175</v>
      </c>
      <c r="Q1871" s="1">
        <f>LN(Table13[[#This Row],[qe_mg_g]]-Table13[[#This Row],[qt]])</f>
        <v>2.4498036730201549</v>
      </c>
      <c r="R1871" s="1">
        <v>1</v>
      </c>
    </row>
    <row r="1872" spans="1:18" hidden="1" x14ac:dyDescent="0.3">
      <c r="A1872" s="1">
        <v>1871</v>
      </c>
      <c r="B1872" s="1" t="s">
        <v>19</v>
      </c>
      <c r="C1872" s="1">
        <v>0.5</v>
      </c>
      <c r="D1872" s="1">
        <v>240</v>
      </c>
      <c r="E1872" s="1">
        <v>200</v>
      </c>
      <c r="F1872" s="1">
        <v>11</v>
      </c>
      <c r="G1872" s="1">
        <v>25</v>
      </c>
      <c r="H1872" s="1">
        <v>150</v>
      </c>
      <c r="I1872" s="1">
        <v>100</v>
      </c>
      <c r="J1872" s="1">
        <v>220.89699999999999</v>
      </c>
      <c r="K1872" s="1">
        <v>89.551000000000002</v>
      </c>
      <c r="L1872" s="1">
        <v>55.22</v>
      </c>
      <c r="M1872" s="1">
        <v>57</v>
      </c>
      <c r="N1872" s="1">
        <v>5.1929999999999997E-2</v>
      </c>
      <c r="O1872" s="1">
        <v>3.391E-4</v>
      </c>
      <c r="P18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209.25704658440702</v>
      </c>
      <c r="Q1872" s="1">
        <f>LN(Table13[[#This Row],[qe_mg_g]]-Table13[[#This Row],[qt]])</f>
        <v>2.4544434401984594</v>
      </c>
      <c r="R1872" s="1">
        <v>2</v>
      </c>
    </row>
    <row r="1873" spans="1:18" hidden="1" x14ac:dyDescent="0.3">
      <c r="A1873" s="1">
        <v>1872</v>
      </c>
      <c r="B1873" s="1" t="s">
        <v>19</v>
      </c>
      <c r="C1873" s="1">
        <v>0.5</v>
      </c>
      <c r="D1873" s="1">
        <v>240</v>
      </c>
      <c r="E1873" s="1">
        <v>200</v>
      </c>
      <c r="F1873" s="1">
        <v>11</v>
      </c>
      <c r="G1873" s="1">
        <v>25</v>
      </c>
      <c r="H1873" s="1">
        <v>150</v>
      </c>
      <c r="I1873" s="1">
        <v>100</v>
      </c>
      <c r="J1873" s="1">
        <v>219.13200000000001</v>
      </c>
      <c r="K1873" s="1">
        <v>90.433999999999997</v>
      </c>
      <c r="L1873" s="1">
        <v>54.78</v>
      </c>
      <c r="M1873" s="1">
        <v>49.4</v>
      </c>
      <c r="N1873" s="1">
        <v>6.1760000000000002E-2</v>
      </c>
      <c r="O1873" s="1">
        <v>3.6610000000000001E-4</v>
      </c>
      <c r="P18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208.31270445987738</v>
      </c>
      <c r="Q1873" s="1">
        <f>LN(Table13[[#This Row],[qe_mg_g]]-Table13[[#This Row],[qt]])</f>
        <v>2.3813311641012307</v>
      </c>
      <c r="R1873" s="1">
        <v>3</v>
      </c>
    </row>
    <row r="1874" spans="1:18" hidden="1" x14ac:dyDescent="0.3">
      <c r="A1874" s="1">
        <v>1873</v>
      </c>
      <c r="B1874" s="1" t="s">
        <v>19</v>
      </c>
      <c r="C1874" s="1">
        <v>1</v>
      </c>
      <c r="D1874" s="1">
        <v>30</v>
      </c>
      <c r="E1874" s="1">
        <v>25</v>
      </c>
      <c r="F1874" s="1">
        <v>3</v>
      </c>
      <c r="G1874" s="1">
        <v>25</v>
      </c>
      <c r="H1874" s="1">
        <v>150</v>
      </c>
      <c r="I1874" s="1">
        <v>100</v>
      </c>
      <c r="J1874" s="1">
        <v>2.9910000000000001</v>
      </c>
      <c r="K1874" s="1">
        <v>22.009</v>
      </c>
      <c r="L1874" s="1">
        <v>11.96</v>
      </c>
      <c r="M1874" s="1">
        <v>61.2</v>
      </c>
      <c r="N1874" s="1">
        <v>5.355E-2</v>
      </c>
      <c r="O1874" s="1">
        <v>3.2289999999999999E-4</v>
      </c>
      <c r="P18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8.4220497368593397E-2</v>
      </c>
      <c r="Q1874" s="1">
        <f>LN(Table13[[#This Row],[qe_mg_g]]-Table13[[#This Row],[qt]])</f>
        <v>1.067045768211953</v>
      </c>
      <c r="R1874" s="1">
        <v>1</v>
      </c>
    </row>
    <row r="1875" spans="1:18" hidden="1" x14ac:dyDescent="0.3">
      <c r="A1875" s="1">
        <v>1874</v>
      </c>
      <c r="B1875" s="1" t="s">
        <v>19</v>
      </c>
      <c r="C1875" s="1">
        <v>1</v>
      </c>
      <c r="D1875" s="1">
        <v>30</v>
      </c>
      <c r="E1875" s="1">
        <v>25</v>
      </c>
      <c r="F1875" s="1">
        <v>3</v>
      </c>
      <c r="G1875" s="1">
        <v>25</v>
      </c>
      <c r="H1875" s="1">
        <v>150</v>
      </c>
      <c r="I1875" s="1">
        <v>100</v>
      </c>
      <c r="J1875" s="1">
        <v>2.8149999999999999</v>
      </c>
      <c r="K1875" s="1">
        <v>22.184999999999999</v>
      </c>
      <c r="L1875" s="1">
        <v>11.26</v>
      </c>
      <c r="M1875" s="1">
        <v>54.6</v>
      </c>
      <c r="N1875" s="1">
        <v>4.9169999999999998E-2</v>
      </c>
      <c r="O1875" s="1">
        <v>3.325E-4</v>
      </c>
      <c r="P18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7.6885235786090023E-2</v>
      </c>
      <c r="Q1875" s="1">
        <f>LN(Table13[[#This Row],[qe_mg_g]]-Table13[[#This Row],[qt]])</f>
        <v>1.0072696413325779</v>
      </c>
      <c r="R1875" s="1">
        <v>2</v>
      </c>
    </row>
    <row r="1876" spans="1:18" hidden="1" x14ac:dyDescent="0.3">
      <c r="A1876" s="1">
        <v>1875</v>
      </c>
      <c r="B1876" s="1" t="s">
        <v>19</v>
      </c>
      <c r="C1876" s="1">
        <v>1</v>
      </c>
      <c r="D1876" s="1">
        <v>30</v>
      </c>
      <c r="E1876" s="1">
        <v>25</v>
      </c>
      <c r="F1876" s="1">
        <v>3</v>
      </c>
      <c r="G1876" s="1">
        <v>25</v>
      </c>
      <c r="H1876" s="1">
        <v>150</v>
      </c>
      <c r="I1876" s="1">
        <v>100</v>
      </c>
      <c r="J1876" s="1">
        <v>2.8330000000000002</v>
      </c>
      <c r="K1876" s="1">
        <v>22.167000000000002</v>
      </c>
      <c r="L1876" s="1">
        <v>11.33</v>
      </c>
      <c r="M1876" s="1">
        <v>71.900000000000006</v>
      </c>
      <c r="N1876" s="1">
        <v>3.9739999999999998E-2</v>
      </c>
      <c r="O1876" s="1">
        <v>3.4370000000000001E-4</v>
      </c>
      <c r="P18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8.040619116333772E-2</v>
      </c>
      <c r="Q1876" s="1">
        <f>LN(Table13[[#This Row],[qe_mg_g]]-Table13[[#This Row],[qt]])</f>
        <v>1.0125436703551647</v>
      </c>
      <c r="R1876" s="1">
        <v>3</v>
      </c>
    </row>
    <row r="1877" spans="1:18" hidden="1" x14ac:dyDescent="0.3">
      <c r="A1877" s="1">
        <v>1876</v>
      </c>
      <c r="B1877" s="1" t="s">
        <v>19</v>
      </c>
      <c r="C1877" s="1">
        <v>1</v>
      </c>
      <c r="D1877" s="1">
        <v>30</v>
      </c>
      <c r="E1877" s="1">
        <v>25</v>
      </c>
      <c r="F1877" s="1">
        <v>7</v>
      </c>
      <c r="G1877" s="1">
        <v>25</v>
      </c>
      <c r="H1877" s="1">
        <v>150</v>
      </c>
      <c r="I1877" s="1">
        <v>100</v>
      </c>
      <c r="J1877" s="1">
        <v>5.556</v>
      </c>
      <c r="K1877" s="1">
        <v>19.443999999999999</v>
      </c>
      <c r="L1877" s="1">
        <v>22.23</v>
      </c>
      <c r="M1877" s="1">
        <v>55.5</v>
      </c>
      <c r="N1877" s="1">
        <v>5.9139999999999998E-2</v>
      </c>
      <c r="O1877" s="1">
        <v>3.5349999999999997E-4</v>
      </c>
      <c r="P18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0.30915155125114202</v>
      </c>
      <c r="Q1877" s="1">
        <f>LN(Table13[[#This Row],[qe_mg_g]]-Table13[[#This Row],[qt]])</f>
        <v>1.657627600877656</v>
      </c>
      <c r="R1877" s="1">
        <v>1</v>
      </c>
    </row>
    <row r="1878" spans="1:18" hidden="1" x14ac:dyDescent="0.3">
      <c r="A1878" s="1">
        <v>1877</v>
      </c>
      <c r="B1878" s="1" t="s">
        <v>19</v>
      </c>
      <c r="C1878" s="1">
        <v>1</v>
      </c>
      <c r="D1878" s="1">
        <v>30</v>
      </c>
      <c r="E1878" s="1">
        <v>25</v>
      </c>
      <c r="F1878" s="1">
        <v>7</v>
      </c>
      <c r="G1878" s="1">
        <v>25</v>
      </c>
      <c r="H1878" s="1">
        <v>150</v>
      </c>
      <c r="I1878" s="1">
        <v>100</v>
      </c>
      <c r="J1878" s="1">
        <v>4.726</v>
      </c>
      <c r="K1878" s="1">
        <v>20.274000000000001</v>
      </c>
      <c r="L1878" s="1">
        <v>18.899999999999999</v>
      </c>
      <c r="M1878" s="1">
        <v>36.200000000000003</v>
      </c>
      <c r="N1878" s="1">
        <v>5.6129999999999999E-2</v>
      </c>
      <c r="O1878" s="1">
        <v>3.2289999999999999E-4</v>
      </c>
      <c r="P18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0.20688837381003575</v>
      </c>
      <c r="Q1878" s="1">
        <f>LN(Table13[[#This Row],[qe_mg_g]]-Table13[[#This Row],[qt]])</f>
        <v>1.5083154316487308</v>
      </c>
      <c r="R1878" s="1">
        <v>2</v>
      </c>
    </row>
    <row r="1879" spans="1:18" hidden="1" x14ac:dyDescent="0.3">
      <c r="A1879" s="1">
        <v>1878</v>
      </c>
      <c r="B1879" s="1" t="s">
        <v>19</v>
      </c>
      <c r="C1879" s="1">
        <v>1</v>
      </c>
      <c r="D1879" s="1">
        <v>30</v>
      </c>
      <c r="E1879" s="1">
        <v>25</v>
      </c>
      <c r="F1879" s="1">
        <v>7</v>
      </c>
      <c r="G1879" s="1">
        <v>25</v>
      </c>
      <c r="H1879" s="1">
        <v>150</v>
      </c>
      <c r="I1879" s="1">
        <v>100</v>
      </c>
      <c r="J1879" s="1">
        <v>4.68</v>
      </c>
      <c r="K1879" s="1">
        <v>20.32</v>
      </c>
      <c r="L1879" s="1">
        <v>18.72</v>
      </c>
      <c r="M1879" s="1">
        <v>50.5</v>
      </c>
      <c r="N1879" s="1">
        <v>6.4600000000000005E-2</v>
      </c>
      <c r="O1879" s="1">
        <v>4.3419999999999998E-4</v>
      </c>
      <c r="P18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0.26890760314736345</v>
      </c>
      <c r="Q1879" s="1">
        <f>LN(Table13[[#This Row],[qe_mg_g]]-Table13[[#This Row],[qt]])</f>
        <v>1.4841223678208155</v>
      </c>
      <c r="R1879" s="1">
        <v>3</v>
      </c>
    </row>
    <row r="1880" spans="1:18" hidden="1" x14ac:dyDescent="0.3">
      <c r="A1880" s="1">
        <v>1879</v>
      </c>
      <c r="B1880" s="1" t="s">
        <v>19</v>
      </c>
      <c r="C1880" s="1">
        <v>1</v>
      </c>
      <c r="D1880" s="1">
        <v>30</v>
      </c>
      <c r="E1880" s="1">
        <v>25</v>
      </c>
      <c r="F1880" s="1">
        <v>11</v>
      </c>
      <c r="G1880" s="1">
        <v>25</v>
      </c>
      <c r="H1880" s="1">
        <v>150</v>
      </c>
      <c r="I1880" s="1">
        <v>100</v>
      </c>
      <c r="J1880" s="1">
        <v>3.7519999999999998</v>
      </c>
      <c r="K1880" s="1">
        <v>21.248000000000001</v>
      </c>
      <c r="L1880" s="1">
        <v>15.01</v>
      </c>
      <c r="M1880" s="1">
        <v>50.7</v>
      </c>
      <c r="N1880" s="1">
        <v>4.8529999999999997E-2</v>
      </c>
      <c r="O1880" s="1">
        <v>3.6640000000000002E-4</v>
      </c>
      <c r="P18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0.14861091498976667</v>
      </c>
      <c r="Q1880" s="1">
        <f>LN(Table13[[#This Row],[qe_mg_g]]-Table13[[#This Row],[qt]])</f>
        <v>1.2818748151140718</v>
      </c>
      <c r="R1880" s="1">
        <v>1</v>
      </c>
    </row>
    <row r="1881" spans="1:18" hidden="1" x14ac:dyDescent="0.3">
      <c r="A1881" s="1">
        <v>1880</v>
      </c>
      <c r="B1881" s="1" t="s">
        <v>19</v>
      </c>
      <c r="C1881" s="1">
        <v>1</v>
      </c>
      <c r="D1881" s="1">
        <v>30</v>
      </c>
      <c r="E1881" s="1">
        <v>25</v>
      </c>
      <c r="F1881" s="1">
        <v>11</v>
      </c>
      <c r="G1881" s="1">
        <v>25</v>
      </c>
      <c r="H1881" s="1">
        <v>150</v>
      </c>
      <c r="I1881" s="1">
        <v>100</v>
      </c>
      <c r="J1881" s="1">
        <v>4.157</v>
      </c>
      <c r="K1881" s="1">
        <v>20.843</v>
      </c>
      <c r="L1881" s="1">
        <v>16.63</v>
      </c>
      <c r="M1881" s="1">
        <v>52.5</v>
      </c>
      <c r="N1881" s="1">
        <v>4.1919999999999999E-2</v>
      </c>
      <c r="O1881" s="1">
        <v>3.7350000000000003E-4</v>
      </c>
      <c r="P18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0.18501196547779616</v>
      </c>
      <c r="Q1881" s="1">
        <f>LN(Table13[[#This Row],[qe_mg_g]]-Table13[[#This Row],[qt]])</f>
        <v>1.3792667337217432</v>
      </c>
      <c r="R1881" s="1">
        <v>2</v>
      </c>
    </row>
    <row r="1882" spans="1:18" hidden="1" x14ac:dyDescent="0.3">
      <c r="A1882" s="1">
        <v>1881</v>
      </c>
      <c r="B1882" s="1" t="s">
        <v>19</v>
      </c>
      <c r="C1882" s="1">
        <v>1</v>
      </c>
      <c r="D1882" s="1">
        <v>30</v>
      </c>
      <c r="E1882" s="1">
        <v>25</v>
      </c>
      <c r="F1882" s="1">
        <v>11</v>
      </c>
      <c r="G1882" s="1">
        <v>25</v>
      </c>
      <c r="H1882" s="1">
        <v>150</v>
      </c>
      <c r="I1882" s="1">
        <v>100</v>
      </c>
      <c r="J1882" s="1">
        <v>3.95</v>
      </c>
      <c r="K1882" s="1">
        <v>21.05</v>
      </c>
      <c r="L1882" s="1">
        <v>15.8</v>
      </c>
      <c r="M1882" s="1">
        <v>41.6</v>
      </c>
      <c r="N1882" s="1">
        <v>5.5969999999999999E-2</v>
      </c>
      <c r="O1882" s="1">
        <v>3.658E-4</v>
      </c>
      <c r="P18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0.16410818813639522</v>
      </c>
      <c r="Q1882" s="1">
        <f>LN(Table13[[#This Row],[qe_mg_g]]-Table13[[#This Row],[qt]])</f>
        <v>1.3312814765372083</v>
      </c>
      <c r="R1882" s="1">
        <v>3</v>
      </c>
    </row>
    <row r="1883" spans="1:18" hidden="1" x14ac:dyDescent="0.3">
      <c r="A1883" s="1">
        <v>1882</v>
      </c>
      <c r="B1883" s="1" t="s">
        <v>19</v>
      </c>
      <c r="C1883" s="1">
        <v>1</v>
      </c>
      <c r="D1883" s="1">
        <v>30</v>
      </c>
      <c r="E1883" s="1">
        <v>50</v>
      </c>
      <c r="F1883" s="1">
        <v>3</v>
      </c>
      <c r="G1883" s="1">
        <v>25</v>
      </c>
      <c r="H1883" s="1">
        <v>150</v>
      </c>
      <c r="I1883" s="1">
        <v>100</v>
      </c>
      <c r="J1883" s="1">
        <v>10.036</v>
      </c>
      <c r="K1883" s="1">
        <v>39.963999999999999</v>
      </c>
      <c r="L1883" s="1">
        <v>20.07</v>
      </c>
      <c r="M1883" s="1">
        <v>48.1</v>
      </c>
      <c r="N1883" s="1">
        <v>6.0589999999999998E-2</v>
      </c>
      <c r="O1883" s="1">
        <v>3.3589999999999998E-4</v>
      </c>
      <c r="P18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0.92174942531998305</v>
      </c>
      <c r="Q1883" s="1">
        <f>LN(Table13[[#This Row],[qe_mg_g]]-Table13[[#This Row],[qt]])</f>
        <v>2.2098391858453672</v>
      </c>
      <c r="R1883" s="1">
        <v>1</v>
      </c>
    </row>
    <row r="1884" spans="1:18" hidden="1" x14ac:dyDescent="0.3">
      <c r="A1884" s="1">
        <v>1883</v>
      </c>
      <c r="B1884" s="1" t="s">
        <v>19</v>
      </c>
      <c r="C1884" s="1">
        <v>1</v>
      </c>
      <c r="D1884" s="1">
        <v>30</v>
      </c>
      <c r="E1884" s="1">
        <v>50</v>
      </c>
      <c r="F1884" s="1">
        <v>3</v>
      </c>
      <c r="G1884" s="1">
        <v>25</v>
      </c>
      <c r="H1884" s="1">
        <v>150</v>
      </c>
      <c r="I1884" s="1">
        <v>100</v>
      </c>
      <c r="J1884" s="1">
        <v>9.0389999999999997</v>
      </c>
      <c r="K1884" s="1">
        <v>40.960999999999999</v>
      </c>
      <c r="L1884" s="1">
        <v>18.079999999999998</v>
      </c>
      <c r="M1884" s="1">
        <v>37.799999999999997</v>
      </c>
      <c r="N1884" s="1">
        <v>6.1929999999999999E-2</v>
      </c>
      <c r="O1884" s="1">
        <v>3.7159999999999998E-4</v>
      </c>
      <c r="P18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0.82745125968246425</v>
      </c>
      <c r="Q1884" s="1">
        <f>LN(Table13[[#This Row],[qe_mg_g]]-Table13[[#This Row],[qt]])</f>
        <v>2.1055415463946852</v>
      </c>
      <c r="R1884" s="1">
        <v>2</v>
      </c>
    </row>
    <row r="1885" spans="1:18" hidden="1" x14ac:dyDescent="0.3">
      <c r="A1885" s="1">
        <v>1884</v>
      </c>
      <c r="B1885" s="1" t="s">
        <v>19</v>
      </c>
      <c r="C1885" s="1">
        <v>1</v>
      </c>
      <c r="D1885" s="1">
        <v>30</v>
      </c>
      <c r="E1885" s="1">
        <v>50</v>
      </c>
      <c r="F1885" s="1">
        <v>3</v>
      </c>
      <c r="G1885" s="1">
        <v>25</v>
      </c>
      <c r="H1885" s="1">
        <v>150</v>
      </c>
      <c r="I1885" s="1">
        <v>100</v>
      </c>
      <c r="J1885" s="1">
        <v>10.148999999999999</v>
      </c>
      <c r="K1885" s="1">
        <v>39.850999999999999</v>
      </c>
      <c r="L1885" s="1">
        <v>20.3</v>
      </c>
      <c r="M1885" s="1">
        <v>50.9</v>
      </c>
      <c r="N1885" s="1">
        <v>5.2089999999999997E-2</v>
      </c>
      <c r="O1885" s="1">
        <v>3.123E-4</v>
      </c>
      <c r="P18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0.88123456779874521</v>
      </c>
      <c r="Q1885" s="1">
        <f>LN(Table13[[#This Row],[qe_mg_g]]-Table13[[#This Row],[qt]])</f>
        <v>2.226542296819678</v>
      </c>
      <c r="R1885" s="1">
        <v>3</v>
      </c>
    </row>
    <row r="1886" spans="1:18" hidden="1" x14ac:dyDescent="0.3">
      <c r="A1886" s="1">
        <v>1885</v>
      </c>
      <c r="B1886" s="1" t="s">
        <v>19</v>
      </c>
      <c r="C1886" s="1">
        <v>1</v>
      </c>
      <c r="D1886" s="1">
        <v>30</v>
      </c>
      <c r="E1886" s="1">
        <v>50</v>
      </c>
      <c r="F1886" s="1">
        <v>7</v>
      </c>
      <c r="G1886" s="1">
        <v>25</v>
      </c>
      <c r="H1886" s="1">
        <v>150</v>
      </c>
      <c r="I1886" s="1">
        <v>100</v>
      </c>
      <c r="J1886" s="1">
        <v>15.914</v>
      </c>
      <c r="K1886" s="1">
        <v>34.085999999999999</v>
      </c>
      <c r="L1886" s="1">
        <v>31.83</v>
      </c>
      <c r="M1886" s="1">
        <v>37.200000000000003</v>
      </c>
      <c r="N1886" s="1">
        <v>5.0950000000000002E-2</v>
      </c>
      <c r="O1886" s="1">
        <v>3.391E-4</v>
      </c>
      <c r="P18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2.217387378172293</v>
      </c>
      <c r="Q1886" s="1">
        <f>LN(Table13[[#This Row],[qe_mg_g]]-Table13[[#This Row],[qt]])</f>
        <v>2.6171485483806096</v>
      </c>
      <c r="R1886" s="1">
        <v>1</v>
      </c>
    </row>
    <row r="1887" spans="1:18" hidden="1" x14ac:dyDescent="0.3">
      <c r="A1887" s="1">
        <v>1886</v>
      </c>
      <c r="B1887" s="1" t="s">
        <v>19</v>
      </c>
      <c r="C1887" s="1">
        <v>1</v>
      </c>
      <c r="D1887" s="1">
        <v>30</v>
      </c>
      <c r="E1887" s="1">
        <v>50</v>
      </c>
      <c r="F1887" s="1">
        <v>7</v>
      </c>
      <c r="G1887" s="1">
        <v>25</v>
      </c>
      <c r="H1887" s="1">
        <v>150</v>
      </c>
      <c r="I1887" s="1">
        <v>100</v>
      </c>
      <c r="J1887" s="1">
        <v>17.11</v>
      </c>
      <c r="K1887" s="1">
        <v>32.89</v>
      </c>
      <c r="L1887" s="1">
        <v>34.22</v>
      </c>
      <c r="M1887" s="1">
        <v>54.2</v>
      </c>
      <c r="N1887" s="1">
        <v>5.9369999999999999E-2</v>
      </c>
      <c r="O1887" s="1">
        <v>3.9720000000000001E-4</v>
      </c>
      <c r="P18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2.897652611621417</v>
      </c>
      <c r="Q1887" s="1">
        <f>LN(Table13[[#This Row],[qe_mg_g]]-Table13[[#This Row],[qt]])</f>
        <v>2.6541111211740489</v>
      </c>
      <c r="R1887" s="1">
        <v>2</v>
      </c>
    </row>
    <row r="1888" spans="1:18" hidden="1" x14ac:dyDescent="0.3">
      <c r="A1888" s="1">
        <v>1887</v>
      </c>
      <c r="B1888" s="1" t="s">
        <v>19</v>
      </c>
      <c r="C1888" s="1">
        <v>1</v>
      </c>
      <c r="D1888" s="1">
        <v>30</v>
      </c>
      <c r="E1888" s="1">
        <v>50</v>
      </c>
      <c r="F1888" s="1">
        <v>7</v>
      </c>
      <c r="G1888" s="1">
        <v>25</v>
      </c>
      <c r="H1888" s="1">
        <v>150</v>
      </c>
      <c r="I1888" s="1">
        <v>100</v>
      </c>
      <c r="J1888" s="1">
        <v>17.625</v>
      </c>
      <c r="K1888" s="1">
        <v>32.375</v>
      </c>
      <c r="L1888" s="1">
        <v>35.25</v>
      </c>
      <c r="M1888" s="1">
        <v>58.4</v>
      </c>
      <c r="N1888" s="1">
        <v>5.5070000000000001E-2</v>
      </c>
      <c r="O1888" s="1">
        <v>3.1569999999999998E-4</v>
      </c>
      <c r="P18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2.5212193523134645</v>
      </c>
      <c r="Q1888" s="1">
        <f>LN(Table13[[#This Row],[qe_mg_g]]-Table13[[#This Row],[qt]])</f>
        <v>2.7149450865015106</v>
      </c>
      <c r="R1888" s="1">
        <v>3</v>
      </c>
    </row>
    <row r="1889" spans="1:18" hidden="1" x14ac:dyDescent="0.3">
      <c r="A1889" s="1">
        <v>1888</v>
      </c>
      <c r="B1889" s="1" t="s">
        <v>19</v>
      </c>
      <c r="C1889" s="1">
        <v>1</v>
      </c>
      <c r="D1889" s="1">
        <v>30</v>
      </c>
      <c r="E1889" s="1">
        <v>50</v>
      </c>
      <c r="F1889" s="1">
        <v>11</v>
      </c>
      <c r="G1889" s="1">
        <v>25</v>
      </c>
      <c r="H1889" s="1">
        <v>150</v>
      </c>
      <c r="I1889" s="1">
        <v>100</v>
      </c>
      <c r="J1889" s="1">
        <v>13.14</v>
      </c>
      <c r="K1889" s="1">
        <v>36.86</v>
      </c>
      <c r="L1889" s="1">
        <v>26.28</v>
      </c>
      <c r="M1889" s="1">
        <v>68.3</v>
      </c>
      <c r="N1889" s="1">
        <v>5.688E-2</v>
      </c>
      <c r="O1889" s="1">
        <v>4.171E-4</v>
      </c>
      <c r="P18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1.8554199115058763</v>
      </c>
      <c r="Q1889" s="1">
        <f>LN(Table13[[#This Row],[qe_mg_g]]-Table13[[#This Row],[qt]])</f>
        <v>2.4234371998735345</v>
      </c>
      <c r="R1889" s="1">
        <v>1</v>
      </c>
    </row>
    <row r="1890" spans="1:18" hidden="1" x14ac:dyDescent="0.3">
      <c r="A1890" s="1">
        <v>1889</v>
      </c>
      <c r="B1890" s="1" t="s">
        <v>19</v>
      </c>
      <c r="C1890" s="1">
        <v>1</v>
      </c>
      <c r="D1890" s="1">
        <v>30</v>
      </c>
      <c r="E1890" s="1">
        <v>50</v>
      </c>
      <c r="F1890" s="1">
        <v>11</v>
      </c>
      <c r="G1890" s="1">
        <v>25</v>
      </c>
      <c r="H1890" s="1">
        <v>150</v>
      </c>
      <c r="I1890" s="1">
        <v>100</v>
      </c>
      <c r="J1890" s="1">
        <v>11.157999999999999</v>
      </c>
      <c r="K1890" s="1">
        <v>38.841999999999999</v>
      </c>
      <c r="L1890" s="1">
        <v>22.32</v>
      </c>
      <c r="M1890" s="1">
        <v>45.1</v>
      </c>
      <c r="N1890" s="1">
        <v>5.9700000000000003E-2</v>
      </c>
      <c r="O1890" s="1">
        <v>3.5930000000000001E-4</v>
      </c>
      <c r="P18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1.1979196058873132</v>
      </c>
      <c r="Q1890" s="1">
        <f>LN(Table13[[#This Row],[qe_mg_g]]-Table13[[#This Row],[qt]])</f>
        <v>2.2985851432619917</v>
      </c>
      <c r="R1890" s="1">
        <v>2</v>
      </c>
    </row>
    <row r="1891" spans="1:18" hidden="1" x14ac:dyDescent="0.3">
      <c r="A1891" s="1">
        <v>1890</v>
      </c>
      <c r="B1891" s="1" t="s">
        <v>19</v>
      </c>
      <c r="C1891" s="1">
        <v>1</v>
      </c>
      <c r="D1891" s="1">
        <v>30</v>
      </c>
      <c r="E1891" s="1">
        <v>50</v>
      </c>
      <c r="F1891" s="1">
        <v>11</v>
      </c>
      <c r="G1891" s="1">
        <v>25</v>
      </c>
      <c r="H1891" s="1">
        <v>150</v>
      </c>
      <c r="I1891" s="1">
        <v>100</v>
      </c>
      <c r="J1891" s="1">
        <v>13.641</v>
      </c>
      <c r="K1891" s="1">
        <v>36.359000000000002</v>
      </c>
      <c r="L1891" s="1">
        <v>27.28</v>
      </c>
      <c r="M1891" s="1">
        <v>54.4</v>
      </c>
      <c r="N1891" s="1">
        <v>5.0229999999999997E-2</v>
      </c>
      <c r="O1891" s="1">
        <v>3.4249999999999998E-4</v>
      </c>
      <c r="P18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1.6769030787113866</v>
      </c>
      <c r="Q1891" s="1">
        <f>LN(Table13[[#This Row],[qe_mg_g]]-Table13[[#This Row],[qt]])</f>
        <v>2.4819102418121708</v>
      </c>
      <c r="R1891" s="1">
        <v>3</v>
      </c>
    </row>
    <row r="1892" spans="1:18" hidden="1" x14ac:dyDescent="0.3">
      <c r="A1892" s="1">
        <v>1891</v>
      </c>
      <c r="B1892" s="1" t="s">
        <v>19</v>
      </c>
      <c r="C1892" s="1">
        <v>1</v>
      </c>
      <c r="D1892" s="1">
        <v>30</v>
      </c>
      <c r="E1892" s="1">
        <v>100</v>
      </c>
      <c r="F1892" s="1">
        <v>3</v>
      </c>
      <c r="G1892" s="1">
        <v>25</v>
      </c>
      <c r="H1892" s="1">
        <v>150</v>
      </c>
      <c r="I1892" s="1">
        <v>100</v>
      </c>
      <c r="J1892" s="1">
        <v>27.968</v>
      </c>
      <c r="K1892" s="1">
        <v>72.031999999999996</v>
      </c>
      <c r="L1892" s="1">
        <v>27.97</v>
      </c>
      <c r="M1892" s="1">
        <v>45.3</v>
      </c>
      <c r="N1892" s="1">
        <v>6.0350000000000001E-2</v>
      </c>
      <c r="O1892" s="1">
        <v>3.8049999999999998E-4</v>
      </c>
      <c r="P18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6.7681516492584537</v>
      </c>
      <c r="Q1892" s="1">
        <f>LN(Table13[[#This Row],[qe_mg_g]]-Table13[[#This Row],[qt]])</f>
        <v>3.0539940283854738</v>
      </c>
      <c r="R1892" s="1">
        <v>1</v>
      </c>
    </row>
    <row r="1893" spans="1:18" hidden="1" x14ac:dyDescent="0.3">
      <c r="A1893" s="1">
        <v>1892</v>
      </c>
      <c r="B1893" s="1" t="s">
        <v>19</v>
      </c>
      <c r="C1893" s="1">
        <v>1</v>
      </c>
      <c r="D1893" s="1">
        <v>30</v>
      </c>
      <c r="E1893" s="1">
        <v>100</v>
      </c>
      <c r="F1893" s="1">
        <v>3</v>
      </c>
      <c r="G1893" s="1">
        <v>25</v>
      </c>
      <c r="H1893" s="1">
        <v>150</v>
      </c>
      <c r="I1893" s="1">
        <v>100</v>
      </c>
      <c r="J1893" s="1">
        <v>32.125</v>
      </c>
      <c r="K1893" s="1">
        <v>67.875</v>
      </c>
      <c r="L1893" s="1">
        <v>32.119999999999997</v>
      </c>
      <c r="M1893" s="1">
        <v>40.5</v>
      </c>
      <c r="N1893" s="1">
        <v>5.3030000000000001E-2</v>
      </c>
      <c r="O1893" s="1">
        <v>3.0709999999999998E-4</v>
      </c>
      <c r="P18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7.3365721254996616</v>
      </c>
      <c r="Q1893" s="1">
        <f>LN(Table13[[#This Row],[qe_mg_g]]-Table13[[#This Row],[qt]])</f>
        <v>3.2103769263072008</v>
      </c>
      <c r="R1893" s="1">
        <v>2</v>
      </c>
    </row>
    <row r="1894" spans="1:18" hidden="1" x14ac:dyDescent="0.3">
      <c r="A1894" s="1">
        <v>1893</v>
      </c>
      <c r="B1894" s="1" t="s">
        <v>19</v>
      </c>
      <c r="C1894" s="1">
        <v>1</v>
      </c>
      <c r="D1894" s="1">
        <v>30</v>
      </c>
      <c r="E1894" s="1">
        <v>100</v>
      </c>
      <c r="F1894" s="1">
        <v>3</v>
      </c>
      <c r="G1894" s="1">
        <v>25</v>
      </c>
      <c r="H1894" s="1">
        <v>150</v>
      </c>
      <c r="I1894" s="1">
        <v>100</v>
      </c>
      <c r="J1894" s="1">
        <v>33.908999999999999</v>
      </c>
      <c r="K1894" s="1">
        <v>66.090999999999994</v>
      </c>
      <c r="L1894" s="1">
        <v>33.909999999999997</v>
      </c>
      <c r="M1894" s="1">
        <v>49.8</v>
      </c>
      <c r="N1894" s="1">
        <v>4.9029999999999997E-2</v>
      </c>
      <c r="O1894" s="1">
        <v>3.5100000000000002E-4</v>
      </c>
      <c r="P18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8.9219281145396945</v>
      </c>
      <c r="Q1894" s="1">
        <f>LN(Table13[[#This Row],[qe_mg_g]]-Table13[[#This Row],[qt]])</f>
        <v>3.2183585665315824</v>
      </c>
      <c r="R1894" s="1">
        <v>3</v>
      </c>
    </row>
    <row r="1895" spans="1:18" hidden="1" x14ac:dyDescent="0.3">
      <c r="A1895" s="1">
        <v>1894</v>
      </c>
      <c r="B1895" s="1" t="s">
        <v>19</v>
      </c>
      <c r="C1895" s="1">
        <v>1</v>
      </c>
      <c r="D1895" s="1">
        <v>30</v>
      </c>
      <c r="E1895" s="1">
        <v>100</v>
      </c>
      <c r="F1895" s="1">
        <v>7</v>
      </c>
      <c r="G1895" s="1">
        <v>25</v>
      </c>
      <c r="H1895" s="1">
        <v>150</v>
      </c>
      <c r="I1895" s="1">
        <v>100</v>
      </c>
      <c r="J1895" s="1">
        <v>46.469000000000001</v>
      </c>
      <c r="K1895" s="1">
        <v>53.530999999999999</v>
      </c>
      <c r="L1895" s="1">
        <v>46.47</v>
      </c>
      <c r="M1895" s="1">
        <v>66.7</v>
      </c>
      <c r="N1895" s="1">
        <v>5.0959999999999998E-2</v>
      </c>
      <c r="O1895" s="1">
        <v>3.01E-4</v>
      </c>
      <c r="P18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13.735478792733584</v>
      </c>
      <c r="Q1895" s="1">
        <f>LN(Table13[[#This Row],[qe_mg_g]]-Table13[[#This Row],[qt]])</f>
        <v>3.4883996662053636</v>
      </c>
      <c r="R1895" s="1">
        <v>1</v>
      </c>
    </row>
    <row r="1896" spans="1:18" hidden="1" x14ac:dyDescent="0.3">
      <c r="A1896" s="1">
        <v>1895</v>
      </c>
      <c r="B1896" s="1" t="s">
        <v>19</v>
      </c>
      <c r="C1896" s="1">
        <v>1</v>
      </c>
      <c r="D1896" s="1">
        <v>30</v>
      </c>
      <c r="E1896" s="1">
        <v>100</v>
      </c>
      <c r="F1896" s="1">
        <v>7</v>
      </c>
      <c r="G1896" s="1">
        <v>25</v>
      </c>
      <c r="H1896" s="1">
        <v>150</v>
      </c>
      <c r="I1896" s="1">
        <v>100</v>
      </c>
      <c r="J1896" s="1">
        <v>41.317</v>
      </c>
      <c r="K1896" s="1">
        <v>58.683</v>
      </c>
      <c r="L1896" s="1">
        <v>41.32</v>
      </c>
      <c r="M1896" s="1">
        <v>54.3</v>
      </c>
      <c r="N1896" s="1">
        <v>5.1909999999999998E-2</v>
      </c>
      <c r="O1896" s="1">
        <v>2.9999999999999997E-4</v>
      </c>
      <c r="P18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11.199341621150371</v>
      </c>
      <c r="Q1896" s="1">
        <f>LN(Table13[[#This Row],[qe_mg_g]]-Table13[[#This Row],[qt]])</f>
        <v>3.4051116568434625</v>
      </c>
      <c r="R1896" s="1">
        <v>2</v>
      </c>
    </row>
    <row r="1897" spans="1:18" hidden="1" x14ac:dyDescent="0.3">
      <c r="A1897" s="1">
        <v>1896</v>
      </c>
      <c r="B1897" s="1" t="s">
        <v>19</v>
      </c>
      <c r="C1897" s="1">
        <v>1</v>
      </c>
      <c r="D1897" s="1">
        <v>30</v>
      </c>
      <c r="E1897" s="1">
        <v>100</v>
      </c>
      <c r="F1897" s="1">
        <v>7</v>
      </c>
      <c r="G1897" s="1">
        <v>25</v>
      </c>
      <c r="H1897" s="1">
        <v>150</v>
      </c>
      <c r="I1897" s="1">
        <v>100</v>
      </c>
      <c r="J1897" s="1">
        <v>52.698999999999998</v>
      </c>
      <c r="K1897" s="1">
        <v>47.301000000000002</v>
      </c>
      <c r="L1897" s="1">
        <v>52.7</v>
      </c>
      <c r="M1897" s="1">
        <v>60</v>
      </c>
      <c r="N1897" s="1">
        <v>5.484E-2</v>
      </c>
      <c r="O1897" s="1">
        <v>3.9780000000000002E-4</v>
      </c>
      <c r="P18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20.346688125673126</v>
      </c>
      <c r="Q1897" s="1">
        <f>LN(Table13[[#This Row],[qe_mg_g]]-Table13[[#This Row],[qt]])</f>
        <v>3.4766854828239548</v>
      </c>
      <c r="R1897" s="1">
        <v>3</v>
      </c>
    </row>
    <row r="1898" spans="1:18" hidden="1" x14ac:dyDescent="0.3">
      <c r="A1898" s="1">
        <v>1897</v>
      </c>
      <c r="B1898" s="1" t="s">
        <v>19</v>
      </c>
      <c r="C1898" s="1">
        <v>1</v>
      </c>
      <c r="D1898" s="1">
        <v>30</v>
      </c>
      <c r="E1898" s="1">
        <v>100</v>
      </c>
      <c r="F1898" s="1">
        <v>11</v>
      </c>
      <c r="G1898" s="1">
        <v>25</v>
      </c>
      <c r="H1898" s="1">
        <v>150</v>
      </c>
      <c r="I1898" s="1">
        <v>100</v>
      </c>
      <c r="J1898" s="1">
        <v>39.799999999999997</v>
      </c>
      <c r="K1898" s="1">
        <v>60.2</v>
      </c>
      <c r="L1898" s="1">
        <v>39.799999999999997</v>
      </c>
      <c r="M1898" s="1">
        <v>47.8</v>
      </c>
      <c r="N1898" s="1">
        <v>4.9279999999999997E-2</v>
      </c>
      <c r="O1898" s="1">
        <v>3.7859999999999999E-4</v>
      </c>
      <c r="P18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12.390445332263027</v>
      </c>
      <c r="Q1898" s="1">
        <f>LN(Table13[[#This Row],[qe_mg_g]]-Table13[[#This Row],[qt]])</f>
        <v>3.3108916631099974</v>
      </c>
      <c r="R1898" s="1">
        <v>1</v>
      </c>
    </row>
    <row r="1899" spans="1:18" hidden="1" x14ac:dyDescent="0.3">
      <c r="A1899" s="1">
        <v>1898</v>
      </c>
      <c r="B1899" s="1" t="s">
        <v>19</v>
      </c>
      <c r="C1899" s="1">
        <v>1</v>
      </c>
      <c r="D1899" s="1">
        <v>30</v>
      </c>
      <c r="E1899" s="1">
        <v>100</v>
      </c>
      <c r="F1899" s="1">
        <v>11</v>
      </c>
      <c r="G1899" s="1">
        <v>25</v>
      </c>
      <c r="H1899" s="1">
        <v>150</v>
      </c>
      <c r="I1899" s="1">
        <v>100</v>
      </c>
      <c r="J1899" s="1">
        <v>39.091999999999999</v>
      </c>
      <c r="K1899" s="1">
        <v>60.908000000000001</v>
      </c>
      <c r="L1899" s="1">
        <v>39.090000000000003</v>
      </c>
      <c r="M1899" s="1">
        <v>55.9</v>
      </c>
      <c r="N1899" s="1">
        <v>5.0340000000000003E-2</v>
      </c>
      <c r="O1899" s="1">
        <v>3.7130000000000003E-4</v>
      </c>
      <c r="P18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11.858648293651896</v>
      </c>
      <c r="Q1899" s="1">
        <f>LN(Table13[[#This Row],[qe_mg_g]]-Table13[[#This Row],[qt]])</f>
        <v>3.304442387849325</v>
      </c>
      <c r="R1899" s="1">
        <v>2</v>
      </c>
    </row>
    <row r="1900" spans="1:18" hidden="1" x14ac:dyDescent="0.3">
      <c r="A1900" s="1">
        <v>1899</v>
      </c>
      <c r="B1900" s="1" t="s">
        <v>19</v>
      </c>
      <c r="C1900" s="1">
        <v>1</v>
      </c>
      <c r="D1900" s="1">
        <v>30</v>
      </c>
      <c r="E1900" s="1">
        <v>100</v>
      </c>
      <c r="F1900" s="1">
        <v>11</v>
      </c>
      <c r="G1900" s="1">
        <v>25</v>
      </c>
      <c r="H1900" s="1">
        <v>150</v>
      </c>
      <c r="I1900" s="1">
        <v>100</v>
      </c>
      <c r="J1900" s="1">
        <v>36.024999999999999</v>
      </c>
      <c r="K1900" s="1">
        <v>63.975000000000001</v>
      </c>
      <c r="L1900" s="1">
        <v>36.020000000000003</v>
      </c>
      <c r="M1900" s="1">
        <v>53.7</v>
      </c>
      <c r="N1900" s="1">
        <v>6.2960000000000002E-2</v>
      </c>
      <c r="O1900" s="1">
        <v>3.2689999999999998E-4</v>
      </c>
      <c r="P19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9.4048306347606143</v>
      </c>
      <c r="Q1900" s="1">
        <f>LN(Table13[[#This Row],[qe_mg_g]]-Table13[[#This Row],[qt]])</f>
        <v>3.2816691752772815</v>
      </c>
      <c r="R1900" s="1">
        <v>3</v>
      </c>
    </row>
    <row r="1901" spans="1:18" hidden="1" x14ac:dyDescent="0.3">
      <c r="A1901" s="1">
        <v>1900</v>
      </c>
      <c r="B1901" s="1" t="s">
        <v>19</v>
      </c>
      <c r="C1901" s="1">
        <v>1</v>
      </c>
      <c r="D1901" s="1">
        <v>30</v>
      </c>
      <c r="E1901" s="1">
        <v>200</v>
      </c>
      <c r="F1901" s="1">
        <v>3</v>
      </c>
      <c r="G1901" s="1">
        <v>25</v>
      </c>
      <c r="H1901" s="1">
        <v>150</v>
      </c>
      <c r="I1901" s="1">
        <v>100</v>
      </c>
      <c r="J1901" s="1">
        <v>75.539000000000001</v>
      </c>
      <c r="K1901" s="1">
        <v>124.461</v>
      </c>
      <c r="L1901" s="1">
        <v>37.770000000000003</v>
      </c>
      <c r="M1901" s="1">
        <v>45.9</v>
      </c>
      <c r="N1901" s="1">
        <v>6.0470000000000003E-2</v>
      </c>
      <c r="O1901" s="1">
        <v>3.589E-4</v>
      </c>
      <c r="P19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33.881350200630756</v>
      </c>
      <c r="Q1901" s="1">
        <f>LN(Table13[[#This Row],[qe_mg_g]]-Table13[[#This Row],[qt]])</f>
        <v>3.7294850204001526</v>
      </c>
      <c r="R1901" s="1">
        <v>1</v>
      </c>
    </row>
    <row r="1902" spans="1:18" hidden="1" x14ac:dyDescent="0.3">
      <c r="A1902" s="1">
        <v>1901</v>
      </c>
      <c r="B1902" s="1" t="s">
        <v>19</v>
      </c>
      <c r="C1902" s="1">
        <v>1</v>
      </c>
      <c r="D1902" s="1">
        <v>30</v>
      </c>
      <c r="E1902" s="1">
        <v>200</v>
      </c>
      <c r="F1902" s="1">
        <v>3</v>
      </c>
      <c r="G1902" s="1">
        <v>25</v>
      </c>
      <c r="H1902" s="1">
        <v>150</v>
      </c>
      <c r="I1902" s="1">
        <v>100</v>
      </c>
      <c r="J1902" s="1">
        <v>84.119</v>
      </c>
      <c r="K1902" s="1">
        <v>115.881</v>
      </c>
      <c r="L1902" s="1">
        <v>42.06</v>
      </c>
      <c r="M1902" s="1">
        <v>50.4</v>
      </c>
      <c r="N1902" s="1">
        <v>5.7669999999999999E-2</v>
      </c>
      <c r="O1902" s="1">
        <v>3.2029999999999998E-4</v>
      </c>
      <c r="P19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37.600709556945397</v>
      </c>
      <c r="Q1902" s="1">
        <f>LN(Table13[[#This Row],[qe_mg_g]]-Table13[[#This Row],[qt]])</f>
        <v>3.8398455781156766</v>
      </c>
      <c r="R1902" s="1">
        <v>2</v>
      </c>
    </row>
    <row r="1903" spans="1:18" hidden="1" x14ac:dyDescent="0.3">
      <c r="A1903" s="1">
        <v>1902</v>
      </c>
      <c r="B1903" s="1" t="s">
        <v>19</v>
      </c>
      <c r="C1903" s="1">
        <v>1</v>
      </c>
      <c r="D1903" s="1">
        <v>30</v>
      </c>
      <c r="E1903" s="1">
        <v>200</v>
      </c>
      <c r="F1903" s="1">
        <v>3</v>
      </c>
      <c r="G1903" s="1">
        <v>25</v>
      </c>
      <c r="H1903" s="1">
        <v>150</v>
      </c>
      <c r="I1903" s="1">
        <v>100</v>
      </c>
      <c r="J1903" s="1">
        <v>86.700999999999993</v>
      </c>
      <c r="K1903" s="1">
        <v>113.29900000000001</v>
      </c>
      <c r="L1903" s="1">
        <v>43.35</v>
      </c>
      <c r="M1903" s="1">
        <v>48.6</v>
      </c>
      <c r="N1903" s="1">
        <v>5.006E-2</v>
      </c>
      <c r="O1903" s="1">
        <v>3.277E-4</v>
      </c>
      <c r="P19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39.895241095997129</v>
      </c>
      <c r="Q1903" s="1">
        <f>LN(Table13[[#This Row],[qe_mg_g]]-Table13[[#This Row],[qt]])</f>
        <v>3.8460062488574742</v>
      </c>
      <c r="R1903" s="1">
        <v>3</v>
      </c>
    </row>
    <row r="1904" spans="1:18" hidden="1" x14ac:dyDescent="0.3">
      <c r="A1904" s="1">
        <v>1903</v>
      </c>
      <c r="B1904" s="1" t="s">
        <v>19</v>
      </c>
      <c r="C1904" s="1">
        <v>1</v>
      </c>
      <c r="D1904" s="1">
        <v>30</v>
      </c>
      <c r="E1904" s="1">
        <v>200</v>
      </c>
      <c r="F1904" s="1">
        <v>7</v>
      </c>
      <c r="G1904" s="1">
        <v>25</v>
      </c>
      <c r="H1904" s="1">
        <v>150</v>
      </c>
      <c r="I1904" s="1">
        <v>100</v>
      </c>
      <c r="J1904" s="1">
        <v>122.42</v>
      </c>
      <c r="K1904" s="1">
        <v>77.58</v>
      </c>
      <c r="L1904" s="1">
        <v>61.21</v>
      </c>
      <c r="M1904" s="1">
        <v>54.1</v>
      </c>
      <c r="N1904" s="1">
        <v>5.6300000000000003E-2</v>
      </c>
      <c r="O1904" s="1">
        <v>2.209E-4</v>
      </c>
      <c r="P19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54.832338355649057</v>
      </c>
      <c r="Q1904" s="1">
        <f>LN(Table13[[#This Row],[qe_mg_g]]-Table13[[#This Row],[qt]])</f>
        <v>4.2134254463361263</v>
      </c>
      <c r="R1904" s="1">
        <v>1</v>
      </c>
    </row>
    <row r="1905" spans="1:18" hidden="1" x14ac:dyDescent="0.3">
      <c r="A1905" s="1">
        <v>1904</v>
      </c>
      <c r="B1905" s="1" t="s">
        <v>19</v>
      </c>
      <c r="C1905" s="1">
        <v>1</v>
      </c>
      <c r="D1905" s="1">
        <v>30</v>
      </c>
      <c r="E1905" s="1">
        <v>200</v>
      </c>
      <c r="F1905" s="1">
        <v>7</v>
      </c>
      <c r="G1905" s="1">
        <v>25</v>
      </c>
      <c r="H1905" s="1">
        <v>150</v>
      </c>
      <c r="I1905" s="1">
        <v>100</v>
      </c>
      <c r="J1905" s="1">
        <v>118.616</v>
      </c>
      <c r="K1905" s="1">
        <v>81.384</v>
      </c>
      <c r="L1905" s="1">
        <v>59.31</v>
      </c>
      <c r="M1905" s="1">
        <v>51.3</v>
      </c>
      <c r="N1905" s="1">
        <v>6.3280000000000003E-2</v>
      </c>
      <c r="O1905" s="1">
        <v>3.122E-4</v>
      </c>
      <c r="P19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62.425383906408769</v>
      </c>
      <c r="Q1905" s="1">
        <f>LN(Table13[[#This Row],[qe_mg_g]]-Table13[[#This Row],[qt]])</f>
        <v>4.0287497695343877</v>
      </c>
      <c r="R1905" s="1">
        <v>2</v>
      </c>
    </row>
    <row r="1906" spans="1:18" hidden="1" x14ac:dyDescent="0.3">
      <c r="A1906" s="1">
        <v>1905</v>
      </c>
      <c r="B1906" s="1" t="s">
        <v>19</v>
      </c>
      <c r="C1906" s="1">
        <v>1</v>
      </c>
      <c r="D1906" s="1">
        <v>30</v>
      </c>
      <c r="E1906" s="1">
        <v>200</v>
      </c>
      <c r="F1906" s="1">
        <v>7</v>
      </c>
      <c r="G1906" s="1">
        <v>25</v>
      </c>
      <c r="H1906" s="1">
        <v>150</v>
      </c>
      <c r="I1906" s="1">
        <v>100</v>
      </c>
      <c r="J1906" s="1">
        <v>127.15600000000001</v>
      </c>
      <c r="K1906" s="1">
        <v>72.843999999999994</v>
      </c>
      <c r="L1906" s="1">
        <v>63.58</v>
      </c>
      <c r="M1906" s="1">
        <v>66.8</v>
      </c>
      <c r="N1906" s="1">
        <v>4.7780000000000003E-2</v>
      </c>
      <c r="O1906" s="1">
        <v>3.6380000000000001E-4</v>
      </c>
      <c r="P19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73.903200788864453</v>
      </c>
      <c r="Q1906" s="1">
        <f>LN(Table13[[#This Row],[qe_mg_g]]-Table13[[#This Row],[qt]])</f>
        <v>3.9750503705531886</v>
      </c>
      <c r="R1906" s="1">
        <v>3</v>
      </c>
    </row>
    <row r="1907" spans="1:18" hidden="1" x14ac:dyDescent="0.3">
      <c r="A1907" s="1">
        <v>1906</v>
      </c>
      <c r="B1907" s="1" t="s">
        <v>19</v>
      </c>
      <c r="C1907" s="1">
        <v>1</v>
      </c>
      <c r="D1907" s="1">
        <v>30</v>
      </c>
      <c r="E1907" s="1">
        <v>200</v>
      </c>
      <c r="F1907" s="1">
        <v>11</v>
      </c>
      <c r="G1907" s="1">
        <v>25</v>
      </c>
      <c r="H1907" s="1">
        <v>150</v>
      </c>
      <c r="I1907" s="1">
        <v>100</v>
      </c>
      <c r="J1907" s="1">
        <v>95.274000000000001</v>
      </c>
      <c r="K1907" s="1">
        <v>104.726</v>
      </c>
      <c r="L1907" s="1">
        <v>47.64</v>
      </c>
      <c r="M1907" s="1">
        <v>50.4</v>
      </c>
      <c r="N1907" s="1">
        <v>5.058E-2</v>
      </c>
      <c r="O1907" s="1">
        <v>3.2440000000000002E-4</v>
      </c>
      <c r="P19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45.837680312239371</v>
      </c>
      <c r="Q1907" s="1">
        <f>LN(Table13[[#This Row],[qe_mg_g]]-Table13[[#This Row],[qt]])</f>
        <v>3.9006853704061637</v>
      </c>
      <c r="R1907" s="1">
        <v>1</v>
      </c>
    </row>
    <row r="1908" spans="1:18" hidden="1" x14ac:dyDescent="0.3">
      <c r="A1908" s="1">
        <v>1907</v>
      </c>
      <c r="B1908" s="1" t="s">
        <v>19</v>
      </c>
      <c r="C1908" s="1">
        <v>1</v>
      </c>
      <c r="D1908" s="1">
        <v>30</v>
      </c>
      <c r="E1908" s="1">
        <v>200</v>
      </c>
      <c r="F1908" s="1">
        <v>11</v>
      </c>
      <c r="G1908" s="1">
        <v>25</v>
      </c>
      <c r="H1908" s="1">
        <v>150</v>
      </c>
      <c r="I1908" s="1">
        <v>100</v>
      </c>
      <c r="J1908" s="1">
        <v>120.175</v>
      </c>
      <c r="K1908" s="1">
        <v>79.825000000000003</v>
      </c>
      <c r="L1908" s="1">
        <v>60.09</v>
      </c>
      <c r="M1908" s="1">
        <v>61.5</v>
      </c>
      <c r="N1908" s="1">
        <v>6.1060000000000003E-2</v>
      </c>
      <c r="O1908" s="1">
        <v>3.6719999999999998E-4</v>
      </c>
      <c r="P19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68.461200154760547</v>
      </c>
      <c r="Q1908" s="1">
        <f>LN(Table13[[#This Row],[qe_mg_g]]-Table13[[#This Row],[qt]])</f>
        <v>3.9457246674685211</v>
      </c>
      <c r="R1908" s="1">
        <v>2</v>
      </c>
    </row>
    <row r="1909" spans="1:18" hidden="1" x14ac:dyDescent="0.3">
      <c r="A1909" s="1">
        <v>1908</v>
      </c>
      <c r="B1909" s="1" t="s">
        <v>19</v>
      </c>
      <c r="C1909" s="1">
        <v>1</v>
      </c>
      <c r="D1909" s="1">
        <v>30</v>
      </c>
      <c r="E1909" s="1">
        <v>200</v>
      </c>
      <c r="F1909" s="1">
        <v>11</v>
      </c>
      <c r="G1909" s="1">
        <v>25</v>
      </c>
      <c r="H1909" s="1">
        <v>150</v>
      </c>
      <c r="I1909" s="1">
        <v>100</v>
      </c>
      <c r="J1909" s="1">
        <v>89.593000000000004</v>
      </c>
      <c r="K1909" s="1">
        <v>110.407</v>
      </c>
      <c r="L1909" s="1">
        <v>44.8</v>
      </c>
      <c r="M1909" s="1">
        <v>57.8</v>
      </c>
      <c r="N1909" s="1">
        <v>6.0900000000000003E-2</v>
      </c>
      <c r="O1909" s="1">
        <v>3.2009999999999997E-4</v>
      </c>
      <c r="P19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41.434082394230629</v>
      </c>
      <c r="Q1909" s="1">
        <f>LN(Table13[[#This Row],[qe_mg_g]]-Table13[[#This Row],[qt]])</f>
        <v>3.8745063257847394</v>
      </c>
      <c r="R1909" s="1">
        <v>3</v>
      </c>
    </row>
    <row r="1910" spans="1:18" hidden="1" x14ac:dyDescent="0.3">
      <c r="A1910" s="1">
        <v>1909</v>
      </c>
      <c r="B1910" s="1" t="s">
        <v>19</v>
      </c>
      <c r="C1910" s="1">
        <v>1</v>
      </c>
      <c r="D1910" s="1">
        <v>60</v>
      </c>
      <c r="E1910" s="1">
        <v>25</v>
      </c>
      <c r="F1910" s="1">
        <v>3</v>
      </c>
      <c r="G1910" s="1">
        <v>25</v>
      </c>
      <c r="H1910" s="1">
        <v>150</v>
      </c>
      <c r="I1910" s="1">
        <v>100</v>
      </c>
      <c r="J1910" s="1">
        <v>5.4009999999999998</v>
      </c>
      <c r="K1910" s="1">
        <v>19.599</v>
      </c>
      <c r="L1910" s="1">
        <v>21.6</v>
      </c>
      <c r="M1910" s="1">
        <v>60.3</v>
      </c>
      <c r="N1910" s="1">
        <v>6.5189999999999998E-2</v>
      </c>
      <c r="O1910" s="1">
        <v>3.3540000000000002E-4</v>
      </c>
      <c r="P19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0.52948375601973197</v>
      </c>
      <c r="Q1910" s="1">
        <f>LN(Table13[[#This Row],[qe_mg_g]]-Table13[[#This Row],[qt]])</f>
        <v>1.5834052323702106</v>
      </c>
      <c r="R1910" s="1">
        <v>1</v>
      </c>
    </row>
    <row r="1911" spans="1:18" hidden="1" x14ac:dyDescent="0.3">
      <c r="A1911" s="1">
        <v>1910</v>
      </c>
      <c r="B1911" s="1" t="s">
        <v>19</v>
      </c>
      <c r="C1911" s="1">
        <v>1</v>
      </c>
      <c r="D1911" s="1">
        <v>60</v>
      </c>
      <c r="E1911" s="1">
        <v>25</v>
      </c>
      <c r="F1911" s="1">
        <v>3</v>
      </c>
      <c r="G1911" s="1">
        <v>25</v>
      </c>
      <c r="H1911" s="1">
        <v>150</v>
      </c>
      <c r="I1911" s="1">
        <v>100</v>
      </c>
      <c r="J1911" s="1">
        <v>4.67</v>
      </c>
      <c r="K1911" s="1">
        <v>20.329999999999998</v>
      </c>
      <c r="L1911" s="1">
        <v>18.68</v>
      </c>
      <c r="M1911" s="1">
        <v>51.6</v>
      </c>
      <c r="N1911" s="1">
        <v>6.2899999999999998E-2</v>
      </c>
      <c r="O1911" s="1">
        <v>2.8600000000000001E-4</v>
      </c>
      <c r="P19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0.34647517370941394</v>
      </c>
      <c r="Q1911" s="1">
        <f>LN(Table13[[#This Row],[qe_mg_g]]-Table13[[#This Row],[qt]])</f>
        <v>1.4640710015761615</v>
      </c>
      <c r="R1911" s="1">
        <v>2</v>
      </c>
    </row>
    <row r="1912" spans="1:18" hidden="1" x14ac:dyDescent="0.3">
      <c r="A1912" s="1">
        <v>1911</v>
      </c>
      <c r="B1912" s="1" t="s">
        <v>19</v>
      </c>
      <c r="C1912" s="1">
        <v>1</v>
      </c>
      <c r="D1912" s="1">
        <v>60</v>
      </c>
      <c r="E1912" s="1">
        <v>25</v>
      </c>
      <c r="F1912" s="1">
        <v>3</v>
      </c>
      <c r="G1912" s="1">
        <v>25</v>
      </c>
      <c r="H1912" s="1">
        <v>150</v>
      </c>
      <c r="I1912" s="1">
        <v>100</v>
      </c>
      <c r="J1912" s="1">
        <v>4.3259999999999996</v>
      </c>
      <c r="K1912" s="1">
        <v>20.673999999999999</v>
      </c>
      <c r="L1912" s="1">
        <v>17.309999999999999</v>
      </c>
      <c r="M1912" s="1">
        <v>55.3</v>
      </c>
      <c r="N1912" s="1">
        <v>5.2569999999999999E-2</v>
      </c>
      <c r="O1912" s="1">
        <v>3.503E-4</v>
      </c>
      <c r="P19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0.36055371461356645</v>
      </c>
      <c r="Q1912" s="1">
        <f>LN(Table13[[#This Row],[qe_mg_g]]-Table13[[#This Row],[qt]])</f>
        <v>1.3776184049663123</v>
      </c>
      <c r="R1912" s="1">
        <v>3</v>
      </c>
    </row>
    <row r="1913" spans="1:18" hidden="1" x14ac:dyDescent="0.3">
      <c r="A1913" s="1">
        <v>1912</v>
      </c>
      <c r="B1913" s="1" t="s">
        <v>19</v>
      </c>
      <c r="C1913" s="1">
        <v>1</v>
      </c>
      <c r="D1913" s="1">
        <v>60</v>
      </c>
      <c r="E1913" s="1">
        <v>25</v>
      </c>
      <c r="F1913" s="1">
        <v>7</v>
      </c>
      <c r="G1913" s="1">
        <v>25</v>
      </c>
      <c r="H1913" s="1">
        <v>150</v>
      </c>
      <c r="I1913" s="1">
        <v>100</v>
      </c>
      <c r="J1913" s="1">
        <v>8.7729999999999997</v>
      </c>
      <c r="K1913" s="1">
        <v>16.227</v>
      </c>
      <c r="L1913" s="1">
        <v>35.090000000000003</v>
      </c>
      <c r="M1913" s="1">
        <v>50</v>
      </c>
      <c r="N1913" s="1">
        <v>4.4699999999999997E-2</v>
      </c>
      <c r="O1913" s="1">
        <v>4.216E-4</v>
      </c>
      <c r="P19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1.5933261922631956</v>
      </c>
      <c r="Q1913" s="1">
        <f>LN(Table13[[#This Row],[qe_mg_g]]-Table13[[#This Row],[qt]])</f>
        <v>1.9712539513508029</v>
      </c>
      <c r="R1913" s="1">
        <v>1</v>
      </c>
    </row>
    <row r="1914" spans="1:18" hidden="1" x14ac:dyDescent="0.3">
      <c r="A1914" s="1">
        <v>1913</v>
      </c>
      <c r="B1914" s="1" t="s">
        <v>19</v>
      </c>
      <c r="C1914" s="1">
        <v>1</v>
      </c>
      <c r="D1914" s="1">
        <v>60</v>
      </c>
      <c r="E1914" s="1">
        <v>25</v>
      </c>
      <c r="F1914" s="1">
        <v>7</v>
      </c>
      <c r="G1914" s="1">
        <v>25</v>
      </c>
      <c r="H1914" s="1">
        <v>150</v>
      </c>
      <c r="I1914" s="1">
        <v>100</v>
      </c>
      <c r="J1914" s="1">
        <v>7.6539999999999999</v>
      </c>
      <c r="K1914" s="1">
        <v>17.346</v>
      </c>
      <c r="L1914" s="1">
        <v>30.62</v>
      </c>
      <c r="M1914" s="1">
        <v>45.9</v>
      </c>
      <c r="N1914" s="1">
        <v>6.1069999999999999E-2</v>
      </c>
      <c r="O1914" s="1">
        <v>3.3649999999999999E-4</v>
      </c>
      <c r="P19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1.0244869009257465</v>
      </c>
      <c r="Q1914" s="1">
        <f>LN(Table13[[#This Row],[qe_mg_g]]-Table13[[#This Row],[qt]])</f>
        <v>1.8915313624473349</v>
      </c>
      <c r="R1914" s="1">
        <v>2</v>
      </c>
    </row>
    <row r="1915" spans="1:18" hidden="1" x14ac:dyDescent="0.3">
      <c r="A1915" s="1">
        <v>1914</v>
      </c>
      <c r="B1915" s="1" t="s">
        <v>19</v>
      </c>
      <c r="C1915" s="1">
        <v>1</v>
      </c>
      <c r="D1915" s="1">
        <v>60</v>
      </c>
      <c r="E1915" s="1">
        <v>25</v>
      </c>
      <c r="F1915" s="1">
        <v>7</v>
      </c>
      <c r="G1915" s="1">
        <v>25</v>
      </c>
      <c r="H1915" s="1">
        <v>150</v>
      </c>
      <c r="I1915" s="1">
        <v>100</v>
      </c>
      <c r="J1915" s="1">
        <v>8.1920000000000002</v>
      </c>
      <c r="K1915" s="1">
        <v>16.808</v>
      </c>
      <c r="L1915" s="1">
        <v>32.770000000000003</v>
      </c>
      <c r="M1915" s="1">
        <v>58.5</v>
      </c>
      <c r="N1915" s="1">
        <v>6.096E-2</v>
      </c>
      <c r="O1915" s="1">
        <v>3.3829999999999998E-4</v>
      </c>
      <c r="P19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1.1679650694742902</v>
      </c>
      <c r="Q1915" s="1">
        <f>LN(Table13[[#This Row],[qe_mg_g]]-Table13[[#This Row],[qt]])</f>
        <v>1.9493378293451811</v>
      </c>
      <c r="R1915" s="1">
        <v>3</v>
      </c>
    </row>
    <row r="1916" spans="1:18" hidden="1" x14ac:dyDescent="0.3">
      <c r="A1916" s="1">
        <v>1915</v>
      </c>
      <c r="B1916" s="1" t="s">
        <v>19</v>
      </c>
      <c r="C1916" s="1">
        <v>1</v>
      </c>
      <c r="D1916" s="1">
        <v>60</v>
      </c>
      <c r="E1916" s="1">
        <v>25</v>
      </c>
      <c r="F1916" s="1">
        <v>11</v>
      </c>
      <c r="G1916" s="1">
        <v>25</v>
      </c>
      <c r="H1916" s="1">
        <v>150</v>
      </c>
      <c r="I1916" s="1">
        <v>100</v>
      </c>
      <c r="J1916" s="1">
        <v>6.931</v>
      </c>
      <c r="K1916" s="1">
        <v>18.068999999999999</v>
      </c>
      <c r="L1916" s="1">
        <v>27.72</v>
      </c>
      <c r="M1916" s="1">
        <v>37.1</v>
      </c>
      <c r="N1916" s="1">
        <v>5.9180000000000003E-2</v>
      </c>
      <c r="O1916" s="1">
        <v>3.2059999999999999E-4</v>
      </c>
      <c r="P19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0.81536526429729783</v>
      </c>
      <c r="Q1916" s="1">
        <f>LN(Table13[[#This Row],[qe_mg_g]]-Table13[[#This Row],[qt]])</f>
        <v>1.8108485635401603</v>
      </c>
      <c r="R1916" s="1">
        <v>1</v>
      </c>
    </row>
    <row r="1917" spans="1:18" hidden="1" x14ac:dyDescent="0.3">
      <c r="A1917" s="1">
        <v>1916</v>
      </c>
      <c r="B1917" s="1" t="s">
        <v>19</v>
      </c>
      <c r="C1917" s="1">
        <v>1</v>
      </c>
      <c r="D1917" s="1">
        <v>60</v>
      </c>
      <c r="E1917" s="1">
        <v>25</v>
      </c>
      <c r="F1917" s="1">
        <v>11</v>
      </c>
      <c r="G1917" s="1">
        <v>25</v>
      </c>
      <c r="H1917" s="1">
        <v>150</v>
      </c>
      <c r="I1917" s="1">
        <v>100</v>
      </c>
      <c r="J1917" s="1">
        <v>6.8659999999999997</v>
      </c>
      <c r="K1917" s="1">
        <v>18.134</v>
      </c>
      <c r="L1917" s="1">
        <v>27.47</v>
      </c>
      <c r="M1917" s="1">
        <v>55.7</v>
      </c>
      <c r="N1917" s="1">
        <v>5.1299999999999998E-2</v>
      </c>
      <c r="O1917" s="1">
        <v>3.7320000000000002E-4</v>
      </c>
      <c r="P19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0.91493707602273644</v>
      </c>
      <c r="Q1917" s="1">
        <f>LN(Table13[[#This Row],[qe_mg_g]]-Table13[[#This Row],[qt]])</f>
        <v>1.7835698462880882</v>
      </c>
      <c r="R1917" s="1">
        <v>2</v>
      </c>
    </row>
    <row r="1918" spans="1:18" hidden="1" x14ac:dyDescent="0.3">
      <c r="A1918" s="1">
        <v>1917</v>
      </c>
      <c r="B1918" s="1" t="s">
        <v>19</v>
      </c>
      <c r="C1918" s="1">
        <v>1</v>
      </c>
      <c r="D1918" s="1">
        <v>60</v>
      </c>
      <c r="E1918" s="1">
        <v>25</v>
      </c>
      <c r="F1918" s="1">
        <v>11</v>
      </c>
      <c r="G1918" s="1">
        <v>25</v>
      </c>
      <c r="H1918" s="1">
        <v>150</v>
      </c>
      <c r="I1918" s="1">
        <v>100</v>
      </c>
      <c r="J1918" s="1">
        <v>6.6559999999999997</v>
      </c>
      <c r="K1918" s="1">
        <v>18.344000000000001</v>
      </c>
      <c r="L1918" s="1">
        <v>26.63</v>
      </c>
      <c r="M1918" s="1">
        <v>59.8</v>
      </c>
      <c r="N1918" s="1">
        <v>4.9340000000000002E-2</v>
      </c>
      <c r="O1918" s="1">
        <v>3.3310000000000002E-4</v>
      </c>
      <c r="P19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0.7814700188843543</v>
      </c>
      <c r="Q1918" s="1">
        <f>LN(Table13[[#This Row],[qe_mg_g]]-Table13[[#This Row],[qt]])</f>
        <v>1.7706260536154366</v>
      </c>
      <c r="R1918" s="1">
        <v>3</v>
      </c>
    </row>
    <row r="1919" spans="1:18" hidden="1" x14ac:dyDescent="0.3">
      <c r="A1919" s="1">
        <v>1918</v>
      </c>
      <c r="B1919" s="1" t="s">
        <v>19</v>
      </c>
      <c r="C1919" s="1">
        <v>1</v>
      </c>
      <c r="D1919" s="1">
        <v>60</v>
      </c>
      <c r="E1919" s="1">
        <v>50</v>
      </c>
      <c r="F1919" s="1">
        <v>3</v>
      </c>
      <c r="G1919" s="1">
        <v>25</v>
      </c>
      <c r="H1919" s="1">
        <v>150</v>
      </c>
      <c r="I1919" s="1">
        <v>100</v>
      </c>
      <c r="J1919" s="1">
        <v>15.775</v>
      </c>
      <c r="K1919" s="1">
        <v>34.225000000000001</v>
      </c>
      <c r="L1919" s="1">
        <v>31.55</v>
      </c>
      <c r="M1919" s="1">
        <v>54.2</v>
      </c>
      <c r="N1919" s="1">
        <v>5.9119999999999999E-2</v>
      </c>
      <c r="O1919" s="1">
        <v>2.7950000000000002E-4</v>
      </c>
      <c r="P19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3.300174533879431</v>
      </c>
      <c r="Q1919" s="1">
        <f>LN(Table13[[#This Row],[qe_mg_g]]-Table13[[#This Row],[qt]])</f>
        <v>2.5237126508479739</v>
      </c>
      <c r="R1919" s="1">
        <v>1</v>
      </c>
    </row>
    <row r="1920" spans="1:18" hidden="1" x14ac:dyDescent="0.3">
      <c r="A1920" s="1">
        <v>1919</v>
      </c>
      <c r="B1920" s="1" t="s">
        <v>19</v>
      </c>
      <c r="C1920" s="1">
        <v>1</v>
      </c>
      <c r="D1920" s="1">
        <v>60</v>
      </c>
      <c r="E1920" s="1">
        <v>50</v>
      </c>
      <c r="F1920" s="1">
        <v>3</v>
      </c>
      <c r="G1920" s="1">
        <v>25</v>
      </c>
      <c r="H1920" s="1">
        <v>150</v>
      </c>
      <c r="I1920" s="1">
        <v>100</v>
      </c>
      <c r="J1920" s="1">
        <v>16.149000000000001</v>
      </c>
      <c r="K1920" s="1">
        <v>33.850999999999999</v>
      </c>
      <c r="L1920" s="1">
        <v>32.299999999999997</v>
      </c>
      <c r="M1920" s="1">
        <v>52.2</v>
      </c>
      <c r="N1920" s="1">
        <v>5.0389999999999997E-2</v>
      </c>
      <c r="O1920" s="1">
        <v>3.2400000000000001E-4</v>
      </c>
      <c r="P19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3.8584522737079485</v>
      </c>
      <c r="Q1920" s="1">
        <f>LN(Table13[[#This Row],[qe_mg_g]]-Table13[[#This Row],[qt]])</f>
        <v>2.5088304894109137</v>
      </c>
      <c r="R1920" s="1">
        <v>2</v>
      </c>
    </row>
    <row r="1921" spans="1:18" hidden="1" x14ac:dyDescent="0.3">
      <c r="A1921" s="1">
        <v>1920</v>
      </c>
      <c r="B1921" s="1" t="s">
        <v>19</v>
      </c>
      <c r="C1921" s="1">
        <v>1</v>
      </c>
      <c r="D1921" s="1">
        <v>60</v>
      </c>
      <c r="E1921" s="1">
        <v>50</v>
      </c>
      <c r="F1921" s="1">
        <v>3</v>
      </c>
      <c r="G1921" s="1">
        <v>25</v>
      </c>
      <c r="H1921" s="1">
        <v>150</v>
      </c>
      <c r="I1921" s="1">
        <v>100</v>
      </c>
      <c r="J1921" s="1">
        <v>15.542</v>
      </c>
      <c r="K1921" s="1">
        <v>34.457999999999998</v>
      </c>
      <c r="L1921" s="1">
        <v>31.08</v>
      </c>
      <c r="M1921" s="1">
        <v>25.1</v>
      </c>
      <c r="N1921" s="1">
        <v>5.1139999999999998E-2</v>
      </c>
      <c r="O1921" s="1">
        <v>3.1930000000000001E-4</v>
      </c>
      <c r="P19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3.5659210518382243</v>
      </c>
      <c r="Q1921" s="1">
        <f>LN(Table13[[#This Row],[qe_mg_g]]-Table13[[#This Row],[qt]])</f>
        <v>2.4829112392934758</v>
      </c>
      <c r="R1921" s="1">
        <v>3</v>
      </c>
    </row>
    <row r="1922" spans="1:18" hidden="1" x14ac:dyDescent="0.3">
      <c r="A1922" s="1">
        <v>1921</v>
      </c>
      <c r="B1922" s="1" t="s">
        <v>19</v>
      </c>
      <c r="C1922" s="1">
        <v>1</v>
      </c>
      <c r="D1922" s="1">
        <v>60</v>
      </c>
      <c r="E1922" s="1">
        <v>50</v>
      </c>
      <c r="F1922" s="1">
        <v>7</v>
      </c>
      <c r="G1922" s="1">
        <v>25</v>
      </c>
      <c r="H1922" s="1">
        <v>150</v>
      </c>
      <c r="I1922" s="1">
        <v>100</v>
      </c>
      <c r="J1922" s="1">
        <v>25.408000000000001</v>
      </c>
      <c r="K1922" s="1">
        <v>24.591999999999999</v>
      </c>
      <c r="L1922" s="1">
        <v>50.82</v>
      </c>
      <c r="M1922" s="1">
        <v>48</v>
      </c>
      <c r="N1922" s="1">
        <v>5.382E-2</v>
      </c>
      <c r="O1922" s="1">
        <v>4.0400000000000001E-4</v>
      </c>
      <c r="P19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9.6841566332439317</v>
      </c>
      <c r="Q1922" s="1">
        <f>LN(Table13[[#This Row],[qe_mg_g]]-Table13[[#This Row],[qt]])</f>
        <v>2.7551782460978944</v>
      </c>
      <c r="R1922" s="1">
        <v>1</v>
      </c>
    </row>
    <row r="1923" spans="1:18" hidden="1" x14ac:dyDescent="0.3">
      <c r="A1923" s="1">
        <v>1922</v>
      </c>
      <c r="B1923" s="1" t="s">
        <v>19</v>
      </c>
      <c r="C1923" s="1">
        <v>1</v>
      </c>
      <c r="D1923" s="1">
        <v>60</v>
      </c>
      <c r="E1923" s="1">
        <v>50</v>
      </c>
      <c r="F1923" s="1">
        <v>7</v>
      </c>
      <c r="G1923" s="1">
        <v>25</v>
      </c>
      <c r="H1923" s="1">
        <v>150</v>
      </c>
      <c r="I1923" s="1">
        <v>100</v>
      </c>
      <c r="J1923" s="1">
        <v>26.2</v>
      </c>
      <c r="K1923" s="1">
        <v>23.8</v>
      </c>
      <c r="L1923" s="1">
        <v>52.4</v>
      </c>
      <c r="M1923" s="1">
        <v>61.9</v>
      </c>
      <c r="N1923" s="1">
        <v>5.2249999999999998E-2</v>
      </c>
      <c r="O1923" s="1">
        <v>3.6900000000000002E-4</v>
      </c>
      <c r="P19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9.6184351559553125</v>
      </c>
      <c r="Q1923" s="1">
        <f>LN(Table13[[#This Row],[qe_mg_g]]-Table13[[#This Row],[qt]])</f>
        <v>2.8082915266795991</v>
      </c>
      <c r="R1923" s="1">
        <v>2</v>
      </c>
    </row>
    <row r="1924" spans="1:18" hidden="1" x14ac:dyDescent="0.3">
      <c r="A1924" s="1">
        <v>1923</v>
      </c>
      <c r="B1924" s="1" t="s">
        <v>19</v>
      </c>
      <c r="C1924" s="1">
        <v>1</v>
      </c>
      <c r="D1924" s="1">
        <v>60</v>
      </c>
      <c r="E1924" s="1">
        <v>50</v>
      </c>
      <c r="F1924" s="1">
        <v>7</v>
      </c>
      <c r="G1924" s="1">
        <v>25</v>
      </c>
      <c r="H1924" s="1">
        <v>150</v>
      </c>
      <c r="I1924" s="1">
        <v>100</v>
      </c>
      <c r="J1924" s="1">
        <v>24.094000000000001</v>
      </c>
      <c r="K1924" s="1">
        <v>25.905999999999999</v>
      </c>
      <c r="L1924" s="1">
        <v>48.19</v>
      </c>
      <c r="M1924" s="1">
        <v>52.9</v>
      </c>
      <c r="N1924" s="1">
        <v>5.7250000000000002E-2</v>
      </c>
      <c r="O1924" s="1">
        <v>3.2909999999999998E-4</v>
      </c>
      <c r="P19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7.7674984174162445</v>
      </c>
      <c r="Q1924" s="1">
        <f>LN(Table13[[#This Row],[qe_mg_g]]-Table13[[#This Row],[qt]])</f>
        <v>2.7927896514889752</v>
      </c>
      <c r="R1924" s="1">
        <v>3</v>
      </c>
    </row>
    <row r="1925" spans="1:18" hidden="1" x14ac:dyDescent="0.3">
      <c r="A1925" s="1">
        <v>1924</v>
      </c>
      <c r="B1925" s="1" t="s">
        <v>19</v>
      </c>
      <c r="C1925" s="1">
        <v>1</v>
      </c>
      <c r="D1925" s="1">
        <v>60</v>
      </c>
      <c r="E1925" s="1">
        <v>50</v>
      </c>
      <c r="F1925" s="1">
        <v>11</v>
      </c>
      <c r="G1925" s="1">
        <v>25</v>
      </c>
      <c r="H1925" s="1">
        <v>150</v>
      </c>
      <c r="I1925" s="1">
        <v>100</v>
      </c>
      <c r="J1925" s="1">
        <v>21.157</v>
      </c>
      <c r="K1925" s="1">
        <v>28.843</v>
      </c>
      <c r="L1925" s="1">
        <v>42.31</v>
      </c>
      <c r="M1925" s="1">
        <v>53.2</v>
      </c>
      <c r="N1925" s="1">
        <v>5.8400000000000001E-2</v>
      </c>
      <c r="O1925" s="1">
        <v>4.0089999999999999E-4</v>
      </c>
      <c r="P19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7.1356247703424058</v>
      </c>
      <c r="Q1925" s="1">
        <f>LN(Table13[[#This Row],[qe_mg_g]]-Table13[[#This Row],[qt]])</f>
        <v>2.6405829673563357</v>
      </c>
      <c r="R1925" s="1">
        <v>1</v>
      </c>
    </row>
    <row r="1926" spans="1:18" hidden="1" x14ac:dyDescent="0.3">
      <c r="A1926" s="1">
        <v>1925</v>
      </c>
      <c r="B1926" s="1" t="s">
        <v>19</v>
      </c>
      <c r="C1926" s="1">
        <v>1</v>
      </c>
      <c r="D1926" s="1">
        <v>60</v>
      </c>
      <c r="E1926" s="1">
        <v>50</v>
      </c>
      <c r="F1926" s="1">
        <v>11</v>
      </c>
      <c r="G1926" s="1">
        <v>25</v>
      </c>
      <c r="H1926" s="1">
        <v>150</v>
      </c>
      <c r="I1926" s="1">
        <v>100</v>
      </c>
      <c r="J1926" s="1">
        <v>20.538</v>
      </c>
      <c r="K1926" s="1">
        <v>29.462</v>
      </c>
      <c r="L1926" s="1">
        <v>41.08</v>
      </c>
      <c r="M1926" s="1">
        <v>43</v>
      </c>
      <c r="N1926" s="1">
        <v>5.7450000000000001E-2</v>
      </c>
      <c r="O1926" s="1">
        <v>3.7980000000000002E-4</v>
      </c>
      <c r="P19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6.5477268542286247</v>
      </c>
      <c r="Q1926" s="1">
        <f>LN(Table13[[#This Row],[qe_mg_g]]-Table13[[#This Row],[qt]])</f>
        <v>2.6383623128450031</v>
      </c>
      <c r="R1926" s="1">
        <v>2</v>
      </c>
    </row>
    <row r="1927" spans="1:18" hidden="1" x14ac:dyDescent="0.3">
      <c r="A1927" s="1">
        <v>1926</v>
      </c>
      <c r="B1927" s="1" t="s">
        <v>19</v>
      </c>
      <c r="C1927" s="1">
        <v>1</v>
      </c>
      <c r="D1927" s="1">
        <v>60</v>
      </c>
      <c r="E1927" s="1">
        <v>50</v>
      </c>
      <c r="F1927" s="1">
        <v>11</v>
      </c>
      <c r="G1927" s="1">
        <v>25</v>
      </c>
      <c r="H1927" s="1">
        <v>150</v>
      </c>
      <c r="I1927" s="1">
        <v>100</v>
      </c>
      <c r="J1927" s="1">
        <v>20.350999999999999</v>
      </c>
      <c r="K1927" s="1">
        <v>29.649000000000001</v>
      </c>
      <c r="L1927" s="1">
        <v>40.700000000000003</v>
      </c>
      <c r="M1927" s="1">
        <v>45.4</v>
      </c>
      <c r="N1927" s="1">
        <v>5.1389999999999998E-2</v>
      </c>
      <c r="O1927" s="1">
        <v>3.8479999999999997E-4</v>
      </c>
      <c r="P19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6.5055003138413037</v>
      </c>
      <c r="Q1927" s="1">
        <f>LN(Table13[[#This Row],[qe_mg_g]]-Table13[[#This Row],[qt]])</f>
        <v>2.6279602474240602</v>
      </c>
      <c r="R1927" s="1">
        <v>3</v>
      </c>
    </row>
    <row r="1928" spans="1:18" hidden="1" x14ac:dyDescent="0.3">
      <c r="A1928" s="1">
        <v>1927</v>
      </c>
      <c r="B1928" s="1" t="s">
        <v>19</v>
      </c>
      <c r="C1928" s="1">
        <v>1</v>
      </c>
      <c r="D1928" s="1">
        <v>60</v>
      </c>
      <c r="E1928" s="1">
        <v>100</v>
      </c>
      <c r="F1928" s="1">
        <v>3</v>
      </c>
      <c r="G1928" s="1">
        <v>25</v>
      </c>
      <c r="H1928" s="1">
        <v>150</v>
      </c>
      <c r="I1928" s="1">
        <v>100</v>
      </c>
      <c r="J1928" s="1">
        <v>41.347999999999999</v>
      </c>
      <c r="K1928" s="1">
        <v>58.652000000000001</v>
      </c>
      <c r="L1928" s="1">
        <v>41.35</v>
      </c>
      <c r="M1928" s="1">
        <v>52.1</v>
      </c>
      <c r="N1928" s="1">
        <v>6.3670000000000004E-2</v>
      </c>
      <c r="O1928" s="1">
        <v>3.4830000000000001E-4</v>
      </c>
      <c r="P19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19.166673550841711</v>
      </c>
      <c r="Q1928" s="1">
        <f>LN(Table13[[#This Row],[qe_mg_g]]-Table13[[#This Row],[qt]])</f>
        <v>3.0992507839734604</v>
      </c>
      <c r="R1928" s="1">
        <v>1</v>
      </c>
    </row>
    <row r="1929" spans="1:18" hidden="1" x14ac:dyDescent="0.3">
      <c r="A1929" s="1">
        <v>1928</v>
      </c>
      <c r="B1929" s="1" t="s">
        <v>19</v>
      </c>
      <c r="C1929" s="1">
        <v>1</v>
      </c>
      <c r="D1929" s="1">
        <v>60</v>
      </c>
      <c r="E1929" s="1">
        <v>100</v>
      </c>
      <c r="F1929" s="1">
        <v>3</v>
      </c>
      <c r="G1929" s="1">
        <v>25</v>
      </c>
      <c r="H1929" s="1">
        <v>150</v>
      </c>
      <c r="I1929" s="1">
        <v>100</v>
      </c>
      <c r="J1929" s="1">
        <v>41.454999999999998</v>
      </c>
      <c r="K1929" s="1">
        <v>58.545000000000002</v>
      </c>
      <c r="L1929" s="1">
        <v>41.46</v>
      </c>
      <c r="M1929" s="1">
        <v>47.4</v>
      </c>
      <c r="N1929" s="1">
        <v>5.6829999999999999E-2</v>
      </c>
      <c r="O1929" s="1">
        <v>3.033E-4</v>
      </c>
      <c r="P19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17.825813308397979</v>
      </c>
      <c r="Q1929" s="1">
        <f>LN(Table13[[#This Row],[qe_mg_g]]-Table13[[#This Row],[qt]])</f>
        <v>3.1624826721385237</v>
      </c>
      <c r="R1929" s="1">
        <v>2</v>
      </c>
    </row>
    <row r="1930" spans="1:18" hidden="1" x14ac:dyDescent="0.3">
      <c r="A1930" s="1">
        <v>1929</v>
      </c>
      <c r="B1930" s="1" t="s">
        <v>19</v>
      </c>
      <c r="C1930" s="1">
        <v>1</v>
      </c>
      <c r="D1930" s="1">
        <v>60</v>
      </c>
      <c r="E1930" s="1">
        <v>100</v>
      </c>
      <c r="F1930" s="1">
        <v>3</v>
      </c>
      <c r="G1930" s="1">
        <v>25</v>
      </c>
      <c r="H1930" s="1">
        <v>150</v>
      </c>
      <c r="I1930" s="1">
        <v>100</v>
      </c>
      <c r="J1930" s="1">
        <v>42.920999999999999</v>
      </c>
      <c r="K1930" s="1">
        <v>57.079000000000001</v>
      </c>
      <c r="L1930" s="1">
        <v>42.92</v>
      </c>
      <c r="M1930" s="1">
        <v>57.3</v>
      </c>
      <c r="N1930" s="1">
        <v>6.2149999999999997E-2</v>
      </c>
      <c r="O1930" s="1">
        <v>3.7340000000000002E-4</v>
      </c>
      <c r="P19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21.040415578679617</v>
      </c>
      <c r="Q1930" s="1">
        <f>LN(Table13[[#This Row],[qe_mg_g]]-Table13[[#This Row],[qt]])</f>
        <v>3.0855996874950731</v>
      </c>
      <c r="R1930" s="1">
        <v>3</v>
      </c>
    </row>
    <row r="1931" spans="1:18" hidden="1" x14ac:dyDescent="0.3">
      <c r="A1931" s="1">
        <v>1930</v>
      </c>
      <c r="B1931" s="1" t="s">
        <v>19</v>
      </c>
      <c r="C1931" s="1">
        <v>1</v>
      </c>
      <c r="D1931" s="1">
        <v>60</v>
      </c>
      <c r="E1931" s="1">
        <v>100</v>
      </c>
      <c r="F1931" s="1">
        <v>7</v>
      </c>
      <c r="G1931" s="1">
        <v>25</v>
      </c>
      <c r="H1931" s="1">
        <v>150</v>
      </c>
      <c r="I1931" s="1">
        <v>100</v>
      </c>
      <c r="J1931" s="1">
        <v>61.372999999999998</v>
      </c>
      <c r="K1931" s="1">
        <v>38.627000000000002</v>
      </c>
      <c r="L1931" s="1">
        <v>61.37</v>
      </c>
      <c r="M1931" s="1">
        <v>64.2</v>
      </c>
      <c r="N1931" s="1">
        <v>5.3350000000000002E-2</v>
      </c>
      <c r="O1931" s="1">
        <v>3.0679999999999998E-4</v>
      </c>
      <c r="P19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32.55605931216332</v>
      </c>
      <c r="Q1931" s="1">
        <f>LN(Table13[[#This Row],[qe_mg_g]]-Table13[[#This Row],[qt]])</f>
        <v>3.3609634325369737</v>
      </c>
      <c r="R1931" s="1">
        <v>1</v>
      </c>
    </row>
    <row r="1932" spans="1:18" hidden="1" x14ac:dyDescent="0.3">
      <c r="A1932" s="1">
        <v>1931</v>
      </c>
      <c r="B1932" s="1" t="s">
        <v>19</v>
      </c>
      <c r="C1932" s="1">
        <v>1</v>
      </c>
      <c r="D1932" s="1">
        <v>60</v>
      </c>
      <c r="E1932" s="1">
        <v>100</v>
      </c>
      <c r="F1932" s="1">
        <v>7</v>
      </c>
      <c r="G1932" s="1">
        <v>25</v>
      </c>
      <c r="H1932" s="1">
        <v>150</v>
      </c>
      <c r="I1932" s="1">
        <v>100</v>
      </c>
      <c r="J1932" s="1">
        <v>63.823999999999998</v>
      </c>
      <c r="K1932" s="1">
        <v>36.176000000000002</v>
      </c>
      <c r="L1932" s="1">
        <v>63.82</v>
      </c>
      <c r="M1932" s="1">
        <v>66.3</v>
      </c>
      <c r="N1932" s="1">
        <v>5.5910000000000001E-2</v>
      </c>
      <c r="O1932" s="1">
        <v>3.5040000000000001E-4</v>
      </c>
      <c r="P19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36.570167492147839</v>
      </c>
      <c r="Q1932" s="1">
        <f>LN(Table13[[#This Row],[qe_mg_g]]-Table13[[#This Row],[qt]])</f>
        <v>3.3051941537100129</v>
      </c>
      <c r="R1932" s="1">
        <v>2</v>
      </c>
    </row>
    <row r="1933" spans="1:18" hidden="1" x14ac:dyDescent="0.3">
      <c r="A1933" s="1">
        <v>1932</v>
      </c>
      <c r="B1933" s="1" t="s">
        <v>19</v>
      </c>
      <c r="C1933" s="1">
        <v>1</v>
      </c>
      <c r="D1933" s="1">
        <v>60</v>
      </c>
      <c r="E1933" s="1">
        <v>100</v>
      </c>
      <c r="F1933" s="1">
        <v>7</v>
      </c>
      <c r="G1933" s="1">
        <v>25</v>
      </c>
      <c r="H1933" s="1">
        <v>150</v>
      </c>
      <c r="I1933" s="1">
        <v>100</v>
      </c>
      <c r="J1933" s="1">
        <v>72.006</v>
      </c>
      <c r="K1933" s="1">
        <v>27.994</v>
      </c>
      <c r="L1933" s="1">
        <v>72.010000000000005</v>
      </c>
      <c r="M1933" s="1">
        <v>42.8</v>
      </c>
      <c r="N1933" s="1">
        <v>4.793E-2</v>
      </c>
      <c r="O1933" s="1">
        <v>2.9339999999999998E-4</v>
      </c>
      <c r="P19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40.251633063219444</v>
      </c>
      <c r="Q1933" s="1">
        <f>LN(Table13[[#This Row],[qe_mg_g]]-Table13[[#This Row],[qt]])</f>
        <v>3.4580302571966843</v>
      </c>
      <c r="R1933" s="1">
        <v>3</v>
      </c>
    </row>
    <row r="1934" spans="1:18" hidden="1" x14ac:dyDescent="0.3">
      <c r="A1934" s="1">
        <v>1933</v>
      </c>
      <c r="B1934" s="1" t="s">
        <v>19</v>
      </c>
      <c r="C1934" s="1">
        <v>1</v>
      </c>
      <c r="D1934" s="1">
        <v>60</v>
      </c>
      <c r="E1934" s="1">
        <v>100</v>
      </c>
      <c r="F1934" s="1">
        <v>11</v>
      </c>
      <c r="G1934" s="1">
        <v>25</v>
      </c>
      <c r="H1934" s="1">
        <v>150</v>
      </c>
      <c r="I1934" s="1">
        <v>100</v>
      </c>
      <c r="J1934" s="1">
        <v>53.262</v>
      </c>
      <c r="K1934" s="1">
        <v>46.738</v>
      </c>
      <c r="L1934" s="1">
        <v>53.26</v>
      </c>
      <c r="M1934" s="1">
        <v>55.9</v>
      </c>
      <c r="N1934" s="1">
        <v>6.3490000000000005E-2</v>
      </c>
      <c r="O1934" s="1">
        <v>3.5849999999999999E-4</v>
      </c>
      <c r="P19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28.438933673383829</v>
      </c>
      <c r="Q1934" s="1">
        <f>LN(Table13[[#This Row],[qe_mg_g]]-Table13[[#This Row],[qt]])</f>
        <v>3.2117733147168654</v>
      </c>
      <c r="R1934" s="1">
        <v>1</v>
      </c>
    </row>
    <row r="1935" spans="1:18" hidden="1" x14ac:dyDescent="0.3">
      <c r="A1935" s="1">
        <v>1934</v>
      </c>
      <c r="B1935" s="1" t="s">
        <v>19</v>
      </c>
      <c r="C1935" s="1">
        <v>1</v>
      </c>
      <c r="D1935" s="1">
        <v>60</v>
      </c>
      <c r="E1935" s="1">
        <v>100</v>
      </c>
      <c r="F1935" s="1">
        <v>11</v>
      </c>
      <c r="G1935" s="1">
        <v>25</v>
      </c>
      <c r="H1935" s="1">
        <v>150</v>
      </c>
      <c r="I1935" s="1">
        <v>100</v>
      </c>
      <c r="J1935" s="1">
        <v>50.44</v>
      </c>
      <c r="K1935" s="1">
        <v>49.56</v>
      </c>
      <c r="L1935" s="1">
        <v>50.44</v>
      </c>
      <c r="M1935" s="1">
        <v>54.6</v>
      </c>
      <c r="N1935" s="1">
        <v>5.5649999999999998E-2</v>
      </c>
      <c r="O1935" s="1">
        <v>2.9149999999999998E-4</v>
      </c>
      <c r="P19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23.641509981215552</v>
      </c>
      <c r="Q1935" s="1">
        <f>LN(Table13[[#This Row],[qe_mg_g]]-Table13[[#This Row],[qt]])</f>
        <v>3.2883455433468383</v>
      </c>
      <c r="R1935" s="1">
        <v>2</v>
      </c>
    </row>
    <row r="1936" spans="1:18" hidden="1" x14ac:dyDescent="0.3">
      <c r="A1936" s="1">
        <v>1935</v>
      </c>
      <c r="B1936" s="1" t="s">
        <v>19</v>
      </c>
      <c r="C1936" s="1">
        <v>1</v>
      </c>
      <c r="D1936" s="1">
        <v>60</v>
      </c>
      <c r="E1936" s="1">
        <v>100</v>
      </c>
      <c r="F1936" s="1">
        <v>11</v>
      </c>
      <c r="G1936" s="1">
        <v>25</v>
      </c>
      <c r="H1936" s="1">
        <v>150</v>
      </c>
      <c r="I1936" s="1">
        <v>100</v>
      </c>
      <c r="J1936" s="1">
        <v>61.756</v>
      </c>
      <c r="K1936" s="1">
        <v>38.244</v>
      </c>
      <c r="L1936" s="1">
        <v>61.76</v>
      </c>
      <c r="M1936" s="1">
        <v>58.8</v>
      </c>
      <c r="N1936" s="1">
        <v>5.6160000000000002E-2</v>
      </c>
      <c r="O1936" s="1">
        <v>3.7149999999999998E-4</v>
      </c>
      <c r="P19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35.770336902481013</v>
      </c>
      <c r="Q1936" s="1">
        <f>LN(Table13[[#This Row],[qe_mg_g]]-Table13[[#This Row],[qt]])</f>
        <v>3.2575449666077407</v>
      </c>
      <c r="R1936" s="1">
        <v>3</v>
      </c>
    </row>
    <row r="1937" spans="1:18" hidden="1" x14ac:dyDescent="0.3">
      <c r="A1937" s="1">
        <v>1936</v>
      </c>
      <c r="B1937" s="1" t="s">
        <v>19</v>
      </c>
      <c r="C1937" s="1">
        <v>1</v>
      </c>
      <c r="D1937" s="1">
        <v>60</v>
      </c>
      <c r="E1937" s="1">
        <v>200</v>
      </c>
      <c r="F1937" s="1">
        <v>3</v>
      </c>
      <c r="G1937" s="1">
        <v>25</v>
      </c>
      <c r="H1937" s="1">
        <v>150</v>
      </c>
      <c r="I1937" s="1">
        <v>100</v>
      </c>
      <c r="J1937" s="1">
        <v>111.31100000000001</v>
      </c>
      <c r="K1937" s="1">
        <v>88.688999999999993</v>
      </c>
      <c r="L1937" s="1">
        <v>55.66</v>
      </c>
      <c r="M1937" s="1">
        <v>53.4</v>
      </c>
      <c r="N1937" s="1">
        <v>5.1529999999999999E-2</v>
      </c>
      <c r="O1937" s="1">
        <v>3.7100000000000002E-4</v>
      </c>
      <c r="P19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79.304688944685864</v>
      </c>
      <c r="Q1937" s="1">
        <f>LN(Table13[[#This Row],[qe_mg_g]]-Table13[[#This Row],[qt]])</f>
        <v>3.4659331038328918</v>
      </c>
      <c r="R1937" s="1">
        <v>1</v>
      </c>
    </row>
    <row r="1938" spans="1:18" hidden="1" x14ac:dyDescent="0.3">
      <c r="A1938" s="1">
        <v>1937</v>
      </c>
      <c r="B1938" s="1" t="s">
        <v>19</v>
      </c>
      <c r="C1938" s="1">
        <v>1</v>
      </c>
      <c r="D1938" s="1">
        <v>60</v>
      </c>
      <c r="E1938" s="1">
        <v>200</v>
      </c>
      <c r="F1938" s="1">
        <v>3</v>
      </c>
      <c r="G1938" s="1">
        <v>25</v>
      </c>
      <c r="H1938" s="1">
        <v>150</v>
      </c>
      <c r="I1938" s="1">
        <v>100</v>
      </c>
      <c r="J1938" s="1">
        <v>108.908</v>
      </c>
      <c r="K1938" s="1">
        <v>91.091999999999999</v>
      </c>
      <c r="L1938" s="1">
        <v>54.45</v>
      </c>
      <c r="M1938" s="1">
        <v>47.9</v>
      </c>
      <c r="N1938" s="1">
        <v>6.2799999999999995E-2</v>
      </c>
      <c r="O1938" s="1">
        <v>3.6029999999999998E-4</v>
      </c>
      <c r="P19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76.440532808758974</v>
      </c>
      <c r="Q1938" s="1">
        <f>LN(Table13[[#This Row],[qe_mg_g]]-Table13[[#This Row],[qt]])</f>
        <v>3.4802385784908108</v>
      </c>
      <c r="R1938" s="1">
        <v>2</v>
      </c>
    </row>
    <row r="1939" spans="1:18" hidden="1" x14ac:dyDescent="0.3">
      <c r="A1939" s="1">
        <v>1938</v>
      </c>
      <c r="B1939" s="1" t="s">
        <v>19</v>
      </c>
      <c r="C1939" s="1">
        <v>1</v>
      </c>
      <c r="D1939" s="1">
        <v>60</v>
      </c>
      <c r="E1939" s="1">
        <v>200</v>
      </c>
      <c r="F1939" s="1">
        <v>3</v>
      </c>
      <c r="G1939" s="1">
        <v>25</v>
      </c>
      <c r="H1939" s="1">
        <v>150</v>
      </c>
      <c r="I1939" s="1">
        <v>100</v>
      </c>
      <c r="J1939" s="1">
        <v>111.46299999999999</v>
      </c>
      <c r="K1939" s="1">
        <v>88.537000000000006</v>
      </c>
      <c r="L1939" s="1">
        <v>55.73</v>
      </c>
      <c r="M1939" s="1">
        <v>65.900000000000006</v>
      </c>
      <c r="N1939" s="1">
        <v>5.5120000000000002E-2</v>
      </c>
      <c r="O1939" s="1">
        <v>3.611E-4</v>
      </c>
      <c r="P19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78.823353786297574</v>
      </c>
      <c r="Q1939" s="1">
        <f>LN(Table13[[#This Row],[qe_mg_g]]-Table13[[#This Row],[qt]])</f>
        <v>3.4855276909961836</v>
      </c>
      <c r="R1939" s="1">
        <v>3</v>
      </c>
    </row>
    <row r="1940" spans="1:18" hidden="1" x14ac:dyDescent="0.3">
      <c r="A1940" s="1">
        <v>1939</v>
      </c>
      <c r="B1940" s="1" t="s">
        <v>19</v>
      </c>
      <c r="C1940" s="1">
        <v>1</v>
      </c>
      <c r="D1940" s="1">
        <v>60</v>
      </c>
      <c r="E1940" s="1">
        <v>200</v>
      </c>
      <c r="F1940" s="1">
        <v>7</v>
      </c>
      <c r="G1940" s="1">
        <v>25</v>
      </c>
      <c r="H1940" s="1">
        <v>150</v>
      </c>
      <c r="I1940" s="1">
        <v>100</v>
      </c>
      <c r="J1940" s="1">
        <v>159.34100000000001</v>
      </c>
      <c r="K1940" s="1">
        <v>40.658999999999999</v>
      </c>
      <c r="L1940" s="1">
        <v>79.67</v>
      </c>
      <c r="M1940" s="1">
        <v>48.6</v>
      </c>
      <c r="N1940" s="1">
        <v>5.5300000000000002E-2</v>
      </c>
      <c r="O1940" s="1">
        <v>3.5439999999999999E-4</v>
      </c>
      <c r="P19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123.02997982521516</v>
      </c>
      <c r="Q1940" s="1">
        <f>LN(Table13[[#This Row],[qe_mg_g]]-Table13[[#This Row],[qt]])</f>
        <v>3.592121281280102</v>
      </c>
      <c r="R1940" s="1">
        <v>1</v>
      </c>
    </row>
    <row r="1941" spans="1:18" hidden="1" x14ac:dyDescent="0.3">
      <c r="A1941" s="1">
        <v>1940</v>
      </c>
      <c r="B1941" s="1" t="s">
        <v>19</v>
      </c>
      <c r="C1941" s="1">
        <v>1</v>
      </c>
      <c r="D1941" s="1">
        <v>60</v>
      </c>
      <c r="E1941" s="1">
        <v>200</v>
      </c>
      <c r="F1941" s="1">
        <v>7</v>
      </c>
      <c r="G1941" s="1">
        <v>25</v>
      </c>
      <c r="H1941" s="1">
        <v>150</v>
      </c>
      <c r="I1941" s="1">
        <v>100</v>
      </c>
      <c r="J1941" s="1">
        <v>140.69900000000001</v>
      </c>
      <c r="K1941" s="1">
        <v>59.301000000000002</v>
      </c>
      <c r="L1941" s="1">
        <v>70.349999999999994</v>
      </c>
      <c r="M1941" s="1">
        <v>73.5</v>
      </c>
      <c r="N1941" s="1">
        <v>4.7260000000000003E-2</v>
      </c>
      <c r="O1941" s="1">
        <v>3.0459999999999998E-4</v>
      </c>
      <c r="P19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101.30312945734781</v>
      </c>
      <c r="Q1941" s="1">
        <f>LN(Table13[[#This Row],[qe_mg_g]]-Table13[[#This Row],[qt]])</f>
        <v>3.6736610022489602</v>
      </c>
      <c r="R1941" s="1">
        <v>2</v>
      </c>
    </row>
    <row r="1942" spans="1:18" hidden="1" x14ac:dyDescent="0.3">
      <c r="A1942" s="1">
        <v>1941</v>
      </c>
      <c r="B1942" s="1" t="s">
        <v>19</v>
      </c>
      <c r="C1942" s="1">
        <v>1</v>
      </c>
      <c r="D1942" s="1">
        <v>60</v>
      </c>
      <c r="E1942" s="1">
        <v>200</v>
      </c>
      <c r="F1942" s="1">
        <v>7</v>
      </c>
      <c r="G1942" s="1">
        <v>25</v>
      </c>
      <c r="H1942" s="1">
        <v>150</v>
      </c>
      <c r="I1942" s="1">
        <v>100</v>
      </c>
      <c r="J1942" s="1">
        <v>164.66300000000001</v>
      </c>
      <c r="K1942" s="1">
        <v>35.337000000000003</v>
      </c>
      <c r="L1942" s="1">
        <v>82.33</v>
      </c>
      <c r="M1942" s="1">
        <v>60.4</v>
      </c>
      <c r="N1942" s="1">
        <v>4.9360000000000001E-2</v>
      </c>
      <c r="O1942" s="1">
        <v>3.7130000000000003E-4</v>
      </c>
      <c r="P19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129.39088765640781</v>
      </c>
      <c r="Q1942" s="1">
        <f>LN(Table13[[#This Row],[qe_mg_g]]-Table13[[#This Row],[qt]])</f>
        <v>3.5630926331149837</v>
      </c>
      <c r="R1942" s="1">
        <v>3</v>
      </c>
    </row>
    <row r="1943" spans="1:18" hidden="1" x14ac:dyDescent="0.3">
      <c r="A1943" s="1">
        <v>1942</v>
      </c>
      <c r="B1943" s="1" t="s">
        <v>19</v>
      </c>
      <c r="C1943" s="1">
        <v>1</v>
      </c>
      <c r="D1943" s="1">
        <v>60</v>
      </c>
      <c r="E1943" s="1">
        <v>200</v>
      </c>
      <c r="F1943" s="1">
        <v>11</v>
      </c>
      <c r="G1943" s="1">
        <v>25</v>
      </c>
      <c r="H1943" s="1">
        <v>150</v>
      </c>
      <c r="I1943" s="1">
        <v>100</v>
      </c>
      <c r="J1943" s="1">
        <v>136.53800000000001</v>
      </c>
      <c r="K1943" s="1">
        <v>63.462000000000003</v>
      </c>
      <c r="L1943" s="1">
        <v>68.27</v>
      </c>
      <c r="M1943" s="1">
        <v>54.3</v>
      </c>
      <c r="N1943" s="1">
        <v>6.9290000000000004E-2</v>
      </c>
      <c r="O1943" s="1">
        <v>2.8969999999999999E-4</v>
      </c>
      <c r="P19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96.061950527314494</v>
      </c>
      <c r="Q1943" s="1">
        <f>LN(Table13[[#This Row],[qe_mg_g]]-Table13[[#This Row],[qt]])</f>
        <v>3.7007104281388665</v>
      </c>
      <c r="R1943" s="1">
        <v>1</v>
      </c>
    </row>
    <row r="1944" spans="1:18" hidden="1" x14ac:dyDescent="0.3">
      <c r="A1944" s="1">
        <v>1943</v>
      </c>
      <c r="B1944" s="1" t="s">
        <v>19</v>
      </c>
      <c r="C1944" s="1">
        <v>1</v>
      </c>
      <c r="D1944" s="1">
        <v>60</v>
      </c>
      <c r="E1944" s="1">
        <v>200</v>
      </c>
      <c r="F1944" s="1">
        <v>11</v>
      </c>
      <c r="G1944" s="1">
        <v>25</v>
      </c>
      <c r="H1944" s="1">
        <v>150</v>
      </c>
      <c r="I1944" s="1">
        <v>100</v>
      </c>
      <c r="J1944" s="1">
        <v>129.82900000000001</v>
      </c>
      <c r="K1944" s="1">
        <v>70.171000000000006</v>
      </c>
      <c r="L1944" s="1">
        <v>64.91</v>
      </c>
      <c r="M1944" s="1">
        <v>64.099999999999994</v>
      </c>
      <c r="N1944" s="1">
        <v>5.9900000000000002E-2</v>
      </c>
      <c r="O1944" s="1">
        <v>3.4279999999999998E-4</v>
      </c>
      <c r="P19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94.456362625115659</v>
      </c>
      <c r="Q1944" s="1">
        <f>LN(Table13[[#This Row],[qe_mg_g]]-Table13[[#This Row],[qt]])</f>
        <v>3.5659385657438496</v>
      </c>
      <c r="R1944" s="1">
        <v>2</v>
      </c>
    </row>
    <row r="1945" spans="1:18" hidden="1" x14ac:dyDescent="0.3">
      <c r="A1945" s="1">
        <v>1944</v>
      </c>
      <c r="B1945" s="1" t="s">
        <v>19</v>
      </c>
      <c r="C1945" s="1">
        <v>1</v>
      </c>
      <c r="D1945" s="1">
        <v>60</v>
      </c>
      <c r="E1945" s="1">
        <v>200</v>
      </c>
      <c r="F1945" s="1">
        <v>11</v>
      </c>
      <c r="G1945" s="1">
        <v>25</v>
      </c>
      <c r="H1945" s="1">
        <v>150</v>
      </c>
      <c r="I1945" s="1">
        <v>100</v>
      </c>
      <c r="J1945" s="1">
        <v>121.298</v>
      </c>
      <c r="K1945" s="1">
        <v>78.701999999999998</v>
      </c>
      <c r="L1945" s="1">
        <v>60.65</v>
      </c>
      <c r="M1945" s="1">
        <v>58.2</v>
      </c>
      <c r="N1945" s="1">
        <v>5.9490000000000001E-2</v>
      </c>
      <c r="O1945" s="1">
        <v>3.7110000000000002E-4</v>
      </c>
      <c r="P19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88.522031852380721</v>
      </c>
      <c r="Q1945" s="1">
        <f>LN(Table13[[#This Row],[qe_mg_g]]-Table13[[#This Row],[qt]])</f>
        <v>3.4896955684238415</v>
      </c>
      <c r="R1945" s="1">
        <v>3</v>
      </c>
    </row>
    <row r="1946" spans="1:18" hidden="1" x14ac:dyDescent="0.3">
      <c r="A1946" s="1">
        <v>1945</v>
      </c>
      <c r="B1946" s="1" t="s">
        <v>19</v>
      </c>
      <c r="C1946" s="1">
        <v>1</v>
      </c>
      <c r="D1946" s="1">
        <v>120</v>
      </c>
      <c r="E1946" s="1">
        <v>25</v>
      </c>
      <c r="F1946" s="1">
        <v>3</v>
      </c>
      <c r="G1946" s="1">
        <v>25</v>
      </c>
      <c r="H1946" s="1">
        <v>150</v>
      </c>
      <c r="I1946" s="1">
        <v>100</v>
      </c>
      <c r="J1946" s="1">
        <v>8.4870000000000001</v>
      </c>
      <c r="K1946" s="1">
        <v>16.513000000000002</v>
      </c>
      <c r="L1946" s="1">
        <v>33.950000000000003</v>
      </c>
      <c r="M1946" s="1">
        <v>46.2</v>
      </c>
      <c r="N1946" s="1">
        <v>5.3749999999999999E-2</v>
      </c>
      <c r="O1946" s="1">
        <v>3.1710000000000001E-4</v>
      </c>
      <c r="P19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2.0717785879039279</v>
      </c>
      <c r="Q1946" s="1">
        <f>LN(Table13[[#This Row],[qe_mg_g]]-Table13[[#This Row],[qt]])</f>
        <v>1.8586735122180547</v>
      </c>
      <c r="R1946" s="1">
        <v>1</v>
      </c>
    </row>
    <row r="1947" spans="1:18" hidden="1" x14ac:dyDescent="0.3">
      <c r="A1947" s="1">
        <v>1946</v>
      </c>
      <c r="B1947" s="1" t="s">
        <v>19</v>
      </c>
      <c r="C1947" s="1">
        <v>1</v>
      </c>
      <c r="D1947" s="1">
        <v>120</v>
      </c>
      <c r="E1947" s="1">
        <v>25</v>
      </c>
      <c r="F1947" s="1">
        <v>3</v>
      </c>
      <c r="G1947" s="1">
        <v>25</v>
      </c>
      <c r="H1947" s="1">
        <v>150</v>
      </c>
      <c r="I1947" s="1">
        <v>100</v>
      </c>
      <c r="J1947" s="1">
        <v>7.6970000000000001</v>
      </c>
      <c r="K1947" s="1">
        <v>17.303000000000001</v>
      </c>
      <c r="L1947" s="1">
        <v>30.79</v>
      </c>
      <c r="M1947" s="1">
        <v>62.9</v>
      </c>
      <c r="N1947" s="1">
        <v>5.5590000000000001E-2</v>
      </c>
      <c r="O1947" s="1">
        <v>4.4119999999999999E-4</v>
      </c>
      <c r="P19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2.2284774495437176</v>
      </c>
      <c r="Q1947" s="1">
        <f>LN(Table13[[#This Row],[qe_mg_g]]-Table13[[#This Row],[qt]])</f>
        <v>1.699008479485159</v>
      </c>
      <c r="R1947" s="1">
        <v>2</v>
      </c>
    </row>
    <row r="1948" spans="1:18" hidden="1" x14ac:dyDescent="0.3">
      <c r="A1948" s="1">
        <v>1947</v>
      </c>
      <c r="B1948" s="1" t="s">
        <v>19</v>
      </c>
      <c r="C1948" s="1">
        <v>1</v>
      </c>
      <c r="D1948" s="1">
        <v>120</v>
      </c>
      <c r="E1948" s="1">
        <v>25</v>
      </c>
      <c r="F1948" s="1">
        <v>3</v>
      </c>
      <c r="G1948" s="1">
        <v>25</v>
      </c>
      <c r="H1948" s="1">
        <v>150</v>
      </c>
      <c r="I1948" s="1">
        <v>100</v>
      </c>
      <c r="J1948" s="1">
        <v>8.0180000000000007</v>
      </c>
      <c r="K1948" s="1">
        <v>16.981999999999999</v>
      </c>
      <c r="L1948" s="1">
        <v>32.07</v>
      </c>
      <c r="M1948" s="1">
        <v>55</v>
      </c>
      <c r="N1948" s="1">
        <v>5.5579999999999997E-2</v>
      </c>
      <c r="O1948" s="1">
        <v>3.277E-4</v>
      </c>
      <c r="P19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1.9220515288380273</v>
      </c>
      <c r="Q1948" s="1">
        <f>LN(Table13[[#This Row],[qe_mg_g]]-Table13[[#This Row],[qt]])</f>
        <v>1.8076243654552422</v>
      </c>
      <c r="R1948" s="1">
        <v>3</v>
      </c>
    </row>
    <row r="1949" spans="1:18" hidden="1" x14ac:dyDescent="0.3">
      <c r="A1949" s="1">
        <v>1948</v>
      </c>
      <c r="B1949" s="1" t="s">
        <v>19</v>
      </c>
      <c r="C1949" s="1">
        <v>1</v>
      </c>
      <c r="D1949" s="1">
        <v>120</v>
      </c>
      <c r="E1949" s="1">
        <v>25</v>
      </c>
      <c r="F1949" s="1">
        <v>7</v>
      </c>
      <c r="G1949" s="1">
        <v>25</v>
      </c>
      <c r="H1949" s="1">
        <v>150</v>
      </c>
      <c r="I1949" s="1">
        <v>100</v>
      </c>
      <c r="J1949" s="1">
        <v>12.228999999999999</v>
      </c>
      <c r="K1949" s="1">
        <v>12.771000000000001</v>
      </c>
      <c r="L1949" s="1">
        <v>48.92</v>
      </c>
      <c r="M1949" s="1">
        <v>63.8</v>
      </c>
      <c r="N1949" s="1">
        <v>5.5629999999999999E-2</v>
      </c>
      <c r="O1949" s="1">
        <v>3.2220000000000003E-4</v>
      </c>
      <c r="P19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3.9258924044956043</v>
      </c>
      <c r="Q1949" s="1">
        <f>LN(Table13[[#This Row],[qe_mg_g]]-Table13[[#This Row],[qt]])</f>
        <v>2.1166298538258714</v>
      </c>
      <c r="R1949" s="1">
        <v>1</v>
      </c>
    </row>
    <row r="1950" spans="1:18" hidden="1" x14ac:dyDescent="0.3">
      <c r="A1950" s="1">
        <v>1949</v>
      </c>
      <c r="B1950" s="1" t="s">
        <v>19</v>
      </c>
      <c r="C1950" s="1">
        <v>1</v>
      </c>
      <c r="D1950" s="1">
        <v>120</v>
      </c>
      <c r="E1950" s="1">
        <v>25</v>
      </c>
      <c r="F1950" s="1">
        <v>7</v>
      </c>
      <c r="G1950" s="1">
        <v>25</v>
      </c>
      <c r="H1950" s="1">
        <v>150</v>
      </c>
      <c r="I1950" s="1">
        <v>100</v>
      </c>
      <c r="J1950" s="1">
        <v>11.484</v>
      </c>
      <c r="K1950" s="1">
        <v>13.516</v>
      </c>
      <c r="L1950" s="1">
        <v>45.94</v>
      </c>
      <c r="M1950" s="1">
        <v>50.9</v>
      </c>
      <c r="N1950" s="1">
        <v>5.5410000000000001E-2</v>
      </c>
      <c r="O1950" s="1">
        <v>3.9179999999999998E-4</v>
      </c>
      <c r="P19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4.0265266121405441</v>
      </c>
      <c r="Q1950" s="1">
        <f>LN(Table13[[#This Row],[qe_mg_g]]-Table13[[#This Row],[qt]])</f>
        <v>2.0092166688934543</v>
      </c>
      <c r="R1950" s="1">
        <v>2</v>
      </c>
    </row>
    <row r="1951" spans="1:18" hidden="1" x14ac:dyDescent="0.3">
      <c r="A1951" s="1">
        <v>1950</v>
      </c>
      <c r="B1951" s="1" t="s">
        <v>19</v>
      </c>
      <c r="C1951" s="1">
        <v>1</v>
      </c>
      <c r="D1951" s="1">
        <v>120</v>
      </c>
      <c r="E1951" s="1">
        <v>25</v>
      </c>
      <c r="F1951" s="1">
        <v>7</v>
      </c>
      <c r="G1951" s="1">
        <v>25</v>
      </c>
      <c r="H1951" s="1">
        <v>150</v>
      </c>
      <c r="I1951" s="1">
        <v>100</v>
      </c>
      <c r="J1951" s="1">
        <v>11.127000000000001</v>
      </c>
      <c r="K1951" s="1">
        <v>13.872999999999999</v>
      </c>
      <c r="L1951" s="1">
        <v>44.51</v>
      </c>
      <c r="M1951" s="1">
        <v>51.9</v>
      </c>
      <c r="N1951" s="1">
        <v>5.5789999999999999E-2</v>
      </c>
      <c r="O1951" s="1">
        <v>2.8580000000000001E-4</v>
      </c>
      <c r="P19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3.0733617239250841</v>
      </c>
      <c r="Q1951" s="1">
        <f>LN(Table13[[#This Row],[qe_mg_g]]-Table13[[#This Row],[qt]])</f>
        <v>2.0861239490882819</v>
      </c>
      <c r="R1951" s="1">
        <v>3</v>
      </c>
    </row>
    <row r="1952" spans="1:18" hidden="1" x14ac:dyDescent="0.3">
      <c r="A1952" s="1">
        <v>1951</v>
      </c>
      <c r="B1952" s="1" t="s">
        <v>19</v>
      </c>
      <c r="C1952" s="1">
        <v>1</v>
      </c>
      <c r="D1952" s="1">
        <v>120</v>
      </c>
      <c r="E1952" s="1">
        <v>25</v>
      </c>
      <c r="F1952" s="1">
        <v>11</v>
      </c>
      <c r="G1952" s="1">
        <v>25</v>
      </c>
      <c r="H1952" s="1">
        <v>150</v>
      </c>
      <c r="I1952" s="1">
        <v>100</v>
      </c>
      <c r="J1952" s="1">
        <v>9.0429999999999993</v>
      </c>
      <c r="K1952" s="1">
        <v>15.957000000000001</v>
      </c>
      <c r="L1952" s="1">
        <v>36.17</v>
      </c>
      <c r="M1952" s="1">
        <v>49</v>
      </c>
      <c r="N1952" s="1">
        <v>5.0619999999999998E-2</v>
      </c>
      <c r="O1952" s="1">
        <v>3.567E-4</v>
      </c>
      <c r="P19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2.5235329550328522</v>
      </c>
      <c r="Q1952" s="1">
        <f>LN(Table13[[#This Row],[qe_mg_g]]-Table13[[#This Row],[qt]])</f>
        <v>1.8747926310280814</v>
      </c>
      <c r="R1952" s="1">
        <v>1</v>
      </c>
    </row>
    <row r="1953" spans="1:18" hidden="1" x14ac:dyDescent="0.3">
      <c r="A1953" s="1">
        <v>1952</v>
      </c>
      <c r="B1953" s="1" t="s">
        <v>19</v>
      </c>
      <c r="C1953" s="1">
        <v>1</v>
      </c>
      <c r="D1953" s="1">
        <v>120</v>
      </c>
      <c r="E1953" s="1">
        <v>25</v>
      </c>
      <c r="F1953" s="1">
        <v>11</v>
      </c>
      <c r="G1953" s="1">
        <v>25</v>
      </c>
      <c r="H1953" s="1">
        <v>150</v>
      </c>
      <c r="I1953" s="1">
        <v>100</v>
      </c>
      <c r="J1953" s="1">
        <v>9.4949999999999992</v>
      </c>
      <c r="K1953" s="1">
        <v>15.505000000000001</v>
      </c>
      <c r="L1953" s="1">
        <v>37.979999999999997</v>
      </c>
      <c r="M1953" s="1">
        <v>50</v>
      </c>
      <c r="N1953" s="1">
        <v>5.7349999999999998E-2</v>
      </c>
      <c r="O1953" s="1">
        <v>4.103E-4</v>
      </c>
      <c r="P19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3.0247941768583706</v>
      </c>
      <c r="Q1953" s="1">
        <f>LN(Table13[[#This Row],[qe_mg_g]]-Table13[[#This Row],[qt]])</f>
        <v>1.8672079199297926</v>
      </c>
      <c r="R1953" s="1">
        <v>2</v>
      </c>
    </row>
    <row r="1954" spans="1:18" hidden="1" x14ac:dyDescent="0.3">
      <c r="A1954" s="1">
        <v>1953</v>
      </c>
      <c r="B1954" s="1" t="s">
        <v>19</v>
      </c>
      <c r="C1954" s="1">
        <v>1</v>
      </c>
      <c r="D1954" s="1">
        <v>120</v>
      </c>
      <c r="E1954" s="1">
        <v>25</v>
      </c>
      <c r="F1954" s="1">
        <v>11</v>
      </c>
      <c r="G1954" s="1">
        <v>25</v>
      </c>
      <c r="H1954" s="1">
        <v>150</v>
      </c>
      <c r="I1954" s="1">
        <v>100</v>
      </c>
      <c r="J1954" s="1">
        <v>10.705</v>
      </c>
      <c r="K1954" s="1">
        <v>14.295</v>
      </c>
      <c r="L1954" s="1">
        <v>42.82</v>
      </c>
      <c r="M1954" s="1">
        <v>38.799999999999997</v>
      </c>
      <c r="N1954" s="1">
        <v>5.8169999999999999E-2</v>
      </c>
      <c r="O1954" s="1">
        <v>3.4380000000000001E-4</v>
      </c>
      <c r="P19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3.2794573485570111</v>
      </c>
      <c r="Q1954" s="1">
        <f>LN(Table13[[#This Row],[qe_mg_g]]-Table13[[#This Row],[qt]])</f>
        <v>2.004925766387657</v>
      </c>
      <c r="R1954" s="1">
        <v>3</v>
      </c>
    </row>
    <row r="1955" spans="1:18" hidden="1" x14ac:dyDescent="0.3">
      <c r="A1955" s="1">
        <v>1954</v>
      </c>
      <c r="B1955" s="1" t="s">
        <v>19</v>
      </c>
      <c r="C1955" s="1">
        <v>1</v>
      </c>
      <c r="D1955" s="1">
        <v>120</v>
      </c>
      <c r="E1955" s="1">
        <v>50</v>
      </c>
      <c r="F1955" s="1">
        <v>3</v>
      </c>
      <c r="G1955" s="1">
        <v>25</v>
      </c>
      <c r="H1955" s="1">
        <v>150</v>
      </c>
      <c r="I1955" s="1">
        <v>100</v>
      </c>
      <c r="J1955" s="1">
        <v>22.22</v>
      </c>
      <c r="K1955" s="1">
        <v>27.78</v>
      </c>
      <c r="L1955" s="1">
        <v>44.44</v>
      </c>
      <c r="M1955" s="1">
        <v>51.3</v>
      </c>
      <c r="N1955" s="1">
        <v>5.5649999999999998E-2</v>
      </c>
      <c r="O1955" s="1">
        <v>3.5530000000000002E-4</v>
      </c>
      <c r="P19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10.809750231173098</v>
      </c>
      <c r="Q1955" s="1">
        <f>LN(Table13[[#This Row],[qe_mg_g]]-Table13[[#This Row],[qt]])</f>
        <v>2.4345120539785574</v>
      </c>
      <c r="R1955" s="1">
        <v>1</v>
      </c>
    </row>
    <row r="1956" spans="1:18" hidden="1" x14ac:dyDescent="0.3">
      <c r="A1956" s="1">
        <v>1955</v>
      </c>
      <c r="B1956" s="1" t="s">
        <v>19</v>
      </c>
      <c r="C1956" s="1">
        <v>1</v>
      </c>
      <c r="D1956" s="1">
        <v>120</v>
      </c>
      <c r="E1956" s="1">
        <v>50</v>
      </c>
      <c r="F1956" s="1">
        <v>3</v>
      </c>
      <c r="G1956" s="1">
        <v>25</v>
      </c>
      <c r="H1956" s="1">
        <v>150</v>
      </c>
      <c r="I1956" s="1">
        <v>100</v>
      </c>
      <c r="J1956" s="1">
        <v>21.091000000000001</v>
      </c>
      <c r="K1956" s="1">
        <v>28.908999999999999</v>
      </c>
      <c r="L1956" s="1">
        <v>42.18</v>
      </c>
      <c r="M1956" s="1">
        <v>47.2</v>
      </c>
      <c r="N1956" s="1">
        <v>5.253E-2</v>
      </c>
      <c r="O1956" s="1">
        <v>3.5819999999999998E-4</v>
      </c>
      <c r="P19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10.028758030950597</v>
      </c>
      <c r="Q1956" s="1">
        <f>LN(Table13[[#This Row],[qe_mg_g]]-Table13[[#This Row],[qt]])</f>
        <v>2.4035376852303276</v>
      </c>
      <c r="R1956" s="1">
        <v>2</v>
      </c>
    </row>
    <row r="1957" spans="1:18" hidden="1" x14ac:dyDescent="0.3">
      <c r="A1957" s="1">
        <v>1956</v>
      </c>
      <c r="B1957" s="1" t="s">
        <v>19</v>
      </c>
      <c r="C1957" s="1">
        <v>1</v>
      </c>
      <c r="D1957" s="1">
        <v>120</v>
      </c>
      <c r="E1957" s="1">
        <v>50</v>
      </c>
      <c r="F1957" s="1">
        <v>3</v>
      </c>
      <c r="G1957" s="1">
        <v>25</v>
      </c>
      <c r="H1957" s="1">
        <v>150</v>
      </c>
      <c r="I1957" s="1">
        <v>100</v>
      </c>
      <c r="J1957" s="1">
        <v>22.902999999999999</v>
      </c>
      <c r="K1957" s="1">
        <v>27.097000000000001</v>
      </c>
      <c r="L1957" s="1">
        <v>45.81</v>
      </c>
      <c r="M1957" s="1">
        <v>61.5</v>
      </c>
      <c r="N1957" s="1">
        <v>5.228E-2</v>
      </c>
      <c r="O1957" s="1">
        <v>3.5990000000000002E-4</v>
      </c>
      <c r="P19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11.388948556877164</v>
      </c>
      <c r="Q1957" s="1">
        <f>LN(Table13[[#This Row],[qe_mg_g]]-Table13[[#This Row],[qt]])</f>
        <v>2.4435681541195127</v>
      </c>
      <c r="R1957" s="1">
        <v>3</v>
      </c>
    </row>
    <row r="1958" spans="1:18" hidden="1" x14ac:dyDescent="0.3">
      <c r="A1958" s="1">
        <v>1957</v>
      </c>
      <c r="B1958" s="1" t="s">
        <v>19</v>
      </c>
      <c r="C1958" s="1">
        <v>1</v>
      </c>
      <c r="D1958" s="1">
        <v>120</v>
      </c>
      <c r="E1958" s="1">
        <v>50</v>
      </c>
      <c r="F1958" s="1">
        <v>7</v>
      </c>
      <c r="G1958" s="1">
        <v>25</v>
      </c>
      <c r="H1958" s="1">
        <v>150</v>
      </c>
      <c r="I1958" s="1">
        <v>100</v>
      </c>
      <c r="J1958" s="1">
        <v>34.692</v>
      </c>
      <c r="K1958" s="1">
        <v>15.308</v>
      </c>
      <c r="L1958" s="1">
        <v>69.38</v>
      </c>
      <c r="M1958" s="1">
        <v>64.099999999999994</v>
      </c>
      <c r="N1958" s="1">
        <v>5.4679999999999999E-2</v>
      </c>
      <c r="O1958" s="1">
        <v>3.4230000000000003E-4</v>
      </c>
      <c r="P19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20.386071305789418</v>
      </c>
      <c r="Q1958" s="1">
        <f>LN(Table13[[#This Row],[qe_mg_g]]-Table13[[#This Row],[qt]])</f>
        <v>2.6606740453462563</v>
      </c>
      <c r="R1958" s="1">
        <v>1</v>
      </c>
    </row>
    <row r="1959" spans="1:18" hidden="1" x14ac:dyDescent="0.3">
      <c r="A1959" s="1">
        <v>1958</v>
      </c>
      <c r="B1959" s="1" t="s">
        <v>19</v>
      </c>
      <c r="C1959" s="1">
        <v>1</v>
      </c>
      <c r="D1959" s="1">
        <v>120</v>
      </c>
      <c r="E1959" s="1">
        <v>50</v>
      </c>
      <c r="F1959" s="1">
        <v>7</v>
      </c>
      <c r="G1959" s="1">
        <v>25</v>
      </c>
      <c r="H1959" s="1">
        <v>150</v>
      </c>
      <c r="I1959" s="1">
        <v>100</v>
      </c>
      <c r="J1959" s="1">
        <v>32.936999999999998</v>
      </c>
      <c r="K1959" s="1">
        <v>17.062999999999999</v>
      </c>
      <c r="L1959" s="1">
        <v>65.87</v>
      </c>
      <c r="M1959" s="1">
        <v>45.1</v>
      </c>
      <c r="N1959" s="1">
        <v>5.3940000000000002E-2</v>
      </c>
      <c r="O1959" s="1">
        <v>3.7609999999999998E-4</v>
      </c>
      <c r="P19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19.690737388133904</v>
      </c>
      <c r="Q1959" s="1">
        <f>LN(Table13[[#This Row],[qe_mg_g]]-Table13[[#This Row],[qt]])</f>
        <v>2.5837154456148705</v>
      </c>
      <c r="R1959" s="1">
        <v>2</v>
      </c>
    </row>
    <row r="1960" spans="1:18" hidden="1" x14ac:dyDescent="0.3">
      <c r="A1960" s="1">
        <v>1959</v>
      </c>
      <c r="B1960" s="1" t="s">
        <v>19</v>
      </c>
      <c r="C1960" s="1">
        <v>1</v>
      </c>
      <c r="D1960" s="1">
        <v>120</v>
      </c>
      <c r="E1960" s="1">
        <v>50</v>
      </c>
      <c r="F1960" s="1">
        <v>7</v>
      </c>
      <c r="G1960" s="1">
        <v>25</v>
      </c>
      <c r="H1960" s="1">
        <v>150</v>
      </c>
      <c r="I1960" s="1">
        <v>100</v>
      </c>
      <c r="J1960" s="1">
        <v>33.963000000000001</v>
      </c>
      <c r="K1960" s="1">
        <v>16.036999999999999</v>
      </c>
      <c r="L1960" s="1">
        <v>67.930000000000007</v>
      </c>
      <c r="M1960" s="1">
        <v>52.3</v>
      </c>
      <c r="N1960" s="1">
        <v>5.62E-2</v>
      </c>
      <c r="O1960" s="1">
        <v>3.211E-4</v>
      </c>
      <c r="P19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19.251883625542749</v>
      </c>
      <c r="Q1960" s="1">
        <f>LN(Table13[[#This Row],[qe_mg_g]]-Table13[[#This Row],[qt]])</f>
        <v>2.6886034239469514</v>
      </c>
      <c r="R1960" s="1">
        <v>3</v>
      </c>
    </row>
    <row r="1961" spans="1:18" hidden="1" x14ac:dyDescent="0.3">
      <c r="A1961" s="1">
        <v>1960</v>
      </c>
      <c r="B1961" s="1" t="s">
        <v>19</v>
      </c>
      <c r="C1961" s="1">
        <v>1</v>
      </c>
      <c r="D1961" s="1">
        <v>120</v>
      </c>
      <c r="E1961" s="1">
        <v>50</v>
      </c>
      <c r="F1961" s="1">
        <v>11</v>
      </c>
      <c r="G1961" s="1">
        <v>25</v>
      </c>
      <c r="H1961" s="1">
        <v>150</v>
      </c>
      <c r="I1961" s="1">
        <v>100</v>
      </c>
      <c r="J1961" s="1">
        <v>27.405999999999999</v>
      </c>
      <c r="K1961" s="1">
        <v>22.594000000000001</v>
      </c>
      <c r="L1961" s="1">
        <v>54.81</v>
      </c>
      <c r="M1961" s="1">
        <v>53.9</v>
      </c>
      <c r="N1961" s="1">
        <v>5.348E-2</v>
      </c>
      <c r="O1961" s="1">
        <v>3.3730000000000001E-4</v>
      </c>
      <c r="P19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14.412973133651867</v>
      </c>
      <c r="Q1961" s="1">
        <f>LN(Table13[[#This Row],[qe_mg_g]]-Table13[[#This Row],[qt]])</f>
        <v>2.5644128186540325</v>
      </c>
      <c r="R1961" s="1">
        <v>1</v>
      </c>
    </row>
    <row r="1962" spans="1:18" hidden="1" x14ac:dyDescent="0.3">
      <c r="A1962" s="1">
        <v>1961</v>
      </c>
      <c r="B1962" s="1" t="s">
        <v>19</v>
      </c>
      <c r="C1962" s="1">
        <v>1</v>
      </c>
      <c r="D1962" s="1">
        <v>120</v>
      </c>
      <c r="E1962" s="1">
        <v>50</v>
      </c>
      <c r="F1962" s="1">
        <v>11</v>
      </c>
      <c r="G1962" s="1">
        <v>25</v>
      </c>
      <c r="H1962" s="1">
        <v>150</v>
      </c>
      <c r="I1962" s="1">
        <v>100</v>
      </c>
      <c r="J1962" s="1">
        <v>26.004999999999999</v>
      </c>
      <c r="K1962" s="1">
        <v>23.995000000000001</v>
      </c>
      <c r="L1962" s="1">
        <v>52.01</v>
      </c>
      <c r="M1962" s="1">
        <v>50.9</v>
      </c>
      <c r="N1962" s="1">
        <v>5.8619999999999998E-2</v>
      </c>
      <c r="O1962" s="1">
        <v>3.3619999999999999E-4</v>
      </c>
      <c r="P19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13.31434567210769</v>
      </c>
      <c r="Q1962" s="1">
        <f>LN(Table13[[#This Row],[qe_mg_g]]-Table13[[#This Row],[qt]])</f>
        <v>2.5408658428786608</v>
      </c>
      <c r="R1962" s="1">
        <v>2</v>
      </c>
    </row>
    <row r="1963" spans="1:18" hidden="1" x14ac:dyDescent="0.3">
      <c r="A1963" s="1">
        <v>1962</v>
      </c>
      <c r="B1963" s="1" t="s">
        <v>19</v>
      </c>
      <c r="C1963" s="1">
        <v>1</v>
      </c>
      <c r="D1963" s="1">
        <v>120</v>
      </c>
      <c r="E1963" s="1">
        <v>50</v>
      </c>
      <c r="F1963" s="1">
        <v>11</v>
      </c>
      <c r="G1963" s="1">
        <v>25</v>
      </c>
      <c r="H1963" s="1">
        <v>150</v>
      </c>
      <c r="I1963" s="1">
        <v>100</v>
      </c>
      <c r="J1963" s="1">
        <v>29.033000000000001</v>
      </c>
      <c r="K1963" s="1">
        <v>20.966999999999999</v>
      </c>
      <c r="L1963" s="1">
        <v>58.07</v>
      </c>
      <c r="M1963" s="1">
        <v>66.5</v>
      </c>
      <c r="N1963" s="1">
        <v>5.0099999999999999E-2</v>
      </c>
      <c r="O1963" s="1">
        <v>3.524E-4</v>
      </c>
      <c r="P19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16.000553572444719</v>
      </c>
      <c r="Q1963" s="1">
        <f>LN(Table13[[#This Row],[qe_mg_g]]-Table13[[#This Row],[qt]])</f>
        <v>2.5674421269710903</v>
      </c>
      <c r="R1963" s="1">
        <v>3</v>
      </c>
    </row>
    <row r="1964" spans="1:18" hidden="1" x14ac:dyDescent="0.3">
      <c r="A1964" s="1">
        <v>1963</v>
      </c>
      <c r="B1964" s="1" t="s">
        <v>19</v>
      </c>
      <c r="C1964" s="1">
        <v>1</v>
      </c>
      <c r="D1964" s="1">
        <v>120</v>
      </c>
      <c r="E1964" s="1">
        <v>100</v>
      </c>
      <c r="F1964" s="1">
        <v>3</v>
      </c>
      <c r="G1964" s="1">
        <v>25</v>
      </c>
      <c r="H1964" s="1">
        <v>150</v>
      </c>
      <c r="I1964" s="1">
        <v>100</v>
      </c>
      <c r="J1964" s="1">
        <v>51.920999999999999</v>
      </c>
      <c r="K1964" s="1">
        <v>48.079000000000001</v>
      </c>
      <c r="L1964" s="1">
        <v>51.92</v>
      </c>
      <c r="M1964" s="1">
        <v>51.9</v>
      </c>
      <c r="N1964" s="1">
        <v>6.6009999999999999E-2</v>
      </c>
      <c r="O1964" s="1">
        <v>3.392E-4</v>
      </c>
      <c r="P19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35.244335578635507</v>
      </c>
      <c r="Q1964" s="1">
        <f>LN(Table13[[#This Row],[qe_mg_g]]-Table13[[#This Row],[qt]])</f>
        <v>2.814010402194647</v>
      </c>
      <c r="R1964" s="1">
        <v>1</v>
      </c>
    </row>
    <row r="1965" spans="1:18" hidden="1" x14ac:dyDescent="0.3">
      <c r="A1965" s="1">
        <v>1964</v>
      </c>
      <c r="B1965" s="1" t="s">
        <v>19</v>
      </c>
      <c r="C1965" s="1">
        <v>1</v>
      </c>
      <c r="D1965" s="1">
        <v>120</v>
      </c>
      <c r="E1965" s="1">
        <v>100</v>
      </c>
      <c r="F1965" s="1">
        <v>3</v>
      </c>
      <c r="G1965" s="1">
        <v>25</v>
      </c>
      <c r="H1965" s="1">
        <v>150</v>
      </c>
      <c r="I1965" s="1">
        <v>100</v>
      </c>
      <c r="J1965" s="1">
        <v>55.77</v>
      </c>
      <c r="K1965" s="1">
        <v>44.23</v>
      </c>
      <c r="L1965" s="1">
        <v>55.77</v>
      </c>
      <c r="M1965" s="1">
        <v>59</v>
      </c>
      <c r="N1965" s="1">
        <v>4.9500000000000002E-2</v>
      </c>
      <c r="O1965" s="1">
        <v>3.2009999999999997E-4</v>
      </c>
      <c r="P19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38.021499253442748</v>
      </c>
      <c r="Q1965" s="1">
        <f>LN(Table13[[#This Row],[qe_mg_g]]-Table13[[#This Row],[qt]])</f>
        <v>2.8763010473713675</v>
      </c>
      <c r="R1965" s="1">
        <v>2</v>
      </c>
    </row>
    <row r="1966" spans="1:18" hidden="1" x14ac:dyDescent="0.3">
      <c r="A1966" s="1">
        <v>1965</v>
      </c>
      <c r="B1966" s="1" t="s">
        <v>19</v>
      </c>
      <c r="C1966" s="1">
        <v>1</v>
      </c>
      <c r="D1966" s="1">
        <v>120</v>
      </c>
      <c r="E1966" s="1">
        <v>100</v>
      </c>
      <c r="F1966" s="1">
        <v>3</v>
      </c>
      <c r="G1966" s="1">
        <v>25</v>
      </c>
      <c r="H1966" s="1">
        <v>150</v>
      </c>
      <c r="I1966" s="1">
        <v>100</v>
      </c>
      <c r="J1966" s="1">
        <v>49.805999999999997</v>
      </c>
      <c r="K1966" s="1">
        <v>50.194000000000003</v>
      </c>
      <c r="L1966" s="1">
        <v>49.81</v>
      </c>
      <c r="M1966" s="1">
        <v>47.3</v>
      </c>
      <c r="N1966" s="1">
        <v>3.9320000000000001E-2</v>
      </c>
      <c r="O1966" s="1">
        <v>3.6910000000000003E-4</v>
      </c>
      <c r="P19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34.270789212373586</v>
      </c>
      <c r="Q1966" s="1">
        <f>LN(Table13[[#This Row],[qe_mg_g]]-Table13[[#This Row],[qt]])</f>
        <v>2.743109111315972</v>
      </c>
      <c r="R1966" s="1">
        <v>3</v>
      </c>
    </row>
    <row r="1967" spans="1:18" hidden="1" x14ac:dyDescent="0.3">
      <c r="A1967" s="1">
        <v>1966</v>
      </c>
      <c r="B1967" s="1" t="s">
        <v>19</v>
      </c>
      <c r="C1967" s="1">
        <v>1</v>
      </c>
      <c r="D1967" s="1">
        <v>120</v>
      </c>
      <c r="E1967" s="1">
        <v>100</v>
      </c>
      <c r="F1967" s="1">
        <v>7</v>
      </c>
      <c r="G1967" s="1">
        <v>25</v>
      </c>
      <c r="H1967" s="1">
        <v>150</v>
      </c>
      <c r="I1967" s="1">
        <v>100</v>
      </c>
      <c r="J1967" s="1">
        <v>88.384</v>
      </c>
      <c r="K1967" s="1">
        <v>11.616</v>
      </c>
      <c r="L1967" s="1">
        <v>88.38</v>
      </c>
      <c r="M1967" s="1">
        <v>55.8</v>
      </c>
      <c r="N1967" s="1">
        <v>4.7210000000000002E-2</v>
      </c>
      <c r="O1967" s="1">
        <v>3.2749999999999999E-4</v>
      </c>
      <c r="P19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68.626724071973157</v>
      </c>
      <c r="Q1967" s="1">
        <f>LN(Table13[[#This Row],[qe_mg_g]]-Table13[[#This Row],[qt]])</f>
        <v>2.9835218249230704</v>
      </c>
      <c r="R1967" s="1">
        <v>1</v>
      </c>
    </row>
    <row r="1968" spans="1:18" hidden="1" x14ac:dyDescent="0.3">
      <c r="A1968" s="1">
        <v>1967</v>
      </c>
      <c r="B1968" s="1" t="s">
        <v>19</v>
      </c>
      <c r="C1968" s="1">
        <v>1</v>
      </c>
      <c r="D1968" s="1">
        <v>120</v>
      </c>
      <c r="E1968" s="1">
        <v>100</v>
      </c>
      <c r="F1968" s="1">
        <v>7</v>
      </c>
      <c r="G1968" s="1">
        <v>25</v>
      </c>
      <c r="H1968" s="1">
        <v>150</v>
      </c>
      <c r="I1968" s="1">
        <v>100</v>
      </c>
      <c r="J1968" s="1">
        <v>74.790999999999997</v>
      </c>
      <c r="K1968" s="1">
        <v>25.209</v>
      </c>
      <c r="L1968" s="1">
        <v>74.790000000000006</v>
      </c>
      <c r="M1968" s="1">
        <v>46.2</v>
      </c>
      <c r="N1968" s="1">
        <v>5.9729999999999998E-2</v>
      </c>
      <c r="O1968" s="1">
        <v>3.7839999999999998E-4</v>
      </c>
      <c r="P19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57.778003367173454</v>
      </c>
      <c r="Q1968" s="1">
        <f>LN(Table13[[#This Row],[qe_mg_g]]-Table13[[#This Row],[qt]])</f>
        <v>2.8339775597823031</v>
      </c>
      <c r="R1968" s="1">
        <v>2</v>
      </c>
    </row>
    <row r="1969" spans="1:18" hidden="1" x14ac:dyDescent="0.3">
      <c r="A1969" s="1">
        <v>1968</v>
      </c>
      <c r="B1969" s="1" t="s">
        <v>19</v>
      </c>
      <c r="C1969" s="1">
        <v>1</v>
      </c>
      <c r="D1969" s="1">
        <v>120</v>
      </c>
      <c r="E1969" s="1">
        <v>100</v>
      </c>
      <c r="F1969" s="1">
        <v>7</v>
      </c>
      <c r="G1969" s="1">
        <v>25</v>
      </c>
      <c r="H1969" s="1">
        <v>150</v>
      </c>
      <c r="I1969" s="1">
        <v>100</v>
      </c>
      <c r="J1969" s="1">
        <v>71.022999999999996</v>
      </c>
      <c r="K1969" s="1">
        <v>28.977</v>
      </c>
      <c r="L1969" s="1">
        <v>71.02</v>
      </c>
      <c r="M1969" s="1">
        <v>60.5</v>
      </c>
      <c r="N1969" s="1">
        <v>6.3399999999999998E-2</v>
      </c>
      <c r="O1969" s="1">
        <v>4.1659999999999999E-4</v>
      </c>
      <c r="P19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55.415545201521105</v>
      </c>
      <c r="Q1969" s="1">
        <f>LN(Table13[[#This Row],[qe_mg_g]]-Table13[[#This Row],[qt]])</f>
        <v>2.7477486718085395</v>
      </c>
      <c r="R1969" s="1">
        <v>3</v>
      </c>
    </row>
    <row r="1970" spans="1:18" hidden="1" x14ac:dyDescent="0.3">
      <c r="A1970" s="1">
        <v>1969</v>
      </c>
      <c r="B1970" s="1" t="s">
        <v>19</v>
      </c>
      <c r="C1970" s="1">
        <v>1</v>
      </c>
      <c r="D1970" s="1">
        <v>120</v>
      </c>
      <c r="E1970" s="1">
        <v>100</v>
      </c>
      <c r="F1970" s="1">
        <v>11</v>
      </c>
      <c r="G1970" s="1">
        <v>25</v>
      </c>
      <c r="H1970" s="1">
        <v>150</v>
      </c>
      <c r="I1970" s="1">
        <v>100</v>
      </c>
      <c r="J1970" s="1">
        <v>76.216999999999999</v>
      </c>
      <c r="K1970" s="1">
        <v>23.783000000000001</v>
      </c>
      <c r="L1970" s="1">
        <v>76.22</v>
      </c>
      <c r="M1970" s="1">
        <v>47.2</v>
      </c>
      <c r="N1970" s="1">
        <v>7.0529999999999995E-2</v>
      </c>
      <c r="O1970" s="1">
        <v>3.3760000000000002E-4</v>
      </c>
      <c r="P19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57.571565617689238</v>
      </c>
      <c r="Q1970" s="1">
        <f>LN(Table13[[#This Row],[qe_mg_g]]-Table13[[#This Row],[qt]])</f>
        <v>2.9256013108821022</v>
      </c>
      <c r="R1970" s="1">
        <v>1</v>
      </c>
    </row>
    <row r="1971" spans="1:18" hidden="1" x14ac:dyDescent="0.3">
      <c r="A1971" s="1">
        <v>1970</v>
      </c>
      <c r="B1971" s="1" t="s">
        <v>19</v>
      </c>
      <c r="C1971" s="1">
        <v>1</v>
      </c>
      <c r="D1971" s="1">
        <v>120</v>
      </c>
      <c r="E1971" s="1">
        <v>100</v>
      </c>
      <c r="F1971" s="1">
        <v>11</v>
      </c>
      <c r="G1971" s="1">
        <v>25</v>
      </c>
      <c r="H1971" s="1">
        <v>150</v>
      </c>
      <c r="I1971" s="1">
        <v>100</v>
      </c>
      <c r="J1971" s="1">
        <v>60.851999999999997</v>
      </c>
      <c r="K1971" s="1">
        <v>39.148000000000003</v>
      </c>
      <c r="L1971" s="1">
        <v>60.85</v>
      </c>
      <c r="M1971" s="1">
        <v>57.2</v>
      </c>
      <c r="N1971" s="1">
        <v>5.1799999999999999E-2</v>
      </c>
      <c r="O1971" s="1">
        <v>3.6400000000000001E-4</v>
      </c>
      <c r="P19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44.216750004767619</v>
      </c>
      <c r="Q1971" s="1">
        <f>LN(Table13[[#This Row],[qe_mg_g]]-Table13[[#This Row],[qt]])</f>
        <v>2.8115239376251679</v>
      </c>
      <c r="R1971" s="1">
        <v>2</v>
      </c>
    </row>
    <row r="1972" spans="1:18" hidden="1" x14ac:dyDescent="0.3">
      <c r="A1972" s="1">
        <v>1971</v>
      </c>
      <c r="B1972" s="1" t="s">
        <v>19</v>
      </c>
      <c r="C1972" s="1">
        <v>1</v>
      </c>
      <c r="D1972" s="1">
        <v>120</v>
      </c>
      <c r="E1972" s="1">
        <v>100</v>
      </c>
      <c r="F1972" s="1">
        <v>11</v>
      </c>
      <c r="G1972" s="1">
        <v>25</v>
      </c>
      <c r="H1972" s="1">
        <v>150</v>
      </c>
      <c r="I1972" s="1">
        <v>100</v>
      </c>
      <c r="J1972" s="1">
        <v>57.618000000000002</v>
      </c>
      <c r="K1972" s="1">
        <v>42.381999999999998</v>
      </c>
      <c r="L1972" s="1">
        <v>57.62</v>
      </c>
      <c r="M1972" s="1">
        <v>52.6</v>
      </c>
      <c r="N1972" s="1">
        <v>6.207E-2</v>
      </c>
      <c r="O1972" s="1">
        <v>3.48E-4</v>
      </c>
      <c r="P19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40.70201639248004</v>
      </c>
      <c r="Q1972" s="1">
        <f>LN(Table13[[#This Row],[qe_mg_g]]-Table13[[#This Row],[qt]])</f>
        <v>2.8282589505579852</v>
      </c>
      <c r="R1972" s="1">
        <v>3</v>
      </c>
    </row>
    <row r="1973" spans="1:18" hidden="1" x14ac:dyDescent="0.3">
      <c r="A1973" s="1">
        <v>1972</v>
      </c>
      <c r="B1973" s="1" t="s">
        <v>19</v>
      </c>
      <c r="C1973" s="1">
        <v>1</v>
      </c>
      <c r="D1973" s="1">
        <v>120</v>
      </c>
      <c r="E1973" s="1">
        <v>200</v>
      </c>
      <c r="F1973" s="1">
        <v>3</v>
      </c>
      <c r="G1973" s="1">
        <v>25</v>
      </c>
      <c r="H1973" s="1">
        <v>150</v>
      </c>
      <c r="I1973" s="1">
        <v>100</v>
      </c>
      <c r="J1973" s="1">
        <v>122.345</v>
      </c>
      <c r="K1973" s="1">
        <v>77.655000000000001</v>
      </c>
      <c r="L1973" s="1">
        <v>61.17</v>
      </c>
      <c r="M1973" s="1">
        <v>58.4</v>
      </c>
      <c r="N1973" s="1">
        <v>6.1440000000000002E-2</v>
      </c>
      <c r="O1973" s="1">
        <v>2.921E-4</v>
      </c>
      <c r="P19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99.210565121024217</v>
      </c>
      <c r="Q1973" s="1">
        <f>LN(Table13[[#This Row],[qe_mg_g]]-Table13[[#This Row],[qt]])</f>
        <v>3.1413221949577759</v>
      </c>
      <c r="R1973" s="1">
        <v>1</v>
      </c>
    </row>
    <row r="1974" spans="1:18" hidden="1" x14ac:dyDescent="0.3">
      <c r="A1974" s="1">
        <v>1973</v>
      </c>
      <c r="B1974" s="1" t="s">
        <v>19</v>
      </c>
      <c r="C1974" s="1">
        <v>1</v>
      </c>
      <c r="D1974" s="1">
        <v>120</v>
      </c>
      <c r="E1974" s="1">
        <v>200</v>
      </c>
      <c r="F1974" s="1">
        <v>3</v>
      </c>
      <c r="G1974" s="1">
        <v>25</v>
      </c>
      <c r="H1974" s="1">
        <v>150</v>
      </c>
      <c r="I1974" s="1">
        <v>100</v>
      </c>
      <c r="J1974" s="1">
        <v>126.101</v>
      </c>
      <c r="K1974" s="1">
        <v>73.899000000000001</v>
      </c>
      <c r="L1974" s="1">
        <v>63.05</v>
      </c>
      <c r="M1974" s="1">
        <v>52.4</v>
      </c>
      <c r="N1974" s="1">
        <v>5.5919999999999997E-2</v>
      </c>
      <c r="O1974" s="1">
        <v>3.8709999999999998E-4</v>
      </c>
      <c r="P19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107.71261378468198</v>
      </c>
      <c r="Q1974" s="1">
        <f>LN(Table13[[#This Row],[qe_mg_g]]-Table13[[#This Row],[qt]])</f>
        <v>2.9117192813843835</v>
      </c>
      <c r="R1974" s="1">
        <v>2</v>
      </c>
    </row>
    <row r="1975" spans="1:18" hidden="1" x14ac:dyDescent="0.3">
      <c r="A1975" s="1">
        <v>1974</v>
      </c>
      <c r="B1975" s="1" t="s">
        <v>19</v>
      </c>
      <c r="C1975" s="1">
        <v>1</v>
      </c>
      <c r="D1975" s="1">
        <v>120</v>
      </c>
      <c r="E1975" s="1">
        <v>200</v>
      </c>
      <c r="F1975" s="1">
        <v>3</v>
      </c>
      <c r="G1975" s="1">
        <v>25</v>
      </c>
      <c r="H1975" s="1">
        <v>150</v>
      </c>
      <c r="I1975" s="1">
        <v>100</v>
      </c>
      <c r="J1975" s="1">
        <v>111.018</v>
      </c>
      <c r="K1975" s="1">
        <v>88.981999999999999</v>
      </c>
      <c r="L1975" s="1">
        <v>55.51</v>
      </c>
      <c r="M1975" s="1">
        <v>46.3</v>
      </c>
      <c r="N1975" s="1">
        <v>4.4359999999999997E-2</v>
      </c>
      <c r="O1975" s="1">
        <v>3.3080000000000002E-4</v>
      </c>
      <c r="P19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90.48561510441138</v>
      </c>
      <c r="Q1975" s="1">
        <f>LN(Table13[[#This Row],[qe_mg_g]]-Table13[[#This Row],[qt]])</f>
        <v>3.0220033906546617</v>
      </c>
      <c r="R1975" s="1">
        <v>3</v>
      </c>
    </row>
    <row r="1976" spans="1:18" hidden="1" x14ac:dyDescent="0.3">
      <c r="A1976" s="1">
        <v>1975</v>
      </c>
      <c r="B1976" s="1" t="s">
        <v>19</v>
      </c>
      <c r="C1976" s="1">
        <v>1</v>
      </c>
      <c r="D1976" s="1">
        <v>120</v>
      </c>
      <c r="E1976" s="1">
        <v>200</v>
      </c>
      <c r="F1976" s="1">
        <v>7</v>
      </c>
      <c r="G1976" s="1">
        <v>25</v>
      </c>
      <c r="H1976" s="1">
        <v>150</v>
      </c>
      <c r="I1976" s="1">
        <v>100</v>
      </c>
      <c r="J1976" s="1">
        <v>183.08600000000001</v>
      </c>
      <c r="K1976" s="1">
        <v>16.914000000000001</v>
      </c>
      <c r="L1976" s="1">
        <v>91.54</v>
      </c>
      <c r="M1976" s="1">
        <v>53.6</v>
      </c>
      <c r="N1976" s="1">
        <v>4.7629999999999999E-2</v>
      </c>
      <c r="O1976" s="1">
        <v>3.3300000000000002E-4</v>
      </c>
      <c r="P19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161.07019506520243</v>
      </c>
      <c r="Q1976" s="1">
        <f>LN(Table13[[#This Row],[qe_mg_g]]-Table13[[#This Row],[qt]])</f>
        <v>3.0917606015553223</v>
      </c>
      <c r="R1976" s="1">
        <v>1</v>
      </c>
    </row>
    <row r="1977" spans="1:18" hidden="1" x14ac:dyDescent="0.3">
      <c r="A1977" s="1">
        <v>1976</v>
      </c>
      <c r="B1977" s="1" t="s">
        <v>19</v>
      </c>
      <c r="C1977" s="1">
        <v>1</v>
      </c>
      <c r="D1977" s="1">
        <v>120</v>
      </c>
      <c r="E1977" s="1">
        <v>200</v>
      </c>
      <c r="F1977" s="1">
        <v>7</v>
      </c>
      <c r="G1977" s="1">
        <v>25</v>
      </c>
      <c r="H1977" s="1">
        <v>150</v>
      </c>
      <c r="I1977" s="1">
        <v>100</v>
      </c>
      <c r="J1977" s="1">
        <v>150.04400000000001</v>
      </c>
      <c r="K1977" s="1">
        <v>49.956000000000003</v>
      </c>
      <c r="L1977" s="1">
        <v>75.02</v>
      </c>
      <c r="M1977" s="1">
        <v>45.3</v>
      </c>
      <c r="N1977" s="1">
        <v>5.7140000000000003E-2</v>
      </c>
      <c r="O1977" s="1">
        <v>3.0889999999999997E-4</v>
      </c>
      <c r="P19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127.17782130948979</v>
      </c>
      <c r="Q1977" s="1">
        <f>LN(Table13[[#This Row],[qe_mg_g]]-Table13[[#This Row],[qt]])</f>
        <v>3.129658905770877</v>
      </c>
      <c r="R1977" s="1">
        <v>2</v>
      </c>
    </row>
    <row r="1978" spans="1:18" hidden="1" x14ac:dyDescent="0.3">
      <c r="A1978" s="1">
        <v>1977</v>
      </c>
      <c r="B1978" s="1" t="s">
        <v>19</v>
      </c>
      <c r="C1978" s="1">
        <v>1</v>
      </c>
      <c r="D1978" s="1">
        <v>120</v>
      </c>
      <c r="E1978" s="1">
        <v>200</v>
      </c>
      <c r="F1978" s="1">
        <v>7</v>
      </c>
      <c r="G1978" s="1">
        <v>25</v>
      </c>
      <c r="H1978" s="1">
        <v>150</v>
      </c>
      <c r="I1978" s="1">
        <v>100</v>
      </c>
      <c r="J1978" s="1">
        <v>180.53299999999999</v>
      </c>
      <c r="K1978" s="1">
        <v>19.466999999999999</v>
      </c>
      <c r="L1978" s="1">
        <v>90.27</v>
      </c>
      <c r="M1978" s="1">
        <v>54</v>
      </c>
      <c r="N1978" s="1">
        <v>5.5469999999999998E-2</v>
      </c>
      <c r="O1978" s="1">
        <v>3.4029999999999998E-4</v>
      </c>
      <c r="P19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158.96972905883706</v>
      </c>
      <c r="Q1978" s="1">
        <f>LN(Table13[[#This Row],[qe_mg_g]]-Table13[[#This Row],[qt]])</f>
        <v>3.0709914479454903</v>
      </c>
      <c r="R1978" s="1">
        <v>3</v>
      </c>
    </row>
    <row r="1979" spans="1:18" hidden="1" x14ac:dyDescent="0.3">
      <c r="A1979" s="1">
        <v>1978</v>
      </c>
      <c r="B1979" s="1" t="s">
        <v>19</v>
      </c>
      <c r="C1979" s="1">
        <v>1</v>
      </c>
      <c r="D1979" s="1">
        <v>120</v>
      </c>
      <c r="E1979" s="1">
        <v>200</v>
      </c>
      <c r="F1979" s="1">
        <v>11</v>
      </c>
      <c r="G1979" s="1">
        <v>25</v>
      </c>
      <c r="H1979" s="1">
        <v>150</v>
      </c>
      <c r="I1979" s="1">
        <v>100</v>
      </c>
      <c r="J1979" s="1">
        <v>147.191</v>
      </c>
      <c r="K1979" s="1">
        <v>52.808999999999997</v>
      </c>
      <c r="L1979" s="1">
        <v>73.599999999999994</v>
      </c>
      <c r="M1979" s="1">
        <v>61</v>
      </c>
      <c r="N1979" s="1">
        <v>5.6840000000000002E-2</v>
      </c>
      <c r="O1979" s="1">
        <v>3.6979999999999999E-4</v>
      </c>
      <c r="P19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127.64825858116012</v>
      </c>
      <c r="Q1979" s="1">
        <f>LN(Table13[[#This Row],[qe_mg_g]]-Table13[[#This Row],[qt]])</f>
        <v>2.9726039345650133</v>
      </c>
      <c r="R1979" s="1">
        <v>1</v>
      </c>
    </row>
    <row r="1980" spans="1:18" hidden="1" x14ac:dyDescent="0.3">
      <c r="A1980" s="1">
        <v>1979</v>
      </c>
      <c r="B1980" s="1" t="s">
        <v>19</v>
      </c>
      <c r="C1980" s="1">
        <v>1</v>
      </c>
      <c r="D1980" s="1">
        <v>120</v>
      </c>
      <c r="E1980" s="1">
        <v>200</v>
      </c>
      <c r="F1980" s="1">
        <v>11</v>
      </c>
      <c r="G1980" s="1">
        <v>25</v>
      </c>
      <c r="H1980" s="1">
        <v>150</v>
      </c>
      <c r="I1980" s="1">
        <v>100</v>
      </c>
      <c r="J1980" s="1">
        <v>137.56299999999999</v>
      </c>
      <c r="K1980" s="1">
        <v>62.436999999999998</v>
      </c>
      <c r="L1980" s="1">
        <v>68.78</v>
      </c>
      <c r="M1980" s="1">
        <v>59</v>
      </c>
      <c r="N1980" s="1">
        <v>5.314E-2</v>
      </c>
      <c r="O1980" s="1">
        <v>3.501E-4</v>
      </c>
      <c r="P19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117.27136726121333</v>
      </c>
      <c r="Q1980" s="1">
        <f>LN(Table13[[#This Row],[qe_mg_g]]-Table13[[#This Row],[qt]])</f>
        <v>3.0102086207227328</v>
      </c>
      <c r="R1980" s="1">
        <v>2</v>
      </c>
    </row>
    <row r="1981" spans="1:18" hidden="1" x14ac:dyDescent="0.3">
      <c r="A1981" s="1">
        <v>1980</v>
      </c>
      <c r="B1981" s="1" t="s">
        <v>19</v>
      </c>
      <c r="C1981" s="1">
        <v>1</v>
      </c>
      <c r="D1981" s="1">
        <v>120</v>
      </c>
      <c r="E1981" s="1">
        <v>200</v>
      </c>
      <c r="F1981" s="1">
        <v>11</v>
      </c>
      <c r="G1981" s="1">
        <v>25</v>
      </c>
      <c r="H1981" s="1">
        <v>150</v>
      </c>
      <c r="I1981" s="1">
        <v>100</v>
      </c>
      <c r="J1981" s="1">
        <v>136.952</v>
      </c>
      <c r="K1981" s="1">
        <v>63.048000000000002</v>
      </c>
      <c r="L1981" s="1">
        <v>68.48</v>
      </c>
      <c r="M1981" s="1">
        <v>50.8</v>
      </c>
      <c r="N1981" s="1">
        <v>5.1209999999999999E-2</v>
      </c>
      <c r="O1981" s="1">
        <v>3.6640000000000002E-4</v>
      </c>
      <c r="P19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117.44735113262639</v>
      </c>
      <c r="Q1981" s="1">
        <f>LN(Table13[[#This Row],[qe_mg_g]]-Table13[[#This Row],[qt]])</f>
        <v>2.9706528406111699</v>
      </c>
      <c r="R1981" s="1">
        <v>3</v>
      </c>
    </row>
    <row r="1982" spans="1:18" hidden="1" x14ac:dyDescent="0.3">
      <c r="A1982" s="1">
        <v>1981</v>
      </c>
      <c r="B1982" s="1" t="s">
        <v>19</v>
      </c>
      <c r="C1982" s="1">
        <v>1</v>
      </c>
      <c r="D1982" s="1">
        <v>240</v>
      </c>
      <c r="E1982" s="1">
        <v>25</v>
      </c>
      <c r="F1982" s="1">
        <v>3</v>
      </c>
      <c r="G1982" s="1">
        <v>25</v>
      </c>
      <c r="H1982" s="1">
        <v>150</v>
      </c>
      <c r="I1982" s="1">
        <v>100</v>
      </c>
      <c r="J1982" s="1">
        <v>12.028</v>
      </c>
      <c r="K1982" s="1">
        <v>12.972</v>
      </c>
      <c r="L1982" s="1">
        <v>48.11</v>
      </c>
      <c r="M1982" s="1">
        <v>64.099999999999994</v>
      </c>
      <c r="N1982" s="1">
        <v>4.8090000000000001E-2</v>
      </c>
      <c r="O1982" s="1">
        <v>3.9510000000000001E-4</v>
      </c>
      <c r="P19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6.4088652311949375</v>
      </c>
      <c r="Q1982" s="1">
        <f>LN(Table13[[#This Row],[qe_mg_g]]-Table13[[#This Row],[qt]])</f>
        <v>1.7261776963245636</v>
      </c>
      <c r="R1982" s="1">
        <v>1</v>
      </c>
    </row>
    <row r="1983" spans="1:18" hidden="1" x14ac:dyDescent="0.3">
      <c r="A1983" s="1">
        <v>1982</v>
      </c>
      <c r="B1983" s="1" t="s">
        <v>19</v>
      </c>
      <c r="C1983" s="1">
        <v>1</v>
      </c>
      <c r="D1983" s="1">
        <v>240</v>
      </c>
      <c r="E1983" s="1">
        <v>25</v>
      </c>
      <c r="F1983" s="1">
        <v>3</v>
      </c>
      <c r="G1983" s="1">
        <v>25</v>
      </c>
      <c r="H1983" s="1">
        <v>150</v>
      </c>
      <c r="I1983" s="1">
        <v>100</v>
      </c>
      <c r="J1983" s="1">
        <v>10.772</v>
      </c>
      <c r="K1983" s="1">
        <v>14.228</v>
      </c>
      <c r="L1983" s="1">
        <v>43.09</v>
      </c>
      <c r="M1983" s="1">
        <v>59.5</v>
      </c>
      <c r="N1983" s="1">
        <v>5.0020000000000002E-2</v>
      </c>
      <c r="O1983" s="1">
        <v>3.5500000000000001E-4</v>
      </c>
      <c r="P19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5.1550723780649061</v>
      </c>
      <c r="Q1983" s="1">
        <f>LN(Table13[[#This Row],[qe_mg_g]]-Table13[[#This Row],[qt]])</f>
        <v>1.7257848279296397</v>
      </c>
      <c r="R1983" s="1">
        <v>2</v>
      </c>
    </row>
    <row r="1984" spans="1:18" hidden="1" x14ac:dyDescent="0.3">
      <c r="A1984" s="1">
        <v>1983</v>
      </c>
      <c r="B1984" s="1" t="s">
        <v>19</v>
      </c>
      <c r="C1984" s="1">
        <v>1</v>
      </c>
      <c r="D1984" s="1">
        <v>240</v>
      </c>
      <c r="E1984" s="1">
        <v>25</v>
      </c>
      <c r="F1984" s="1">
        <v>3</v>
      </c>
      <c r="G1984" s="1">
        <v>25</v>
      </c>
      <c r="H1984" s="1">
        <v>150</v>
      </c>
      <c r="I1984" s="1">
        <v>100</v>
      </c>
      <c r="J1984" s="1">
        <v>11.259</v>
      </c>
      <c r="K1984" s="1">
        <v>13.741</v>
      </c>
      <c r="L1984" s="1">
        <v>45.04</v>
      </c>
      <c r="M1984" s="1">
        <v>42.4</v>
      </c>
      <c r="N1984" s="1">
        <v>5.8349999999999999E-2</v>
      </c>
      <c r="O1984" s="1">
        <v>3.971E-4</v>
      </c>
      <c r="P19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5.8278136224724397</v>
      </c>
      <c r="Q1984" s="1">
        <f>LN(Table13[[#This Row],[qe_mg_g]]-Table13[[#This Row],[qt]])</f>
        <v>1.6921575958138282</v>
      </c>
      <c r="R1984" s="1">
        <v>3</v>
      </c>
    </row>
    <row r="1985" spans="1:18" hidden="1" x14ac:dyDescent="0.3">
      <c r="A1985" s="1">
        <v>1984</v>
      </c>
      <c r="B1985" s="1" t="s">
        <v>19</v>
      </c>
      <c r="C1985" s="1">
        <v>1</v>
      </c>
      <c r="D1985" s="1">
        <v>240</v>
      </c>
      <c r="E1985" s="1">
        <v>25</v>
      </c>
      <c r="F1985" s="1">
        <v>7</v>
      </c>
      <c r="G1985" s="1">
        <v>25</v>
      </c>
      <c r="H1985" s="1">
        <v>150</v>
      </c>
      <c r="I1985" s="1">
        <v>100</v>
      </c>
      <c r="J1985" s="1">
        <v>16.09</v>
      </c>
      <c r="K1985" s="1">
        <v>8.91</v>
      </c>
      <c r="L1985" s="1">
        <v>64.36</v>
      </c>
      <c r="M1985" s="1">
        <v>65.7</v>
      </c>
      <c r="N1985" s="1">
        <v>5.3960000000000001E-2</v>
      </c>
      <c r="O1985" s="1">
        <v>3.7970000000000001E-4</v>
      </c>
      <c r="P19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9.5659237175644751</v>
      </c>
      <c r="Q1985" s="1">
        <f>LN(Table13[[#This Row],[qe_mg_g]]-Table13[[#This Row],[qt]])</f>
        <v>1.8754993772770934</v>
      </c>
      <c r="R1985" s="1">
        <v>1</v>
      </c>
    </row>
    <row r="1986" spans="1:18" hidden="1" x14ac:dyDescent="0.3">
      <c r="A1986" s="1">
        <v>1985</v>
      </c>
      <c r="B1986" s="1" t="s">
        <v>19</v>
      </c>
      <c r="C1986" s="1">
        <v>1</v>
      </c>
      <c r="D1986" s="1">
        <v>240</v>
      </c>
      <c r="E1986" s="1">
        <v>25</v>
      </c>
      <c r="F1986" s="1">
        <v>7</v>
      </c>
      <c r="G1986" s="1">
        <v>25</v>
      </c>
      <c r="H1986" s="1">
        <v>150</v>
      </c>
      <c r="I1986" s="1">
        <v>100</v>
      </c>
      <c r="J1986" s="1">
        <v>13.759</v>
      </c>
      <c r="K1986" s="1">
        <v>11.241</v>
      </c>
      <c r="L1986" s="1">
        <v>55.04</v>
      </c>
      <c r="M1986" s="1">
        <v>74.3</v>
      </c>
      <c r="N1986" s="1">
        <v>6.3229999999999995E-2</v>
      </c>
      <c r="O1986" s="1">
        <v>3.4000000000000002E-4</v>
      </c>
      <c r="P19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7.2772658744306398</v>
      </c>
      <c r="Q1986" s="1">
        <f>LN(Table13[[#This Row],[qe_mg_g]]-Table13[[#This Row],[qt]])</f>
        <v>1.8689880865330675</v>
      </c>
      <c r="R1986" s="1">
        <v>2</v>
      </c>
    </row>
    <row r="1987" spans="1:18" hidden="1" x14ac:dyDescent="0.3">
      <c r="A1987" s="1">
        <v>1986</v>
      </c>
      <c r="B1987" s="1" t="s">
        <v>19</v>
      </c>
      <c r="C1987" s="1">
        <v>1</v>
      </c>
      <c r="D1987" s="1">
        <v>240</v>
      </c>
      <c r="E1987" s="1">
        <v>25</v>
      </c>
      <c r="F1987" s="1">
        <v>7</v>
      </c>
      <c r="G1987" s="1">
        <v>25</v>
      </c>
      <c r="H1987" s="1">
        <v>150</v>
      </c>
      <c r="I1987" s="1">
        <v>100</v>
      </c>
      <c r="J1987" s="1">
        <v>14.04</v>
      </c>
      <c r="K1987" s="1">
        <v>10.96</v>
      </c>
      <c r="L1987" s="1">
        <v>56.16</v>
      </c>
      <c r="M1987" s="1">
        <v>56.9</v>
      </c>
      <c r="N1987" s="1">
        <v>4.7059999999999998E-2</v>
      </c>
      <c r="O1987" s="1">
        <v>3.656E-4</v>
      </c>
      <c r="P19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7.7494681858952132</v>
      </c>
      <c r="Q1987" s="1">
        <f>LN(Table13[[#This Row],[qe_mg_g]]-Table13[[#This Row],[qt]])</f>
        <v>1.8390456162805271</v>
      </c>
      <c r="R1987" s="1">
        <v>3</v>
      </c>
    </row>
    <row r="1988" spans="1:18" hidden="1" x14ac:dyDescent="0.3">
      <c r="A1988" s="1">
        <v>1987</v>
      </c>
      <c r="B1988" s="1" t="s">
        <v>19</v>
      </c>
      <c r="C1988" s="1">
        <v>1</v>
      </c>
      <c r="D1988" s="1">
        <v>240</v>
      </c>
      <c r="E1988" s="1">
        <v>25</v>
      </c>
      <c r="F1988" s="1">
        <v>11</v>
      </c>
      <c r="G1988" s="1">
        <v>25</v>
      </c>
      <c r="H1988" s="1">
        <v>150</v>
      </c>
      <c r="I1988" s="1">
        <v>100</v>
      </c>
      <c r="J1988" s="1">
        <v>13.468</v>
      </c>
      <c r="K1988" s="1">
        <v>11.532</v>
      </c>
      <c r="L1988" s="1">
        <v>53.87</v>
      </c>
      <c r="M1988" s="1">
        <v>46.8</v>
      </c>
      <c r="N1988" s="1">
        <v>6.1170000000000002E-2</v>
      </c>
      <c r="O1988" s="1">
        <v>3.7819999999999998E-4</v>
      </c>
      <c r="P19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7.4080577509796619</v>
      </c>
      <c r="Q1988" s="1">
        <f>LN(Table13[[#This Row],[qe_mg_g]]-Table13[[#This Row],[qt]])</f>
        <v>1.8017002701711831</v>
      </c>
      <c r="R1988" s="1">
        <v>1</v>
      </c>
    </row>
    <row r="1989" spans="1:18" hidden="1" x14ac:dyDescent="0.3">
      <c r="A1989" s="1">
        <v>1988</v>
      </c>
      <c r="B1989" s="1" t="s">
        <v>19</v>
      </c>
      <c r="C1989" s="1">
        <v>1</v>
      </c>
      <c r="D1989" s="1">
        <v>240</v>
      </c>
      <c r="E1989" s="1">
        <v>25</v>
      </c>
      <c r="F1989" s="1">
        <v>11</v>
      </c>
      <c r="G1989" s="1">
        <v>25</v>
      </c>
      <c r="H1989" s="1">
        <v>150</v>
      </c>
      <c r="I1989" s="1">
        <v>100</v>
      </c>
      <c r="J1989" s="1">
        <v>13.984999999999999</v>
      </c>
      <c r="K1989" s="1">
        <v>11.015000000000001</v>
      </c>
      <c r="L1989" s="1">
        <v>55.94</v>
      </c>
      <c r="M1989" s="1">
        <v>54.6</v>
      </c>
      <c r="N1989" s="1">
        <v>4.7210000000000002E-2</v>
      </c>
      <c r="O1989" s="1">
        <v>3.8420000000000001E-4</v>
      </c>
      <c r="P19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7.8767564560268832</v>
      </c>
      <c r="Q1989" s="1">
        <f>LN(Table13[[#This Row],[qe_mg_g]]-Table13[[#This Row],[qt]])</f>
        <v>1.8096392595105832</v>
      </c>
      <c r="R1989" s="1">
        <v>2</v>
      </c>
    </row>
    <row r="1990" spans="1:18" hidden="1" x14ac:dyDescent="0.3">
      <c r="A1990" s="1">
        <v>1989</v>
      </c>
      <c r="B1990" s="1" t="s">
        <v>19</v>
      </c>
      <c r="C1990" s="1">
        <v>1</v>
      </c>
      <c r="D1990" s="1">
        <v>240</v>
      </c>
      <c r="E1990" s="1">
        <v>25</v>
      </c>
      <c r="F1990" s="1">
        <v>11</v>
      </c>
      <c r="G1990" s="1">
        <v>25</v>
      </c>
      <c r="H1990" s="1">
        <v>150</v>
      </c>
      <c r="I1990" s="1">
        <v>100</v>
      </c>
      <c r="J1990" s="1">
        <v>12.843</v>
      </c>
      <c r="K1990" s="1">
        <v>12.157</v>
      </c>
      <c r="L1990" s="1">
        <v>51.37</v>
      </c>
      <c r="M1990" s="1">
        <v>43.2</v>
      </c>
      <c r="N1990" s="1">
        <v>6.2440000000000002E-2</v>
      </c>
      <c r="O1990" s="1">
        <v>4.2349999999999999E-4</v>
      </c>
      <c r="P19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7.2720757359931385</v>
      </c>
      <c r="Q1990" s="1">
        <f>LN(Table13[[#This Row],[qe_mg_g]]-Table13[[#This Row],[qt]])</f>
        <v>1.7175609762607307</v>
      </c>
      <c r="R1990" s="1">
        <v>3</v>
      </c>
    </row>
    <row r="1991" spans="1:18" hidden="1" x14ac:dyDescent="0.3">
      <c r="A1991" s="1">
        <v>1990</v>
      </c>
      <c r="B1991" s="1" t="s">
        <v>19</v>
      </c>
      <c r="C1991" s="1">
        <v>1</v>
      </c>
      <c r="D1991" s="1">
        <v>240</v>
      </c>
      <c r="E1991" s="1">
        <v>50</v>
      </c>
      <c r="F1991" s="1">
        <v>3</v>
      </c>
      <c r="G1991" s="1">
        <v>25</v>
      </c>
      <c r="H1991" s="1">
        <v>150</v>
      </c>
      <c r="I1991" s="1">
        <v>100</v>
      </c>
      <c r="J1991" s="1">
        <v>27.279</v>
      </c>
      <c r="K1991" s="1">
        <v>22.721</v>
      </c>
      <c r="L1991" s="1">
        <v>54.56</v>
      </c>
      <c r="M1991" s="1">
        <v>72.2</v>
      </c>
      <c r="N1991" s="1">
        <v>5.5500000000000001E-2</v>
      </c>
      <c r="O1991" s="1">
        <v>3.367E-4</v>
      </c>
      <c r="P19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18.765915387390049</v>
      </c>
      <c r="Q1991" s="1">
        <f>LN(Table13[[#This Row],[qe_mg_g]]-Table13[[#This Row],[qt]])</f>
        <v>2.1416043460760612</v>
      </c>
      <c r="R1991" s="1">
        <v>1</v>
      </c>
    </row>
    <row r="1992" spans="1:18" hidden="1" x14ac:dyDescent="0.3">
      <c r="A1992" s="1">
        <v>1991</v>
      </c>
      <c r="B1992" s="1" t="s">
        <v>19</v>
      </c>
      <c r="C1992" s="1">
        <v>1</v>
      </c>
      <c r="D1992" s="1">
        <v>240</v>
      </c>
      <c r="E1992" s="1">
        <v>50</v>
      </c>
      <c r="F1992" s="1">
        <v>3</v>
      </c>
      <c r="G1992" s="1">
        <v>25</v>
      </c>
      <c r="H1992" s="1">
        <v>150</v>
      </c>
      <c r="I1992" s="1">
        <v>100</v>
      </c>
      <c r="J1992" s="1">
        <v>26.151</v>
      </c>
      <c r="K1992" s="1">
        <v>23.849</v>
      </c>
      <c r="L1992" s="1">
        <v>52.3</v>
      </c>
      <c r="M1992" s="1">
        <v>67.900000000000006</v>
      </c>
      <c r="N1992" s="1">
        <v>5.0709999999999998E-2</v>
      </c>
      <c r="O1992" s="1">
        <v>3.7570000000000002E-4</v>
      </c>
      <c r="P19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18.363290195000154</v>
      </c>
      <c r="Q1992" s="1">
        <f>LN(Table13[[#This Row],[qe_mg_g]]-Table13[[#This Row],[qt]])</f>
        <v>2.0525468250026493</v>
      </c>
      <c r="R1992" s="1">
        <v>2</v>
      </c>
    </row>
    <row r="1993" spans="1:18" hidden="1" x14ac:dyDescent="0.3">
      <c r="A1993" s="1">
        <v>1992</v>
      </c>
      <c r="B1993" s="1" t="s">
        <v>19</v>
      </c>
      <c r="C1993" s="1">
        <v>1</v>
      </c>
      <c r="D1993" s="1">
        <v>240</v>
      </c>
      <c r="E1993" s="1">
        <v>50</v>
      </c>
      <c r="F1993" s="1">
        <v>3</v>
      </c>
      <c r="G1993" s="1">
        <v>25</v>
      </c>
      <c r="H1993" s="1">
        <v>150</v>
      </c>
      <c r="I1993" s="1">
        <v>100</v>
      </c>
      <c r="J1993" s="1">
        <v>26.286999999999999</v>
      </c>
      <c r="K1993" s="1">
        <v>23.713000000000001</v>
      </c>
      <c r="L1993" s="1">
        <v>52.57</v>
      </c>
      <c r="M1993" s="1">
        <v>50.8</v>
      </c>
      <c r="N1993" s="1">
        <v>6.0670000000000002E-2</v>
      </c>
      <c r="O1993" s="1">
        <v>3.367E-4</v>
      </c>
      <c r="P19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17.873005737451059</v>
      </c>
      <c r="Q1993" s="1">
        <f>LN(Table13[[#This Row],[qe_mg_g]]-Table13[[#This Row],[qt]])</f>
        <v>2.1298963032746974</v>
      </c>
      <c r="R1993" s="1">
        <v>3</v>
      </c>
    </row>
    <row r="1994" spans="1:18" hidden="1" x14ac:dyDescent="0.3">
      <c r="A1994" s="1">
        <v>1993</v>
      </c>
      <c r="B1994" s="1" t="s">
        <v>19</v>
      </c>
      <c r="C1994" s="1">
        <v>1</v>
      </c>
      <c r="D1994" s="1">
        <v>240</v>
      </c>
      <c r="E1994" s="1">
        <v>50</v>
      </c>
      <c r="F1994" s="1">
        <v>7</v>
      </c>
      <c r="G1994" s="1">
        <v>25</v>
      </c>
      <c r="H1994" s="1">
        <v>150</v>
      </c>
      <c r="I1994" s="1">
        <v>100</v>
      </c>
      <c r="J1994" s="1">
        <v>37.752000000000002</v>
      </c>
      <c r="K1994" s="1">
        <v>12.247999999999999</v>
      </c>
      <c r="L1994" s="1">
        <v>75.5</v>
      </c>
      <c r="M1994" s="1">
        <v>63.8</v>
      </c>
      <c r="N1994" s="1">
        <v>6.3789999999999999E-2</v>
      </c>
      <c r="O1994" s="1">
        <v>3.726E-4</v>
      </c>
      <c r="P19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29.124814881543692</v>
      </c>
      <c r="Q1994" s="1">
        <f>LN(Table13[[#This Row],[qe_mg_g]]-Table13[[#This Row],[qt]])</f>
        <v>2.1549182778978726</v>
      </c>
      <c r="R1994" s="1">
        <v>1</v>
      </c>
    </row>
    <row r="1995" spans="1:18" hidden="1" x14ac:dyDescent="0.3">
      <c r="A1995" s="1">
        <v>1994</v>
      </c>
      <c r="B1995" s="1" t="s">
        <v>19</v>
      </c>
      <c r="C1995" s="1">
        <v>1</v>
      </c>
      <c r="D1995" s="1">
        <v>240</v>
      </c>
      <c r="E1995" s="1">
        <v>50</v>
      </c>
      <c r="F1995" s="1">
        <v>7</v>
      </c>
      <c r="G1995" s="1">
        <v>25</v>
      </c>
      <c r="H1995" s="1">
        <v>150</v>
      </c>
      <c r="I1995" s="1">
        <v>100</v>
      </c>
      <c r="J1995" s="1">
        <v>37.072000000000003</v>
      </c>
      <c r="K1995" s="1">
        <v>12.928000000000001</v>
      </c>
      <c r="L1995" s="1">
        <v>74.14</v>
      </c>
      <c r="M1995" s="1">
        <v>50.4</v>
      </c>
      <c r="N1995" s="1">
        <v>5.5440000000000003E-2</v>
      </c>
      <c r="O1995" s="1">
        <v>3.612E-4</v>
      </c>
      <c r="P19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28.274026324084037</v>
      </c>
      <c r="Q1995" s="1">
        <f>LN(Table13[[#This Row],[qe_mg_g]]-Table13[[#This Row],[qt]])</f>
        <v>2.1745214308688539</v>
      </c>
      <c r="R1995" s="1">
        <v>2</v>
      </c>
    </row>
    <row r="1996" spans="1:18" hidden="1" x14ac:dyDescent="0.3">
      <c r="A1996" s="1">
        <v>1995</v>
      </c>
      <c r="B1996" s="1" t="s">
        <v>19</v>
      </c>
      <c r="C1996" s="1">
        <v>1</v>
      </c>
      <c r="D1996" s="1">
        <v>240</v>
      </c>
      <c r="E1996" s="1">
        <v>50</v>
      </c>
      <c r="F1996" s="1">
        <v>7</v>
      </c>
      <c r="G1996" s="1">
        <v>25</v>
      </c>
      <c r="H1996" s="1">
        <v>150</v>
      </c>
      <c r="I1996" s="1">
        <v>100</v>
      </c>
      <c r="J1996" s="1">
        <v>36.165999999999997</v>
      </c>
      <c r="K1996" s="1">
        <v>13.834</v>
      </c>
      <c r="L1996" s="1">
        <v>72.33</v>
      </c>
      <c r="M1996" s="1">
        <v>60.5</v>
      </c>
      <c r="N1996" s="1">
        <v>5.5469999999999998E-2</v>
      </c>
      <c r="O1996" s="1">
        <v>2.9E-4</v>
      </c>
      <c r="P19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25.883253178820503</v>
      </c>
      <c r="Q1996" s="1">
        <f>LN(Table13[[#This Row],[qe_mg_g]]-Table13[[#This Row],[qt]])</f>
        <v>2.3304674248391639</v>
      </c>
      <c r="R1996" s="1">
        <v>3</v>
      </c>
    </row>
    <row r="1997" spans="1:18" hidden="1" x14ac:dyDescent="0.3">
      <c r="A1997" s="1">
        <v>1996</v>
      </c>
      <c r="B1997" s="1" t="s">
        <v>19</v>
      </c>
      <c r="C1997" s="1">
        <v>1</v>
      </c>
      <c r="D1997" s="1">
        <v>240</v>
      </c>
      <c r="E1997" s="1">
        <v>50</v>
      </c>
      <c r="F1997" s="1">
        <v>11</v>
      </c>
      <c r="G1997" s="1">
        <v>25</v>
      </c>
      <c r="H1997" s="1">
        <v>150</v>
      </c>
      <c r="I1997" s="1">
        <v>100</v>
      </c>
      <c r="J1997" s="1">
        <v>29.847999999999999</v>
      </c>
      <c r="K1997" s="1">
        <v>20.152000000000001</v>
      </c>
      <c r="L1997" s="1">
        <v>59.7</v>
      </c>
      <c r="M1997" s="1">
        <v>50.4</v>
      </c>
      <c r="N1997" s="1">
        <v>5.4600000000000003E-2</v>
      </c>
      <c r="O1997" s="1">
        <v>4.1609999999999998E-4</v>
      </c>
      <c r="P19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22.349897898060313</v>
      </c>
      <c r="Q1997" s="1">
        <f>LN(Table13[[#This Row],[qe_mg_g]]-Table13[[#This Row],[qt]])</f>
        <v>2.0146499354442242</v>
      </c>
      <c r="R1997" s="1">
        <v>1</v>
      </c>
    </row>
    <row r="1998" spans="1:18" hidden="1" x14ac:dyDescent="0.3">
      <c r="A1998" s="1">
        <v>1997</v>
      </c>
      <c r="B1998" s="1" t="s">
        <v>19</v>
      </c>
      <c r="C1998" s="1">
        <v>1</v>
      </c>
      <c r="D1998" s="1">
        <v>240</v>
      </c>
      <c r="E1998" s="1">
        <v>50</v>
      </c>
      <c r="F1998" s="1">
        <v>11</v>
      </c>
      <c r="G1998" s="1">
        <v>25</v>
      </c>
      <c r="H1998" s="1">
        <v>150</v>
      </c>
      <c r="I1998" s="1">
        <v>100</v>
      </c>
      <c r="J1998" s="1">
        <v>32.457000000000001</v>
      </c>
      <c r="K1998" s="1">
        <v>17.542999999999999</v>
      </c>
      <c r="L1998" s="1">
        <v>64.91</v>
      </c>
      <c r="M1998" s="1">
        <v>47.7</v>
      </c>
      <c r="N1998" s="1">
        <v>5.6210000000000003E-2</v>
      </c>
      <c r="O1998" s="1">
        <v>3.3770000000000002E-4</v>
      </c>
      <c r="P19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23.517093629203639</v>
      </c>
      <c r="Q1998" s="1">
        <f>LN(Table13[[#This Row],[qe_mg_g]]-Table13[[#This Row],[qt]])</f>
        <v>2.1905251160652957</v>
      </c>
      <c r="R1998" s="1">
        <v>2</v>
      </c>
    </row>
    <row r="1999" spans="1:18" hidden="1" x14ac:dyDescent="0.3">
      <c r="A1999" s="1">
        <v>1998</v>
      </c>
      <c r="B1999" s="1" t="s">
        <v>19</v>
      </c>
      <c r="C1999" s="1">
        <v>1</v>
      </c>
      <c r="D1999" s="1">
        <v>240</v>
      </c>
      <c r="E1999" s="1">
        <v>50</v>
      </c>
      <c r="F1999" s="1">
        <v>11</v>
      </c>
      <c r="G1999" s="1">
        <v>25</v>
      </c>
      <c r="H1999" s="1">
        <v>150</v>
      </c>
      <c r="I1999" s="1">
        <v>100</v>
      </c>
      <c r="J1999" s="1">
        <v>32.65</v>
      </c>
      <c r="K1999" s="1">
        <v>17.350000000000001</v>
      </c>
      <c r="L1999" s="1">
        <v>65.3</v>
      </c>
      <c r="M1999" s="1">
        <v>59.3</v>
      </c>
      <c r="N1999" s="1">
        <v>6.1650000000000003E-2</v>
      </c>
      <c r="O1999" s="1">
        <v>3.4909999999999997E-4</v>
      </c>
      <c r="P19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23.909648250767837</v>
      </c>
      <c r="Q1999" s="1">
        <f>LN(Table13[[#This Row],[qe_mg_g]]-Table13[[#This Row],[qt]])</f>
        <v>2.167950434765169</v>
      </c>
      <c r="R1999" s="1">
        <v>3</v>
      </c>
    </row>
    <row r="2000" spans="1:18" hidden="1" x14ac:dyDescent="0.3">
      <c r="A2000" s="1">
        <v>1999</v>
      </c>
      <c r="B2000" s="1" t="s">
        <v>19</v>
      </c>
      <c r="C2000" s="1">
        <v>1</v>
      </c>
      <c r="D2000" s="1">
        <v>240</v>
      </c>
      <c r="E2000" s="1">
        <v>100</v>
      </c>
      <c r="F2000" s="1">
        <v>3</v>
      </c>
      <c r="G2000" s="1">
        <v>25</v>
      </c>
      <c r="H2000" s="1">
        <v>150</v>
      </c>
      <c r="I2000" s="1">
        <v>100</v>
      </c>
      <c r="J2000" s="1">
        <v>69.122</v>
      </c>
      <c r="K2000" s="1">
        <v>30.878</v>
      </c>
      <c r="L2000" s="1">
        <v>69.12</v>
      </c>
      <c r="M2000" s="1">
        <v>62</v>
      </c>
      <c r="N2000" s="1">
        <v>5.1110000000000003E-2</v>
      </c>
      <c r="O2000" s="1">
        <v>4.2729999999999998E-4</v>
      </c>
      <c r="P20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60.576391908869418</v>
      </c>
      <c r="Q2000" s="1">
        <f>LN(Table13[[#This Row],[qe_mg_g]]-Table13[[#This Row],[qt]])</f>
        <v>2.1454174774212342</v>
      </c>
      <c r="R2000" s="1">
        <v>1</v>
      </c>
    </row>
    <row r="2001" spans="1:18" hidden="1" x14ac:dyDescent="0.3">
      <c r="A2001" s="1">
        <v>2000</v>
      </c>
      <c r="B2001" s="1" t="s">
        <v>19</v>
      </c>
      <c r="C2001" s="1">
        <v>1</v>
      </c>
      <c r="D2001" s="1">
        <v>240</v>
      </c>
      <c r="E2001" s="1">
        <v>100</v>
      </c>
      <c r="F2001" s="1">
        <v>3</v>
      </c>
      <c r="G2001" s="1">
        <v>25</v>
      </c>
      <c r="H2001" s="1">
        <v>150</v>
      </c>
      <c r="I2001" s="1">
        <v>100</v>
      </c>
      <c r="J2001" s="1">
        <v>63.427999999999997</v>
      </c>
      <c r="K2001" s="1">
        <v>36.572000000000003</v>
      </c>
      <c r="L2001" s="1">
        <v>63.43</v>
      </c>
      <c r="M2001" s="1">
        <v>47.7</v>
      </c>
      <c r="N2001" s="1">
        <v>6.4089999999999994E-2</v>
      </c>
      <c r="O2001" s="1">
        <v>4.2269999999999997E-4</v>
      </c>
      <c r="P20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54.896589190815163</v>
      </c>
      <c r="Q2001" s="1">
        <f>LN(Table13[[#This Row],[qe_mg_g]]-Table13[[#This Row],[qt]])</f>
        <v>2.1437547416358438</v>
      </c>
      <c r="R2001" s="1">
        <v>2</v>
      </c>
    </row>
    <row r="2002" spans="1:18" hidden="1" x14ac:dyDescent="0.3">
      <c r="A2002" s="1">
        <v>2001</v>
      </c>
      <c r="B2002" s="1" t="s">
        <v>19</v>
      </c>
      <c r="C2002" s="1">
        <v>1</v>
      </c>
      <c r="D2002" s="1">
        <v>240</v>
      </c>
      <c r="E2002" s="1">
        <v>100</v>
      </c>
      <c r="F2002" s="1">
        <v>3</v>
      </c>
      <c r="G2002" s="1">
        <v>25</v>
      </c>
      <c r="H2002" s="1">
        <v>150</v>
      </c>
      <c r="I2002" s="1">
        <v>100</v>
      </c>
      <c r="J2002" s="1">
        <v>61.865000000000002</v>
      </c>
      <c r="K2002" s="1">
        <v>38.134999999999998</v>
      </c>
      <c r="L2002" s="1">
        <v>61.87</v>
      </c>
      <c r="M2002" s="1">
        <v>50.4</v>
      </c>
      <c r="N2002" s="1">
        <v>5.4050000000000001E-2</v>
      </c>
      <c r="O2002" s="1">
        <v>3.7500000000000001E-4</v>
      </c>
      <c r="P20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52.445631409060802</v>
      </c>
      <c r="Q2002" s="1">
        <f>LN(Table13[[#This Row],[qe_mg_g]]-Table13[[#This Row],[qt]])</f>
        <v>2.2427680577790396</v>
      </c>
      <c r="R2002" s="1">
        <v>3</v>
      </c>
    </row>
    <row r="2003" spans="1:18" hidden="1" x14ac:dyDescent="0.3">
      <c r="A2003" s="1">
        <v>2002</v>
      </c>
      <c r="B2003" s="1" t="s">
        <v>19</v>
      </c>
      <c r="C2003" s="1">
        <v>1</v>
      </c>
      <c r="D2003" s="1">
        <v>240</v>
      </c>
      <c r="E2003" s="1">
        <v>100</v>
      </c>
      <c r="F2003" s="1">
        <v>7</v>
      </c>
      <c r="G2003" s="1">
        <v>25</v>
      </c>
      <c r="H2003" s="1">
        <v>150</v>
      </c>
      <c r="I2003" s="1">
        <v>100</v>
      </c>
      <c r="J2003" s="1">
        <v>93.337999999999994</v>
      </c>
      <c r="K2003" s="1">
        <v>6.6619999999999999</v>
      </c>
      <c r="L2003" s="1">
        <v>93.34</v>
      </c>
      <c r="M2003" s="1">
        <v>59.2</v>
      </c>
      <c r="N2003" s="1">
        <v>5.5559999999999998E-2</v>
      </c>
      <c r="O2003" s="1">
        <v>4.0240000000000002E-4</v>
      </c>
      <c r="P20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84.017445149696442</v>
      </c>
      <c r="Q2003" s="1">
        <f>LN(Table13[[#This Row],[qe_mg_g]]-Table13[[#This Row],[qt]])</f>
        <v>2.2322221602198362</v>
      </c>
      <c r="R2003" s="1">
        <v>1</v>
      </c>
    </row>
    <row r="2004" spans="1:18" hidden="1" x14ac:dyDescent="0.3">
      <c r="A2004" s="1">
        <v>2003</v>
      </c>
      <c r="B2004" s="1" t="s">
        <v>19</v>
      </c>
      <c r="C2004" s="1">
        <v>1</v>
      </c>
      <c r="D2004" s="1">
        <v>240</v>
      </c>
      <c r="E2004" s="1">
        <v>100</v>
      </c>
      <c r="F2004" s="1">
        <v>7</v>
      </c>
      <c r="G2004" s="1">
        <v>25</v>
      </c>
      <c r="H2004" s="1">
        <v>150</v>
      </c>
      <c r="I2004" s="1">
        <v>100</v>
      </c>
      <c r="J2004" s="1">
        <v>83.798000000000002</v>
      </c>
      <c r="K2004" s="1">
        <v>16.202000000000002</v>
      </c>
      <c r="L2004" s="1">
        <v>83.8</v>
      </c>
      <c r="M2004" s="1">
        <v>63</v>
      </c>
      <c r="N2004" s="1">
        <v>5.3420000000000002E-2</v>
      </c>
      <c r="O2004" s="1">
        <v>3.6509999999999998E-4</v>
      </c>
      <c r="P20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73.753549190199749</v>
      </c>
      <c r="Q2004" s="1">
        <f>LN(Table13[[#This Row],[qe_mg_g]]-Table13[[#This Row],[qt]])</f>
        <v>2.3070203237807623</v>
      </c>
      <c r="R2004" s="1">
        <v>2</v>
      </c>
    </row>
    <row r="2005" spans="1:18" hidden="1" x14ac:dyDescent="0.3">
      <c r="A2005" s="1">
        <v>2004</v>
      </c>
      <c r="B2005" s="1" t="s">
        <v>19</v>
      </c>
      <c r="C2005" s="1">
        <v>1</v>
      </c>
      <c r="D2005" s="1">
        <v>240</v>
      </c>
      <c r="E2005" s="1">
        <v>100</v>
      </c>
      <c r="F2005" s="1">
        <v>7</v>
      </c>
      <c r="G2005" s="1">
        <v>25</v>
      </c>
      <c r="H2005" s="1">
        <v>150</v>
      </c>
      <c r="I2005" s="1">
        <v>100</v>
      </c>
      <c r="J2005" s="1">
        <v>84.992999999999995</v>
      </c>
      <c r="K2005" s="1">
        <v>15.007</v>
      </c>
      <c r="L2005" s="1">
        <v>84.99</v>
      </c>
      <c r="M2005" s="1">
        <v>54.1</v>
      </c>
      <c r="N2005" s="1">
        <v>5.2920000000000002E-2</v>
      </c>
      <c r="O2005" s="1">
        <v>3.971E-4</v>
      </c>
      <c r="P20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75.653287315913303</v>
      </c>
      <c r="Q2005" s="1">
        <f>LN(Table13[[#This Row],[qe_mg_g]]-Table13[[#This Row],[qt]])</f>
        <v>2.2342754898925086</v>
      </c>
      <c r="R2005" s="1">
        <v>3</v>
      </c>
    </row>
    <row r="2006" spans="1:18" hidden="1" x14ac:dyDescent="0.3">
      <c r="A2006" s="1">
        <v>2005</v>
      </c>
      <c r="B2006" s="1" t="s">
        <v>19</v>
      </c>
      <c r="C2006" s="1">
        <v>1</v>
      </c>
      <c r="D2006" s="1">
        <v>240</v>
      </c>
      <c r="E2006" s="1">
        <v>100</v>
      </c>
      <c r="F2006" s="1">
        <v>11</v>
      </c>
      <c r="G2006" s="1">
        <v>25</v>
      </c>
      <c r="H2006" s="1">
        <v>150</v>
      </c>
      <c r="I2006" s="1">
        <v>100</v>
      </c>
      <c r="J2006" s="1">
        <v>67.786000000000001</v>
      </c>
      <c r="K2006" s="1">
        <v>32.213999999999999</v>
      </c>
      <c r="L2006" s="1">
        <v>67.790000000000006</v>
      </c>
      <c r="M2006" s="1">
        <v>48.5</v>
      </c>
      <c r="N2006" s="1">
        <v>6.6669999999999993E-2</v>
      </c>
      <c r="O2006" s="1">
        <v>3.8420000000000001E-4</v>
      </c>
      <c r="P20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58.436737532319214</v>
      </c>
      <c r="Q2006" s="1">
        <f>LN(Table13[[#This Row],[qe_mg_g]]-Table13[[#This Row],[qt]])</f>
        <v>2.2352974597274207</v>
      </c>
      <c r="R2006" s="1">
        <v>1</v>
      </c>
    </row>
    <row r="2007" spans="1:18" hidden="1" x14ac:dyDescent="0.3">
      <c r="A2007" s="1">
        <v>2006</v>
      </c>
      <c r="B2007" s="1" t="s">
        <v>19</v>
      </c>
      <c r="C2007" s="1">
        <v>1</v>
      </c>
      <c r="D2007" s="1">
        <v>240</v>
      </c>
      <c r="E2007" s="1">
        <v>100</v>
      </c>
      <c r="F2007" s="1">
        <v>11</v>
      </c>
      <c r="G2007" s="1">
        <v>25</v>
      </c>
      <c r="H2007" s="1">
        <v>150</v>
      </c>
      <c r="I2007" s="1">
        <v>100</v>
      </c>
      <c r="J2007" s="1">
        <v>59.523000000000003</v>
      </c>
      <c r="K2007" s="1">
        <v>40.476999999999997</v>
      </c>
      <c r="L2007" s="1">
        <v>59.52</v>
      </c>
      <c r="M2007" s="1">
        <v>49.9</v>
      </c>
      <c r="N2007" s="1">
        <v>4.5030000000000001E-2</v>
      </c>
      <c r="O2007" s="1">
        <v>3.167E-4</v>
      </c>
      <c r="P20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48.748093331223146</v>
      </c>
      <c r="Q2007" s="1">
        <f>LN(Table13[[#This Row],[qe_mg_g]]-Table13[[#This Row],[qt]])</f>
        <v>2.3772199741218434</v>
      </c>
      <c r="R2007" s="1">
        <v>2</v>
      </c>
    </row>
    <row r="2008" spans="1:18" hidden="1" x14ac:dyDescent="0.3">
      <c r="A2008" s="1">
        <v>2007</v>
      </c>
      <c r="B2008" s="1" t="s">
        <v>19</v>
      </c>
      <c r="C2008" s="1">
        <v>1</v>
      </c>
      <c r="D2008" s="1">
        <v>240</v>
      </c>
      <c r="E2008" s="1">
        <v>100</v>
      </c>
      <c r="F2008" s="1">
        <v>11</v>
      </c>
      <c r="G2008" s="1">
        <v>25</v>
      </c>
      <c r="H2008" s="1">
        <v>150</v>
      </c>
      <c r="I2008" s="1">
        <v>100</v>
      </c>
      <c r="J2008" s="1">
        <v>55.753999999999998</v>
      </c>
      <c r="K2008" s="1">
        <v>44.246000000000002</v>
      </c>
      <c r="L2008" s="1">
        <v>55.75</v>
      </c>
      <c r="M2008" s="1">
        <v>53.4</v>
      </c>
      <c r="N2008" s="1">
        <v>4.8719999999999999E-2</v>
      </c>
      <c r="O2008" s="1">
        <v>3.5209999999999999E-4</v>
      </c>
      <c r="P20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45.992181808601039</v>
      </c>
      <c r="Q2008" s="1">
        <f>LN(Table13[[#This Row],[qe_mg_g]]-Table13[[#This Row],[qt]])</f>
        <v>2.2784786731775069</v>
      </c>
      <c r="R2008" s="1">
        <v>3</v>
      </c>
    </row>
    <row r="2009" spans="1:18" hidden="1" x14ac:dyDescent="0.3">
      <c r="A2009" s="1">
        <v>2008</v>
      </c>
      <c r="B2009" s="1" t="s">
        <v>19</v>
      </c>
      <c r="C2009" s="1">
        <v>1</v>
      </c>
      <c r="D2009" s="1">
        <v>240</v>
      </c>
      <c r="E2009" s="1">
        <v>200</v>
      </c>
      <c r="F2009" s="1">
        <v>3</v>
      </c>
      <c r="G2009" s="1">
        <v>25</v>
      </c>
      <c r="H2009" s="1">
        <v>150</v>
      </c>
      <c r="I2009" s="1">
        <v>100</v>
      </c>
      <c r="J2009" s="1">
        <v>115.593</v>
      </c>
      <c r="K2009" s="1">
        <v>84.406999999999996</v>
      </c>
      <c r="L2009" s="1">
        <v>57.8</v>
      </c>
      <c r="M2009" s="1">
        <v>55.2</v>
      </c>
      <c r="N2009" s="1">
        <v>5.2720000000000003E-2</v>
      </c>
      <c r="O2009" s="1">
        <v>4.0259999999999997E-4</v>
      </c>
      <c r="P20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106.0940724991175</v>
      </c>
      <c r="Q2009" s="1">
        <f>LN(Table13[[#This Row],[qe_mg_g]]-Table13[[#This Row],[qt]])</f>
        <v>2.251178897589468</v>
      </c>
      <c r="R2009" s="1">
        <v>1</v>
      </c>
    </row>
    <row r="2010" spans="1:18" hidden="1" x14ac:dyDescent="0.3">
      <c r="A2010" s="1">
        <v>2009</v>
      </c>
      <c r="B2010" s="1" t="s">
        <v>19</v>
      </c>
      <c r="C2010" s="1">
        <v>1</v>
      </c>
      <c r="D2010" s="1">
        <v>240</v>
      </c>
      <c r="E2010" s="1">
        <v>200</v>
      </c>
      <c r="F2010" s="1">
        <v>3</v>
      </c>
      <c r="G2010" s="1">
        <v>25</v>
      </c>
      <c r="H2010" s="1">
        <v>150</v>
      </c>
      <c r="I2010" s="1">
        <v>100</v>
      </c>
      <c r="J2010" s="1">
        <v>143.316</v>
      </c>
      <c r="K2010" s="1">
        <v>56.683999999999997</v>
      </c>
      <c r="L2010" s="1">
        <v>71.66</v>
      </c>
      <c r="M2010" s="1">
        <v>61</v>
      </c>
      <c r="N2010" s="1">
        <v>5.3199999999999997E-2</v>
      </c>
      <c r="O2010" s="1">
        <v>4.1950000000000001E-4</v>
      </c>
      <c r="P20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134.02729105997452</v>
      </c>
      <c r="Q2010" s="1">
        <f>LN(Table13[[#This Row],[qe_mg_g]]-Table13[[#This Row],[qt]])</f>
        <v>2.2287995700814931</v>
      </c>
      <c r="R2010" s="1">
        <v>2</v>
      </c>
    </row>
    <row r="2011" spans="1:18" hidden="1" x14ac:dyDescent="0.3">
      <c r="A2011" s="1">
        <v>2010</v>
      </c>
      <c r="B2011" s="1" t="s">
        <v>19</v>
      </c>
      <c r="C2011" s="1">
        <v>1</v>
      </c>
      <c r="D2011" s="1">
        <v>240</v>
      </c>
      <c r="E2011" s="1">
        <v>200</v>
      </c>
      <c r="F2011" s="1">
        <v>3</v>
      </c>
      <c r="G2011" s="1">
        <v>25</v>
      </c>
      <c r="H2011" s="1">
        <v>150</v>
      </c>
      <c r="I2011" s="1">
        <v>100</v>
      </c>
      <c r="J2011" s="1">
        <v>116.251</v>
      </c>
      <c r="K2011" s="1">
        <v>83.748999999999995</v>
      </c>
      <c r="L2011" s="1">
        <v>58.13</v>
      </c>
      <c r="M2011" s="1">
        <v>43.1</v>
      </c>
      <c r="N2011" s="1">
        <v>5.4539999999999998E-2</v>
      </c>
      <c r="O2011" s="1">
        <v>4.2890000000000002E-4</v>
      </c>
      <c r="P20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107.2854518122479</v>
      </c>
      <c r="Q2011" s="1">
        <f>LN(Table13[[#This Row],[qe_mg_g]]-Table13[[#This Row],[qt]])</f>
        <v>2.1933892527339083</v>
      </c>
      <c r="R2011" s="1">
        <v>3</v>
      </c>
    </row>
    <row r="2012" spans="1:18" hidden="1" x14ac:dyDescent="0.3">
      <c r="A2012" s="1">
        <v>2011</v>
      </c>
      <c r="B2012" s="1" t="s">
        <v>19</v>
      </c>
      <c r="C2012" s="1">
        <v>1</v>
      </c>
      <c r="D2012" s="1">
        <v>240</v>
      </c>
      <c r="E2012" s="1">
        <v>200</v>
      </c>
      <c r="F2012" s="1">
        <v>7</v>
      </c>
      <c r="G2012" s="1">
        <v>25</v>
      </c>
      <c r="H2012" s="1">
        <v>150</v>
      </c>
      <c r="I2012" s="1">
        <v>100</v>
      </c>
      <c r="J2012" s="1">
        <v>174.79300000000001</v>
      </c>
      <c r="K2012" s="1">
        <v>25.207000000000001</v>
      </c>
      <c r="L2012" s="1">
        <v>87.4</v>
      </c>
      <c r="M2012" s="1">
        <v>53</v>
      </c>
      <c r="N2012" s="1">
        <v>4.7070000000000001E-2</v>
      </c>
      <c r="O2012" s="1">
        <v>3.8309999999999999E-4</v>
      </c>
      <c r="P20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164.55392296803925</v>
      </c>
      <c r="Q2012" s="1">
        <f>LN(Table13[[#This Row],[qe_mg_g]]-Table13[[#This Row],[qt]])</f>
        <v>2.326211481951503</v>
      </c>
      <c r="R2012" s="1">
        <v>1</v>
      </c>
    </row>
    <row r="2013" spans="1:18" hidden="1" x14ac:dyDescent="0.3">
      <c r="A2013" s="1">
        <v>2012</v>
      </c>
      <c r="B2013" s="1" t="s">
        <v>19</v>
      </c>
      <c r="C2013" s="1">
        <v>1</v>
      </c>
      <c r="D2013" s="1">
        <v>240</v>
      </c>
      <c r="E2013" s="1">
        <v>200</v>
      </c>
      <c r="F2013" s="1">
        <v>7</v>
      </c>
      <c r="G2013" s="1">
        <v>25</v>
      </c>
      <c r="H2013" s="1">
        <v>150</v>
      </c>
      <c r="I2013" s="1">
        <v>100</v>
      </c>
      <c r="J2013" s="1">
        <v>189.13499999999999</v>
      </c>
      <c r="K2013" s="1">
        <v>10.865</v>
      </c>
      <c r="L2013" s="1">
        <v>94.57</v>
      </c>
      <c r="M2013" s="1">
        <v>61</v>
      </c>
      <c r="N2013" s="1">
        <v>5.1540000000000002E-2</v>
      </c>
      <c r="O2013" s="1">
        <v>3.2529999999999999E-4</v>
      </c>
      <c r="P20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177.13872777428222</v>
      </c>
      <c r="Q2013" s="1">
        <f>LN(Table13[[#This Row],[qe_mg_g]]-Table13[[#This Row],[qt]])</f>
        <v>2.4845959536701074</v>
      </c>
      <c r="R2013" s="1">
        <v>2</v>
      </c>
    </row>
    <row r="2014" spans="1:18" hidden="1" x14ac:dyDescent="0.3">
      <c r="A2014" s="1">
        <v>2013</v>
      </c>
      <c r="B2014" s="1" t="s">
        <v>19</v>
      </c>
      <c r="C2014" s="1">
        <v>1</v>
      </c>
      <c r="D2014" s="1">
        <v>240</v>
      </c>
      <c r="E2014" s="1">
        <v>200</v>
      </c>
      <c r="F2014" s="1">
        <v>7</v>
      </c>
      <c r="G2014" s="1">
        <v>25</v>
      </c>
      <c r="H2014" s="1">
        <v>150</v>
      </c>
      <c r="I2014" s="1">
        <v>100</v>
      </c>
      <c r="J2014" s="1">
        <v>161.255</v>
      </c>
      <c r="K2014" s="1">
        <v>38.744999999999997</v>
      </c>
      <c r="L2014" s="1">
        <v>80.63</v>
      </c>
      <c r="M2014" s="1">
        <v>55.2</v>
      </c>
      <c r="N2014" s="1">
        <v>4.9059999999999999E-2</v>
      </c>
      <c r="O2014" s="1">
        <v>3.0880000000000002E-4</v>
      </c>
      <c r="P20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148.80377116722028</v>
      </c>
      <c r="Q2014" s="1">
        <f>LN(Table13[[#This Row],[qe_mg_g]]-Table13[[#This Row],[qt]])</f>
        <v>2.5218193194681411</v>
      </c>
      <c r="R2014" s="1">
        <v>3</v>
      </c>
    </row>
    <row r="2015" spans="1:18" hidden="1" x14ac:dyDescent="0.3">
      <c r="A2015" s="1">
        <v>2014</v>
      </c>
      <c r="B2015" s="1" t="s">
        <v>19</v>
      </c>
      <c r="C2015" s="1">
        <v>1</v>
      </c>
      <c r="D2015" s="1">
        <v>240</v>
      </c>
      <c r="E2015" s="1">
        <v>200</v>
      </c>
      <c r="F2015" s="1">
        <v>11</v>
      </c>
      <c r="G2015" s="1">
        <v>25</v>
      </c>
      <c r="H2015" s="1">
        <v>150</v>
      </c>
      <c r="I2015" s="1">
        <v>100</v>
      </c>
      <c r="J2015" s="1">
        <v>144.74199999999999</v>
      </c>
      <c r="K2015" s="1">
        <v>55.258000000000003</v>
      </c>
      <c r="L2015" s="1">
        <v>72.37</v>
      </c>
      <c r="M2015" s="1">
        <v>50.5</v>
      </c>
      <c r="N2015" s="1">
        <v>5.2040000000000003E-2</v>
      </c>
      <c r="O2015" s="1">
        <v>3.6630000000000001E-4</v>
      </c>
      <c r="P20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134.19579570143736</v>
      </c>
      <c r="Q2015" s="1">
        <f>LN(Table13[[#This Row],[qe_mg_g]]-Table13[[#This Row],[qt]])</f>
        <v>2.3557660130581932</v>
      </c>
      <c r="R2015" s="1">
        <v>1</v>
      </c>
    </row>
    <row r="2016" spans="1:18" hidden="1" x14ac:dyDescent="0.3">
      <c r="A2016" s="1">
        <v>2015</v>
      </c>
      <c r="B2016" s="1" t="s">
        <v>19</v>
      </c>
      <c r="C2016" s="1">
        <v>1</v>
      </c>
      <c r="D2016" s="1">
        <v>240</v>
      </c>
      <c r="E2016" s="1">
        <v>200</v>
      </c>
      <c r="F2016" s="1">
        <v>11</v>
      </c>
      <c r="G2016" s="1">
        <v>25</v>
      </c>
      <c r="H2016" s="1">
        <v>150</v>
      </c>
      <c r="I2016" s="1">
        <v>100</v>
      </c>
      <c r="J2016" s="1">
        <v>149.99199999999999</v>
      </c>
      <c r="K2016" s="1">
        <v>50.008000000000003</v>
      </c>
      <c r="L2016" s="1">
        <v>75</v>
      </c>
      <c r="M2016" s="1">
        <v>52.2</v>
      </c>
      <c r="N2016" s="1">
        <v>5.6009999999999997E-2</v>
      </c>
      <c r="O2016" s="1">
        <v>3.1530000000000002E-4</v>
      </c>
      <c r="P20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137.8470901774032</v>
      </c>
      <c r="Q2016" s="1">
        <f>LN(Table13[[#This Row],[qe_mg_g]]-Table13[[#This Row],[qt]])</f>
        <v>2.4969101373624931</v>
      </c>
      <c r="R2016" s="1">
        <v>2</v>
      </c>
    </row>
    <row r="2017" spans="1:18" hidden="1" x14ac:dyDescent="0.3">
      <c r="A2017" s="1">
        <v>2016</v>
      </c>
      <c r="B2017" s="1" t="s">
        <v>19</v>
      </c>
      <c r="C2017" s="1">
        <v>1</v>
      </c>
      <c r="D2017" s="1">
        <v>240</v>
      </c>
      <c r="E2017" s="1">
        <v>200</v>
      </c>
      <c r="F2017" s="1">
        <v>11</v>
      </c>
      <c r="G2017" s="1">
        <v>25</v>
      </c>
      <c r="H2017" s="1">
        <v>150</v>
      </c>
      <c r="I2017" s="1">
        <v>100</v>
      </c>
      <c r="J2017" s="1">
        <v>150.26499999999999</v>
      </c>
      <c r="K2017" s="1">
        <v>49.734999999999999</v>
      </c>
      <c r="L2017" s="1">
        <v>75.13</v>
      </c>
      <c r="M2017" s="1">
        <v>55.8</v>
      </c>
      <c r="N2017" s="1">
        <v>4.6730000000000001E-2</v>
      </c>
      <c r="O2017" s="1">
        <v>3.8479999999999997E-4</v>
      </c>
      <c r="P20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140.16469484515645</v>
      </c>
      <c r="Q2017" s="1">
        <f>LN(Table13[[#This Row],[qe_mg_g]]-Table13[[#This Row],[qt]])</f>
        <v>2.3125656367416449</v>
      </c>
      <c r="R2017" s="1">
        <v>3</v>
      </c>
    </row>
    <row r="2018" spans="1:18" hidden="1" x14ac:dyDescent="0.3">
      <c r="A2018" s="1">
        <v>2017</v>
      </c>
      <c r="B2018" s="1" t="s">
        <v>19</v>
      </c>
      <c r="C2018" s="1">
        <v>2</v>
      </c>
      <c r="D2018" s="1">
        <v>30</v>
      </c>
      <c r="E2018" s="1">
        <v>25</v>
      </c>
      <c r="F2018" s="1">
        <v>3</v>
      </c>
      <c r="G2018" s="1">
        <v>25</v>
      </c>
      <c r="H2018" s="1">
        <v>150</v>
      </c>
      <c r="I2018" s="1">
        <v>100</v>
      </c>
      <c r="J2018" s="1">
        <v>0.74</v>
      </c>
      <c r="K2018" s="1">
        <v>23.518999999999998</v>
      </c>
      <c r="L2018" s="1">
        <v>5.92</v>
      </c>
      <c r="M2018" s="1">
        <v>55.3</v>
      </c>
      <c r="N2018" s="1">
        <v>6.1400000000000003E-2</v>
      </c>
      <c r="O2018" s="1">
        <v>3.8240000000000003E-4</v>
      </c>
      <c r="P20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6.2291858967504351E-3</v>
      </c>
      <c r="Q2018" s="1">
        <f>LN(Table13[[#This Row],[qe_mg_g]]-Table13[[#This Row],[qt]])</f>
        <v>-0.30955854149156392</v>
      </c>
      <c r="R2018" s="1">
        <v>1</v>
      </c>
    </row>
    <row r="2019" spans="1:18" hidden="1" x14ac:dyDescent="0.3">
      <c r="A2019" s="1">
        <v>2018</v>
      </c>
      <c r="B2019" s="1" t="s">
        <v>19</v>
      </c>
      <c r="C2019" s="1">
        <v>2</v>
      </c>
      <c r="D2019" s="1">
        <v>30</v>
      </c>
      <c r="E2019" s="1">
        <v>25</v>
      </c>
      <c r="F2019" s="1">
        <v>3</v>
      </c>
      <c r="G2019" s="1">
        <v>25</v>
      </c>
      <c r="H2019" s="1">
        <v>150</v>
      </c>
      <c r="I2019" s="1">
        <v>100</v>
      </c>
      <c r="J2019" s="1">
        <v>0.79100000000000004</v>
      </c>
      <c r="K2019" s="1">
        <v>23.417999999999999</v>
      </c>
      <c r="L2019" s="1">
        <v>6.33</v>
      </c>
      <c r="M2019" s="1">
        <v>51.6</v>
      </c>
      <c r="N2019" s="1">
        <v>6.021E-2</v>
      </c>
      <c r="O2019" s="1">
        <v>3.7359999999999997E-4</v>
      </c>
      <c r="P20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6.9510082893822489E-3</v>
      </c>
      <c r="Q2019" s="1">
        <f>LN(Table13[[#This Row],[qe_mg_g]]-Table13[[#This Row],[qt]])</f>
        <v>-0.24328377115730365</v>
      </c>
      <c r="R2019" s="1">
        <v>2</v>
      </c>
    </row>
    <row r="2020" spans="1:18" hidden="1" x14ac:dyDescent="0.3">
      <c r="A2020" s="1">
        <v>2019</v>
      </c>
      <c r="B2020" s="1" t="s">
        <v>19</v>
      </c>
      <c r="C2020" s="1">
        <v>2</v>
      </c>
      <c r="D2020" s="1">
        <v>30</v>
      </c>
      <c r="E2020" s="1">
        <v>25</v>
      </c>
      <c r="F2020" s="1">
        <v>3</v>
      </c>
      <c r="G2020" s="1">
        <v>25</v>
      </c>
      <c r="H2020" s="1">
        <v>150</v>
      </c>
      <c r="I2020" s="1">
        <v>100</v>
      </c>
      <c r="J2020" s="1">
        <v>0.755</v>
      </c>
      <c r="K2020" s="1">
        <v>23.49</v>
      </c>
      <c r="L2020" s="1">
        <v>6.04</v>
      </c>
      <c r="M2020" s="1">
        <v>48</v>
      </c>
      <c r="N2020" s="1">
        <v>4.36E-2</v>
      </c>
      <c r="O2020" s="1">
        <v>3.5540000000000002E-4</v>
      </c>
      <c r="P20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6.0290736526204007E-3</v>
      </c>
      <c r="Q2020" s="1">
        <f>LN(Table13[[#This Row],[qe_mg_g]]-Table13[[#This Row],[qt]])</f>
        <v>-0.28905511284396368</v>
      </c>
      <c r="R2020" s="1">
        <v>3</v>
      </c>
    </row>
    <row r="2021" spans="1:18" hidden="1" x14ac:dyDescent="0.3">
      <c r="A2021" s="1">
        <v>2020</v>
      </c>
      <c r="B2021" s="1" t="s">
        <v>19</v>
      </c>
      <c r="C2021" s="1">
        <v>2</v>
      </c>
      <c r="D2021" s="1">
        <v>30</v>
      </c>
      <c r="E2021" s="1">
        <v>25</v>
      </c>
      <c r="F2021" s="1">
        <v>7</v>
      </c>
      <c r="G2021" s="1">
        <v>25</v>
      </c>
      <c r="H2021" s="1">
        <v>150</v>
      </c>
      <c r="I2021" s="1">
        <v>100</v>
      </c>
      <c r="J2021" s="1">
        <v>1.355</v>
      </c>
      <c r="K2021" s="1">
        <v>22.291</v>
      </c>
      <c r="L2021" s="1">
        <v>10.84</v>
      </c>
      <c r="M2021" s="1">
        <v>63.8</v>
      </c>
      <c r="N2021" s="1">
        <v>5.697E-2</v>
      </c>
      <c r="O2021" s="1">
        <v>3.9669999999999999E-4</v>
      </c>
      <c r="P20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2.1503766898048272E-2</v>
      </c>
      <c r="Q2021" s="1">
        <f>LN(Table13[[#This Row],[qe_mg_g]]-Table13[[#This Row],[qt]])</f>
        <v>0.28780423981550846</v>
      </c>
      <c r="R2021" s="1">
        <v>1</v>
      </c>
    </row>
    <row r="2022" spans="1:18" hidden="1" x14ac:dyDescent="0.3">
      <c r="A2022" s="1">
        <v>2021</v>
      </c>
      <c r="B2022" s="1" t="s">
        <v>19</v>
      </c>
      <c r="C2022" s="1">
        <v>2</v>
      </c>
      <c r="D2022" s="1">
        <v>30</v>
      </c>
      <c r="E2022" s="1">
        <v>25</v>
      </c>
      <c r="F2022" s="1">
        <v>7</v>
      </c>
      <c r="G2022" s="1">
        <v>25</v>
      </c>
      <c r="H2022" s="1">
        <v>150</v>
      </c>
      <c r="I2022" s="1">
        <v>100</v>
      </c>
      <c r="J2022" s="1">
        <v>1.296</v>
      </c>
      <c r="K2022" s="1">
        <v>22.408000000000001</v>
      </c>
      <c r="L2022" s="1">
        <v>10.37</v>
      </c>
      <c r="M2022" s="1">
        <v>63.9</v>
      </c>
      <c r="N2022" s="1">
        <v>5.2089999999999997E-2</v>
      </c>
      <c r="O2022" s="1">
        <v>3.7720000000000001E-4</v>
      </c>
      <c r="P20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1.8731822439665476E-2</v>
      </c>
      <c r="Q2022" s="1">
        <f>LN(Table13[[#This Row],[qe_mg_g]]-Table13[[#This Row],[qt]])</f>
        <v>0.24472356092263295</v>
      </c>
      <c r="R2022" s="1">
        <v>2</v>
      </c>
    </row>
    <row r="2023" spans="1:18" hidden="1" x14ac:dyDescent="0.3">
      <c r="A2023" s="1">
        <v>2022</v>
      </c>
      <c r="B2023" s="1" t="s">
        <v>19</v>
      </c>
      <c r="C2023" s="1">
        <v>2</v>
      </c>
      <c r="D2023" s="1">
        <v>30</v>
      </c>
      <c r="E2023" s="1">
        <v>25</v>
      </c>
      <c r="F2023" s="1">
        <v>7</v>
      </c>
      <c r="G2023" s="1">
        <v>25</v>
      </c>
      <c r="H2023" s="1">
        <v>150</v>
      </c>
      <c r="I2023" s="1">
        <v>100</v>
      </c>
      <c r="J2023" s="1">
        <v>1.2230000000000001</v>
      </c>
      <c r="K2023" s="1">
        <v>22.553000000000001</v>
      </c>
      <c r="L2023" s="1">
        <v>9.7899999999999991</v>
      </c>
      <c r="M2023" s="1">
        <v>56.5</v>
      </c>
      <c r="N2023" s="1">
        <v>4.4080000000000001E-2</v>
      </c>
      <c r="O2023" s="1">
        <v>3.4069999999999999E-4</v>
      </c>
      <c r="P20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1.5099103047855644E-2</v>
      </c>
      <c r="Q2023" s="1">
        <f>LN(Table13[[#This Row],[qe_mg_g]]-Table13[[#This Row],[qt]])</f>
        <v>0.18888405720034451</v>
      </c>
      <c r="R2023" s="1">
        <v>3</v>
      </c>
    </row>
    <row r="2024" spans="1:18" hidden="1" x14ac:dyDescent="0.3">
      <c r="A2024" s="1">
        <v>2023</v>
      </c>
      <c r="B2024" s="1" t="s">
        <v>19</v>
      </c>
      <c r="C2024" s="1">
        <v>2</v>
      </c>
      <c r="D2024" s="1">
        <v>30</v>
      </c>
      <c r="E2024" s="1">
        <v>25</v>
      </c>
      <c r="F2024" s="1">
        <v>11</v>
      </c>
      <c r="G2024" s="1">
        <v>25</v>
      </c>
      <c r="H2024" s="1">
        <v>150</v>
      </c>
      <c r="I2024" s="1">
        <v>100</v>
      </c>
      <c r="J2024" s="1">
        <v>1.0329999999999999</v>
      </c>
      <c r="K2024" s="1">
        <v>22.934999999999999</v>
      </c>
      <c r="L2024" s="1">
        <v>8.26</v>
      </c>
      <c r="M2024" s="1">
        <v>50.3</v>
      </c>
      <c r="N2024" s="1">
        <v>4.922E-2</v>
      </c>
      <c r="O2024" s="1">
        <v>3.7960000000000001E-4</v>
      </c>
      <c r="P20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1.2010717801879378E-2</v>
      </c>
      <c r="Q2024" s="1">
        <f>LN(Table13[[#This Row],[qe_mg_g]]-Table13[[#This Row],[qt]])</f>
        <v>2.0772041770056301E-2</v>
      </c>
      <c r="R2024" s="1">
        <v>1</v>
      </c>
    </row>
    <row r="2025" spans="1:18" hidden="1" x14ac:dyDescent="0.3">
      <c r="A2025" s="1">
        <v>2024</v>
      </c>
      <c r="B2025" s="1" t="s">
        <v>19</v>
      </c>
      <c r="C2025" s="1">
        <v>2</v>
      </c>
      <c r="D2025" s="1">
        <v>30</v>
      </c>
      <c r="E2025" s="1">
        <v>25</v>
      </c>
      <c r="F2025" s="1">
        <v>11</v>
      </c>
      <c r="G2025" s="1">
        <v>25</v>
      </c>
      <c r="H2025" s="1">
        <v>150</v>
      </c>
      <c r="I2025" s="1">
        <v>100</v>
      </c>
      <c r="J2025" s="1">
        <v>0.995</v>
      </c>
      <c r="K2025" s="1">
        <v>23.010999999999999</v>
      </c>
      <c r="L2025" s="1">
        <v>7.96</v>
      </c>
      <c r="M2025" s="1">
        <v>50.5</v>
      </c>
      <c r="N2025" s="1">
        <v>5.5230000000000001E-2</v>
      </c>
      <c r="O2025" s="1">
        <v>4.4230000000000002E-4</v>
      </c>
      <c r="P20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1.2965463187618672E-2</v>
      </c>
      <c r="Q2025" s="1">
        <f>LN(Table13[[#This Row],[qe_mg_g]]-Table13[[#This Row],[qt]])</f>
        <v>-1.8128801376074498E-2</v>
      </c>
      <c r="R2025" s="1">
        <v>2</v>
      </c>
    </row>
    <row r="2026" spans="1:18" hidden="1" x14ac:dyDescent="0.3">
      <c r="A2026" s="1">
        <v>2025</v>
      </c>
      <c r="B2026" s="1" t="s">
        <v>19</v>
      </c>
      <c r="C2026" s="1">
        <v>2</v>
      </c>
      <c r="D2026" s="1">
        <v>30</v>
      </c>
      <c r="E2026" s="1">
        <v>25</v>
      </c>
      <c r="F2026" s="1">
        <v>11</v>
      </c>
      <c r="G2026" s="1">
        <v>25</v>
      </c>
      <c r="H2026" s="1">
        <v>150</v>
      </c>
      <c r="I2026" s="1">
        <v>100</v>
      </c>
      <c r="J2026" s="1">
        <v>1.083</v>
      </c>
      <c r="K2026" s="1">
        <v>22.835000000000001</v>
      </c>
      <c r="L2026" s="1">
        <v>8.66</v>
      </c>
      <c r="M2026" s="1">
        <v>64.099999999999994</v>
      </c>
      <c r="N2026" s="1">
        <v>5.74E-2</v>
      </c>
      <c r="O2026" s="1">
        <v>3.5579999999999997E-4</v>
      </c>
      <c r="P20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1.2376347328708273E-2</v>
      </c>
      <c r="Q2026" s="1">
        <f>LN(Table13[[#This Row],[qe_mg_g]]-Table13[[#This Row],[qt]])</f>
        <v>6.8241331644823142E-2</v>
      </c>
      <c r="R2026" s="1">
        <v>3</v>
      </c>
    </row>
    <row r="2027" spans="1:18" hidden="1" x14ac:dyDescent="0.3">
      <c r="A2027" s="1">
        <v>2026</v>
      </c>
      <c r="B2027" s="1" t="s">
        <v>19</v>
      </c>
      <c r="C2027" s="1">
        <v>2</v>
      </c>
      <c r="D2027" s="1">
        <v>30</v>
      </c>
      <c r="E2027" s="1">
        <v>50</v>
      </c>
      <c r="F2027" s="1">
        <v>3</v>
      </c>
      <c r="G2027" s="1">
        <v>25</v>
      </c>
      <c r="H2027" s="1">
        <v>150</v>
      </c>
      <c r="I2027" s="1">
        <v>100</v>
      </c>
      <c r="J2027" s="1">
        <v>2.411</v>
      </c>
      <c r="K2027" s="1">
        <v>45.177999999999997</v>
      </c>
      <c r="L2027" s="1">
        <v>9.64</v>
      </c>
      <c r="M2027" s="1">
        <v>49</v>
      </c>
      <c r="N2027" s="1">
        <v>5.2359999999999997E-2</v>
      </c>
      <c r="O2027" s="1">
        <v>2.8439999999999997E-4</v>
      </c>
      <c r="P20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4.8596186726325735E-2</v>
      </c>
      <c r="Q2027" s="1">
        <f>LN(Table13[[#This Row],[qe_mg_g]]-Table13[[#This Row],[qt]])</f>
        <v>0.85967966559869191</v>
      </c>
      <c r="R2027" s="1">
        <v>1</v>
      </c>
    </row>
    <row r="2028" spans="1:18" hidden="1" x14ac:dyDescent="0.3">
      <c r="A2028" s="1">
        <v>2027</v>
      </c>
      <c r="B2028" s="1" t="s">
        <v>19</v>
      </c>
      <c r="C2028" s="1">
        <v>2</v>
      </c>
      <c r="D2028" s="1">
        <v>30</v>
      </c>
      <c r="E2028" s="1">
        <v>50</v>
      </c>
      <c r="F2028" s="1">
        <v>3</v>
      </c>
      <c r="G2028" s="1">
        <v>25</v>
      </c>
      <c r="H2028" s="1">
        <v>150</v>
      </c>
      <c r="I2028" s="1">
        <v>100</v>
      </c>
      <c r="J2028" s="1">
        <v>2.6619999999999999</v>
      </c>
      <c r="K2028" s="1">
        <v>44.676000000000002</v>
      </c>
      <c r="L2028" s="1">
        <v>10.65</v>
      </c>
      <c r="M2028" s="1">
        <v>38.299999999999997</v>
      </c>
      <c r="N2028" s="1">
        <v>5.4789999999999998E-2</v>
      </c>
      <c r="O2028" s="1">
        <v>3.7869999999999999E-4</v>
      </c>
      <c r="P20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7.8143524868000497E-2</v>
      </c>
      <c r="Q2028" s="1">
        <f>LN(Table13[[#This Row],[qe_mg_g]]-Table13[[#This Row],[qt]])</f>
        <v>0.94928304069818137</v>
      </c>
      <c r="R2028" s="1">
        <v>2</v>
      </c>
    </row>
    <row r="2029" spans="1:18" hidden="1" x14ac:dyDescent="0.3">
      <c r="A2029" s="1">
        <v>2028</v>
      </c>
      <c r="B2029" s="1" t="s">
        <v>19</v>
      </c>
      <c r="C2029" s="1">
        <v>2</v>
      </c>
      <c r="D2029" s="1">
        <v>30</v>
      </c>
      <c r="E2029" s="1">
        <v>50</v>
      </c>
      <c r="F2029" s="1">
        <v>3</v>
      </c>
      <c r="G2029" s="1">
        <v>25</v>
      </c>
      <c r="H2029" s="1">
        <v>150</v>
      </c>
      <c r="I2029" s="1">
        <v>100</v>
      </c>
      <c r="J2029" s="1">
        <v>3.121</v>
      </c>
      <c r="K2029" s="1">
        <v>43.756999999999998</v>
      </c>
      <c r="L2029" s="1">
        <v>12.49</v>
      </c>
      <c r="M2029" s="1">
        <v>57.9</v>
      </c>
      <c r="N2029" s="1">
        <v>4.9700000000000001E-2</v>
      </c>
      <c r="O2029" s="1">
        <v>2.8239999999999998E-4</v>
      </c>
      <c r="P20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8.0396926416174158E-2</v>
      </c>
      <c r="Q2029" s="1">
        <f>LN(Table13[[#This Row],[qe_mg_g]]-Table13[[#This Row],[qt]])</f>
        <v>1.1120558752118892</v>
      </c>
      <c r="R2029" s="1">
        <v>3</v>
      </c>
    </row>
    <row r="2030" spans="1:18" hidden="1" x14ac:dyDescent="0.3">
      <c r="A2030" s="1">
        <v>2029</v>
      </c>
      <c r="B2030" s="1" t="s">
        <v>19</v>
      </c>
      <c r="C2030" s="1">
        <v>2</v>
      </c>
      <c r="D2030" s="1">
        <v>30</v>
      </c>
      <c r="E2030" s="1">
        <v>50</v>
      </c>
      <c r="F2030" s="1">
        <v>7</v>
      </c>
      <c r="G2030" s="1">
        <v>25</v>
      </c>
      <c r="H2030" s="1">
        <v>150</v>
      </c>
      <c r="I2030" s="1">
        <v>100</v>
      </c>
      <c r="J2030" s="1">
        <v>4.2839999999999998</v>
      </c>
      <c r="K2030" s="1">
        <v>41.433</v>
      </c>
      <c r="L2030" s="1">
        <v>17.13</v>
      </c>
      <c r="M2030" s="1">
        <v>44.2</v>
      </c>
      <c r="N2030" s="1">
        <v>5.0110000000000002E-2</v>
      </c>
      <c r="O2030" s="1">
        <v>3.4440000000000002E-4</v>
      </c>
      <c r="P20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0.18158238976068436</v>
      </c>
      <c r="Q2030" s="1">
        <f>LN(Table13[[#This Row],[qe_mg_g]]-Table13[[#This Row],[qt]])</f>
        <v>1.4115764609624855</v>
      </c>
      <c r="R2030" s="1">
        <v>1</v>
      </c>
    </row>
    <row r="2031" spans="1:18" hidden="1" x14ac:dyDescent="0.3">
      <c r="A2031" s="1">
        <v>2030</v>
      </c>
      <c r="B2031" s="1" t="s">
        <v>19</v>
      </c>
      <c r="C2031" s="1">
        <v>2</v>
      </c>
      <c r="D2031" s="1">
        <v>30</v>
      </c>
      <c r="E2031" s="1">
        <v>50</v>
      </c>
      <c r="F2031" s="1">
        <v>7</v>
      </c>
      <c r="G2031" s="1">
        <v>25</v>
      </c>
      <c r="H2031" s="1">
        <v>150</v>
      </c>
      <c r="I2031" s="1">
        <v>100</v>
      </c>
      <c r="J2031" s="1">
        <v>4.5380000000000003</v>
      </c>
      <c r="K2031" s="1">
        <v>40.924999999999997</v>
      </c>
      <c r="L2031" s="1">
        <v>18.149999999999999</v>
      </c>
      <c r="M2031" s="1">
        <v>57.3</v>
      </c>
      <c r="N2031" s="1">
        <v>5.3719999999999997E-2</v>
      </c>
      <c r="O2031" s="1">
        <v>3.5040000000000001E-4</v>
      </c>
      <c r="P20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0.20662171350897982</v>
      </c>
      <c r="Q2031" s="1">
        <f>LN(Table13[[#This Row],[qe_mg_g]]-Table13[[#This Row],[qt]])</f>
        <v>1.4658858023321135</v>
      </c>
      <c r="R2031" s="1">
        <v>2</v>
      </c>
    </row>
    <row r="2032" spans="1:18" hidden="1" x14ac:dyDescent="0.3">
      <c r="A2032" s="1">
        <v>2031</v>
      </c>
      <c r="B2032" s="1" t="s">
        <v>19</v>
      </c>
      <c r="C2032" s="1">
        <v>2</v>
      </c>
      <c r="D2032" s="1">
        <v>30</v>
      </c>
      <c r="E2032" s="1">
        <v>50</v>
      </c>
      <c r="F2032" s="1">
        <v>7</v>
      </c>
      <c r="G2032" s="1">
        <v>25</v>
      </c>
      <c r="H2032" s="1">
        <v>150</v>
      </c>
      <c r="I2032" s="1">
        <v>100</v>
      </c>
      <c r="J2032" s="1">
        <v>5.274</v>
      </c>
      <c r="K2032" s="1">
        <v>39.451999999999998</v>
      </c>
      <c r="L2032" s="1">
        <v>21.1</v>
      </c>
      <c r="M2032" s="1">
        <v>44.9</v>
      </c>
      <c r="N2032" s="1">
        <v>5.7299999999999997E-2</v>
      </c>
      <c r="O2032" s="1">
        <v>3.4949999999999998E-4</v>
      </c>
      <c r="P20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0.2763590021581489</v>
      </c>
      <c r="Q2032" s="1">
        <f>LN(Table13[[#This Row],[qe_mg_g]]-Table13[[#This Row],[qt]])</f>
        <v>1.6089660006696278</v>
      </c>
      <c r="R2032" s="1">
        <v>3</v>
      </c>
    </row>
    <row r="2033" spans="1:18" hidden="1" x14ac:dyDescent="0.3">
      <c r="A2033" s="1">
        <v>2032</v>
      </c>
      <c r="B2033" s="1" t="s">
        <v>19</v>
      </c>
      <c r="C2033" s="1">
        <v>2</v>
      </c>
      <c r="D2033" s="1">
        <v>30</v>
      </c>
      <c r="E2033" s="1">
        <v>50</v>
      </c>
      <c r="F2033" s="1">
        <v>11</v>
      </c>
      <c r="G2033" s="1">
        <v>25</v>
      </c>
      <c r="H2033" s="1">
        <v>150</v>
      </c>
      <c r="I2033" s="1">
        <v>100</v>
      </c>
      <c r="J2033" s="1">
        <v>3.5569999999999999</v>
      </c>
      <c r="K2033" s="1">
        <v>42.887</v>
      </c>
      <c r="L2033" s="1">
        <v>14.23</v>
      </c>
      <c r="M2033" s="1">
        <v>61.8</v>
      </c>
      <c r="N2033" s="1">
        <v>5.9830000000000001E-2</v>
      </c>
      <c r="O2033" s="1">
        <v>3.1690000000000001E-4</v>
      </c>
      <c r="P20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0.11635038035704441</v>
      </c>
      <c r="Q2033" s="1">
        <f>LN(Table13[[#This Row],[qe_mg_g]]-Table13[[#This Row],[qt]])</f>
        <v>1.2356602964761911</v>
      </c>
      <c r="R2033" s="1">
        <v>1</v>
      </c>
    </row>
    <row r="2034" spans="1:18" hidden="1" x14ac:dyDescent="0.3">
      <c r="A2034" s="1">
        <v>2033</v>
      </c>
      <c r="B2034" s="1" t="s">
        <v>19</v>
      </c>
      <c r="C2034" s="1">
        <v>2</v>
      </c>
      <c r="D2034" s="1">
        <v>30</v>
      </c>
      <c r="E2034" s="1">
        <v>50</v>
      </c>
      <c r="F2034" s="1">
        <v>11</v>
      </c>
      <c r="G2034" s="1">
        <v>25</v>
      </c>
      <c r="H2034" s="1">
        <v>150</v>
      </c>
      <c r="I2034" s="1">
        <v>100</v>
      </c>
      <c r="J2034" s="1">
        <v>3.5950000000000002</v>
      </c>
      <c r="K2034" s="1">
        <v>42.81</v>
      </c>
      <c r="L2034" s="1">
        <v>14.38</v>
      </c>
      <c r="M2034" s="1">
        <v>56.8</v>
      </c>
      <c r="N2034" s="1">
        <v>5.3499999999999999E-2</v>
      </c>
      <c r="O2034" s="1">
        <v>3.7050000000000001E-4</v>
      </c>
      <c r="P20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0.13813103910860669</v>
      </c>
      <c r="Q2034" s="1">
        <f>LN(Table13[[#This Row],[qe_mg_g]]-Table13[[#This Row],[qt]])</f>
        <v>1.2403632547803274</v>
      </c>
      <c r="R2034" s="1">
        <v>2</v>
      </c>
    </row>
    <row r="2035" spans="1:18" hidden="1" x14ac:dyDescent="0.3">
      <c r="A2035" s="1">
        <v>2034</v>
      </c>
      <c r="B2035" s="1" t="s">
        <v>19</v>
      </c>
      <c r="C2035" s="1">
        <v>2</v>
      </c>
      <c r="D2035" s="1">
        <v>30</v>
      </c>
      <c r="E2035" s="1">
        <v>50</v>
      </c>
      <c r="F2035" s="1">
        <v>11</v>
      </c>
      <c r="G2035" s="1">
        <v>25</v>
      </c>
      <c r="H2035" s="1">
        <v>150</v>
      </c>
      <c r="I2035" s="1">
        <v>100</v>
      </c>
      <c r="J2035" s="1">
        <v>3.7130000000000001</v>
      </c>
      <c r="K2035" s="1">
        <v>42.573</v>
      </c>
      <c r="L2035" s="1">
        <v>14.85</v>
      </c>
      <c r="M2035" s="1">
        <v>69.5</v>
      </c>
      <c r="N2035" s="1">
        <v>4.6580000000000003E-2</v>
      </c>
      <c r="O2035" s="1">
        <v>3.457E-4</v>
      </c>
      <c r="P20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0.1376768388600301</v>
      </c>
      <c r="Q2035" s="1">
        <f>LN(Table13[[#This Row],[qe_mg_g]]-Table13[[#This Row],[qt]])</f>
        <v>1.2740555667850813</v>
      </c>
      <c r="R2035" s="1">
        <v>3</v>
      </c>
    </row>
    <row r="2036" spans="1:18" hidden="1" x14ac:dyDescent="0.3">
      <c r="A2036" s="1">
        <v>2035</v>
      </c>
      <c r="B2036" s="1" t="s">
        <v>19</v>
      </c>
      <c r="C2036" s="1">
        <v>2</v>
      </c>
      <c r="D2036" s="1">
        <v>30</v>
      </c>
      <c r="E2036" s="1">
        <v>100</v>
      </c>
      <c r="F2036" s="1">
        <v>3</v>
      </c>
      <c r="G2036" s="1">
        <v>25</v>
      </c>
      <c r="H2036" s="1">
        <v>150</v>
      </c>
      <c r="I2036" s="1">
        <v>100</v>
      </c>
      <c r="J2036" s="1">
        <v>9.3140000000000001</v>
      </c>
      <c r="K2036" s="1">
        <v>81.373000000000005</v>
      </c>
      <c r="L2036" s="1">
        <v>18.63</v>
      </c>
      <c r="M2036" s="1">
        <v>59.5</v>
      </c>
      <c r="N2036" s="1">
        <v>4.6109999999999998E-2</v>
      </c>
      <c r="O2036" s="1">
        <v>3.6210000000000002E-4</v>
      </c>
      <c r="P20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0.85578511353489817</v>
      </c>
      <c r="Q2036" s="1">
        <f>LN(Table13[[#This Row],[qe_mg_g]]-Table13[[#This Row],[qt]])</f>
        <v>2.1351381450251625</v>
      </c>
      <c r="R2036" s="1">
        <v>1</v>
      </c>
    </row>
    <row r="2037" spans="1:18" hidden="1" x14ac:dyDescent="0.3">
      <c r="A2037" s="1">
        <v>2036</v>
      </c>
      <c r="B2037" s="1" t="s">
        <v>19</v>
      </c>
      <c r="C2037" s="1">
        <v>2</v>
      </c>
      <c r="D2037" s="1">
        <v>30</v>
      </c>
      <c r="E2037" s="1">
        <v>100</v>
      </c>
      <c r="F2037" s="1">
        <v>3</v>
      </c>
      <c r="G2037" s="1">
        <v>25</v>
      </c>
      <c r="H2037" s="1">
        <v>150</v>
      </c>
      <c r="I2037" s="1">
        <v>100</v>
      </c>
      <c r="J2037" s="1">
        <v>9.5079999999999991</v>
      </c>
      <c r="K2037" s="1">
        <v>80.984999999999999</v>
      </c>
      <c r="L2037" s="1">
        <v>19.02</v>
      </c>
      <c r="M2037" s="1">
        <v>48.5</v>
      </c>
      <c r="N2037" s="1">
        <v>4.7039999999999998E-2</v>
      </c>
      <c r="O2037" s="1">
        <v>3.3369999999999998E-4</v>
      </c>
      <c r="P20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0.82635847200581658</v>
      </c>
      <c r="Q2037" s="1">
        <f>LN(Table13[[#This Row],[qe_mg_g]]-Table13[[#This Row],[qt]])</f>
        <v>2.1612106269204201</v>
      </c>
      <c r="R2037" s="1">
        <v>2</v>
      </c>
    </row>
    <row r="2038" spans="1:18" hidden="1" x14ac:dyDescent="0.3">
      <c r="A2038" s="1">
        <v>2037</v>
      </c>
      <c r="B2038" s="1" t="s">
        <v>19</v>
      </c>
      <c r="C2038" s="1">
        <v>2</v>
      </c>
      <c r="D2038" s="1">
        <v>30</v>
      </c>
      <c r="E2038" s="1">
        <v>100</v>
      </c>
      <c r="F2038" s="1">
        <v>3</v>
      </c>
      <c r="G2038" s="1">
        <v>25</v>
      </c>
      <c r="H2038" s="1">
        <v>150</v>
      </c>
      <c r="I2038" s="1">
        <v>100</v>
      </c>
      <c r="J2038" s="1">
        <v>10.701000000000001</v>
      </c>
      <c r="K2038" s="1">
        <v>78.596999999999994</v>
      </c>
      <c r="L2038" s="1">
        <v>21.4</v>
      </c>
      <c r="M2038" s="1">
        <v>54.3</v>
      </c>
      <c r="N2038" s="1">
        <v>5.8450000000000002E-2</v>
      </c>
      <c r="O2038" s="1">
        <v>4.083E-4</v>
      </c>
      <c r="P20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1.2401018764725533</v>
      </c>
      <c r="Q2038" s="1">
        <f>LN(Table13[[#This Row],[qe_mg_g]]-Table13[[#This Row],[qt]])</f>
        <v>2.2471673176194571</v>
      </c>
      <c r="R2038" s="1">
        <v>3</v>
      </c>
    </row>
    <row r="2039" spans="1:18" hidden="1" x14ac:dyDescent="0.3">
      <c r="A2039" s="1">
        <v>2038</v>
      </c>
      <c r="B2039" s="1" t="s">
        <v>19</v>
      </c>
      <c r="C2039" s="1">
        <v>2</v>
      </c>
      <c r="D2039" s="1">
        <v>30</v>
      </c>
      <c r="E2039" s="1">
        <v>100</v>
      </c>
      <c r="F2039" s="1">
        <v>7</v>
      </c>
      <c r="G2039" s="1">
        <v>25</v>
      </c>
      <c r="H2039" s="1">
        <v>150</v>
      </c>
      <c r="I2039" s="1">
        <v>100</v>
      </c>
      <c r="J2039" s="1">
        <v>16.469000000000001</v>
      </c>
      <c r="K2039" s="1">
        <v>67.061999999999998</v>
      </c>
      <c r="L2039" s="1">
        <v>32.94</v>
      </c>
      <c r="M2039" s="1">
        <v>50</v>
      </c>
      <c r="N2039" s="1">
        <v>5.7570000000000003E-2</v>
      </c>
      <c r="O2039" s="1">
        <v>3.3090000000000002E-4</v>
      </c>
      <c r="P20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2.3141454981052521</v>
      </c>
      <c r="Q2039" s="1">
        <f>LN(Table13[[#This Row],[qe_mg_g]]-Table13[[#This Row],[qt]])</f>
        <v>2.6500576395915538</v>
      </c>
      <c r="R2039" s="1">
        <v>1</v>
      </c>
    </row>
    <row r="2040" spans="1:18" hidden="1" x14ac:dyDescent="0.3">
      <c r="A2040" s="1">
        <v>2039</v>
      </c>
      <c r="B2040" s="1" t="s">
        <v>19</v>
      </c>
      <c r="C2040" s="1">
        <v>2</v>
      </c>
      <c r="D2040" s="1">
        <v>30</v>
      </c>
      <c r="E2040" s="1">
        <v>100</v>
      </c>
      <c r="F2040" s="1">
        <v>7</v>
      </c>
      <c r="G2040" s="1">
        <v>25</v>
      </c>
      <c r="H2040" s="1">
        <v>150</v>
      </c>
      <c r="I2040" s="1">
        <v>100</v>
      </c>
      <c r="J2040" s="1">
        <v>15.599</v>
      </c>
      <c r="K2040" s="1">
        <v>68.801000000000002</v>
      </c>
      <c r="L2040" s="1">
        <v>31.2</v>
      </c>
      <c r="M2040" s="1">
        <v>42.1</v>
      </c>
      <c r="N2040" s="1">
        <v>6.0089999999999998E-2</v>
      </c>
      <c r="O2040" s="1">
        <v>3.3649999999999999E-4</v>
      </c>
      <c r="P20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2.1222150062424192</v>
      </c>
      <c r="Q2040" s="1">
        <f>LN(Table13[[#This Row],[qe_mg_g]]-Table13[[#This Row],[qt]])</f>
        <v>2.6009685750912817</v>
      </c>
      <c r="R2040" s="1">
        <v>2</v>
      </c>
    </row>
    <row r="2041" spans="1:18" hidden="1" x14ac:dyDescent="0.3">
      <c r="A2041" s="1">
        <v>2040</v>
      </c>
      <c r="B2041" s="1" t="s">
        <v>19</v>
      </c>
      <c r="C2041" s="1">
        <v>2</v>
      </c>
      <c r="D2041" s="1">
        <v>30</v>
      </c>
      <c r="E2041" s="1">
        <v>100</v>
      </c>
      <c r="F2041" s="1">
        <v>7</v>
      </c>
      <c r="G2041" s="1">
        <v>25</v>
      </c>
      <c r="H2041" s="1">
        <v>150</v>
      </c>
      <c r="I2041" s="1">
        <v>100</v>
      </c>
      <c r="J2041" s="1">
        <v>16.376000000000001</v>
      </c>
      <c r="K2041" s="1">
        <v>67.247</v>
      </c>
      <c r="L2041" s="1">
        <v>32.75</v>
      </c>
      <c r="M2041" s="1">
        <v>46.1</v>
      </c>
      <c r="N2041" s="1">
        <v>5.74E-2</v>
      </c>
      <c r="O2041" s="1">
        <v>3.233E-4</v>
      </c>
      <c r="P20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2.244515351124281</v>
      </c>
      <c r="Q2041" s="1">
        <f>LN(Table13[[#This Row],[qe_mg_g]]-Table13[[#This Row],[qt]])</f>
        <v>2.648405261868739</v>
      </c>
      <c r="R2041" s="1">
        <v>3</v>
      </c>
    </row>
    <row r="2042" spans="1:18" hidden="1" x14ac:dyDescent="0.3">
      <c r="A2042" s="1">
        <v>2041</v>
      </c>
      <c r="B2042" s="1" t="s">
        <v>19</v>
      </c>
      <c r="C2042" s="1">
        <v>2</v>
      </c>
      <c r="D2042" s="1">
        <v>30</v>
      </c>
      <c r="E2042" s="1">
        <v>100</v>
      </c>
      <c r="F2042" s="1">
        <v>11</v>
      </c>
      <c r="G2042" s="1">
        <v>25</v>
      </c>
      <c r="H2042" s="1">
        <v>150</v>
      </c>
      <c r="I2042" s="1">
        <v>100</v>
      </c>
      <c r="J2042" s="1">
        <v>12.193</v>
      </c>
      <c r="K2042" s="1">
        <v>75.614999999999995</v>
      </c>
      <c r="L2042" s="1">
        <v>24.39</v>
      </c>
      <c r="M2042" s="1">
        <v>61.7</v>
      </c>
      <c r="N2042" s="1">
        <v>5.935E-2</v>
      </c>
      <c r="O2042" s="1">
        <v>3.4919999999999998E-4</v>
      </c>
      <c r="P20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1.38105194560318</v>
      </c>
      <c r="Q2042" s="1">
        <f>LN(Table13[[#This Row],[qe_mg_g]]-Table13[[#This Row],[qt]])</f>
        <v>2.3806518239628538</v>
      </c>
      <c r="R2042" s="1">
        <v>1</v>
      </c>
    </row>
    <row r="2043" spans="1:18" hidden="1" x14ac:dyDescent="0.3">
      <c r="A2043" s="1">
        <v>2042</v>
      </c>
      <c r="B2043" s="1" t="s">
        <v>19</v>
      </c>
      <c r="C2043" s="1">
        <v>2</v>
      </c>
      <c r="D2043" s="1">
        <v>30</v>
      </c>
      <c r="E2043" s="1">
        <v>100</v>
      </c>
      <c r="F2043" s="1">
        <v>11</v>
      </c>
      <c r="G2043" s="1">
        <v>25</v>
      </c>
      <c r="H2043" s="1">
        <v>150</v>
      </c>
      <c r="I2043" s="1">
        <v>100</v>
      </c>
      <c r="J2043" s="1">
        <v>10.791</v>
      </c>
      <c r="K2043" s="1">
        <v>78.418999999999997</v>
      </c>
      <c r="L2043" s="1">
        <v>21.58</v>
      </c>
      <c r="M2043" s="1">
        <v>79</v>
      </c>
      <c r="N2043" s="1">
        <v>6.4600000000000005E-2</v>
      </c>
      <c r="O2043" s="1">
        <v>3.7530000000000002E-4</v>
      </c>
      <c r="P20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1.1690296492558905</v>
      </c>
      <c r="Q2043" s="1">
        <f>LN(Table13[[#This Row],[qe_mg_g]]-Table13[[#This Row],[qt]])</f>
        <v>2.264049061869907</v>
      </c>
      <c r="R2043" s="1">
        <v>2</v>
      </c>
    </row>
    <row r="2044" spans="1:18" hidden="1" x14ac:dyDescent="0.3">
      <c r="A2044" s="1">
        <v>2043</v>
      </c>
      <c r="B2044" s="1" t="s">
        <v>19</v>
      </c>
      <c r="C2044" s="1">
        <v>2</v>
      </c>
      <c r="D2044" s="1">
        <v>30</v>
      </c>
      <c r="E2044" s="1">
        <v>100</v>
      </c>
      <c r="F2044" s="1">
        <v>11</v>
      </c>
      <c r="G2044" s="1">
        <v>25</v>
      </c>
      <c r="H2044" s="1">
        <v>150</v>
      </c>
      <c r="I2044" s="1">
        <v>100</v>
      </c>
      <c r="J2044" s="1">
        <v>11.666</v>
      </c>
      <c r="K2044" s="1">
        <v>76.668999999999997</v>
      </c>
      <c r="L2044" s="1">
        <v>23.33</v>
      </c>
      <c r="M2044" s="1">
        <v>53.6</v>
      </c>
      <c r="N2044" s="1">
        <v>5.2010000000000001E-2</v>
      </c>
      <c r="O2044" s="1">
        <v>3.9419999999999999E-4</v>
      </c>
      <c r="P20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1.4143406205062103</v>
      </c>
      <c r="Q2044" s="1">
        <f>LN(Table13[[#This Row],[qe_mg_g]]-Table13[[#This Row],[qt]])</f>
        <v>2.3274395831638559</v>
      </c>
      <c r="R2044" s="1">
        <v>3</v>
      </c>
    </row>
    <row r="2045" spans="1:18" hidden="1" x14ac:dyDescent="0.3">
      <c r="A2045" s="1">
        <v>2044</v>
      </c>
      <c r="B2045" s="1" t="s">
        <v>19</v>
      </c>
      <c r="C2045" s="1">
        <v>2</v>
      </c>
      <c r="D2045" s="1">
        <v>30</v>
      </c>
      <c r="E2045" s="1">
        <v>200</v>
      </c>
      <c r="F2045" s="1">
        <v>3</v>
      </c>
      <c r="G2045" s="1">
        <v>25</v>
      </c>
      <c r="H2045" s="1">
        <v>150</v>
      </c>
      <c r="I2045" s="1">
        <v>100</v>
      </c>
      <c r="J2045" s="1">
        <v>31.521000000000001</v>
      </c>
      <c r="K2045" s="1">
        <v>136.95699999999999</v>
      </c>
      <c r="L2045" s="1">
        <v>31.52</v>
      </c>
      <c r="M2045" s="1">
        <v>48.1</v>
      </c>
      <c r="N2045" s="1">
        <v>5.2409999999999998E-2</v>
      </c>
      <c r="O2045" s="1">
        <v>3.8919999999999997E-4</v>
      </c>
      <c r="P20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8.4799935053293591</v>
      </c>
      <c r="Q2045" s="1">
        <f>LN(Table13[[#This Row],[qe_mg_g]]-Table13[[#This Row],[qt]])</f>
        <v>3.1372755195380675</v>
      </c>
      <c r="R2045" s="1">
        <v>1</v>
      </c>
    </row>
    <row r="2046" spans="1:18" hidden="1" x14ac:dyDescent="0.3">
      <c r="A2046" s="1">
        <v>2045</v>
      </c>
      <c r="B2046" s="1" t="s">
        <v>19</v>
      </c>
      <c r="C2046" s="1">
        <v>2</v>
      </c>
      <c r="D2046" s="1">
        <v>30</v>
      </c>
      <c r="E2046" s="1">
        <v>200</v>
      </c>
      <c r="F2046" s="1">
        <v>3</v>
      </c>
      <c r="G2046" s="1">
        <v>25</v>
      </c>
      <c r="H2046" s="1">
        <v>150</v>
      </c>
      <c r="I2046" s="1">
        <v>100</v>
      </c>
      <c r="J2046" s="1">
        <v>34.42</v>
      </c>
      <c r="K2046" s="1">
        <v>131.161</v>
      </c>
      <c r="L2046" s="1">
        <v>34.42</v>
      </c>
      <c r="M2046" s="1">
        <v>67</v>
      </c>
      <c r="N2046" s="1">
        <v>5.9159999999999997E-2</v>
      </c>
      <c r="O2046" s="1">
        <v>3.412E-4</v>
      </c>
      <c r="P20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8.9675031144923434</v>
      </c>
      <c r="Q2046" s="1">
        <f>LN(Table13[[#This Row],[qe_mg_g]]-Table13[[#This Row],[qt]])</f>
        <v>3.2368138476343171</v>
      </c>
      <c r="R2046" s="1">
        <v>2</v>
      </c>
    </row>
    <row r="2047" spans="1:18" hidden="1" x14ac:dyDescent="0.3">
      <c r="A2047" s="1">
        <v>2046</v>
      </c>
      <c r="B2047" s="1" t="s">
        <v>19</v>
      </c>
      <c r="C2047" s="1">
        <v>2</v>
      </c>
      <c r="D2047" s="1">
        <v>30</v>
      </c>
      <c r="E2047" s="1">
        <v>200</v>
      </c>
      <c r="F2047" s="1">
        <v>3</v>
      </c>
      <c r="G2047" s="1">
        <v>25</v>
      </c>
      <c r="H2047" s="1">
        <v>150</v>
      </c>
      <c r="I2047" s="1">
        <v>100</v>
      </c>
      <c r="J2047" s="1">
        <v>23.928999999999998</v>
      </c>
      <c r="K2047" s="1">
        <v>152.14099999999999</v>
      </c>
      <c r="L2047" s="1">
        <v>23.93</v>
      </c>
      <c r="M2047" s="1">
        <v>57</v>
      </c>
      <c r="N2047" s="1">
        <v>5.4989999999999997E-2</v>
      </c>
      <c r="O2047" s="1">
        <v>3.5490000000000001E-4</v>
      </c>
      <c r="P20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4.8586041045185429</v>
      </c>
      <c r="Q2047" s="1">
        <f>LN(Table13[[#This Row],[qe_mg_g]]-Table13[[#This Row],[qt]])</f>
        <v>2.948137179516475</v>
      </c>
      <c r="R2047" s="1">
        <v>3</v>
      </c>
    </row>
    <row r="2048" spans="1:18" hidden="1" x14ac:dyDescent="0.3">
      <c r="A2048" s="1">
        <v>2047</v>
      </c>
      <c r="B2048" s="1" t="s">
        <v>19</v>
      </c>
      <c r="C2048" s="1">
        <v>2</v>
      </c>
      <c r="D2048" s="1">
        <v>30</v>
      </c>
      <c r="E2048" s="1">
        <v>200</v>
      </c>
      <c r="F2048" s="1">
        <v>7</v>
      </c>
      <c r="G2048" s="1">
        <v>25</v>
      </c>
      <c r="H2048" s="1">
        <v>150</v>
      </c>
      <c r="I2048" s="1">
        <v>100</v>
      </c>
      <c r="J2048" s="1">
        <v>48.204999999999998</v>
      </c>
      <c r="K2048" s="1">
        <v>103.59099999999999</v>
      </c>
      <c r="L2048" s="1">
        <v>48.2</v>
      </c>
      <c r="M2048" s="1">
        <v>43.7</v>
      </c>
      <c r="N2048" s="1">
        <v>5.8069999999999997E-2</v>
      </c>
      <c r="O2048" s="1">
        <v>3.7209999999999999E-4</v>
      </c>
      <c r="P20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16.864637923798956</v>
      </c>
      <c r="Q2048" s="1">
        <f>LN(Table13[[#This Row],[qe_mg_g]]-Table13[[#This Row],[qt]])</f>
        <v>3.4449067900264545</v>
      </c>
      <c r="R2048" s="1">
        <v>1</v>
      </c>
    </row>
    <row r="2049" spans="1:18" hidden="1" x14ac:dyDescent="0.3">
      <c r="A2049" s="1">
        <v>2048</v>
      </c>
      <c r="B2049" s="1" t="s">
        <v>19</v>
      </c>
      <c r="C2049" s="1">
        <v>2</v>
      </c>
      <c r="D2049" s="1">
        <v>30</v>
      </c>
      <c r="E2049" s="1">
        <v>200</v>
      </c>
      <c r="F2049" s="1">
        <v>7</v>
      </c>
      <c r="G2049" s="1">
        <v>25</v>
      </c>
      <c r="H2049" s="1">
        <v>150</v>
      </c>
      <c r="I2049" s="1">
        <v>100</v>
      </c>
      <c r="J2049" s="1">
        <v>50.317</v>
      </c>
      <c r="K2049" s="1">
        <v>99.366</v>
      </c>
      <c r="L2049" s="1">
        <v>50.32</v>
      </c>
      <c r="M2049" s="1">
        <v>62.3</v>
      </c>
      <c r="N2049" s="1">
        <v>5.8319999999999997E-2</v>
      </c>
      <c r="O2049" s="1">
        <v>3.3560000000000003E-4</v>
      </c>
      <c r="P20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16.919096102548448</v>
      </c>
      <c r="Q2049" s="1">
        <f>LN(Table13[[#This Row],[qe_mg_g]]-Table13[[#This Row],[qt]])</f>
        <v>3.5084931404519861</v>
      </c>
      <c r="R2049" s="1">
        <v>2</v>
      </c>
    </row>
    <row r="2050" spans="1:18" hidden="1" x14ac:dyDescent="0.3">
      <c r="A2050" s="1">
        <v>2049</v>
      </c>
      <c r="B2050" s="1" t="s">
        <v>19</v>
      </c>
      <c r="C2050" s="1">
        <v>2</v>
      </c>
      <c r="D2050" s="1">
        <v>30</v>
      </c>
      <c r="E2050" s="1">
        <v>200</v>
      </c>
      <c r="F2050" s="1">
        <v>7</v>
      </c>
      <c r="G2050" s="1">
        <v>25</v>
      </c>
      <c r="H2050" s="1">
        <v>150</v>
      </c>
      <c r="I2050" s="1">
        <v>100</v>
      </c>
      <c r="J2050" s="1">
        <v>47.784999999999997</v>
      </c>
      <c r="K2050" s="1">
        <v>104.43</v>
      </c>
      <c r="L2050" s="1">
        <v>47.79</v>
      </c>
      <c r="M2050" s="1">
        <v>55.3</v>
      </c>
      <c r="N2050" s="1">
        <v>5.5590000000000001E-2</v>
      </c>
      <c r="O2050" s="1">
        <v>3.8489999999999998E-4</v>
      </c>
      <c r="P20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16.99119972351053</v>
      </c>
      <c r="Q2050" s="1">
        <f>LN(Table13[[#This Row],[qe_mg_g]]-Table13[[#This Row],[qt]])</f>
        <v>3.4273133799936653</v>
      </c>
      <c r="R2050" s="1">
        <v>3</v>
      </c>
    </row>
    <row r="2051" spans="1:18" hidden="1" x14ac:dyDescent="0.3">
      <c r="A2051" s="1">
        <v>2050</v>
      </c>
      <c r="B2051" s="1" t="s">
        <v>19</v>
      </c>
      <c r="C2051" s="1">
        <v>2</v>
      </c>
      <c r="D2051" s="1">
        <v>30</v>
      </c>
      <c r="E2051" s="1">
        <v>200</v>
      </c>
      <c r="F2051" s="1">
        <v>11</v>
      </c>
      <c r="G2051" s="1">
        <v>25</v>
      </c>
      <c r="H2051" s="1">
        <v>150</v>
      </c>
      <c r="I2051" s="1">
        <v>100</v>
      </c>
      <c r="J2051" s="1">
        <v>39.258000000000003</v>
      </c>
      <c r="K2051" s="1">
        <v>121.48399999999999</v>
      </c>
      <c r="L2051" s="1">
        <v>39.26</v>
      </c>
      <c r="M2051" s="1">
        <v>71.5</v>
      </c>
      <c r="N2051" s="1">
        <v>6.7140000000000005E-2</v>
      </c>
      <c r="O2051" s="1">
        <v>3.5280000000000001E-4</v>
      </c>
      <c r="P20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11.523761245383945</v>
      </c>
      <c r="Q2051" s="1">
        <f>LN(Table13[[#This Row],[qe_mg_g]]-Table13[[#This Row],[qt]])</f>
        <v>3.3226677060281595</v>
      </c>
      <c r="R2051" s="1">
        <v>1</v>
      </c>
    </row>
    <row r="2052" spans="1:18" hidden="1" x14ac:dyDescent="0.3">
      <c r="A2052" s="1">
        <v>2051</v>
      </c>
      <c r="B2052" s="1" t="s">
        <v>19</v>
      </c>
      <c r="C2052" s="1">
        <v>2</v>
      </c>
      <c r="D2052" s="1">
        <v>30</v>
      </c>
      <c r="E2052" s="1">
        <v>200</v>
      </c>
      <c r="F2052" s="1">
        <v>11</v>
      </c>
      <c r="G2052" s="1">
        <v>25</v>
      </c>
      <c r="H2052" s="1">
        <v>150</v>
      </c>
      <c r="I2052" s="1">
        <v>100</v>
      </c>
      <c r="J2052" s="1">
        <v>27.477</v>
      </c>
      <c r="K2052" s="1">
        <v>145.04599999999999</v>
      </c>
      <c r="L2052" s="1">
        <v>27.48</v>
      </c>
      <c r="M2052" s="1">
        <v>64.7</v>
      </c>
      <c r="N2052" s="1">
        <v>5.203E-2</v>
      </c>
      <c r="O2052" s="1">
        <v>3.2190000000000002E-4</v>
      </c>
      <c r="P20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5.7619803390716742</v>
      </c>
      <c r="Q2052" s="1">
        <f>LN(Table13[[#This Row],[qe_mg_g]]-Table13[[#This Row],[qt]])</f>
        <v>3.0780041713940811</v>
      </c>
      <c r="R2052" s="1">
        <v>2</v>
      </c>
    </row>
    <row r="2053" spans="1:18" hidden="1" x14ac:dyDescent="0.3">
      <c r="A2053" s="1">
        <v>2052</v>
      </c>
      <c r="B2053" s="1" t="s">
        <v>19</v>
      </c>
      <c r="C2053" s="1">
        <v>2</v>
      </c>
      <c r="D2053" s="1">
        <v>30</v>
      </c>
      <c r="E2053" s="1">
        <v>200</v>
      </c>
      <c r="F2053" s="1">
        <v>11</v>
      </c>
      <c r="G2053" s="1">
        <v>25</v>
      </c>
      <c r="H2053" s="1">
        <v>150</v>
      </c>
      <c r="I2053" s="1">
        <v>100</v>
      </c>
      <c r="J2053" s="1">
        <v>36.518000000000001</v>
      </c>
      <c r="K2053" s="1">
        <v>126.964</v>
      </c>
      <c r="L2053" s="1">
        <v>36.520000000000003</v>
      </c>
      <c r="M2053" s="1">
        <v>50.9</v>
      </c>
      <c r="N2053" s="1">
        <v>5.8369999999999998E-2</v>
      </c>
      <c r="O2053" s="1">
        <v>2.9540000000000002E-4</v>
      </c>
      <c r="P20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8.9285630128159603</v>
      </c>
      <c r="Q2053" s="1">
        <f>LN(Table13[[#This Row],[qe_mg_g]]-Table13[[#This Row],[qt]])</f>
        <v>3.3174329816122836</v>
      </c>
      <c r="R2053" s="1">
        <v>3</v>
      </c>
    </row>
    <row r="2054" spans="1:18" hidden="1" x14ac:dyDescent="0.3">
      <c r="A2054" s="1">
        <v>2053</v>
      </c>
      <c r="B2054" s="1" t="s">
        <v>19</v>
      </c>
      <c r="C2054" s="1">
        <v>2</v>
      </c>
      <c r="D2054" s="1">
        <v>60</v>
      </c>
      <c r="E2054" s="1">
        <v>25</v>
      </c>
      <c r="F2054" s="1">
        <v>3</v>
      </c>
      <c r="G2054" s="1">
        <v>25</v>
      </c>
      <c r="H2054" s="1">
        <v>150</v>
      </c>
      <c r="I2054" s="1">
        <v>100</v>
      </c>
      <c r="J2054" s="1">
        <v>1.34</v>
      </c>
      <c r="K2054" s="1">
        <v>22.32</v>
      </c>
      <c r="L2054" s="1">
        <v>10.72</v>
      </c>
      <c r="M2054" s="1">
        <v>57.4</v>
      </c>
      <c r="N2054" s="1">
        <v>5.8430000000000003E-2</v>
      </c>
      <c r="O2054" s="1">
        <v>3.725E-4</v>
      </c>
      <c r="P20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3.8964706019424276E-2</v>
      </c>
      <c r="Q2054" s="1">
        <f>LN(Table13[[#This Row],[qe_mg_g]]-Table13[[#This Row],[qt]])</f>
        <v>0.26316032751026891</v>
      </c>
      <c r="R2054" s="1">
        <v>1</v>
      </c>
    </row>
    <row r="2055" spans="1:18" hidden="1" x14ac:dyDescent="0.3">
      <c r="A2055" s="1">
        <v>2054</v>
      </c>
      <c r="B2055" s="1" t="s">
        <v>19</v>
      </c>
      <c r="C2055" s="1">
        <v>2</v>
      </c>
      <c r="D2055" s="1">
        <v>60</v>
      </c>
      <c r="E2055" s="1">
        <v>25</v>
      </c>
      <c r="F2055" s="1">
        <v>3</v>
      </c>
      <c r="G2055" s="1">
        <v>25</v>
      </c>
      <c r="H2055" s="1">
        <v>150</v>
      </c>
      <c r="I2055" s="1">
        <v>100</v>
      </c>
      <c r="J2055" s="1">
        <v>1.37</v>
      </c>
      <c r="K2055" s="1">
        <v>22.260999999999999</v>
      </c>
      <c r="L2055" s="1">
        <v>10.96</v>
      </c>
      <c r="M2055" s="1">
        <v>46.5</v>
      </c>
      <c r="N2055" s="1">
        <v>5.2209999999999999E-2</v>
      </c>
      <c r="O2055" s="1">
        <v>3.5839999999999998E-4</v>
      </c>
      <c r="P20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3.9205834885473217E-2</v>
      </c>
      <c r="Q2055" s="1">
        <f>LN(Table13[[#This Row],[qe_mg_g]]-Table13[[#This Row],[qt]])</f>
        <v>0.28577588065792808</v>
      </c>
      <c r="R2055" s="1">
        <v>2</v>
      </c>
    </row>
    <row r="2056" spans="1:18" hidden="1" x14ac:dyDescent="0.3">
      <c r="A2056" s="1">
        <v>2055</v>
      </c>
      <c r="B2056" s="1" t="s">
        <v>19</v>
      </c>
      <c r="C2056" s="1">
        <v>2</v>
      </c>
      <c r="D2056" s="1">
        <v>60</v>
      </c>
      <c r="E2056" s="1">
        <v>25</v>
      </c>
      <c r="F2056" s="1">
        <v>3</v>
      </c>
      <c r="G2056" s="1">
        <v>25</v>
      </c>
      <c r="H2056" s="1">
        <v>150</v>
      </c>
      <c r="I2056" s="1">
        <v>100</v>
      </c>
      <c r="J2056" s="1">
        <v>1.6</v>
      </c>
      <c r="K2056" s="1">
        <v>21.8</v>
      </c>
      <c r="L2056" s="1">
        <v>12.8</v>
      </c>
      <c r="M2056" s="1">
        <v>37.799999999999997</v>
      </c>
      <c r="N2056" s="1">
        <v>5.3789999999999998E-2</v>
      </c>
      <c r="O2056" s="1">
        <v>3.034E-4</v>
      </c>
      <c r="P20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4.5283300476987094E-2</v>
      </c>
      <c r="Q2056" s="1">
        <f>LN(Table13[[#This Row],[qe_mg_g]]-Table13[[#This Row],[qt]])</f>
        <v>0.44129334223124522</v>
      </c>
      <c r="R2056" s="1">
        <v>3</v>
      </c>
    </row>
    <row r="2057" spans="1:18" hidden="1" x14ac:dyDescent="0.3">
      <c r="A2057" s="1">
        <v>2056</v>
      </c>
      <c r="B2057" s="1" t="s">
        <v>19</v>
      </c>
      <c r="C2057" s="1">
        <v>2</v>
      </c>
      <c r="D2057" s="1">
        <v>60</v>
      </c>
      <c r="E2057" s="1">
        <v>25</v>
      </c>
      <c r="F2057" s="1">
        <v>7</v>
      </c>
      <c r="G2057" s="1">
        <v>25</v>
      </c>
      <c r="H2057" s="1">
        <v>150</v>
      </c>
      <c r="I2057" s="1">
        <v>100</v>
      </c>
      <c r="J2057" s="1">
        <v>2.161</v>
      </c>
      <c r="K2057" s="1">
        <v>20.678000000000001</v>
      </c>
      <c r="L2057" s="1">
        <v>17.29</v>
      </c>
      <c r="M2057" s="1">
        <v>62.5</v>
      </c>
      <c r="N2057" s="1">
        <v>5.8000000000000003E-2</v>
      </c>
      <c r="O2057" s="1">
        <v>3.657E-4</v>
      </c>
      <c r="P20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9.7828696353123329E-2</v>
      </c>
      <c r="Q2057" s="1">
        <f>LN(Table13[[#This Row],[qe_mg_g]]-Table13[[#This Row],[qt]])</f>
        <v>0.72424426682545495</v>
      </c>
      <c r="R2057" s="1">
        <v>1</v>
      </c>
    </row>
    <row r="2058" spans="1:18" hidden="1" x14ac:dyDescent="0.3">
      <c r="A2058" s="1">
        <v>2057</v>
      </c>
      <c r="B2058" s="1" t="s">
        <v>19</v>
      </c>
      <c r="C2058" s="1">
        <v>2</v>
      </c>
      <c r="D2058" s="1">
        <v>60</v>
      </c>
      <c r="E2058" s="1">
        <v>25</v>
      </c>
      <c r="F2058" s="1">
        <v>7</v>
      </c>
      <c r="G2058" s="1">
        <v>25</v>
      </c>
      <c r="H2058" s="1">
        <v>150</v>
      </c>
      <c r="I2058" s="1">
        <v>100</v>
      </c>
      <c r="J2058" s="1">
        <v>2.601</v>
      </c>
      <c r="K2058" s="1">
        <v>19.797000000000001</v>
      </c>
      <c r="L2058" s="1">
        <v>20.81</v>
      </c>
      <c r="M2058" s="1">
        <v>50.6</v>
      </c>
      <c r="N2058" s="1">
        <v>5.262E-2</v>
      </c>
      <c r="O2058" s="1">
        <v>4.2650000000000001E-4</v>
      </c>
      <c r="P20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0.16231769440092889</v>
      </c>
      <c r="Q2058" s="1">
        <f>LN(Table13[[#This Row],[qe_mg_g]]-Table13[[#This Row],[qt]])</f>
        <v>0.89145785474279182</v>
      </c>
      <c r="R2058" s="1">
        <v>2</v>
      </c>
    </row>
    <row r="2059" spans="1:18" hidden="1" x14ac:dyDescent="0.3">
      <c r="A2059" s="1">
        <v>2058</v>
      </c>
      <c r="B2059" s="1" t="s">
        <v>19</v>
      </c>
      <c r="C2059" s="1">
        <v>2</v>
      </c>
      <c r="D2059" s="1">
        <v>60</v>
      </c>
      <c r="E2059" s="1">
        <v>25</v>
      </c>
      <c r="F2059" s="1">
        <v>7</v>
      </c>
      <c r="G2059" s="1">
        <v>25</v>
      </c>
      <c r="H2059" s="1">
        <v>150</v>
      </c>
      <c r="I2059" s="1">
        <v>100</v>
      </c>
      <c r="J2059" s="1">
        <v>2.4020000000000001</v>
      </c>
      <c r="K2059" s="1">
        <v>20.196999999999999</v>
      </c>
      <c r="L2059" s="1">
        <v>19.21</v>
      </c>
      <c r="M2059" s="1">
        <v>60.6</v>
      </c>
      <c r="N2059" s="1">
        <v>5.5039999999999999E-2</v>
      </c>
      <c r="O2059" s="1">
        <v>2.853E-4</v>
      </c>
      <c r="P20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9.4863535905665139E-2</v>
      </c>
      <c r="Q2059" s="1">
        <f>LN(Table13[[#This Row],[qe_mg_g]]-Table13[[#This Row],[qt]])</f>
        <v>0.83600712962872936</v>
      </c>
      <c r="R2059" s="1">
        <v>3</v>
      </c>
    </row>
    <row r="2060" spans="1:18" hidden="1" x14ac:dyDescent="0.3">
      <c r="A2060" s="1">
        <v>2059</v>
      </c>
      <c r="B2060" s="1" t="s">
        <v>19</v>
      </c>
      <c r="C2060" s="1">
        <v>2</v>
      </c>
      <c r="D2060" s="1">
        <v>60</v>
      </c>
      <c r="E2060" s="1">
        <v>25</v>
      </c>
      <c r="F2060" s="1">
        <v>11</v>
      </c>
      <c r="G2060" s="1">
        <v>25</v>
      </c>
      <c r="H2060" s="1">
        <v>150</v>
      </c>
      <c r="I2060" s="1">
        <v>100</v>
      </c>
      <c r="J2060" s="1">
        <v>1.5609999999999999</v>
      </c>
      <c r="K2060" s="1">
        <v>21.876999999999999</v>
      </c>
      <c r="L2060" s="1">
        <v>12.49</v>
      </c>
      <c r="M2060" s="1">
        <v>49.8</v>
      </c>
      <c r="N2060" s="1">
        <v>6.0810000000000003E-2</v>
      </c>
      <c r="O2060" s="1">
        <v>3.7760000000000002E-4</v>
      </c>
      <c r="P20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5.332061331246167E-2</v>
      </c>
      <c r="Q2060" s="1">
        <f>LN(Table13[[#This Row],[qe_mg_g]]-Table13[[#This Row],[qt]])</f>
        <v>0.41057163868402785</v>
      </c>
      <c r="R2060" s="1">
        <v>1</v>
      </c>
    </row>
    <row r="2061" spans="1:18" hidden="1" x14ac:dyDescent="0.3">
      <c r="A2061" s="1">
        <v>2060</v>
      </c>
      <c r="B2061" s="1" t="s">
        <v>19</v>
      </c>
      <c r="C2061" s="1">
        <v>2</v>
      </c>
      <c r="D2061" s="1">
        <v>60</v>
      </c>
      <c r="E2061" s="1">
        <v>25</v>
      </c>
      <c r="F2061" s="1">
        <v>11</v>
      </c>
      <c r="G2061" s="1">
        <v>25</v>
      </c>
      <c r="H2061" s="1">
        <v>150</v>
      </c>
      <c r="I2061" s="1">
        <v>100</v>
      </c>
      <c r="J2061" s="1">
        <v>1.9390000000000001</v>
      </c>
      <c r="K2061" s="1">
        <v>21.123000000000001</v>
      </c>
      <c r="L2061" s="1">
        <v>15.51</v>
      </c>
      <c r="M2061" s="1">
        <v>46.5</v>
      </c>
      <c r="N2061" s="1">
        <v>6.3890000000000002E-2</v>
      </c>
      <c r="O2061" s="1">
        <v>3.1619999999999999E-4</v>
      </c>
      <c r="P20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6.879855447761006E-2</v>
      </c>
      <c r="Q2061" s="1">
        <f>LN(Table13[[#This Row],[qe_mg_g]]-Table13[[#This Row],[qt]])</f>
        <v>0.62604614994287067</v>
      </c>
      <c r="R2061" s="1">
        <v>2</v>
      </c>
    </row>
    <row r="2062" spans="1:18" hidden="1" x14ac:dyDescent="0.3">
      <c r="A2062" s="1">
        <v>2061</v>
      </c>
      <c r="B2062" s="1" t="s">
        <v>19</v>
      </c>
      <c r="C2062" s="1">
        <v>2</v>
      </c>
      <c r="D2062" s="1">
        <v>60</v>
      </c>
      <c r="E2062" s="1">
        <v>25</v>
      </c>
      <c r="F2062" s="1">
        <v>11</v>
      </c>
      <c r="G2062" s="1">
        <v>25</v>
      </c>
      <c r="H2062" s="1">
        <v>150</v>
      </c>
      <c r="I2062" s="1">
        <v>100</v>
      </c>
      <c r="J2062" s="1">
        <v>1.849</v>
      </c>
      <c r="K2062" s="1">
        <v>21.300999999999998</v>
      </c>
      <c r="L2062" s="1">
        <v>14.79</v>
      </c>
      <c r="M2062" s="1">
        <v>54.5</v>
      </c>
      <c r="N2062" s="1">
        <v>5.4039999999999998E-2</v>
      </c>
      <c r="O2062" s="1">
        <v>3.969E-4</v>
      </c>
      <c r="P20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7.798163304149637E-2</v>
      </c>
      <c r="Q2062" s="1">
        <f>LN(Table13[[#This Row],[qe_mg_g]]-Table13[[#This Row],[qt]])</f>
        <v>0.57155472970033672</v>
      </c>
      <c r="R2062" s="1">
        <v>3</v>
      </c>
    </row>
    <row r="2063" spans="1:18" hidden="1" x14ac:dyDescent="0.3">
      <c r="A2063" s="1">
        <v>2062</v>
      </c>
      <c r="B2063" s="1" t="s">
        <v>19</v>
      </c>
      <c r="C2063" s="1">
        <v>2</v>
      </c>
      <c r="D2063" s="1">
        <v>60</v>
      </c>
      <c r="E2063" s="1">
        <v>50</v>
      </c>
      <c r="F2063" s="1">
        <v>3</v>
      </c>
      <c r="G2063" s="1">
        <v>25</v>
      </c>
      <c r="H2063" s="1">
        <v>150</v>
      </c>
      <c r="I2063" s="1">
        <v>100</v>
      </c>
      <c r="J2063" s="1">
        <v>4.7350000000000003</v>
      </c>
      <c r="K2063" s="1">
        <v>40.53</v>
      </c>
      <c r="L2063" s="1">
        <v>18.940000000000001</v>
      </c>
      <c r="M2063" s="1">
        <v>43.5</v>
      </c>
      <c r="N2063" s="1">
        <v>5.5109999999999999E-2</v>
      </c>
      <c r="O2063" s="1">
        <v>3.3599999999999998E-4</v>
      </c>
      <c r="P20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0.41260541348200053</v>
      </c>
      <c r="Q2063" s="1">
        <f>LN(Table13[[#This Row],[qe_mg_g]]-Table13[[#This Row],[qt]])</f>
        <v>1.4638095511218929</v>
      </c>
      <c r="R2063" s="1">
        <v>1</v>
      </c>
    </row>
    <row r="2064" spans="1:18" hidden="1" x14ac:dyDescent="0.3">
      <c r="A2064" s="1">
        <v>2063</v>
      </c>
      <c r="B2064" s="1" t="s">
        <v>19</v>
      </c>
      <c r="C2064" s="1">
        <v>2</v>
      </c>
      <c r="D2064" s="1">
        <v>60</v>
      </c>
      <c r="E2064" s="1">
        <v>50</v>
      </c>
      <c r="F2064" s="1">
        <v>3</v>
      </c>
      <c r="G2064" s="1">
        <v>25</v>
      </c>
      <c r="H2064" s="1">
        <v>150</v>
      </c>
      <c r="I2064" s="1">
        <v>100</v>
      </c>
      <c r="J2064" s="1">
        <v>6.1580000000000004</v>
      </c>
      <c r="K2064" s="1">
        <v>37.683999999999997</v>
      </c>
      <c r="L2064" s="1">
        <v>24.63</v>
      </c>
      <c r="M2064" s="1">
        <v>60.1</v>
      </c>
      <c r="N2064" s="1">
        <v>5.2749999999999998E-2</v>
      </c>
      <c r="O2064" s="1">
        <v>3.1300000000000002E-4</v>
      </c>
      <c r="P20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0.63833412425239378</v>
      </c>
      <c r="Q2064" s="1">
        <f>LN(Table13[[#This Row],[qe_mg_g]]-Table13[[#This Row],[qt]])</f>
        <v>1.708317328701136</v>
      </c>
      <c r="R2064" s="1">
        <v>2</v>
      </c>
    </row>
    <row r="2065" spans="1:18" hidden="1" x14ac:dyDescent="0.3">
      <c r="A2065" s="1">
        <v>2064</v>
      </c>
      <c r="B2065" s="1" t="s">
        <v>19</v>
      </c>
      <c r="C2065" s="1">
        <v>2</v>
      </c>
      <c r="D2065" s="1">
        <v>60</v>
      </c>
      <c r="E2065" s="1">
        <v>50</v>
      </c>
      <c r="F2065" s="1">
        <v>3</v>
      </c>
      <c r="G2065" s="1">
        <v>25</v>
      </c>
      <c r="H2065" s="1">
        <v>150</v>
      </c>
      <c r="I2065" s="1">
        <v>100</v>
      </c>
      <c r="J2065" s="1">
        <v>4.3250000000000002</v>
      </c>
      <c r="K2065" s="1">
        <v>41.35</v>
      </c>
      <c r="L2065" s="1">
        <v>17.3</v>
      </c>
      <c r="M2065" s="1">
        <v>46.2</v>
      </c>
      <c r="N2065" s="1">
        <v>5.5629999999999999E-2</v>
      </c>
      <c r="O2065" s="1">
        <v>4.0000000000000002E-4</v>
      </c>
      <c r="P20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0.40671770248233374</v>
      </c>
      <c r="Q2065" s="1">
        <f>LN(Table13[[#This Row],[qe_mg_g]]-Table13[[#This Row],[qt]])</f>
        <v>1.3656533683605789</v>
      </c>
      <c r="R2065" s="1">
        <v>3</v>
      </c>
    </row>
    <row r="2066" spans="1:18" hidden="1" x14ac:dyDescent="0.3">
      <c r="A2066" s="1">
        <v>2065</v>
      </c>
      <c r="B2066" s="1" t="s">
        <v>19</v>
      </c>
      <c r="C2066" s="1">
        <v>2</v>
      </c>
      <c r="D2066" s="1">
        <v>60</v>
      </c>
      <c r="E2066" s="1">
        <v>50</v>
      </c>
      <c r="F2066" s="1">
        <v>7</v>
      </c>
      <c r="G2066" s="1">
        <v>25</v>
      </c>
      <c r="H2066" s="1">
        <v>150</v>
      </c>
      <c r="I2066" s="1">
        <v>100</v>
      </c>
      <c r="J2066" s="1">
        <v>8.7330000000000005</v>
      </c>
      <c r="K2066" s="1">
        <v>32.533999999999999</v>
      </c>
      <c r="L2066" s="1">
        <v>34.93</v>
      </c>
      <c r="M2066" s="1">
        <v>56.4</v>
      </c>
      <c r="N2066" s="1">
        <v>5.3220000000000003E-2</v>
      </c>
      <c r="O2066" s="1">
        <v>3.5940000000000001E-4</v>
      </c>
      <c r="P20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1.3839596150227789</v>
      </c>
      <c r="Q2066" s="1">
        <f>LN(Table13[[#This Row],[qe_mg_g]]-Table13[[#This Row],[qt]])</f>
        <v>1.9945697448340194</v>
      </c>
      <c r="R2066" s="1">
        <v>1</v>
      </c>
    </row>
    <row r="2067" spans="1:18" hidden="1" x14ac:dyDescent="0.3">
      <c r="A2067" s="1">
        <v>2066</v>
      </c>
      <c r="B2067" s="1" t="s">
        <v>19</v>
      </c>
      <c r="C2067" s="1">
        <v>2</v>
      </c>
      <c r="D2067" s="1">
        <v>60</v>
      </c>
      <c r="E2067" s="1">
        <v>50</v>
      </c>
      <c r="F2067" s="1">
        <v>7</v>
      </c>
      <c r="G2067" s="1">
        <v>25</v>
      </c>
      <c r="H2067" s="1">
        <v>150</v>
      </c>
      <c r="I2067" s="1">
        <v>100</v>
      </c>
      <c r="J2067" s="1">
        <v>7.8029999999999999</v>
      </c>
      <c r="K2067" s="1">
        <v>34.393999999999998</v>
      </c>
      <c r="L2067" s="1">
        <v>31.21</v>
      </c>
      <c r="M2067" s="1">
        <v>68.599999999999994</v>
      </c>
      <c r="N2067" s="1">
        <v>5.3960000000000001E-2</v>
      </c>
      <c r="O2067" s="1">
        <v>3.4699999999999998E-4</v>
      </c>
      <c r="P20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1.0905020755580375</v>
      </c>
      <c r="Q2067" s="1">
        <f>LN(Table13[[#This Row],[qe_mg_g]]-Table13[[#This Row],[qt]])</f>
        <v>1.9039711506270338</v>
      </c>
      <c r="R2067" s="1">
        <v>2</v>
      </c>
    </row>
    <row r="2068" spans="1:18" hidden="1" x14ac:dyDescent="0.3">
      <c r="A2068" s="1">
        <v>2067</v>
      </c>
      <c r="B2068" s="1" t="s">
        <v>19</v>
      </c>
      <c r="C2068" s="1">
        <v>2</v>
      </c>
      <c r="D2068" s="1">
        <v>60</v>
      </c>
      <c r="E2068" s="1">
        <v>50</v>
      </c>
      <c r="F2068" s="1">
        <v>7</v>
      </c>
      <c r="G2068" s="1">
        <v>25</v>
      </c>
      <c r="H2068" s="1">
        <v>150</v>
      </c>
      <c r="I2068" s="1">
        <v>100</v>
      </c>
      <c r="J2068" s="1">
        <v>6.8410000000000002</v>
      </c>
      <c r="K2068" s="1">
        <v>36.317999999999998</v>
      </c>
      <c r="L2068" s="1">
        <v>27.36</v>
      </c>
      <c r="M2068" s="1">
        <v>52.9</v>
      </c>
      <c r="N2068" s="1">
        <v>5.96E-2</v>
      </c>
      <c r="O2068" s="1">
        <v>3.1260000000000001E-4</v>
      </c>
      <c r="P20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0.77794885548968518</v>
      </c>
      <c r="Q2068" s="1">
        <f>LN(Table13[[#This Row],[qe_mg_g]]-Table13[[#This Row],[qt]])</f>
        <v>1.8022131625661895</v>
      </c>
      <c r="R2068" s="1">
        <v>3</v>
      </c>
    </row>
    <row r="2069" spans="1:18" hidden="1" x14ac:dyDescent="0.3">
      <c r="A2069" s="1">
        <v>2068</v>
      </c>
      <c r="B2069" s="1" t="s">
        <v>19</v>
      </c>
      <c r="C2069" s="1">
        <v>2</v>
      </c>
      <c r="D2069" s="1">
        <v>60</v>
      </c>
      <c r="E2069" s="1">
        <v>50</v>
      </c>
      <c r="F2069" s="1">
        <v>11</v>
      </c>
      <c r="G2069" s="1">
        <v>25</v>
      </c>
      <c r="H2069" s="1">
        <v>150</v>
      </c>
      <c r="I2069" s="1">
        <v>100</v>
      </c>
      <c r="J2069" s="1">
        <v>5.843</v>
      </c>
      <c r="K2069" s="1">
        <v>38.314999999999998</v>
      </c>
      <c r="L2069" s="1">
        <v>23.37</v>
      </c>
      <c r="M2069" s="1">
        <v>61</v>
      </c>
      <c r="N2069" s="1">
        <v>4.6879999999999998E-2</v>
      </c>
      <c r="O2069" s="1">
        <v>3.8699999999999997E-4</v>
      </c>
      <c r="P20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0.6980397091786319</v>
      </c>
      <c r="Q2069" s="1">
        <f>LN(Table13[[#This Row],[qe_mg_g]]-Table13[[#This Row],[qt]])</f>
        <v>1.6380176512428894</v>
      </c>
      <c r="R2069" s="1">
        <v>1</v>
      </c>
    </row>
    <row r="2070" spans="1:18" hidden="1" x14ac:dyDescent="0.3">
      <c r="A2070" s="1">
        <v>2069</v>
      </c>
      <c r="B2070" s="1" t="s">
        <v>19</v>
      </c>
      <c r="C2070" s="1">
        <v>2</v>
      </c>
      <c r="D2070" s="1">
        <v>60</v>
      </c>
      <c r="E2070" s="1">
        <v>50</v>
      </c>
      <c r="F2070" s="1">
        <v>11</v>
      </c>
      <c r="G2070" s="1">
        <v>25</v>
      </c>
      <c r="H2070" s="1">
        <v>150</v>
      </c>
      <c r="I2070" s="1">
        <v>100</v>
      </c>
      <c r="J2070" s="1">
        <v>5.9370000000000003</v>
      </c>
      <c r="K2070" s="1">
        <v>38.125999999999998</v>
      </c>
      <c r="L2070" s="1">
        <v>23.75</v>
      </c>
      <c r="M2070" s="1">
        <v>51.4</v>
      </c>
      <c r="N2070" s="1">
        <v>4.8820000000000002E-2</v>
      </c>
      <c r="O2070" s="1">
        <v>3.6319999999999999E-4</v>
      </c>
      <c r="P20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0.68012923005878456</v>
      </c>
      <c r="Q2070" s="1">
        <f>LN(Table13[[#This Row],[qe_mg_g]]-Table13[[#This Row],[qt]])</f>
        <v>1.6595359390624951</v>
      </c>
      <c r="R2070" s="1">
        <v>2</v>
      </c>
    </row>
    <row r="2071" spans="1:18" hidden="1" x14ac:dyDescent="0.3">
      <c r="A2071" s="1">
        <v>2070</v>
      </c>
      <c r="B2071" s="1" t="s">
        <v>19</v>
      </c>
      <c r="C2071" s="1">
        <v>2</v>
      </c>
      <c r="D2071" s="1">
        <v>60</v>
      </c>
      <c r="E2071" s="1">
        <v>50</v>
      </c>
      <c r="F2071" s="1">
        <v>11</v>
      </c>
      <c r="G2071" s="1">
        <v>25</v>
      </c>
      <c r="H2071" s="1">
        <v>150</v>
      </c>
      <c r="I2071" s="1">
        <v>100</v>
      </c>
      <c r="J2071" s="1">
        <v>7.2290000000000001</v>
      </c>
      <c r="K2071" s="1">
        <v>35.542999999999999</v>
      </c>
      <c r="L2071" s="1">
        <v>28.91</v>
      </c>
      <c r="M2071" s="1">
        <v>60.9</v>
      </c>
      <c r="N2071" s="1">
        <v>5.0250000000000003E-2</v>
      </c>
      <c r="O2071" s="1">
        <v>3.8969999999999999E-4</v>
      </c>
      <c r="P20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1.0452327641773669</v>
      </c>
      <c r="Q2071" s="1">
        <f>LN(Table13[[#This Row],[qe_mg_g]]-Table13[[#This Row],[qt]])</f>
        <v>1.8219276708326517</v>
      </c>
      <c r="R2071" s="1">
        <v>3</v>
      </c>
    </row>
    <row r="2072" spans="1:18" hidden="1" x14ac:dyDescent="0.3">
      <c r="A2072" s="1">
        <v>2071</v>
      </c>
      <c r="B2072" s="1" t="s">
        <v>19</v>
      </c>
      <c r="C2072" s="1">
        <v>2</v>
      </c>
      <c r="D2072" s="1">
        <v>60</v>
      </c>
      <c r="E2072" s="1">
        <v>100</v>
      </c>
      <c r="F2072" s="1">
        <v>3</v>
      </c>
      <c r="G2072" s="1">
        <v>25</v>
      </c>
      <c r="H2072" s="1">
        <v>150</v>
      </c>
      <c r="I2072" s="1">
        <v>100</v>
      </c>
      <c r="J2072" s="1">
        <v>15.191000000000001</v>
      </c>
      <c r="K2072" s="1">
        <v>69.619</v>
      </c>
      <c r="L2072" s="1">
        <v>30.38</v>
      </c>
      <c r="M2072" s="1">
        <v>65.8</v>
      </c>
      <c r="N2072" s="1">
        <v>5.944E-2</v>
      </c>
      <c r="O2072" s="1">
        <v>2.4699999999999999E-4</v>
      </c>
      <c r="P20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2.7915058138208972</v>
      </c>
      <c r="Q2072" s="1">
        <f>LN(Table13[[#This Row],[qe_mg_g]]-Table13[[#This Row],[qt]])</f>
        <v>2.5176556803418286</v>
      </c>
      <c r="R2072" s="1">
        <v>1</v>
      </c>
    </row>
    <row r="2073" spans="1:18" hidden="1" x14ac:dyDescent="0.3">
      <c r="A2073" s="1">
        <v>2072</v>
      </c>
      <c r="B2073" s="1" t="s">
        <v>19</v>
      </c>
      <c r="C2073" s="1">
        <v>2</v>
      </c>
      <c r="D2073" s="1">
        <v>60</v>
      </c>
      <c r="E2073" s="1">
        <v>100</v>
      </c>
      <c r="F2073" s="1">
        <v>3</v>
      </c>
      <c r="G2073" s="1">
        <v>25</v>
      </c>
      <c r="H2073" s="1">
        <v>150</v>
      </c>
      <c r="I2073" s="1">
        <v>100</v>
      </c>
      <c r="J2073" s="1">
        <v>14.443</v>
      </c>
      <c r="K2073" s="1">
        <v>71.114000000000004</v>
      </c>
      <c r="L2073" s="1">
        <v>28.89</v>
      </c>
      <c r="M2073" s="1">
        <v>62.3</v>
      </c>
      <c r="N2073" s="1">
        <v>5.5829999999999998E-2</v>
      </c>
      <c r="O2073" s="1">
        <v>3.1419999999999999E-4</v>
      </c>
      <c r="P20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3.0909341005398439</v>
      </c>
      <c r="Q2073" s="1">
        <f>LN(Table13[[#This Row],[qe_mg_g]]-Table13[[#This Row],[qt]])</f>
        <v>2.4293997449378049</v>
      </c>
      <c r="R2073" s="1">
        <v>2</v>
      </c>
    </row>
    <row r="2074" spans="1:18" hidden="1" x14ac:dyDescent="0.3">
      <c r="A2074" s="1">
        <v>2073</v>
      </c>
      <c r="B2074" s="1" t="s">
        <v>19</v>
      </c>
      <c r="C2074" s="1">
        <v>2</v>
      </c>
      <c r="D2074" s="1">
        <v>60</v>
      </c>
      <c r="E2074" s="1">
        <v>100</v>
      </c>
      <c r="F2074" s="1">
        <v>3</v>
      </c>
      <c r="G2074" s="1">
        <v>25</v>
      </c>
      <c r="H2074" s="1">
        <v>150</v>
      </c>
      <c r="I2074" s="1">
        <v>100</v>
      </c>
      <c r="J2074" s="1">
        <v>14.846</v>
      </c>
      <c r="K2074" s="1">
        <v>70.308000000000007</v>
      </c>
      <c r="L2074" s="1">
        <v>29.69</v>
      </c>
      <c r="M2074" s="1">
        <v>38.9</v>
      </c>
      <c r="N2074" s="1">
        <v>5.4510000000000003E-2</v>
      </c>
      <c r="O2074" s="1">
        <v>4.2739999999999998E-4</v>
      </c>
      <c r="P20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4.093567454428821</v>
      </c>
      <c r="Q2074" s="1">
        <f>LN(Table13[[#This Row],[qe_mg_g]]-Table13[[#This Row],[qt]])</f>
        <v>2.3751320122844124</v>
      </c>
      <c r="R2074" s="1">
        <v>3</v>
      </c>
    </row>
    <row r="2075" spans="1:18" hidden="1" x14ac:dyDescent="0.3">
      <c r="A2075" s="1">
        <v>2074</v>
      </c>
      <c r="B2075" s="1" t="s">
        <v>19</v>
      </c>
      <c r="C2075" s="1">
        <v>2</v>
      </c>
      <c r="D2075" s="1">
        <v>60</v>
      </c>
      <c r="E2075" s="1">
        <v>100</v>
      </c>
      <c r="F2075" s="1">
        <v>7</v>
      </c>
      <c r="G2075" s="1">
        <v>25</v>
      </c>
      <c r="H2075" s="1">
        <v>150</v>
      </c>
      <c r="I2075" s="1">
        <v>100</v>
      </c>
      <c r="J2075" s="1">
        <v>25.456</v>
      </c>
      <c r="K2075" s="1">
        <v>49.088000000000001</v>
      </c>
      <c r="L2075" s="1">
        <v>50.91</v>
      </c>
      <c r="M2075" s="1">
        <v>72.5</v>
      </c>
      <c r="N2075" s="1">
        <v>5.985E-2</v>
      </c>
      <c r="O2075" s="1">
        <v>3.86E-4</v>
      </c>
      <c r="P20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9.4415150946837532</v>
      </c>
      <c r="Q2075" s="1">
        <f>LN(Table13[[#This Row],[qe_mg_g]]-Table13[[#This Row],[qt]])</f>
        <v>2.7734936192791984</v>
      </c>
      <c r="R2075" s="1">
        <v>1</v>
      </c>
    </row>
    <row r="2076" spans="1:18" hidden="1" x14ac:dyDescent="0.3">
      <c r="A2076" s="1">
        <v>2075</v>
      </c>
      <c r="B2076" s="1" t="s">
        <v>19</v>
      </c>
      <c r="C2076" s="1">
        <v>2</v>
      </c>
      <c r="D2076" s="1">
        <v>60</v>
      </c>
      <c r="E2076" s="1">
        <v>100</v>
      </c>
      <c r="F2076" s="1">
        <v>7</v>
      </c>
      <c r="G2076" s="1">
        <v>25</v>
      </c>
      <c r="H2076" s="1">
        <v>150</v>
      </c>
      <c r="I2076" s="1">
        <v>100</v>
      </c>
      <c r="J2076" s="1">
        <v>27.428000000000001</v>
      </c>
      <c r="K2076" s="1">
        <v>45.143000000000001</v>
      </c>
      <c r="L2076" s="1">
        <v>54.86</v>
      </c>
      <c r="M2076" s="1">
        <v>57.6</v>
      </c>
      <c r="N2076" s="1">
        <v>5.3969999999999997E-2</v>
      </c>
      <c r="O2076" s="1">
        <v>3.8610000000000001E-4</v>
      </c>
      <c r="P20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10.656537660904471</v>
      </c>
      <c r="Q2076" s="1">
        <f>LN(Table13[[#This Row],[qe_mg_g]]-Table13[[#This Row],[qt]])</f>
        <v>2.819678771740989</v>
      </c>
      <c r="R2076" s="1">
        <v>2</v>
      </c>
    </row>
    <row r="2077" spans="1:18" hidden="1" x14ac:dyDescent="0.3">
      <c r="A2077" s="1">
        <v>2076</v>
      </c>
      <c r="B2077" s="1" t="s">
        <v>19</v>
      </c>
      <c r="C2077" s="1">
        <v>2</v>
      </c>
      <c r="D2077" s="1">
        <v>60</v>
      </c>
      <c r="E2077" s="1">
        <v>100</v>
      </c>
      <c r="F2077" s="1">
        <v>7</v>
      </c>
      <c r="G2077" s="1">
        <v>25</v>
      </c>
      <c r="H2077" s="1">
        <v>150</v>
      </c>
      <c r="I2077" s="1">
        <v>100</v>
      </c>
      <c r="J2077" s="1">
        <v>26.550999999999998</v>
      </c>
      <c r="K2077" s="1">
        <v>46.898000000000003</v>
      </c>
      <c r="L2077" s="1">
        <v>53.1</v>
      </c>
      <c r="M2077" s="1">
        <v>50.6</v>
      </c>
      <c r="N2077" s="1">
        <v>5.1029999999999999E-2</v>
      </c>
      <c r="O2077" s="1">
        <v>3.5490000000000001E-4</v>
      </c>
      <c r="P20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9.5895906386969667</v>
      </c>
      <c r="Q2077" s="1">
        <f>LN(Table13[[#This Row],[qe_mg_g]]-Table13[[#This Row],[qt]])</f>
        <v>2.8309407260446489</v>
      </c>
      <c r="R2077" s="1">
        <v>3</v>
      </c>
    </row>
    <row r="2078" spans="1:18" hidden="1" x14ac:dyDescent="0.3">
      <c r="A2078" s="1">
        <v>2077</v>
      </c>
      <c r="B2078" s="1" t="s">
        <v>19</v>
      </c>
      <c r="C2078" s="1">
        <v>2</v>
      </c>
      <c r="D2078" s="1">
        <v>60</v>
      </c>
      <c r="E2078" s="1">
        <v>100</v>
      </c>
      <c r="F2078" s="1">
        <v>11</v>
      </c>
      <c r="G2078" s="1">
        <v>25</v>
      </c>
      <c r="H2078" s="1">
        <v>150</v>
      </c>
      <c r="I2078" s="1">
        <v>100</v>
      </c>
      <c r="J2078" s="1">
        <v>19.95</v>
      </c>
      <c r="K2078" s="1">
        <v>60.100999999999999</v>
      </c>
      <c r="L2078" s="1">
        <v>39.9</v>
      </c>
      <c r="M2078" s="1">
        <v>61.1</v>
      </c>
      <c r="N2078" s="1">
        <v>4.7169999999999997E-2</v>
      </c>
      <c r="O2078" s="1">
        <v>4.169E-4</v>
      </c>
      <c r="P20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6.6413875532653019</v>
      </c>
      <c r="Q2078" s="1">
        <f>LN(Table13[[#This Row],[qe_mg_g]]-Table13[[#This Row],[qt]])</f>
        <v>2.5884113780421969</v>
      </c>
      <c r="R2078" s="1">
        <v>1</v>
      </c>
    </row>
    <row r="2079" spans="1:18" hidden="1" x14ac:dyDescent="0.3">
      <c r="A2079" s="1">
        <v>2078</v>
      </c>
      <c r="B2079" s="1" t="s">
        <v>19</v>
      </c>
      <c r="C2079" s="1">
        <v>2</v>
      </c>
      <c r="D2079" s="1">
        <v>60</v>
      </c>
      <c r="E2079" s="1">
        <v>100</v>
      </c>
      <c r="F2079" s="1">
        <v>11</v>
      </c>
      <c r="G2079" s="1">
        <v>25</v>
      </c>
      <c r="H2079" s="1">
        <v>150</v>
      </c>
      <c r="I2079" s="1">
        <v>100</v>
      </c>
      <c r="J2079" s="1">
        <v>18.006</v>
      </c>
      <c r="K2079" s="1">
        <v>63.987000000000002</v>
      </c>
      <c r="L2079" s="1">
        <v>36.01</v>
      </c>
      <c r="M2079" s="1">
        <v>52.4</v>
      </c>
      <c r="N2079" s="1">
        <v>5.0040000000000001E-2</v>
      </c>
      <c r="O2079" s="1">
        <v>4.4440000000000001E-4</v>
      </c>
      <c r="P20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5.8407042692412929</v>
      </c>
      <c r="Q2079" s="1">
        <f>LN(Table13[[#This Row],[qe_mg_g]]-Table13[[#This Row],[qt]])</f>
        <v>2.498587285907838</v>
      </c>
      <c r="R2079" s="1">
        <v>2</v>
      </c>
    </row>
    <row r="2080" spans="1:18" hidden="1" x14ac:dyDescent="0.3">
      <c r="A2080" s="1">
        <v>2079</v>
      </c>
      <c r="B2080" s="1" t="s">
        <v>19</v>
      </c>
      <c r="C2080" s="1">
        <v>2</v>
      </c>
      <c r="D2080" s="1">
        <v>60</v>
      </c>
      <c r="E2080" s="1">
        <v>100</v>
      </c>
      <c r="F2080" s="1">
        <v>11</v>
      </c>
      <c r="G2080" s="1">
        <v>25</v>
      </c>
      <c r="H2080" s="1">
        <v>150</v>
      </c>
      <c r="I2080" s="1">
        <v>100</v>
      </c>
      <c r="J2080" s="1">
        <v>19.172000000000001</v>
      </c>
      <c r="K2080" s="1">
        <v>61.655999999999999</v>
      </c>
      <c r="L2080" s="1">
        <v>38.340000000000003</v>
      </c>
      <c r="M2080" s="1">
        <v>47.6</v>
      </c>
      <c r="N2080" s="1">
        <v>5.9749999999999998E-2</v>
      </c>
      <c r="O2080" s="1">
        <v>3.769E-4</v>
      </c>
      <c r="P20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5.7982599839098814</v>
      </c>
      <c r="Q2080" s="1">
        <f>LN(Table13[[#This Row],[qe_mg_g]]-Table13[[#This Row],[qt]])</f>
        <v>2.5932930839400794</v>
      </c>
      <c r="R2080" s="1">
        <v>3</v>
      </c>
    </row>
    <row r="2081" spans="1:18" hidden="1" x14ac:dyDescent="0.3">
      <c r="A2081" s="1">
        <v>2080</v>
      </c>
      <c r="B2081" s="1" t="s">
        <v>19</v>
      </c>
      <c r="C2081" s="1">
        <v>2</v>
      </c>
      <c r="D2081" s="1">
        <v>60</v>
      </c>
      <c r="E2081" s="1">
        <v>200</v>
      </c>
      <c r="F2081" s="1">
        <v>3</v>
      </c>
      <c r="G2081" s="1">
        <v>25</v>
      </c>
      <c r="H2081" s="1">
        <v>150</v>
      </c>
      <c r="I2081" s="1">
        <v>100</v>
      </c>
      <c r="J2081" s="1">
        <v>42.497999999999998</v>
      </c>
      <c r="K2081" s="1">
        <v>115.004</v>
      </c>
      <c r="L2081" s="1">
        <v>42.5</v>
      </c>
      <c r="M2081" s="1">
        <v>61.4</v>
      </c>
      <c r="N2081" s="1">
        <v>5.0459999999999998E-2</v>
      </c>
      <c r="O2081" s="1">
        <v>3.3270000000000001E-4</v>
      </c>
      <c r="P20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19.505540122340228</v>
      </c>
      <c r="Q2081" s="1">
        <f>LN(Table13[[#This Row],[qe_mg_g]]-Table13[[#This Row],[qt]])</f>
        <v>3.1351663307745898</v>
      </c>
      <c r="R2081" s="1">
        <v>1</v>
      </c>
    </row>
    <row r="2082" spans="1:18" hidden="1" x14ac:dyDescent="0.3">
      <c r="A2082" s="1">
        <v>2081</v>
      </c>
      <c r="B2082" s="1" t="s">
        <v>19</v>
      </c>
      <c r="C2082" s="1">
        <v>2</v>
      </c>
      <c r="D2082" s="1">
        <v>60</v>
      </c>
      <c r="E2082" s="1">
        <v>200</v>
      </c>
      <c r="F2082" s="1">
        <v>3</v>
      </c>
      <c r="G2082" s="1">
        <v>25</v>
      </c>
      <c r="H2082" s="1">
        <v>150</v>
      </c>
      <c r="I2082" s="1">
        <v>100</v>
      </c>
      <c r="J2082" s="1">
        <v>37.003999999999998</v>
      </c>
      <c r="K2082" s="1">
        <v>125.991</v>
      </c>
      <c r="L2082" s="1">
        <v>37</v>
      </c>
      <c r="M2082" s="1">
        <v>43.7</v>
      </c>
      <c r="N2082" s="1">
        <v>6.4939999999999998E-2</v>
      </c>
      <c r="O2082" s="1">
        <v>4.0749999999999998E-4</v>
      </c>
      <c r="P20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17.576756141259221</v>
      </c>
      <c r="Q2082" s="1">
        <f>LN(Table13[[#This Row],[qe_mg_g]]-Table13[[#This Row],[qt]])</f>
        <v>2.9666764035459763</v>
      </c>
      <c r="R2082" s="1">
        <v>2</v>
      </c>
    </row>
    <row r="2083" spans="1:18" hidden="1" x14ac:dyDescent="0.3">
      <c r="A2083" s="1">
        <v>2082</v>
      </c>
      <c r="B2083" s="1" t="s">
        <v>19</v>
      </c>
      <c r="C2083" s="1">
        <v>2</v>
      </c>
      <c r="D2083" s="1">
        <v>60</v>
      </c>
      <c r="E2083" s="1">
        <v>200</v>
      </c>
      <c r="F2083" s="1">
        <v>3</v>
      </c>
      <c r="G2083" s="1">
        <v>25</v>
      </c>
      <c r="H2083" s="1">
        <v>150</v>
      </c>
      <c r="I2083" s="1">
        <v>100</v>
      </c>
      <c r="J2083" s="1">
        <v>43.262</v>
      </c>
      <c r="K2083" s="1">
        <v>113.47499999999999</v>
      </c>
      <c r="L2083" s="1">
        <v>43.26</v>
      </c>
      <c r="M2083" s="1">
        <v>68.2</v>
      </c>
      <c r="N2083" s="1">
        <v>5.4120000000000001E-2</v>
      </c>
      <c r="O2083" s="1">
        <v>3.4150000000000001E-4</v>
      </c>
      <c r="P20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20.328836394624247</v>
      </c>
      <c r="Q2083" s="1">
        <f>LN(Table13[[#This Row],[qe_mg_g]]-Table13[[#This Row],[qt]])</f>
        <v>3.1325840553154185</v>
      </c>
      <c r="R2083" s="1">
        <v>3</v>
      </c>
    </row>
    <row r="2084" spans="1:18" hidden="1" x14ac:dyDescent="0.3">
      <c r="A2084" s="1">
        <v>2083</v>
      </c>
      <c r="B2084" s="1" t="s">
        <v>19</v>
      </c>
      <c r="C2084" s="1">
        <v>2</v>
      </c>
      <c r="D2084" s="1">
        <v>60</v>
      </c>
      <c r="E2084" s="1">
        <v>200</v>
      </c>
      <c r="F2084" s="1">
        <v>7</v>
      </c>
      <c r="G2084" s="1">
        <v>25</v>
      </c>
      <c r="H2084" s="1">
        <v>150</v>
      </c>
      <c r="I2084" s="1">
        <v>100</v>
      </c>
      <c r="J2084" s="1">
        <v>63.896000000000001</v>
      </c>
      <c r="K2084" s="1">
        <v>72.206999999999994</v>
      </c>
      <c r="L2084" s="1">
        <v>63.9</v>
      </c>
      <c r="M2084" s="1">
        <v>53.5</v>
      </c>
      <c r="N2084" s="1">
        <v>5.382E-2</v>
      </c>
      <c r="O2084" s="1">
        <v>3.8999999999999999E-4</v>
      </c>
      <c r="P20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38.288088639859851</v>
      </c>
      <c r="Q2084" s="1">
        <f>LN(Table13[[#This Row],[qe_mg_g]]-Table13[[#This Row],[qt]])</f>
        <v>3.2429013412487375</v>
      </c>
      <c r="R2084" s="1">
        <v>1</v>
      </c>
    </row>
    <row r="2085" spans="1:18" hidden="1" x14ac:dyDescent="0.3">
      <c r="A2085" s="1">
        <v>2084</v>
      </c>
      <c r="B2085" s="1" t="s">
        <v>19</v>
      </c>
      <c r="C2085" s="1">
        <v>2</v>
      </c>
      <c r="D2085" s="1">
        <v>60</v>
      </c>
      <c r="E2085" s="1">
        <v>200</v>
      </c>
      <c r="F2085" s="1">
        <v>7</v>
      </c>
      <c r="G2085" s="1">
        <v>25</v>
      </c>
      <c r="H2085" s="1">
        <v>150</v>
      </c>
      <c r="I2085" s="1">
        <v>100</v>
      </c>
      <c r="J2085" s="1">
        <v>64.313000000000002</v>
      </c>
      <c r="K2085" s="1">
        <v>71.373000000000005</v>
      </c>
      <c r="L2085" s="1">
        <v>64.31</v>
      </c>
      <c r="M2085" s="1">
        <v>60.4</v>
      </c>
      <c r="N2085" s="1">
        <v>6.0670000000000002E-2</v>
      </c>
      <c r="O2085" s="1">
        <v>3.636E-4</v>
      </c>
      <c r="P20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37.549954888750811</v>
      </c>
      <c r="Q2085" s="1">
        <f>LN(Table13[[#This Row],[qe_mg_g]]-Table13[[#This Row],[qt]])</f>
        <v>3.2870220221810129</v>
      </c>
      <c r="R2085" s="1">
        <v>2</v>
      </c>
    </row>
    <row r="2086" spans="1:18" hidden="1" x14ac:dyDescent="0.3">
      <c r="A2086" s="1">
        <v>2085</v>
      </c>
      <c r="B2086" s="1" t="s">
        <v>19</v>
      </c>
      <c r="C2086" s="1">
        <v>2</v>
      </c>
      <c r="D2086" s="1">
        <v>60</v>
      </c>
      <c r="E2086" s="1">
        <v>200</v>
      </c>
      <c r="F2086" s="1">
        <v>7</v>
      </c>
      <c r="G2086" s="1">
        <v>25</v>
      </c>
      <c r="H2086" s="1">
        <v>150</v>
      </c>
      <c r="I2086" s="1">
        <v>100</v>
      </c>
      <c r="J2086" s="1">
        <v>59.322000000000003</v>
      </c>
      <c r="K2086" s="1">
        <v>81.355999999999995</v>
      </c>
      <c r="L2086" s="1">
        <v>59.32</v>
      </c>
      <c r="M2086" s="1">
        <v>43.5</v>
      </c>
      <c r="N2086" s="1">
        <v>5.5820000000000002E-2</v>
      </c>
      <c r="O2086" s="1">
        <v>3.4400000000000001E-4</v>
      </c>
      <c r="P20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32.653308283422788</v>
      </c>
      <c r="Q2086" s="1">
        <f>LN(Table13[[#This Row],[qe_mg_g]]-Table13[[#This Row],[qt]])</f>
        <v>3.2834902824941694</v>
      </c>
      <c r="R2086" s="1">
        <v>3</v>
      </c>
    </row>
    <row r="2087" spans="1:18" hidden="1" x14ac:dyDescent="0.3">
      <c r="A2087" s="1">
        <v>2086</v>
      </c>
      <c r="B2087" s="1" t="s">
        <v>19</v>
      </c>
      <c r="C2087" s="1">
        <v>2</v>
      </c>
      <c r="D2087" s="1">
        <v>60</v>
      </c>
      <c r="E2087" s="1">
        <v>200</v>
      </c>
      <c r="F2087" s="1">
        <v>11</v>
      </c>
      <c r="G2087" s="1">
        <v>25</v>
      </c>
      <c r="H2087" s="1">
        <v>150</v>
      </c>
      <c r="I2087" s="1">
        <v>100</v>
      </c>
      <c r="J2087" s="1">
        <v>51.473999999999997</v>
      </c>
      <c r="K2087" s="1">
        <v>97.052000000000007</v>
      </c>
      <c r="L2087" s="1">
        <v>51.47</v>
      </c>
      <c r="M2087" s="1">
        <v>54.4</v>
      </c>
      <c r="N2087" s="1">
        <v>6.9209999999999994E-2</v>
      </c>
      <c r="O2087" s="1">
        <v>3.034E-4</v>
      </c>
      <c r="P20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24.900364920791201</v>
      </c>
      <c r="Q2087" s="1">
        <f>LN(Table13[[#This Row],[qe_mg_g]]-Table13[[#This Row],[qt]])</f>
        <v>3.2799195618255919</v>
      </c>
      <c r="R2087" s="1">
        <v>1</v>
      </c>
    </row>
    <row r="2088" spans="1:18" hidden="1" x14ac:dyDescent="0.3">
      <c r="A2088" s="1">
        <v>2087</v>
      </c>
      <c r="B2088" s="1" t="s">
        <v>19</v>
      </c>
      <c r="C2088" s="1">
        <v>2</v>
      </c>
      <c r="D2088" s="1">
        <v>60</v>
      </c>
      <c r="E2088" s="1">
        <v>200</v>
      </c>
      <c r="F2088" s="1">
        <v>11</v>
      </c>
      <c r="G2088" s="1">
        <v>25</v>
      </c>
      <c r="H2088" s="1">
        <v>150</v>
      </c>
      <c r="I2088" s="1">
        <v>100</v>
      </c>
      <c r="J2088" s="1">
        <v>44.034999999999997</v>
      </c>
      <c r="K2088" s="1">
        <v>111.931</v>
      </c>
      <c r="L2088" s="1">
        <v>44.03</v>
      </c>
      <c r="M2088" s="1">
        <v>57.3</v>
      </c>
      <c r="N2088" s="1">
        <v>5.2929999999999998E-2</v>
      </c>
      <c r="O2088" s="1">
        <v>3.611E-4</v>
      </c>
      <c r="P20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21.499894658348946</v>
      </c>
      <c r="Q2088" s="1">
        <f>LN(Table13[[#This Row],[qe_mg_g]]-Table13[[#This Row],[qt]])</f>
        <v>3.1150743307112752</v>
      </c>
      <c r="R2088" s="1">
        <v>2</v>
      </c>
    </row>
    <row r="2089" spans="1:18" hidden="1" x14ac:dyDescent="0.3">
      <c r="A2089" s="1">
        <v>2088</v>
      </c>
      <c r="B2089" s="1" t="s">
        <v>19</v>
      </c>
      <c r="C2089" s="1">
        <v>2</v>
      </c>
      <c r="D2089" s="1">
        <v>60</v>
      </c>
      <c r="E2089" s="1">
        <v>200</v>
      </c>
      <c r="F2089" s="1">
        <v>11</v>
      </c>
      <c r="G2089" s="1">
        <v>25</v>
      </c>
      <c r="H2089" s="1">
        <v>150</v>
      </c>
      <c r="I2089" s="1">
        <v>100</v>
      </c>
      <c r="J2089" s="1">
        <v>53.252000000000002</v>
      </c>
      <c r="K2089" s="1">
        <v>93.495999999999995</v>
      </c>
      <c r="L2089" s="1">
        <v>53.25</v>
      </c>
      <c r="M2089" s="1">
        <v>65.099999999999994</v>
      </c>
      <c r="N2089" s="1">
        <v>4.6710000000000002E-2</v>
      </c>
      <c r="O2089" s="1">
        <v>3.3050000000000001E-4</v>
      </c>
      <c r="P20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27.351060034985824</v>
      </c>
      <c r="Q2089" s="1">
        <f>LN(Table13[[#This Row],[qe_mg_g]]-Table13[[#This Row],[qt]])</f>
        <v>3.25427926013244</v>
      </c>
      <c r="R2089" s="1">
        <v>3</v>
      </c>
    </row>
    <row r="2090" spans="1:18" hidden="1" x14ac:dyDescent="0.3">
      <c r="A2090" s="1">
        <v>2089</v>
      </c>
      <c r="B2090" s="1" t="s">
        <v>19</v>
      </c>
      <c r="C2090" s="1">
        <v>2</v>
      </c>
      <c r="D2090" s="1">
        <v>120</v>
      </c>
      <c r="E2090" s="1">
        <v>25</v>
      </c>
      <c r="F2090" s="1">
        <v>3</v>
      </c>
      <c r="G2090" s="1">
        <v>25</v>
      </c>
      <c r="H2090" s="1">
        <v>150</v>
      </c>
      <c r="I2090" s="1">
        <v>100</v>
      </c>
      <c r="J2090" s="1">
        <v>2.5670000000000002</v>
      </c>
      <c r="K2090" s="1">
        <v>19.866</v>
      </c>
      <c r="L2090" s="1">
        <v>20.53</v>
      </c>
      <c r="M2090" s="1">
        <v>60.8</v>
      </c>
      <c r="N2090" s="1">
        <v>6.7059999999999995E-2</v>
      </c>
      <c r="O2090" s="1">
        <v>3.834E-4</v>
      </c>
      <c r="P20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0.27114616070596237</v>
      </c>
      <c r="Q2090" s="1">
        <f>LN(Table13[[#This Row],[qe_mg_g]]-Table13[[#This Row],[qt]])</f>
        <v>0.83110481758694965</v>
      </c>
      <c r="R2090" s="1">
        <v>1</v>
      </c>
    </row>
    <row r="2091" spans="1:18" hidden="1" x14ac:dyDescent="0.3">
      <c r="A2091" s="1">
        <v>2090</v>
      </c>
      <c r="B2091" s="1" t="s">
        <v>19</v>
      </c>
      <c r="C2091" s="1">
        <v>2</v>
      </c>
      <c r="D2091" s="1">
        <v>120</v>
      </c>
      <c r="E2091" s="1">
        <v>25</v>
      </c>
      <c r="F2091" s="1">
        <v>3</v>
      </c>
      <c r="G2091" s="1">
        <v>25</v>
      </c>
      <c r="H2091" s="1">
        <v>150</v>
      </c>
      <c r="I2091" s="1">
        <v>100</v>
      </c>
      <c r="J2091" s="1">
        <v>2.4820000000000002</v>
      </c>
      <c r="K2091" s="1">
        <v>20.036000000000001</v>
      </c>
      <c r="L2091" s="1">
        <v>19.86</v>
      </c>
      <c r="M2091" s="1">
        <v>47.3</v>
      </c>
      <c r="N2091" s="1">
        <v>5.1900000000000002E-2</v>
      </c>
      <c r="O2091" s="1">
        <v>3.2929999999999998E-4</v>
      </c>
      <c r="P20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0.22168844594084075</v>
      </c>
      <c r="Q2091" s="1">
        <f>LN(Table13[[#This Row],[qe_mg_g]]-Table13[[#This Row],[qt]])</f>
        <v>0.81550265956134904</v>
      </c>
      <c r="R2091" s="1">
        <v>2</v>
      </c>
    </row>
    <row r="2092" spans="1:18" hidden="1" x14ac:dyDescent="0.3">
      <c r="A2092" s="1">
        <v>2091</v>
      </c>
      <c r="B2092" s="1" t="s">
        <v>19</v>
      </c>
      <c r="C2092" s="1">
        <v>2</v>
      </c>
      <c r="D2092" s="1">
        <v>120</v>
      </c>
      <c r="E2092" s="1">
        <v>25</v>
      </c>
      <c r="F2092" s="1">
        <v>3</v>
      </c>
      <c r="G2092" s="1">
        <v>25</v>
      </c>
      <c r="H2092" s="1">
        <v>150</v>
      </c>
      <c r="I2092" s="1">
        <v>100</v>
      </c>
      <c r="J2092" s="1">
        <v>2.6059999999999999</v>
      </c>
      <c r="K2092" s="1">
        <v>19.786999999999999</v>
      </c>
      <c r="L2092" s="1">
        <v>20.85</v>
      </c>
      <c r="M2092" s="1">
        <v>56.6</v>
      </c>
      <c r="N2092" s="1">
        <v>4.7719999999999999E-2</v>
      </c>
      <c r="O2092" s="1">
        <v>3.347E-4</v>
      </c>
      <c r="P20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0.24691885236651465</v>
      </c>
      <c r="Q2092" s="1">
        <f>LN(Table13[[#This Row],[qe_mg_g]]-Table13[[#This Row],[qt]])</f>
        <v>0.85827219900027796</v>
      </c>
      <c r="R2092" s="1">
        <v>3</v>
      </c>
    </row>
    <row r="2093" spans="1:18" hidden="1" x14ac:dyDescent="0.3">
      <c r="A2093" s="1">
        <v>2092</v>
      </c>
      <c r="B2093" s="1" t="s">
        <v>19</v>
      </c>
      <c r="C2093" s="1">
        <v>2</v>
      </c>
      <c r="D2093" s="1">
        <v>120</v>
      </c>
      <c r="E2093" s="1">
        <v>25</v>
      </c>
      <c r="F2093" s="1">
        <v>7</v>
      </c>
      <c r="G2093" s="1">
        <v>25</v>
      </c>
      <c r="H2093" s="1">
        <v>150</v>
      </c>
      <c r="I2093" s="1">
        <v>100</v>
      </c>
      <c r="J2093" s="1">
        <v>4.3</v>
      </c>
      <c r="K2093" s="1">
        <v>16.399999999999999</v>
      </c>
      <c r="L2093" s="1">
        <v>34.4</v>
      </c>
      <c r="M2093" s="1">
        <v>57.4</v>
      </c>
      <c r="N2093" s="1">
        <v>5.8130000000000001E-2</v>
      </c>
      <c r="O2093" s="1">
        <v>3.634E-4</v>
      </c>
      <c r="P20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0.67899127791629299</v>
      </c>
      <c r="Q2093" s="1">
        <f>LN(Table13[[#This Row],[qe_mg_g]]-Table13[[#This Row],[qt]])</f>
        <v>1.2867526395305913</v>
      </c>
      <c r="R2093" s="1">
        <v>1</v>
      </c>
    </row>
    <row r="2094" spans="1:18" hidden="1" x14ac:dyDescent="0.3">
      <c r="A2094" s="1">
        <v>2093</v>
      </c>
      <c r="B2094" s="1" t="s">
        <v>19</v>
      </c>
      <c r="C2094" s="1">
        <v>2</v>
      </c>
      <c r="D2094" s="1">
        <v>120</v>
      </c>
      <c r="E2094" s="1">
        <v>25</v>
      </c>
      <c r="F2094" s="1">
        <v>7</v>
      </c>
      <c r="G2094" s="1">
        <v>25</v>
      </c>
      <c r="H2094" s="1">
        <v>150</v>
      </c>
      <c r="I2094" s="1">
        <v>100</v>
      </c>
      <c r="J2094" s="1">
        <v>4.5119999999999996</v>
      </c>
      <c r="K2094" s="1">
        <v>15.975</v>
      </c>
      <c r="L2094" s="1">
        <v>36.1</v>
      </c>
      <c r="M2094" s="1">
        <v>56.5</v>
      </c>
      <c r="N2094" s="1">
        <v>5.2880000000000003E-2</v>
      </c>
      <c r="O2094" s="1">
        <v>3.1789999999999998E-4</v>
      </c>
      <c r="P20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0.66257718955442446</v>
      </c>
      <c r="Q2094" s="1">
        <f>LN(Table13[[#This Row],[qe_mg_g]]-Table13[[#This Row],[qt]])</f>
        <v>1.347923217695876</v>
      </c>
      <c r="R2094" s="1">
        <v>2</v>
      </c>
    </row>
    <row r="2095" spans="1:18" hidden="1" x14ac:dyDescent="0.3">
      <c r="A2095" s="1">
        <v>2094</v>
      </c>
      <c r="B2095" s="1" t="s">
        <v>19</v>
      </c>
      <c r="C2095" s="1">
        <v>2</v>
      </c>
      <c r="D2095" s="1">
        <v>120</v>
      </c>
      <c r="E2095" s="1">
        <v>25</v>
      </c>
      <c r="F2095" s="1">
        <v>7</v>
      </c>
      <c r="G2095" s="1">
        <v>25</v>
      </c>
      <c r="H2095" s="1">
        <v>150</v>
      </c>
      <c r="I2095" s="1">
        <v>100</v>
      </c>
      <c r="J2095" s="1">
        <v>4.1219999999999999</v>
      </c>
      <c r="K2095" s="1">
        <v>16.756</v>
      </c>
      <c r="L2095" s="1">
        <v>32.979999999999997</v>
      </c>
      <c r="M2095" s="1">
        <v>34.6</v>
      </c>
      <c r="N2095" s="1">
        <v>5.3990000000000003E-2</v>
      </c>
      <c r="O2095" s="1">
        <v>3.4279999999999998E-4</v>
      </c>
      <c r="P20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0.59760547148553111</v>
      </c>
      <c r="Q2095" s="1">
        <f>LN(Table13[[#This Row],[qe_mg_g]]-Table13[[#This Row],[qt]])</f>
        <v>1.2597086565505073</v>
      </c>
      <c r="R2095" s="1">
        <v>3</v>
      </c>
    </row>
    <row r="2096" spans="1:18" hidden="1" x14ac:dyDescent="0.3">
      <c r="A2096" s="1">
        <v>2095</v>
      </c>
      <c r="B2096" s="1" t="s">
        <v>19</v>
      </c>
      <c r="C2096" s="1">
        <v>2</v>
      </c>
      <c r="D2096" s="1">
        <v>120</v>
      </c>
      <c r="E2096" s="1">
        <v>25</v>
      </c>
      <c r="F2096" s="1">
        <v>11</v>
      </c>
      <c r="G2096" s="1">
        <v>25</v>
      </c>
      <c r="H2096" s="1">
        <v>150</v>
      </c>
      <c r="I2096" s="1">
        <v>100</v>
      </c>
      <c r="J2096" s="1">
        <v>2.7909999999999999</v>
      </c>
      <c r="K2096" s="1">
        <v>19.419</v>
      </c>
      <c r="L2096" s="1">
        <v>22.33</v>
      </c>
      <c r="M2096" s="1">
        <v>47</v>
      </c>
      <c r="N2096" s="1">
        <v>5.9450000000000003E-2</v>
      </c>
      <c r="O2096" s="1">
        <v>3.5809999999999998E-4</v>
      </c>
      <c r="P20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0.29889075363108702</v>
      </c>
      <c r="Q2096" s="1">
        <f>LN(Table13[[#This Row],[qe_mg_g]]-Table13[[#This Row],[qt]])</f>
        <v>0.91312943879614028</v>
      </c>
      <c r="R2096" s="1">
        <v>1</v>
      </c>
    </row>
    <row r="2097" spans="1:18" hidden="1" x14ac:dyDescent="0.3">
      <c r="A2097" s="1">
        <v>2096</v>
      </c>
      <c r="B2097" s="1" t="s">
        <v>19</v>
      </c>
      <c r="C2097" s="1">
        <v>2</v>
      </c>
      <c r="D2097" s="1">
        <v>120</v>
      </c>
      <c r="E2097" s="1">
        <v>25</v>
      </c>
      <c r="F2097" s="1">
        <v>11</v>
      </c>
      <c r="G2097" s="1">
        <v>25</v>
      </c>
      <c r="H2097" s="1">
        <v>150</v>
      </c>
      <c r="I2097" s="1">
        <v>100</v>
      </c>
      <c r="J2097" s="1">
        <v>3.1070000000000002</v>
      </c>
      <c r="K2097" s="1">
        <v>18.785</v>
      </c>
      <c r="L2097" s="1">
        <v>24.86</v>
      </c>
      <c r="M2097" s="1">
        <v>57.1</v>
      </c>
      <c r="N2097" s="1">
        <v>5.5509999999999997E-2</v>
      </c>
      <c r="O2097" s="1">
        <v>3.9350000000000002E-4</v>
      </c>
      <c r="P20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0.39751537188212849</v>
      </c>
      <c r="Q2097" s="1">
        <f>LN(Table13[[#This Row],[qe_mg_g]]-Table13[[#This Row],[qt]])</f>
        <v>0.99675844267997082</v>
      </c>
      <c r="R2097" s="1">
        <v>2</v>
      </c>
    </row>
    <row r="2098" spans="1:18" hidden="1" x14ac:dyDescent="0.3">
      <c r="A2098" s="1">
        <v>2097</v>
      </c>
      <c r="B2098" s="1" t="s">
        <v>19</v>
      </c>
      <c r="C2098" s="1">
        <v>2</v>
      </c>
      <c r="D2098" s="1">
        <v>120</v>
      </c>
      <c r="E2098" s="1">
        <v>25</v>
      </c>
      <c r="F2098" s="1">
        <v>11</v>
      </c>
      <c r="G2098" s="1">
        <v>25</v>
      </c>
      <c r="H2098" s="1">
        <v>150</v>
      </c>
      <c r="I2098" s="1">
        <v>100</v>
      </c>
      <c r="J2098" s="1">
        <v>3.1120000000000001</v>
      </c>
      <c r="K2098" s="1">
        <v>18.776</v>
      </c>
      <c r="L2098" s="1">
        <v>24.9</v>
      </c>
      <c r="M2098" s="1">
        <v>42.6</v>
      </c>
      <c r="N2098" s="1">
        <v>6.3969999999999999E-2</v>
      </c>
      <c r="O2098" s="1">
        <v>3.6299999999999999E-4</v>
      </c>
      <c r="P20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0.37149883067253459</v>
      </c>
      <c r="Q2098" s="1">
        <f>LN(Table13[[#This Row],[qe_mg_g]]-Table13[[#This Row],[qt]])</f>
        <v>1.0081408121879296</v>
      </c>
      <c r="R2098" s="1">
        <v>3</v>
      </c>
    </row>
    <row r="2099" spans="1:18" hidden="1" x14ac:dyDescent="0.3">
      <c r="A2099" s="1">
        <v>2098</v>
      </c>
      <c r="B2099" s="1" t="s">
        <v>19</v>
      </c>
      <c r="C2099" s="1">
        <v>2</v>
      </c>
      <c r="D2099" s="1">
        <v>120</v>
      </c>
      <c r="E2099" s="1">
        <v>50</v>
      </c>
      <c r="F2099" s="1">
        <v>3</v>
      </c>
      <c r="G2099" s="1">
        <v>25</v>
      </c>
      <c r="H2099" s="1">
        <v>150</v>
      </c>
      <c r="I2099" s="1">
        <v>100</v>
      </c>
      <c r="J2099" s="1">
        <v>7.4569999999999999</v>
      </c>
      <c r="K2099" s="1">
        <v>35.085000000000001</v>
      </c>
      <c r="L2099" s="1">
        <v>29.83</v>
      </c>
      <c r="M2099" s="1">
        <v>44.3</v>
      </c>
      <c r="N2099" s="1">
        <v>5.7180000000000002E-2</v>
      </c>
      <c r="O2099" s="1">
        <v>3.4590000000000001E-4</v>
      </c>
      <c r="P20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1.7625694914806203</v>
      </c>
      <c r="Q2099" s="1">
        <f>LN(Table13[[#This Row],[qe_mg_g]]-Table13[[#This Row],[qt]])</f>
        <v>1.739488593394902</v>
      </c>
      <c r="R2099" s="1">
        <v>1</v>
      </c>
    </row>
    <row r="2100" spans="1:18" hidden="1" x14ac:dyDescent="0.3">
      <c r="A2100" s="1">
        <v>2099</v>
      </c>
      <c r="B2100" s="1" t="s">
        <v>19</v>
      </c>
      <c r="C2100" s="1">
        <v>2</v>
      </c>
      <c r="D2100" s="1">
        <v>120</v>
      </c>
      <c r="E2100" s="1">
        <v>50</v>
      </c>
      <c r="F2100" s="1">
        <v>3</v>
      </c>
      <c r="G2100" s="1">
        <v>25</v>
      </c>
      <c r="H2100" s="1">
        <v>150</v>
      </c>
      <c r="I2100" s="1">
        <v>100</v>
      </c>
      <c r="J2100" s="1">
        <v>8.6349999999999998</v>
      </c>
      <c r="K2100" s="1">
        <v>32.728999999999999</v>
      </c>
      <c r="L2100" s="1">
        <v>34.54</v>
      </c>
      <c r="M2100" s="1">
        <v>51.7</v>
      </c>
      <c r="N2100" s="1">
        <v>5.0389999999999997E-2</v>
      </c>
      <c r="O2100" s="1">
        <v>3.814E-4</v>
      </c>
      <c r="P21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2.445952797330357</v>
      </c>
      <c r="Q2100" s="1">
        <f>LN(Table13[[#This Row],[qe_mg_g]]-Table13[[#This Row],[qt]])</f>
        <v>1.8227811495934887</v>
      </c>
      <c r="R2100" s="1">
        <v>2</v>
      </c>
    </row>
    <row r="2101" spans="1:18" hidden="1" x14ac:dyDescent="0.3">
      <c r="A2101" s="1">
        <v>2100</v>
      </c>
      <c r="B2101" s="1" t="s">
        <v>19</v>
      </c>
      <c r="C2101" s="1">
        <v>2</v>
      </c>
      <c r="D2101" s="1">
        <v>120</v>
      </c>
      <c r="E2101" s="1">
        <v>50</v>
      </c>
      <c r="F2101" s="1">
        <v>3</v>
      </c>
      <c r="G2101" s="1">
        <v>25</v>
      </c>
      <c r="H2101" s="1">
        <v>150</v>
      </c>
      <c r="I2101" s="1">
        <v>100</v>
      </c>
      <c r="J2101" s="1">
        <v>8.282</v>
      </c>
      <c r="K2101" s="1">
        <v>33.436</v>
      </c>
      <c r="L2101" s="1">
        <v>33.130000000000003</v>
      </c>
      <c r="M2101" s="1">
        <v>55.9</v>
      </c>
      <c r="N2101" s="1">
        <v>5.8720000000000001E-2</v>
      </c>
      <c r="O2101" s="1">
        <v>3.4870000000000002E-4</v>
      </c>
      <c r="P21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2.1314763285815843</v>
      </c>
      <c r="Q2101" s="1">
        <f>LN(Table13[[#This Row],[qe_mg_g]]-Table13[[#This Row],[qt]])</f>
        <v>1.8165372280175187</v>
      </c>
      <c r="R2101" s="1">
        <v>3</v>
      </c>
    </row>
    <row r="2102" spans="1:18" hidden="1" x14ac:dyDescent="0.3">
      <c r="A2102" s="1">
        <v>2101</v>
      </c>
      <c r="B2102" s="1" t="s">
        <v>19</v>
      </c>
      <c r="C2102" s="1">
        <v>2</v>
      </c>
      <c r="D2102" s="1">
        <v>120</v>
      </c>
      <c r="E2102" s="1">
        <v>50</v>
      </c>
      <c r="F2102" s="1">
        <v>7</v>
      </c>
      <c r="G2102" s="1">
        <v>25</v>
      </c>
      <c r="H2102" s="1">
        <v>150</v>
      </c>
      <c r="I2102" s="1">
        <v>100</v>
      </c>
      <c r="J2102" s="1">
        <v>12.263</v>
      </c>
      <c r="K2102" s="1">
        <v>25.475000000000001</v>
      </c>
      <c r="L2102" s="1">
        <v>49.05</v>
      </c>
      <c r="M2102" s="1">
        <v>64.099999999999994</v>
      </c>
      <c r="N2102" s="1">
        <v>5.8439999999999999E-2</v>
      </c>
      <c r="O2102" s="1">
        <v>3.4410000000000002E-4</v>
      </c>
      <c r="P21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4.1222042423196958</v>
      </c>
      <c r="Q2102" s="1">
        <f>LN(Table13[[#This Row],[qe_mg_g]]-Table13[[#This Row],[qt]])</f>
        <v>2.0968879341651405</v>
      </c>
      <c r="R2102" s="1">
        <v>1</v>
      </c>
    </row>
    <row r="2103" spans="1:18" hidden="1" x14ac:dyDescent="0.3">
      <c r="A2103" s="1">
        <v>2102</v>
      </c>
      <c r="B2103" s="1" t="s">
        <v>19</v>
      </c>
      <c r="C2103" s="1">
        <v>2</v>
      </c>
      <c r="D2103" s="1">
        <v>120</v>
      </c>
      <c r="E2103" s="1">
        <v>50</v>
      </c>
      <c r="F2103" s="1">
        <v>7</v>
      </c>
      <c r="G2103" s="1">
        <v>25</v>
      </c>
      <c r="H2103" s="1">
        <v>150</v>
      </c>
      <c r="I2103" s="1">
        <v>100</v>
      </c>
      <c r="J2103" s="1">
        <v>13.207000000000001</v>
      </c>
      <c r="K2103" s="1">
        <v>23.585000000000001</v>
      </c>
      <c r="L2103" s="1">
        <v>52.83</v>
      </c>
      <c r="M2103" s="1">
        <v>35.200000000000003</v>
      </c>
      <c r="N2103" s="1">
        <v>6.6290000000000002E-2</v>
      </c>
      <c r="O2103" s="1">
        <v>2.9030000000000001E-4</v>
      </c>
      <c r="P21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4.161599354117711</v>
      </c>
      <c r="Q2103" s="1">
        <f>LN(Table13[[#This Row],[qe_mg_g]]-Table13[[#This Row],[qt]])</f>
        <v>2.2022564126017414</v>
      </c>
      <c r="R2103" s="1">
        <v>2</v>
      </c>
    </row>
    <row r="2104" spans="1:18" hidden="1" x14ac:dyDescent="0.3">
      <c r="A2104" s="1">
        <v>2103</v>
      </c>
      <c r="B2104" s="1" t="s">
        <v>19</v>
      </c>
      <c r="C2104" s="1">
        <v>2</v>
      </c>
      <c r="D2104" s="1">
        <v>120</v>
      </c>
      <c r="E2104" s="1">
        <v>50</v>
      </c>
      <c r="F2104" s="1">
        <v>7</v>
      </c>
      <c r="G2104" s="1">
        <v>25</v>
      </c>
      <c r="H2104" s="1">
        <v>150</v>
      </c>
      <c r="I2104" s="1">
        <v>100</v>
      </c>
      <c r="J2104" s="1">
        <v>11.536</v>
      </c>
      <c r="K2104" s="1">
        <v>26.928999999999998</v>
      </c>
      <c r="L2104" s="1">
        <v>46.14</v>
      </c>
      <c r="M2104" s="1">
        <v>54.2</v>
      </c>
      <c r="N2104" s="1">
        <v>5.4190000000000002E-2</v>
      </c>
      <c r="O2104" s="1">
        <v>3.8519999999999998E-4</v>
      </c>
      <c r="P21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4.0120640744644671</v>
      </c>
      <c r="Q2104" s="1">
        <f>LN(Table13[[#This Row],[qe_mg_g]]-Table13[[#This Row],[qt]])</f>
        <v>2.018089395391828</v>
      </c>
      <c r="R2104" s="1">
        <v>3</v>
      </c>
    </row>
    <row r="2105" spans="1:18" hidden="1" x14ac:dyDescent="0.3">
      <c r="A2105" s="1">
        <v>2104</v>
      </c>
      <c r="B2105" s="1" t="s">
        <v>19</v>
      </c>
      <c r="C2105" s="1">
        <v>2</v>
      </c>
      <c r="D2105" s="1">
        <v>120</v>
      </c>
      <c r="E2105" s="1">
        <v>50</v>
      </c>
      <c r="F2105" s="1">
        <v>11</v>
      </c>
      <c r="G2105" s="1">
        <v>25</v>
      </c>
      <c r="H2105" s="1">
        <v>150</v>
      </c>
      <c r="I2105" s="1">
        <v>100</v>
      </c>
      <c r="J2105" s="1">
        <v>8.74</v>
      </c>
      <c r="K2105" s="1">
        <v>32.520000000000003</v>
      </c>
      <c r="L2105" s="1">
        <v>34.96</v>
      </c>
      <c r="M2105" s="1">
        <v>56.7</v>
      </c>
      <c r="N2105" s="1">
        <v>5.1819999999999998E-2</v>
      </c>
      <c r="O2105" s="1">
        <v>3.6029999999999998E-4</v>
      </c>
      <c r="P21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2.3969343815812936</v>
      </c>
      <c r="Q2105" s="1">
        <f>LN(Table13[[#This Row],[qe_mg_g]]-Table13[[#This Row],[qt]])</f>
        <v>1.8473621876114474</v>
      </c>
      <c r="R2105" s="1">
        <v>1</v>
      </c>
    </row>
    <row r="2106" spans="1:18" hidden="1" x14ac:dyDescent="0.3">
      <c r="A2106" s="1">
        <v>2105</v>
      </c>
      <c r="B2106" s="1" t="s">
        <v>19</v>
      </c>
      <c r="C2106" s="1">
        <v>2</v>
      </c>
      <c r="D2106" s="1">
        <v>120</v>
      </c>
      <c r="E2106" s="1">
        <v>50</v>
      </c>
      <c r="F2106" s="1">
        <v>11</v>
      </c>
      <c r="G2106" s="1">
        <v>25</v>
      </c>
      <c r="H2106" s="1">
        <v>150</v>
      </c>
      <c r="I2106" s="1">
        <v>100</v>
      </c>
      <c r="J2106" s="1">
        <v>9.3960000000000008</v>
      </c>
      <c r="K2106" s="1">
        <v>31.207999999999998</v>
      </c>
      <c r="L2106" s="1">
        <v>37.58</v>
      </c>
      <c r="M2106" s="1">
        <v>55.3</v>
      </c>
      <c r="N2106" s="1">
        <v>5.1979999999999998E-2</v>
      </c>
      <c r="O2106" s="1">
        <v>3.321E-4</v>
      </c>
      <c r="P21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2.5598079548875821</v>
      </c>
      <c r="Q2106" s="1">
        <f>LN(Table13[[#This Row],[qe_mg_g]]-Table13[[#This Row],[qt]])</f>
        <v>1.9222308580583312</v>
      </c>
      <c r="R2106" s="1">
        <v>2</v>
      </c>
    </row>
    <row r="2107" spans="1:18" hidden="1" x14ac:dyDescent="0.3">
      <c r="A2107" s="1">
        <v>2106</v>
      </c>
      <c r="B2107" s="1" t="s">
        <v>19</v>
      </c>
      <c r="C2107" s="1">
        <v>2</v>
      </c>
      <c r="D2107" s="1">
        <v>120</v>
      </c>
      <c r="E2107" s="1">
        <v>50</v>
      </c>
      <c r="F2107" s="1">
        <v>11</v>
      </c>
      <c r="G2107" s="1">
        <v>25</v>
      </c>
      <c r="H2107" s="1">
        <v>150</v>
      </c>
      <c r="I2107" s="1">
        <v>100</v>
      </c>
      <c r="J2107" s="1">
        <v>9.6289999999999996</v>
      </c>
      <c r="K2107" s="1">
        <v>30.742000000000001</v>
      </c>
      <c r="L2107" s="1">
        <v>38.520000000000003</v>
      </c>
      <c r="M2107" s="1">
        <v>62.3</v>
      </c>
      <c r="N2107" s="1">
        <v>5.1709999999999999E-2</v>
      </c>
      <c r="O2107" s="1">
        <v>3.1960000000000002E-4</v>
      </c>
      <c r="P21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2.5968956986488294</v>
      </c>
      <c r="Q2107" s="1">
        <f>LN(Table13[[#This Row],[qe_mg_g]]-Table13[[#This Row],[qt]])</f>
        <v>1.9504859926606999</v>
      </c>
      <c r="R2107" s="1">
        <v>3</v>
      </c>
    </row>
    <row r="2108" spans="1:18" hidden="1" x14ac:dyDescent="0.3">
      <c r="A2108" s="1">
        <v>2107</v>
      </c>
      <c r="B2108" s="1" t="s">
        <v>19</v>
      </c>
      <c r="C2108" s="1">
        <v>2</v>
      </c>
      <c r="D2108" s="1">
        <v>120</v>
      </c>
      <c r="E2108" s="1">
        <v>100</v>
      </c>
      <c r="F2108" s="1">
        <v>3</v>
      </c>
      <c r="G2108" s="1">
        <v>25</v>
      </c>
      <c r="H2108" s="1">
        <v>150</v>
      </c>
      <c r="I2108" s="1">
        <v>100</v>
      </c>
      <c r="J2108" s="1">
        <v>22.532</v>
      </c>
      <c r="K2108" s="1">
        <v>54.935000000000002</v>
      </c>
      <c r="L2108" s="1">
        <v>45.06</v>
      </c>
      <c r="M2108" s="1">
        <v>54.3</v>
      </c>
      <c r="N2108" s="1">
        <v>5.9569999999999998E-2</v>
      </c>
      <c r="O2108" s="1">
        <v>3.1829999999999998E-4</v>
      </c>
      <c r="P21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10.422138025080971</v>
      </c>
      <c r="Q2108" s="1">
        <f>LN(Table13[[#This Row],[qe_mg_g]]-Table13[[#This Row],[qt]])</f>
        <v>2.4940201598880765</v>
      </c>
      <c r="R2108" s="1">
        <v>1</v>
      </c>
    </row>
    <row r="2109" spans="1:18" hidden="1" x14ac:dyDescent="0.3">
      <c r="A2109" s="1">
        <v>2108</v>
      </c>
      <c r="B2109" s="1" t="s">
        <v>19</v>
      </c>
      <c r="C2109" s="1">
        <v>2</v>
      </c>
      <c r="D2109" s="1">
        <v>120</v>
      </c>
      <c r="E2109" s="1">
        <v>100</v>
      </c>
      <c r="F2109" s="1">
        <v>3</v>
      </c>
      <c r="G2109" s="1">
        <v>25</v>
      </c>
      <c r="H2109" s="1">
        <v>150</v>
      </c>
      <c r="I2109" s="1">
        <v>100</v>
      </c>
      <c r="J2109" s="1">
        <v>18.913</v>
      </c>
      <c r="K2109" s="1">
        <v>62.173000000000002</v>
      </c>
      <c r="L2109" s="1">
        <v>37.83</v>
      </c>
      <c r="M2109" s="1">
        <v>50.2</v>
      </c>
      <c r="N2109" s="1">
        <v>5.0790000000000002E-2</v>
      </c>
      <c r="O2109" s="1">
        <v>3.4719999999999998E-4</v>
      </c>
      <c r="P21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8.3352076364186551</v>
      </c>
      <c r="Q2109" s="1">
        <f>LN(Table13[[#This Row],[qe_mg_g]]-Table13[[#This Row],[qt]])</f>
        <v>2.3587567433701508</v>
      </c>
      <c r="R2109" s="1">
        <v>2</v>
      </c>
    </row>
    <row r="2110" spans="1:18" hidden="1" x14ac:dyDescent="0.3">
      <c r="A2110" s="1">
        <v>2109</v>
      </c>
      <c r="B2110" s="1" t="s">
        <v>19</v>
      </c>
      <c r="C2110" s="1">
        <v>2</v>
      </c>
      <c r="D2110" s="1">
        <v>120</v>
      </c>
      <c r="E2110" s="1">
        <v>100</v>
      </c>
      <c r="F2110" s="1">
        <v>3</v>
      </c>
      <c r="G2110" s="1">
        <v>25</v>
      </c>
      <c r="H2110" s="1">
        <v>150</v>
      </c>
      <c r="I2110" s="1">
        <v>100</v>
      </c>
      <c r="J2110" s="1">
        <v>20.640999999999998</v>
      </c>
      <c r="K2110" s="1">
        <v>58.716999999999999</v>
      </c>
      <c r="L2110" s="1">
        <v>41.28</v>
      </c>
      <c r="M2110" s="1">
        <v>60.6</v>
      </c>
      <c r="N2110" s="1">
        <v>5.3420000000000002E-2</v>
      </c>
      <c r="O2110" s="1">
        <v>3.5530000000000002E-4</v>
      </c>
      <c r="P21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9.6620347824873107</v>
      </c>
      <c r="Q2110" s="1">
        <f>LN(Table13[[#This Row],[qe_mg_g]]-Table13[[#This Row],[qt]])</f>
        <v>2.3959811891550991</v>
      </c>
      <c r="R2110" s="1">
        <v>3</v>
      </c>
    </row>
    <row r="2111" spans="1:18" hidden="1" x14ac:dyDescent="0.3">
      <c r="A2111" s="1">
        <v>2110</v>
      </c>
      <c r="B2111" s="1" t="s">
        <v>19</v>
      </c>
      <c r="C2111" s="1">
        <v>2</v>
      </c>
      <c r="D2111" s="1">
        <v>120</v>
      </c>
      <c r="E2111" s="1">
        <v>100</v>
      </c>
      <c r="F2111" s="1">
        <v>7</v>
      </c>
      <c r="G2111" s="1">
        <v>25</v>
      </c>
      <c r="H2111" s="1">
        <v>150</v>
      </c>
      <c r="I2111" s="1">
        <v>100</v>
      </c>
      <c r="J2111" s="1">
        <v>32.277000000000001</v>
      </c>
      <c r="K2111" s="1">
        <v>35.447000000000003</v>
      </c>
      <c r="L2111" s="1">
        <v>64.55</v>
      </c>
      <c r="M2111" s="1">
        <v>56.1</v>
      </c>
      <c r="N2111" s="1">
        <v>5.4870000000000002E-2</v>
      </c>
      <c r="O2111" s="1">
        <v>3.679E-4</v>
      </c>
      <c r="P21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18.966704777907651</v>
      </c>
      <c r="Q2111" s="1">
        <f>LN(Table13[[#This Row],[qe_mg_g]]-Table13[[#This Row],[qt]])</f>
        <v>2.5885378126337906</v>
      </c>
      <c r="R2111" s="1">
        <v>1</v>
      </c>
    </row>
    <row r="2112" spans="1:18" hidden="1" x14ac:dyDescent="0.3">
      <c r="A2112" s="1">
        <v>2111</v>
      </c>
      <c r="B2112" s="1" t="s">
        <v>19</v>
      </c>
      <c r="C2112" s="1">
        <v>2</v>
      </c>
      <c r="D2112" s="1">
        <v>120</v>
      </c>
      <c r="E2112" s="1">
        <v>100</v>
      </c>
      <c r="F2112" s="1">
        <v>7</v>
      </c>
      <c r="G2112" s="1">
        <v>25</v>
      </c>
      <c r="H2112" s="1">
        <v>150</v>
      </c>
      <c r="I2112" s="1">
        <v>100</v>
      </c>
      <c r="J2112" s="1">
        <v>30.146000000000001</v>
      </c>
      <c r="K2112" s="1">
        <v>39.707000000000001</v>
      </c>
      <c r="L2112" s="1">
        <v>60.29</v>
      </c>
      <c r="M2112" s="1">
        <v>66</v>
      </c>
      <c r="N2112" s="1">
        <v>5.3699999999999998E-2</v>
      </c>
      <c r="O2112" s="1">
        <v>3.0410000000000002E-4</v>
      </c>
      <c r="P21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15.791362284066604</v>
      </c>
      <c r="Q2112" s="1">
        <f>LN(Table13[[#This Row],[qe_mg_g]]-Table13[[#This Row],[qt]])</f>
        <v>2.6640730757716864</v>
      </c>
      <c r="R2112" s="1">
        <v>2</v>
      </c>
    </row>
    <row r="2113" spans="1:18" hidden="1" x14ac:dyDescent="0.3">
      <c r="A2113" s="1">
        <v>2112</v>
      </c>
      <c r="B2113" s="1" t="s">
        <v>19</v>
      </c>
      <c r="C2113" s="1">
        <v>2</v>
      </c>
      <c r="D2113" s="1">
        <v>120</v>
      </c>
      <c r="E2113" s="1">
        <v>100</v>
      </c>
      <c r="F2113" s="1">
        <v>7</v>
      </c>
      <c r="G2113" s="1">
        <v>25</v>
      </c>
      <c r="H2113" s="1">
        <v>150</v>
      </c>
      <c r="I2113" s="1">
        <v>100</v>
      </c>
      <c r="J2113" s="1">
        <v>32.344999999999999</v>
      </c>
      <c r="K2113" s="1">
        <v>35.311</v>
      </c>
      <c r="L2113" s="1">
        <v>64.69</v>
      </c>
      <c r="M2113" s="1">
        <v>47.6</v>
      </c>
      <c r="N2113" s="1">
        <v>5.8659999999999997E-2</v>
      </c>
      <c r="O2113" s="1">
        <v>4.2729999999999998E-4</v>
      </c>
      <c r="P21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20.178466368394691</v>
      </c>
      <c r="Q2113" s="1">
        <f>LN(Table13[[#This Row],[qe_mg_g]]-Table13[[#This Row],[qt]])</f>
        <v>2.4986890374719506</v>
      </c>
      <c r="R2113" s="1">
        <v>3</v>
      </c>
    </row>
    <row r="2114" spans="1:18" hidden="1" x14ac:dyDescent="0.3">
      <c r="A2114" s="1">
        <v>2113</v>
      </c>
      <c r="B2114" s="1" t="s">
        <v>19</v>
      </c>
      <c r="C2114" s="1">
        <v>2</v>
      </c>
      <c r="D2114" s="1">
        <v>120</v>
      </c>
      <c r="E2114" s="1">
        <v>100</v>
      </c>
      <c r="F2114" s="1">
        <v>11</v>
      </c>
      <c r="G2114" s="1">
        <v>25</v>
      </c>
      <c r="H2114" s="1">
        <v>150</v>
      </c>
      <c r="I2114" s="1">
        <v>100</v>
      </c>
      <c r="J2114" s="1">
        <v>24.251999999999999</v>
      </c>
      <c r="K2114" s="1">
        <v>51.496000000000002</v>
      </c>
      <c r="L2114" s="1">
        <v>48.5</v>
      </c>
      <c r="M2114" s="1">
        <v>57.3</v>
      </c>
      <c r="N2114" s="1">
        <v>4.5339999999999998E-2</v>
      </c>
      <c r="O2114" s="1">
        <v>3.659E-4</v>
      </c>
      <c r="P21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12.506875683351016</v>
      </c>
      <c r="Q2114" s="1">
        <f>LN(Table13[[#This Row],[qe_mg_g]]-Table13[[#This Row],[qt]])</f>
        <v>2.4634382026993022</v>
      </c>
      <c r="R2114" s="1">
        <v>1</v>
      </c>
    </row>
    <row r="2115" spans="1:18" hidden="1" x14ac:dyDescent="0.3">
      <c r="A2115" s="1">
        <v>2114</v>
      </c>
      <c r="B2115" s="1" t="s">
        <v>19</v>
      </c>
      <c r="C2115" s="1">
        <v>2</v>
      </c>
      <c r="D2115" s="1">
        <v>120</v>
      </c>
      <c r="E2115" s="1">
        <v>100</v>
      </c>
      <c r="F2115" s="1">
        <v>11</v>
      </c>
      <c r="G2115" s="1">
        <v>25</v>
      </c>
      <c r="H2115" s="1">
        <v>150</v>
      </c>
      <c r="I2115" s="1">
        <v>100</v>
      </c>
      <c r="J2115" s="1">
        <v>24.074000000000002</v>
      </c>
      <c r="K2115" s="1">
        <v>51.853000000000002</v>
      </c>
      <c r="L2115" s="1">
        <v>48.15</v>
      </c>
      <c r="M2115" s="1">
        <v>49.4</v>
      </c>
      <c r="N2115" s="1">
        <v>4.8939999999999997E-2</v>
      </c>
      <c r="O2115" s="1">
        <v>3.7560000000000002E-4</v>
      </c>
      <c r="P21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12.528067712613858</v>
      </c>
      <c r="Q2115" s="1">
        <f>LN(Table13[[#This Row],[qe_mg_g]]-Table13[[#This Row],[qt]])</f>
        <v>2.4463331920265463</v>
      </c>
      <c r="R2115" s="1">
        <v>2</v>
      </c>
    </row>
    <row r="2116" spans="1:18" hidden="1" x14ac:dyDescent="0.3">
      <c r="A2116" s="1">
        <v>2115</v>
      </c>
      <c r="B2116" s="1" t="s">
        <v>19</v>
      </c>
      <c r="C2116" s="1">
        <v>2</v>
      </c>
      <c r="D2116" s="1">
        <v>120</v>
      </c>
      <c r="E2116" s="1">
        <v>100</v>
      </c>
      <c r="F2116" s="1">
        <v>11</v>
      </c>
      <c r="G2116" s="1">
        <v>25</v>
      </c>
      <c r="H2116" s="1">
        <v>150</v>
      </c>
      <c r="I2116" s="1">
        <v>100</v>
      </c>
      <c r="J2116" s="1">
        <v>27.475000000000001</v>
      </c>
      <c r="K2116" s="1">
        <v>45.051000000000002</v>
      </c>
      <c r="L2116" s="1">
        <v>54.95</v>
      </c>
      <c r="M2116" s="1">
        <v>54.7</v>
      </c>
      <c r="N2116" s="1">
        <v>5.0250000000000003E-2</v>
      </c>
      <c r="O2116" s="1">
        <v>4.0559999999999999E-4</v>
      </c>
      <c r="P21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15.719798446319615</v>
      </c>
      <c r="Q2116" s="1">
        <f>LN(Table13[[#This Row],[qe_mg_g]]-Table13[[#This Row],[qt]])</f>
        <v>2.4642958280534932</v>
      </c>
      <c r="R2116" s="1">
        <v>3</v>
      </c>
    </row>
    <row r="2117" spans="1:18" hidden="1" x14ac:dyDescent="0.3">
      <c r="A2117" s="1">
        <v>2116</v>
      </c>
      <c r="B2117" s="1" t="s">
        <v>19</v>
      </c>
      <c r="C2117" s="1">
        <v>2</v>
      </c>
      <c r="D2117" s="1">
        <v>120</v>
      </c>
      <c r="E2117" s="1">
        <v>200</v>
      </c>
      <c r="F2117" s="1">
        <v>3</v>
      </c>
      <c r="G2117" s="1">
        <v>25</v>
      </c>
      <c r="H2117" s="1">
        <v>150</v>
      </c>
      <c r="I2117" s="1">
        <v>100</v>
      </c>
      <c r="J2117" s="1">
        <v>50.725999999999999</v>
      </c>
      <c r="K2117" s="1">
        <v>98.548000000000002</v>
      </c>
      <c r="L2117" s="1">
        <v>50.73</v>
      </c>
      <c r="M2117" s="1">
        <v>36.9</v>
      </c>
      <c r="N2117" s="1">
        <v>5.7520000000000002E-2</v>
      </c>
      <c r="O2117" s="1">
        <v>3.1129999999999998E-4</v>
      </c>
      <c r="P21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33.203584178568534</v>
      </c>
      <c r="Q2117" s="1">
        <f>LN(Table13[[#This Row],[qe_mg_g]]-Table13[[#This Row],[qt]])</f>
        <v>2.8634809653534936</v>
      </c>
      <c r="R2117" s="1">
        <v>1</v>
      </c>
    </row>
    <row r="2118" spans="1:18" hidden="1" x14ac:dyDescent="0.3">
      <c r="A2118" s="1">
        <v>2117</v>
      </c>
      <c r="B2118" s="1" t="s">
        <v>19</v>
      </c>
      <c r="C2118" s="1">
        <v>2</v>
      </c>
      <c r="D2118" s="1">
        <v>120</v>
      </c>
      <c r="E2118" s="1">
        <v>200</v>
      </c>
      <c r="F2118" s="1">
        <v>3</v>
      </c>
      <c r="G2118" s="1">
        <v>25</v>
      </c>
      <c r="H2118" s="1">
        <v>150</v>
      </c>
      <c r="I2118" s="1">
        <v>100</v>
      </c>
      <c r="J2118" s="1">
        <v>57.244</v>
      </c>
      <c r="K2118" s="1">
        <v>85.513000000000005</v>
      </c>
      <c r="L2118" s="1">
        <v>57.24</v>
      </c>
      <c r="M2118" s="1">
        <v>51.4</v>
      </c>
      <c r="N2118" s="1">
        <v>5.8319999999999997E-2</v>
      </c>
      <c r="O2118" s="1">
        <v>3.991E-4</v>
      </c>
      <c r="P21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41.944375144535002</v>
      </c>
      <c r="Q2118" s="1">
        <f>LN(Table13[[#This Row],[qe_mg_g]]-Table13[[#This Row],[qt]])</f>
        <v>2.7278283088471342</v>
      </c>
      <c r="R2118" s="1">
        <v>2</v>
      </c>
    </row>
    <row r="2119" spans="1:18" hidden="1" x14ac:dyDescent="0.3">
      <c r="A2119" s="1">
        <v>2118</v>
      </c>
      <c r="B2119" s="1" t="s">
        <v>19</v>
      </c>
      <c r="C2119" s="1">
        <v>2</v>
      </c>
      <c r="D2119" s="1">
        <v>120</v>
      </c>
      <c r="E2119" s="1">
        <v>200</v>
      </c>
      <c r="F2119" s="1">
        <v>3</v>
      </c>
      <c r="G2119" s="1">
        <v>25</v>
      </c>
      <c r="H2119" s="1">
        <v>150</v>
      </c>
      <c r="I2119" s="1">
        <v>100</v>
      </c>
      <c r="J2119" s="1">
        <v>49.008000000000003</v>
      </c>
      <c r="K2119" s="1">
        <v>101.98399999999999</v>
      </c>
      <c r="L2119" s="1">
        <v>49.01</v>
      </c>
      <c r="M2119" s="1">
        <v>49.9</v>
      </c>
      <c r="N2119" s="1">
        <v>5.4579999999999997E-2</v>
      </c>
      <c r="O2119" s="1">
        <v>4.038E-4</v>
      </c>
      <c r="P21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34.485956438686294</v>
      </c>
      <c r="Q2119" s="1">
        <f>LN(Table13[[#This Row],[qe_mg_g]]-Table13[[#This Row],[qt]])</f>
        <v>2.6756677406308529</v>
      </c>
      <c r="R2119" s="1">
        <v>3</v>
      </c>
    </row>
    <row r="2120" spans="1:18" hidden="1" x14ac:dyDescent="0.3">
      <c r="A2120" s="1">
        <v>2119</v>
      </c>
      <c r="B2120" s="1" t="s">
        <v>19</v>
      </c>
      <c r="C2120" s="1">
        <v>2</v>
      </c>
      <c r="D2120" s="1">
        <v>120</v>
      </c>
      <c r="E2120" s="1">
        <v>200</v>
      </c>
      <c r="F2120" s="1">
        <v>7</v>
      </c>
      <c r="G2120" s="1">
        <v>25</v>
      </c>
      <c r="H2120" s="1">
        <v>150</v>
      </c>
      <c r="I2120" s="1">
        <v>100</v>
      </c>
      <c r="J2120" s="1">
        <v>72.504000000000005</v>
      </c>
      <c r="K2120" s="1">
        <v>54.993000000000002</v>
      </c>
      <c r="L2120" s="1">
        <v>72.5</v>
      </c>
      <c r="M2120" s="1">
        <v>49.7</v>
      </c>
      <c r="N2120" s="1">
        <v>5.7630000000000001E-2</v>
      </c>
      <c r="O2120" s="1">
        <v>3.2979999999999999E-4</v>
      </c>
      <c r="P21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53.766299833272306</v>
      </c>
      <c r="Q2120" s="1">
        <f>LN(Table13[[#This Row],[qe_mg_g]]-Table13[[#This Row],[qt]])</f>
        <v>2.9305375460522542</v>
      </c>
      <c r="R2120" s="1">
        <v>1</v>
      </c>
    </row>
    <row r="2121" spans="1:18" hidden="1" x14ac:dyDescent="0.3">
      <c r="A2121" s="1">
        <v>2120</v>
      </c>
      <c r="B2121" s="1" t="s">
        <v>19</v>
      </c>
      <c r="C2121" s="1">
        <v>2</v>
      </c>
      <c r="D2121" s="1">
        <v>120</v>
      </c>
      <c r="E2121" s="1">
        <v>200</v>
      </c>
      <c r="F2121" s="1">
        <v>7</v>
      </c>
      <c r="G2121" s="1">
        <v>25</v>
      </c>
      <c r="H2121" s="1">
        <v>150</v>
      </c>
      <c r="I2121" s="1">
        <v>100</v>
      </c>
      <c r="J2121" s="1">
        <v>76.817999999999998</v>
      </c>
      <c r="K2121" s="1">
        <v>46.363999999999997</v>
      </c>
      <c r="L2121" s="1">
        <v>76.819999999999993</v>
      </c>
      <c r="M2121" s="1">
        <v>41.9</v>
      </c>
      <c r="N2121" s="1">
        <v>6.7180000000000004E-2</v>
      </c>
      <c r="O2121" s="1">
        <v>3.0279999999999999E-4</v>
      </c>
      <c r="P21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56.556128394867109</v>
      </c>
      <c r="Q2121" s="1">
        <f>LN(Table13[[#This Row],[qe_mg_g]]-Table13[[#This Row],[qt]])</f>
        <v>3.008740873879244</v>
      </c>
      <c r="R2121" s="1">
        <v>2</v>
      </c>
    </row>
    <row r="2122" spans="1:18" hidden="1" x14ac:dyDescent="0.3">
      <c r="A2122" s="1">
        <v>2121</v>
      </c>
      <c r="B2122" s="1" t="s">
        <v>19</v>
      </c>
      <c r="C2122" s="1">
        <v>2</v>
      </c>
      <c r="D2122" s="1">
        <v>120</v>
      </c>
      <c r="E2122" s="1">
        <v>200</v>
      </c>
      <c r="F2122" s="1">
        <v>7</v>
      </c>
      <c r="G2122" s="1">
        <v>25</v>
      </c>
      <c r="H2122" s="1">
        <v>150</v>
      </c>
      <c r="I2122" s="1">
        <v>100</v>
      </c>
      <c r="J2122" s="1">
        <v>74.295000000000002</v>
      </c>
      <c r="K2122" s="1">
        <v>51.411000000000001</v>
      </c>
      <c r="L2122" s="1">
        <v>74.290000000000006</v>
      </c>
      <c r="M2122" s="1">
        <v>54.3</v>
      </c>
      <c r="N2122" s="1">
        <v>6.5519999999999995E-2</v>
      </c>
      <c r="O2122" s="1">
        <v>3.0360000000000001E-4</v>
      </c>
      <c r="P21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54.251648627983165</v>
      </c>
      <c r="Q2122" s="1">
        <f>LN(Table13[[#This Row],[qe_mg_g]]-Table13[[#This Row],[qt]])</f>
        <v>2.9978974963671718</v>
      </c>
      <c r="R2122" s="1">
        <v>3</v>
      </c>
    </row>
    <row r="2123" spans="1:18" hidden="1" x14ac:dyDescent="0.3">
      <c r="A2123" s="1">
        <v>2122</v>
      </c>
      <c r="B2123" s="1" t="s">
        <v>19</v>
      </c>
      <c r="C2123" s="1">
        <v>2</v>
      </c>
      <c r="D2123" s="1">
        <v>120</v>
      </c>
      <c r="E2123" s="1">
        <v>200</v>
      </c>
      <c r="F2123" s="1">
        <v>11</v>
      </c>
      <c r="G2123" s="1">
        <v>25</v>
      </c>
      <c r="H2123" s="1">
        <v>150</v>
      </c>
      <c r="I2123" s="1">
        <v>100</v>
      </c>
      <c r="J2123" s="1">
        <v>71.138000000000005</v>
      </c>
      <c r="K2123" s="1">
        <v>57.723999999999997</v>
      </c>
      <c r="L2123" s="1">
        <v>71.14</v>
      </c>
      <c r="M2123" s="1">
        <v>60.7</v>
      </c>
      <c r="N2123" s="1">
        <v>5.7290000000000001E-2</v>
      </c>
      <c r="O2123" s="1">
        <v>3.1550000000000003E-4</v>
      </c>
      <c r="P21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51.876554927750661</v>
      </c>
      <c r="Q2123" s="1">
        <f>LN(Table13[[#This Row],[qe_mg_g]]-Table13[[#This Row],[qt]])</f>
        <v>2.9581054332671952</v>
      </c>
      <c r="R2123" s="1">
        <v>1</v>
      </c>
    </row>
    <row r="2124" spans="1:18" hidden="1" x14ac:dyDescent="0.3">
      <c r="A2124" s="1">
        <v>2123</v>
      </c>
      <c r="B2124" s="1" t="s">
        <v>19</v>
      </c>
      <c r="C2124" s="1">
        <v>2</v>
      </c>
      <c r="D2124" s="1">
        <v>120</v>
      </c>
      <c r="E2124" s="1">
        <v>200</v>
      </c>
      <c r="F2124" s="1">
        <v>11</v>
      </c>
      <c r="G2124" s="1">
        <v>25</v>
      </c>
      <c r="H2124" s="1">
        <v>150</v>
      </c>
      <c r="I2124" s="1">
        <v>100</v>
      </c>
      <c r="J2124" s="1">
        <v>64.962000000000003</v>
      </c>
      <c r="K2124" s="1">
        <v>70.075999999999993</v>
      </c>
      <c r="L2124" s="1">
        <v>64.959999999999994</v>
      </c>
      <c r="M2124" s="1">
        <v>48.6</v>
      </c>
      <c r="N2124" s="1">
        <v>6.1969999999999997E-2</v>
      </c>
      <c r="O2124" s="1">
        <v>3.1599999999999998E-4</v>
      </c>
      <c r="P21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46.205065114034497</v>
      </c>
      <c r="Q2124" s="1">
        <f>LN(Table13[[#This Row],[qe_mg_g]]-Table13[[#This Row],[qt]])</f>
        <v>2.9315635446196815</v>
      </c>
      <c r="R2124" s="1">
        <v>2</v>
      </c>
    </row>
    <row r="2125" spans="1:18" hidden="1" x14ac:dyDescent="0.3">
      <c r="A2125" s="1">
        <v>2124</v>
      </c>
      <c r="B2125" s="1" t="s">
        <v>19</v>
      </c>
      <c r="C2125" s="1">
        <v>2</v>
      </c>
      <c r="D2125" s="1">
        <v>120</v>
      </c>
      <c r="E2125" s="1">
        <v>200</v>
      </c>
      <c r="F2125" s="1">
        <v>11</v>
      </c>
      <c r="G2125" s="1">
        <v>25</v>
      </c>
      <c r="H2125" s="1">
        <v>150</v>
      </c>
      <c r="I2125" s="1">
        <v>100</v>
      </c>
      <c r="J2125" s="1">
        <v>61.97</v>
      </c>
      <c r="K2125" s="1">
        <v>76.061000000000007</v>
      </c>
      <c r="L2125" s="1">
        <v>61.97</v>
      </c>
      <c r="M2125" s="1">
        <v>50</v>
      </c>
      <c r="N2125" s="1">
        <v>4.9570000000000003E-2</v>
      </c>
      <c r="O2125" s="1">
        <v>3.7589999999999998E-4</v>
      </c>
      <c r="P21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45.642093953379849</v>
      </c>
      <c r="Q2125" s="1">
        <f>LN(Table13[[#This Row],[qe_mg_g]]-Table13[[#This Row],[qt]])</f>
        <v>2.7928756713643441</v>
      </c>
      <c r="R2125" s="1">
        <v>3</v>
      </c>
    </row>
    <row r="2126" spans="1:18" hidden="1" x14ac:dyDescent="0.3">
      <c r="A2126" s="1">
        <v>2125</v>
      </c>
      <c r="B2126" s="1" t="s">
        <v>19</v>
      </c>
      <c r="C2126" s="1">
        <v>2</v>
      </c>
      <c r="D2126" s="1">
        <v>240</v>
      </c>
      <c r="E2126" s="1">
        <v>25</v>
      </c>
      <c r="F2126" s="1">
        <v>3</v>
      </c>
      <c r="G2126" s="1">
        <v>25</v>
      </c>
      <c r="H2126" s="1">
        <v>150</v>
      </c>
      <c r="I2126" s="1">
        <v>100</v>
      </c>
      <c r="J2126" s="1">
        <v>4.0369999999999999</v>
      </c>
      <c r="K2126" s="1">
        <v>16.925000000000001</v>
      </c>
      <c r="L2126" s="1">
        <v>32.299999999999997</v>
      </c>
      <c r="M2126" s="1">
        <v>64.400000000000006</v>
      </c>
      <c r="N2126" s="1">
        <v>4.521E-2</v>
      </c>
      <c r="O2126" s="1">
        <v>3.8719999999999998E-4</v>
      </c>
      <c r="P21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1.1013209732670275</v>
      </c>
      <c r="Q2126" s="1">
        <f>LN(Table13[[#This Row],[qe_mg_g]]-Table13[[#This Row],[qt]])</f>
        <v>1.0769387814562073</v>
      </c>
      <c r="R2126" s="1">
        <v>1</v>
      </c>
    </row>
    <row r="2127" spans="1:18" hidden="1" x14ac:dyDescent="0.3">
      <c r="A2127" s="1">
        <v>2126</v>
      </c>
      <c r="B2127" s="1" t="s">
        <v>19</v>
      </c>
      <c r="C2127" s="1">
        <v>2</v>
      </c>
      <c r="D2127" s="1">
        <v>240</v>
      </c>
      <c r="E2127" s="1">
        <v>25</v>
      </c>
      <c r="F2127" s="1">
        <v>3</v>
      </c>
      <c r="G2127" s="1">
        <v>25</v>
      </c>
      <c r="H2127" s="1">
        <v>150</v>
      </c>
      <c r="I2127" s="1">
        <v>100</v>
      </c>
      <c r="J2127" s="1">
        <v>4.5739999999999998</v>
      </c>
      <c r="K2127" s="1">
        <v>15.852</v>
      </c>
      <c r="L2127" s="1">
        <v>36.590000000000003</v>
      </c>
      <c r="M2127" s="1">
        <v>50.9</v>
      </c>
      <c r="N2127" s="1">
        <v>6.5420000000000006E-2</v>
      </c>
      <c r="O2127" s="1">
        <v>3.4079999999999999E-4</v>
      </c>
      <c r="P21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1.2453159761183819</v>
      </c>
      <c r="Q2127" s="1">
        <f>LN(Table13[[#This Row],[qe_mg_g]]-Table13[[#This Row],[qt]])</f>
        <v>1.2025770378614486</v>
      </c>
      <c r="R2127" s="1">
        <v>2</v>
      </c>
    </row>
    <row r="2128" spans="1:18" hidden="1" x14ac:dyDescent="0.3">
      <c r="A2128" s="1">
        <v>2127</v>
      </c>
      <c r="B2128" s="1" t="s">
        <v>19</v>
      </c>
      <c r="C2128" s="1">
        <v>2</v>
      </c>
      <c r="D2128" s="1">
        <v>240</v>
      </c>
      <c r="E2128" s="1">
        <v>25</v>
      </c>
      <c r="F2128" s="1">
        <v>3</v>
      </c>
      <c r="G2128" s="1">
        <v>25</v>
      </c>
      <c r="H2128" s="1">
        <v>150</v>
      </c>
      <c r="I2128" s="1">
        <v>100</v>
      </c>
      <c r="J2128" s="1">
        <v>3.5179999999999998</v>
      </c>
      <c r="K2128" s="1">
        <v>17.965</v>
      </c>
      <c r="L2128" s="1">
        <v>28.14</v>
      </c>
      <c r="M2128" s="1">
        <v>52</v>
      </c>
      <c r="N2128" s="1">
        <v>6.0769999999999998E-2</v>
      </c>
      <c r="O2128" s="1">
        <v>3.2069999999999999E-4</v>
      </c>
      <c r="P21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0.7496071979799287</v>
      </c>
      <c r="Q2128" s="1">
        <f>LN(Table13[[#This Row],[qe_mg_g]]-Table13[[#This Row],[qt]])</f>
        <v>1.0182669359316461</v>
      </c>
      <c r="R2128" s="1">
        <v>3</v>
      </c>
    </row>
    <row r="2129" spans="1:18" hidden="1" x14ac:dyDescent="0.3">
      <c r="A2129" s="1">
        <v>2128</v>
      </c>
      <c r="B2129" s="1" t="s">
        <v>19</v>
      </c>
      <c r="C2129" s="1">
        <v>2</v>
      </c>
      <c r="D2129" s="1">
        <v>240</v>
      </c>
      <c r="E2129" s="1">
        <v>25</v>
      </c>
      <c r="F2129" s="1">
        <v>7</v>
      </c>
      <c r="G2129" s="1">
        <v>25</v>
      </c>
      <c r="H2129" s="1">
        <v>150</v>
      </c>
      <c r="I2129" s="1">
        <v>100</v>
      </c>
      <c r="J2129" s="1">
        <v>5.782</v>
      </c>
      <c r="K2129" s="1">
        <v>13.435</v>
      </c>
      <c r="L2129" s="1">
        <v>46.26</v>
      </c>
      <c r="M2129" s="1">
        <v>59.4</v>
      </c>
      <c r="N2129" s="1">
        <v>5.5019999999999999E-2</v>
      </c>
      <c r="O2129" s="1">
        <v>3.7050000000000001E-4</v>
      </c>
      <c r="P21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1.9633191559666552</v>
      </c>
      <c r="Q2129" s="1">
        <f>LN(Table13[[#This Row],[qe_mg_g]]-Table13[[#This Row],[qt]])</f>
        <v>1.3399050341916852</v>
      </c>
      <c r="R2129" s="1">
        <v>1</v>
      </c>
    </row>
    <row r="2130" spans="1:18" hidden="1" x14ac:dyDescent="0.3">
      <c r="A2130" s="1">
        <v>2129</v>
      </c>
      <c r="B2130" s="1" t="s">
        <v>19</v>
      </c>
      <c r="C2130" s="1">
        <v>2</v>
      </c>
      <c r="D2130" s="1">
        <v>240</v>
      </c>
      <c r="E2130" s="1">
        <v>25</v>
      </c>
      <c r="F2130" s="1">
        <v>7</v>
      </c>
      <c r="G2130" s="1">
        <v>25</v>
      </c>
      <c r="H2130" s="1">
        <v>150</v>
      </c>
      <c r="I2130" s="1">
        <v>100</v>
      </c>
      <c r="J2130" s="1">
        <v>6.1369999999999996</v>
      </c>
      <c r="K2130" s="1">
        <v>12.727</v>
      </c>
      <c r="L2130" s="1">
        <v>49.09</v>
      </c>
      <c r="M2130" s="1">
        <v>58.5</v>
      </c>
      <c r="N2130" s="1">
        <v>5.262E-2</v>
      </c>
      <c r="O2130" s="1">
        <v>3.5809999999999998E-4</v>
      </c>
      <c r="P21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2.1191618408412753</v>
      </c>
      <c r="Q2130" s="1">
        <f>LN(Table13[[#This Row],[qe_mg_g]]-Table13[[#This Row],[qt]])</f>
        <v>1.3907439866265026</v>
      </c>
      <c r="R2130" s="1">
        <v>2</v>
      </c>
    </row>
    <row r="2131" spans="1:18" hidden="1" x14ac:dyDescent="0.3">
      <c r="A2131" s="1">
        <v>2130</v>
      </c>
      <c r="B2131" s="1" t="s">
        <v>19</v>
      </c>
      <c r="C2131" s="1">
        <v>2</v>
      </c>
      <c r="D2131" s="1">
        <v>240</v>
      </c>
      <c r="E2131" s="1">
        <v>25</v>
      </c>
      <c r="F2131" s="1">
        <v>7</v>
      </c>
      <c r="G2131" s="1">
        <v>25</v>
      </c>
      <c r="H2131" s="1">
        <v>150</v>
      </c>
      <c r="I2131" s="1">
        <v>100</v>
      </c>
      <c r="J2131" s="1">
        <v>5.6440000000000001</v>
      </c>
      <c r="K2131" s="1">
        <v>13.712</v>
      </c>
      <c r="L2131" s="1">
        <v>45.15</v>
      </c>
      <c r="M2131" s="1">
        <v>65.099999999999994</v>
      </c>
      <c r="N2131" s="1">
        <v>5.151E-2</v>
      </c>
      <c r="O2131" s="1">
        <v>3.8949999999999998E-4</v>
      </c>
      <c r="P21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1.9493182364778574</v>
      </c>
      <c r="Q2131" s="1">
        <f>LN(Table13[[#This Row],[qe_mg_g]]-Table13[[#This Row],[qt]])</f>
        <v>1.3068944244453882</v>
      </c>
      <c r="R2131" s="1">
        <v>3</v>
      </c>
    </row>
    <row r="2132" spans="1:18" hidden="1" x14ac:dyDescent="0.3">
      <c r="A2132" s="1">
        <v>2131</v>
      </c>
      <c r="B2132" s="1" t="s">
        <v>19</v>
      </c>
      <c r="C2132" s="1">
        <v>2</v>
      </c>
      <c r="D2132" s="1">
        <v>240</v>
      </c>
      <c r="E2132" s="1">
        <v>25</v>
      </c>
      <c r="F2132" s="1">
        <v>11</v>
      </c>
      <c r="G2132" s="1">
        <v>25</v>
      </c>
      <c r="H2132" s="1">
        <v>150</v>
      </c>
      <c r="I2132" s="1">
        <v>100</v>
      </c>
      <c r="J2132" s="1">
        <v>4.6449999999999996</v>
      </c>
      <c r="K2132" s="1">
        <v>15.71</v>
      </c>
      <c r="L2132" s="1">
        <v>37.159999999999997</v>
      </c>
      <c r="M2132" s="1">
        <v>56.2</v>
      </c>
      <c r="N2132" s="1">
        <v>5.228E-2</v>
      </c>
      <c r="O2132" s="1">
        <v>3.144E-4</v>
      </c>
      <c r="P21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1.2055156137337448</v>
      </c>
      <c r="Q2132" s="1">
        <f>LN(Table13[[#This Row],[qe_mg_g]]-Table13[[#This Row],[qt]])</f>
        <v>1.2353215724377231</v>
      </c>
      <c r="R2132" s="1">
        <v>1</v>
      </c>
    </row>
    <row r="2133" spans="1:18" hidden="1" x14ac:dyDescent="0.3">
      <c r="A2133" s="1">
        <v>2132</v>
      </c>
      <c r="B2133" s="1" t="s">
        <v>19</v>
      </c>
      <c r="C2133" s="1">
        <v>2</v>
      </c>
      <c r="D2133" s="1">
        <v>240</v>
      </c>
      <c r="E2133" s="1">
        <v>25</v>
      </c>
      <c r="F2133" s="1">
        <v>11</v>
      </c>
      <c r="G2133" s="1">
        <v>25</v>
      </c>
      <c r="H2133" s="1">
        <v>150</v>
      </c>
      <c r="I2133" s="1">
        <v>100</v>
      </c>
      <c r="J2133" s="1">
        <v>4.1459999999999999</v>
      </c>
      <c r="K2133" s="1">
        <v>16.709</v>
      </c>
      <c r="L2133" s="1">
        <v>33.159999999999997</v>
      </c>
      <c r="M2133" s="1">
        <v>45.9</v>
      </c>
      <c r="N2133" s="1">
        <v>5.3220000000000003E-2</v>
      </c>
      <c r="O2133" s="1">
        <v>3.5740000000000001E-4</v>
      </c>
      <c r="P21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1.0876372684192395</v>
      </c>
      <c r="Q2133" s="1">
        <f>LN(Table13[[#This Row],[qe_mg_g]]-Table13[[#This Row],[qt]])</f>
        <v>1.117879717732295</v>
      </c>
      <c r="R2133" s="1">
        <v>2</v>
      </c>
    </row>
    <row r="2134" spans="1:18" hidden="1" x14ac:dyDescent="0.3">
      <c r="A2134" s="1">
        <v>2133</v>
      </c>
      <c r="B2134" s="1" t="s">
        <v>19</v>
      </c>
      <c r="C2134" s="1">
        <v>2</v>
      </c>
      <c r="D2134" s="1">
        <v>240</v>
      </c>
      <c r="E2134" s="1">
        <v>25</v>
      </c>
      <c r="F2134" s="1">
        <v>11</v>
      </c>
      <c r="G2134" s="1">
        <v>25</v>
      </c>
      <c r="H2134" s="1">
        <v>150</v>
      </c>
      <c r="I2134" s="1">
        <v>100</v>
      </c>
      <c r="J2134" s="1">
        <v>5.056</v>
      </c>
      <c r="K2134" s="1">
        <v>14.887</v>
      </c>
      <c r="L2134" s="1">
        <v>40.450000000000003</v>
      </c>
      <c r="M2134" s="1">
        <v>50.9</v>
      </c>
      <c r="N2134" s="1">
        <v>5.015E-2</v>
      </c>
      <c r="O2134" s="1">
        <v>2.9950000000000002E-4</v>
      </c>
      <c r="P21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1.34769264046505</v>
      </c>
      <c r="Q2134" s="1">
        <f>LN(Table13[[#This Row],[qe_mg_g]]-Table13[[#This Row],[qt]])</f>
        <v>1.3105755351893142</v>
      </c>
      <c r="R2134" s="1">
        <v>3</v>
      </c>
    </row>
    <row r="2135" spans="1:18" hidden="1" x14ac:dyDescent="0.3">
      <c r="A2135" s="1">
        <v>2134</v>
      </c>
      <c r="B2135" s="1" t="s">
        <v>19</v>
      </c>
      <c r="C2135" s="1">
        <v>2</v>
      </c>
      <c r="D2135" s="1">
        <v>240</v>
      </c>
      <c r="E2135" s="1">
        <v>50</v>
      </c>
      <c r="F2135" s="1">
        <v>3</v>
      </c>
      <c r="G2135" s="1">
        <v>25</v>
      </c>
      <c r="H2135" s="1">
        <v>150</v>
      </c>
      <c r="I2135" s="1">
        <v>100</v>
      </c>
      <c r="J2135" s="1">
        <v>11.179</v>
      </c>
      <c r="K2135" s="1">
        <v>27.641999999999999</v>
      </c>
      <c r="L2135" s="1">
        <v>44.72</v>
      </c>
      <c r="M2135" s="1">
        <v>65.900000000000006</v>
      </c>
      <c r="N2135" s="1">
        <v>6.1960000000000001E-2</v>
      </c>
      <c r="O2135" s="1">
        <v>3.748E-4</v>
      </c>
      <c r="P21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5.6050329961455096</v>
      </c>
      <c r="Q2135" s="1">
        <f>LN(Table13[[#This Row],[qe_mg_g]]-Table13[[#This Row],[qt]])</f>
        <v>1.7181070093892914</v>
      </c>
      <c r="R2135" s="1">
        <v>1</v>
      </c>
    </row>
    <row r="2136" spans="1:18" hidden="1" x14ac:dyDescent="0.3">
      <c r="A2136" s="1">
        <v>2135</v>
      </c>
      <c r="B2136" s="1" t="s">
        <v>19</v>
      </c>
      <c r="C2136" s="1">
        <v>2</v>
      </c>
      <c r="D2136" s="1">
        <v>240</v>
      </c>
      <c r="E2136" s="1">
        <v>50</v>
      </c>
      <c r="F2136" s="1">
        <v>3</v>
      </c>
      <c r="G2136" s="1">
        <v>25</v>
      </c>
      <c r="H2136" s="1">
        <v>150</v>
      </c>
      <c r="I2136" s="1">
        <v>100</v>
      </c>
      <c r="J2136" s="1">
        <v>11.298999999999999</v>
      </c>
      <c r="K2136" s="1">
        <v>27.402000000000001</v>
      </c>
      <c r="L2136" s="1">
        <v>45.2</v>
      </c>
      <c r="M2136" s="1">
        <v>68.400000000000006</v>
      </c>
      <c r="N2136" s="1">
        <v>5.6829999999999999E-2</v>
      </c>
      <c r="O2136" s="1">
        <v>3.726E-4</v>
      </c>
      <c r="P21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5.6787303927570738</v>
      </c>
      <c r="Q2136" s="1">
        <f>LN(Table13[[#This Row],[qe_mg_g]]-Table13[[#This Row],[qt]])</f>
        <v>1.7263796355739667</v>
      </c>
      <c r="R2136" s="1">
        <v>2</v>
      </c>
    </row>
    <row r="2137" spans="1:18" hidden="1" x14ac:dyDescent="0.3">
      <c r="A2137" s="1">
        <v>2136</v>
      </c>
      <c r="B2137" s="1" t="s">
        <v>19</v>
      </c>
      <c r="C2137" s="1">
        <v>2</v>
      </c>
      <c r="D2137" s="1">
        <v>240</v>
      </c>
      <c r="E2137" s="1">
        <v>50</v>
      </c>
      <c r="F2137" s="1">
        <v>3</v>
      </c>
      <c r="G2137" s="1">
        <v>25</v>
      </c>
      <c r="H2137" s="1">
        <v>150</v>
      </c>
      <c r="I2137" s="1">
        <v>100</v>
      </c>
      <c r="J2137" s="1">
        <v>10.573</v>
      </c>
      <c r="K2137" s="1">
        <v>28.853999999999999</v>
      </c>
      <c r="L2137" s="1">
        <v>42.29</v>
      </c>
      <c r="M2137" s="1">
        <v>43.4</v>
      </c>
      <c r="N2137" s="1">
        <v>5.1240000000000001E-2</v>
      </c>
      <c r="O2137" s="1">
        <v>3.4969999999999999E-4</v>
      </c>
      <c r="P21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4.9710269729135961</v>
      </c>
      <c r="Q2137" s="1">
        <f>LN(Table13[[#This Row],[qe_mg_g]]-Table13[[#This Row],[qt]])</f>
        <v>1.7231188619542088</v>
      </c>
      <c r="R2137" s="1">
        <v>3</v>
      </c>
    </row>
    <row r="2138" spans="1:18" hidden="1" x14ac:dyDescent="0.3">
      <c r="A2138" s="1">
        <v>2137</v>
      </c>
      <c r="B2138" s="1" t="s">
        <v>19</v>
      </c>
      <c r="C2138" s="1">
        <v>2</v>
      </c>
      <c r="D2138" s="1">
        <v>240</v>
      </c>
      <c r="E2138" s="1">
        <v>50</v>
      </c>
      <c r="F2138" s="1">
        <v>7</v>
      </c>
      <c r="G2138" s="1">
        <v>25</v>
      </c>
      <c r="H2138" s="1">
        <v>150</v>
      </c>
      <c r="I2138" s="1">
        <v>100</v>
      </c>
      <c r="J2138" s="1">
        <v>16.048999999999999</v>
      </c>
      <c r="K2138" s="1">
        <v>17.902000000000001</v>
      </c>
      <c r="L2138" s="1">
        <v>64.2</v>
      </c>
      <c r="M2138" s="1">
        <v>70.3</v>
      </c>
      <c r="N2138" s="1">
        <v>5.5449999999999999E-2</v>
      </c>
      <c r="O2138" s="1">
        <v>3.9130000000000002E-4</v>
      </c>
      <c r="P21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9.6478192388908095</v>
      </c>
      <c r="Q2138" s="1">
        <f>LN(Table13[[#This Row],[qe_mg_g]]-Table13[[#This Row],[qt]])</f>
        <v>1.8564824672720261</v>
      </c>
      <c r="R2138" s="1">
        <v>1</v>
      </c>
    </row>
    <row r="2139" spans="1:18" hidden="1" x14ac:dyDescent="0.3">
      <c r="A2139" s="1">
        <v>2138</v>
      </c>
      <c r="B2139" s="1" t="s">
        <v>19</v>
      </c>
      <c r="C2139" s="1">
        <v>2</v>
      </c>
      <c r="D2139" s="1">
        <v>240</v>
      </c>
      <c r="E2139" s="1">
        <v>50</v>
      </c>
      <c r="F2139" s="1">
        <v>7</v>
      </c>
      <c r="G2139" s="1">
        <v>25</v>
      </c>
      <c r="H2139" s="1">
        <v>150</v>
      </c>
      <c r="I2139" s="1">
        <v>100</v>
      </c>
      <c r="J2139" s="1">
        <v>15.494</v>
      </c>
      <c r="K2139" s="1">
        <v>19.010999999999999</v>
      </c>
      <c r="L2139" s="1">
        <v>61.98</v>
      </c>
      <c r="M2139" s="1">
        <v>52</v>
      </c>
      <c r="N2139" s="1">
        <v>4.7690000000000003E-2</v>
      </c>
      <c r="O2139" s="1">
        <v>3.2400000000000001E-4</v>
      </c>
      <c r="P21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8.4666480622324212</v>
      </c>
      <c r="Q2139" s="1">
        <f>LN(Table13[[#This Row],[qe_mg_g]]-Table13[[#This Row],[qt]])</f>
        <v>1.9498099546000862</v>
      </c>
      <c r="R2139" s="1">
        <v>2</v>
      </c>
    </row>
    <row r="2140" spans="1:18" hidden="1" x14ac:dyDescent="0.3">
      <c r="A2140" s="1">
        <v>2139</v>
      </c>
      <c r="B2140" s="1" t="s">
        <v>19</v>
      </c>
      <c r="C2140" s="1">
        <v>2</v>
      </c>
      <c r="D2140" s="1">
        <v>240</v>
      </c>
      <c r="E2140" s="1">
        <v>50</v>
      </c>
      <c r="F2140" s="1">
        <v>7</v>
      </c>
      <c r="G2140" s="1">
        <v>25</v>
      </c>
      <c r="H2140" s="1">
        <v>150</v>
      </c>
      <c r="I2140" s="1">
        <v>100</v>
      </c>
      <c r="J2140" s="1">
        <v>16.57</v>
      </c>
      <c r="K2140" s="1">
        <v>16.859000000000002</v>
      </c>
      <c r="L2140" s="1">
        <v>66.28</v>
      </c>
      <c r="M2140" s="1">
        <v>54.6</v>
      </c>
      <c r="N2140" s="1">
        <v>6.019E-2</v>
      </c>
      <c r="O2140" s="1">
        <v>3.5629999999999999E-4</v>
      </c>
      <c r="P21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9.7142062145979136</v>
      </c>
      <c r="Q2140" s="1">
        <f>LN(Table13[[#This Row],[qe_mg_g]]-Table13[[#This Row],[qt]])</f>
        <v>1.9250941028679358</v>
      </c>
      <c r="R2140" s="1">
        <v>3</v>
      </c>
    </row>
    <row r="2141" spans="1:18" hidden="1" x14ac:dyDescent="0.3">
      <c r="A2141" s="1">
        <v>2140</v>
      </c>
      <c r="B2141" s="1" t="s">
        <v>19</v>
      </c>
      <c r="C2141" s="1">
        <v>2</v>
      </c>
      <c r="D2141" s="1">
        <v>240</v>
      </c>
      <c r="E2141" s="1">
        <v>50</v>
      </c>
      <c r="F2141" s="1">
        <v>11</v>
      </c>
      <c r="G2141" s="1">
        <v>25</v>
      </c>
      <c r="H2141" s="1">
        <v>150</v>
      </c>
      <c r="I2141" s="1">
        <v>100</v>
      </c>
      <c r="J2141" s="1">
        <v>12.531000000000001</v>
      </c>
      <c r="K2141" s="1">
        <v>24.937999999999999</v>
      </c>
      <c r="L2141" s="1">
        <v>50.12</v>
      </c>
      <c r="M2141" s="1">
        <v>72.099999999999994</v>
      </c>
      <c r="N2141" s="1">
        <v>5.4480000000000001E-2</v>
      </c>
      <c r="O2141" s="1">
        <v>3.9070000000000001E-4</v>
      </c>
      <c r="P21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6.7696387233781952</v>
      </c>
      <c r="Q2141" s="1">
        <f>LN(Table13[[#This Row],[qe_mg_g]]-Table13[[#This Row],[qt]])</f>
        <v>1.7511737795324567</v>
      </c>
      <c r="R2141" s="1">
        <v>1</v>
      </c>
    </row>
    <row r="2142" spans="1:18" hidden="1" x14ac:dyDescent="0.3">
      <c r="A2142" s="1">
        <v>2141</v>
      </c>
      <c r="B2142" s="1" t="s">
        <v>19</v>
      </c>
      <c r="C2142" s="1">
        <v>2</v>
      </c>
      <c r="D2142" s="1">
        <v>240</v>
      </c>
      <c r="E2142" s="1">
        <v>50</v>
      </c>
      <c r="F2142" s="1">
        <v>11</v>
      </c>
      <c r="G2142" s="1">
        <v>25</v>
      </c>
      <c r="H2142" s="1">
        <v>150</v>
      </c>
      <c r="I2142" s="1">
        <v>100</v>
      </c>
      <c r="J2142" s="1">
        <v>12.487</v>
      </c>
      <c r="K2142" s="1">
        <v>25.026</v>
      </c>
      <c r="L2142" s="1">
        <v>49.95</v>
      </c>
      <c r="M2142" s="1">
        <v>60.4</v>
      </c>
      <c r="N2142" s="1">
        <v>6.0100000000000001E-2</v>
      </c>
      <c r="O2142" s="1">
        <v>3.5730000000000001E-4</v>
      </c>
      <c r="P21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6.4569202721373111</v>
      </c>
      <c r="Q2142" s="1">
        <f>LN(Table13[[#This Row],[qe_mg_g]]-Table13[[#This Row],[qt]])</f>
        <v>1.7967602325194618</v>
      </c>
      <c r="R2142" s="1">
        <v>2</v>
      </c>
    </row>
    <row r="2143" spans="1:18" hidden="1" x14ac:dyDescent="0.3">
      <c r="A2143" s="1">
        <v>2142</v>
      </c>
      <c r="B2143" s="1" t="s">
        <v>19</v>
      </c>
      <c r="C2143" s="1">
        <v>2</v>
      </c>
      <c r="D2143" s="1">
        <v>240</v>
      </c>
      <c r="E2143" s="1">
        <v>50</v>
      </c>
      <c r="F2143" s="1">
        <v>11</v>
      </c>
      <c r="G2143" s="1">
        <v>25</v>
      </c>
      <c r="H2143" s="1">
        <v>150</v>
      </c>
      <c r="I2143" s="1">
        <v>100</v>
      </c>
      <c r="J2143" s="1">
        <v>10.73</v>
      </c>
      <c r="K2143" s="1">
        <v>28.539000000000001</v>
      </c>
      <c r="L2143" s="1">
        <v>42.92</v>
      </c>
      <c r="M2143" s="1">
        <v>54.7</v>
      </c>
      <c r="N2143" s="1">
        <v>6.1769999999999999E-2</v>
      </c>
      <c r="O2143" s="1">
        <v>3.6850000000000001E-4</v>
      </c>
      <c r="P21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5.2245030203782408</v>
      </c>
      <c r="Q2143" s="1">
        <f>LN(Table13[[#This Row],[qe_mg_g]]-Table13[[#This Row],[qt]])</f>
        <v>1.7057470439602893</v>
      </c>
      <c r="R2143" s="1">
        <v>3</v>
      </c>
    </row>
    <row r="2144" spans="1:18" hidden="1" x14ac:dyDescent="0.3">
      <c r="A2144" s="1">
        <v>2143</v>
      </c>
      <c r="B2144" s="1" t="s">
        <v>19</v>
      </c>
      <c r="C2144" s="1">
        <v>2</v>
      </c>
      <c r="D2144" s="1">
        <v>240</v>
      </c>
      <c r="E2144" s="1">
        <v>100</v>
      </c>
      <c r="F2144" s="1">
        <v>3</v>
      </c>
      <c r="G2144" s="1">
        <v>25</v>
      </c>
      <c r="H2144" s="1">
        <v>150</v>
      </c>
      <c r="I2144" s="1">
        <v>100</v>
      </c>
      <c r="J2144" s="1">
        <v>27.687999999999999</v>
      </c>
      <c r="K2144" s="1">
        <v>44.625</v>
      </c>
      <c r="L2144" s="1">
        <v>55.38</v>
      </c>
      <c r="M2144" s="1">
        <v>40.5</v>
      </c>
      <c r="N2144" s="1">
        <v>5.1040000000000002E-2</v>
      </c>
      <c r="O2144" s="1">
        <v>3.6440000000000002E-4</v>
      </c>
      <c r="P21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19.595599630472144</v>
      </c>
      <c r="Q2144" s="1">
        <f>LN(Table13[[#This Row],[qe_mg_g]]-Table13[[#This Row],[qt]])</f>
        <v>2.0909253952846885</v>
      </c>
      <c r="R2144" s="1">
        <v>1</v>
      </c>
    </row>
    <row r="2145" spans="1:18" hidden="1" x14ac:dyDescent="0.3">
      <c r="A2145" s="1">
        <v>2144</v>
      </c>
      <c r="B2145" s="1" t="s">
        <v>19</v>
      </c>
      <c r="C2145" s="1">
        <v>2</v>
      </c>
      <c r="D2145" s="1">
        <v>240</v>
      </c>
      <c r="E2145" s="1">
        <v>100</v>
      </c>
      <c r="F2145" s="1">
        <v>3</v>
      </c>
      <c r="G2145" s="1">
        <v>25</v>
      </c>
      <c r="H2145" s="1">
        <v>150</v>
      </c>
      <c r="I2145" s="1">
        <v>100</v>
      </c>
      <c r="J2145" s="1">
        <v>27.620999999999999</v>
      </c>
      <c r="K2145" s="1">
        <v>44.758000000000003</v>
      </c>
      <c r="L2145" s="1">
        <v>55.24</v>
      </c>
      <c r="M2145" s="1">
        <v>64.5</v>
      </c>
      <c r="N2145" s="1">
        <v>5.4199999999999998E-2</v>
      </c>
      <c r="O2145" s="1">
        <v>3.6420000000000002E-4</v>
      </c>
      <c r="P21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19.531192606923685</v>
      </c>
      <c r="Q2145" s="1">
        <f>LN(Table13[[#This Row],[qe_mg_g]]-Table13[[#This Row],[qt]])</f>
        <v>2.0906049227618073</v>
      </c>
      <c r="R2145" s="1">
        <v>2</v>
      </c>
    </row>
    <row r="2146" spans="1:18" hidden="1" x14ac:dyDescent="0.3">
      <c r="A2146" s="1">
        <v>2145</v>
      </c>
      <c r="B2146" s="1" t="s">
        <v>19</v>
      </c>
      <c r="C2146" s="1">
        <v>2</v>
      </c>
      <c r="D2146" s="1">
        <v>240</v>
      </c>
      <c r="E2146" s="1">
        <v>100</v>
      </c>
      <c r="F2146" s="1">
        <v>3</v>
      </c>
      <c r="G2146" s="1">
        <v>25</v>
      </c>
      <c r="H2146" s="1">
        <v>150</v>
      </c>
      <c r="I2146" s="1">
        <v>100</v>
      </c>
      <c r="J2146" s="1">
        <v>26.881</v>
      </c>
      <c r="K2146" s="1">
        <v>46.238999999999997</v>
      </c>
      <c r="L2146" s="1">
        <v>53.76</v>
      </c>
      <c r="M2146" s="1">
        <v>46.5</v>
      </c>
      <c r="N2146" s="1">
        <v>4.2590000000000003E-2</v>
      </c>
      <c r="O2146" s="1">
        <v>3.6509999999999998E-4</v>
      </c>
      <c r="P21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18.869784104626135</v>
      </c>
      <c r="Q2146" s="1">
        <f>LN(Table13[[#This Row],[qe_mg_g]]-Table13[[#This Row],[qt]])</f>
        <v>2.0808425467355067</v>
      </c>
      <c r="R2146" s="1">
        <v>3</v>
      </c>
    </row>
    <row r="2147" spans="1:18" hidden="1" x14ac:dyDescent="0.3">
      <c r="A2147" s="1">
        <v>2146</v>
      </c>
      <c r="B2147" s="1" t="s">
        <v>19</v>
      </c>
      <c r="C2147" s="1">
        <v>2</v>
      </c>
      <c r="D2147" s="1">
        <v>240</v>
      </c>
      <c r="E2147" s="1">
        <v>100</v>
      </c>
      <c r="F2147" s="1">
        <v>7</v>
      </c>
      <c r="G2147" s="1">
        <v>25</v>
      </c>
      <c r="H2147" s="1">
        <v>150</v>
      </c>
      <c r="I2147" s="1">
        <v>100</v>
      </c>
      <c r="J2147" s="1">
        <v>38.576999999999998</v>
      </c>
      <c r="K2147" s="1">
        <v>22.846</v>
      </c>
      <c r="L2147" s="1">
        <v>77.150000000000006</v>
      </c>
      <c r="M2147" s="1">
        <v>49.5</v>
      </c>
      <c r="N2147" s="1">
        <v>4.6089999999999999E-2</v>
      </c>
      <c r="O2147" s="1">
        <v>3.7199999999999999E-4</v>
      </c>
      <c r="P21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29.89660883016634</v>
      </c>
      <c r="Q2147" s="1">
        <f>LN(Table13[[#This Row],[qe_mg_g]]-Table13[[#This Row],[qt]])</f>
        <v>2.1610665933058719</v>
      </c>
      <c r="R2147" s="1">
        <v>1</v>
      </c>
    </row>
    <row r="2148" spans="1:18" hidden="1" x14ac:dyDescent="0.3">
      <c r="A2148" s="1">
        <v>2147</v>
      </c>
      <c r="B2148" s="1" t="s">
        <v>19</v>
      </c>
      <c r="C2148" s="1">
        <v>2</v>
      </c>
      <c r="D2148" s="1">
        <v>240</v>
      </c>
      <c r="E2148" s="1">
        <v>100</v>
      </c>
      <c r="F2148" s="1">
        <v>7</v>
      </c>
      <c r="G2148" s="1">
        <v>25</v>
      </c>
      <c r="H2148" s="1">
        <v>150</v>
      </c>
      <c r="I2148" s="1">
        <v>100</v>
      </c>
      <c r="J2148" s="1">
        <v>37.404000000000003</v>
      </c>
      <c r="K2148" s="1">
        <v>25.193000000000001</v>
      </c>
      <c r="L2148" s="1">
        <v>74.81</v>
      </c>
      <c r="M2148" s="1">
        <v>59.1</v>
      </c>
      <c r="N2148" s="1">
        <v>6.5250000000000002E-2</v>
      </c>
      <c r="O2148" s="1">
        <v>2.7500000000000002E-4</v>
      </c>
      <c r="P21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26.620597514201435</v>
      </c>
      <c r="Q2148" s="1">
        <f>LN(Table13[[#This Row],[qe_mg_g]]-Table13[[#This Row],[qt]])</f>
        <v>2.3780081451607322</v>
      </c>
      <c r="R2148" s="1">
        <v>2</v>
      </c>
    </row>
    <row r="2149" spans="1:18" hidden="1" x14ac:dyDescent="0.3">
      <c r="A2149" s="1">
        <v>2148</v>
      </c>
      <c r="B2149" s="1" t="s">
        <v>19</v>
      </c>
      <c r="C2149" s="1">
        <v>2</v>
      </c>
      <c r="D2149" s="1">
        <v>240</v>
      </c>
      <c r="E2149" s="1">
        <v>100</v>
      </c>
      <c r="F2149" s="1">
        <v>7</v>
      </c>
      <c r="G2149" s="1">
        <v>25</v>
      </c>
      <c r="H2149" s="1">
        <v>150</v>
      </c>
      <c r="I2149" s="1">
        <v>100</v>
      </c>
      <c r="J2149" s="1">
        <v>36.247</v>
      </c>
      <c r="K2149" s="1">
        <v>27.507000000000001</v>
      </c>
      <c r="L2149" s="1">
        <v>72.489999999999995</v>
      </c>
      <c r="M2149" s="1">
        <v>52.8</v>
      </c>
      <c r="N2149" s="1">
        <v>6.3E-2</v>
      </c>
      <c r="O2149" s="1">
        <v>2.9270000000000001E-4</v>
      </c>
      <c r="P21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26.02586472457768</v>
      </c>
      <c r="Q2149" s="1">
        <f>LN(Table13[[#This Row],[qe_mg_g]]-Table13[[#This Row],[qt]])</f>
        <v>2.3244576623070352</v>
      </c>
      <c r="R2149" s="1">
        <v>3</v>
      </c>
    </row>
    <row r="2150" spans="1:18" hidden="1" x14ac:dyDescent="0.3">
      <c r="A2150" s="1">
        <v>2149</v>
      </c>
      <c r="B2150" s="1" t="s">
        <v>19</v>
      </c>
      <c r="C2150" s="1">
        <v>2</v>
      </c>
      <c r="D2150" s="1">
        <v>240</v>
      </c>
      <c r="E2150" s="1">
        <v>100</v>
      </c>
      <c r="F2150" s="1">
        <v>11</v>
      </c>
      <c r="G2150" s="1">
        <v>25</v>
      </c>
      <c r="H2150" s="1">
        <v>150</v>
      </c>
      <c r="I2150" s="1">
        <v>100</v>
      </c>
      <c r="J2150" s="1">
        <v>35.569000000000003</v>
      </c>
      <c r="K2150" s="1">
        <v>28.861000000000001</v>
      </c>
      <c r="L2150" s="1">
        <v>71.14</v>
      </c>
      <c r="M2150" s="1">
        <v>55.7</v>
      </c>
      <c r="N2150" s="1">
        <v>5.4469999999999998E-2</v>
      </c>
      <c r="O2150" s="1">
        <v>3.4309999999999999E-4</v>
      </c>
      <c r="P21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26.515815467650516</v>
      </c>
      <c r="Q2150" s="1">
        <f>LN(Table13[[#This Row],[qe_mg_g]]-Table13[[#This Row],[qt]])</f>
        <v>2.2031165778434412</v>
      </c>
      <c r="R2150" s="1">
        <v>1</v>
      </c>
    </row>
    <row r="2151" spans="1:18" hidden="1" x14ac:dyDescent="0.3">
      <c r="A2151" s="1">
        <v>2150</v>
      </c>
      <c r="B2151" s="1" t="s">
        <v>19</v>
      </c>
      <c r="C2151" s="1">
        <v>2</v>
      </c>
      <c r="D2151" s="1">
        <v>240</v>
      </c>
      <c r="E2151" s="1">
        <v>100</v>
      </c>
      <c r="F2151" s="1">
        <v>11</v>
      </c>
      <c r="G2151" s="1">
        <v>25</v>
      </c>
      <c r="H2151" s="1">
        <v>150</v>
      </c>
      <c r="I2151" s="1">
        <v>100</v>
      </c>
      <c r="J2151" s="1">
        <v>30.367999999999999</v>
      </c>
      <c r="K2151" s="1">
        <v>39.264000000000003</v>
      </c>
      <c r="L2151" s="1">
        <v>60.74</v>
      </c>
      <c r="M2151" s="1">
        <v>63.1</v>
      </c>
      <c r="N2151" s="1">
        <v>4.9119999999999997E-2</v>
      </c>
      <c r="O2151" s="1">
        <v>3.6210000000000002E-4</v>
      </c>
      <c r="P21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22.023081093618067</v>
      </c>
      <c r="Q2151" s="1">
        <f>LN(Table13[[#This Row],[qe_mg_g]]-Table13[[#This Row],[qt]])</f>
        <v>2.121652839437095</v>
      </c>
      <c r="R2151" s="1">
        <v>2</v>
      </c>
    </row>
    <row r="2152" spans="1:18" hidden="1" x14ac:dyDescent="0.3">
      <c r="A2152" s="1">
        <v>2151</v>
      </c>
      <c r="B2152" s="1" t="s">
        <v>19</v>
      </c>
      <c r="C2152" s="1">
        <v>2</v>
      </c>
      <c r="D2152" s="1">
        <v>240</v>
      </c>
      <c r="E2152" s="1">
        <v>100</v>
      </c>
      <c r="F2152" s="1">
        <v>11</v>
      </c>
      <c r="G2152" s="1">
        <v>25</v>
      </c>
      <c r="H2152" s="1">
        <v>150</v>
      </c>
      <c r="I2152" s="1">
        <v>100</v>
      </c>
      <c r="J2152" s="1">
        <v>30.481999999999999</v>
      </c>
      <c r="K2152" s="1">
        <v>39.036000000000001</v>
      </c>
      <c r="L2152" s="1">
        <v>60.96</v>
      </c>
      <c r="M2152" s="1">
        <v>48.3</v>
      </c>
      <c r="N2152" s="1">
        <v>6.9220000000000004E-2</v>
      </c>
      <c r="O2152" s="1">
        <v>3.6469999999999997E-4</v>
      </c>
      <c r="P21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22.171813742384838</v>
      </c>
      <c r="Q2152" s="1">
        <f>LN(Table13[[#This Row],[qe_mg_g]]-Table13[[#This Row],[qt]])</f>
        <v>2.1174820222882755</v>
      </c>
      <c r="R2152" s="1">
        <v>3</v>
      </c>
    </row>
    <row r="2153" spans="1:18" hidden="1" x14ac:dyDescent="0.3">
      <c r="A2153" s="1">
        <v>2152</v>
      </c>
      <c r="B2153" s="1" t="s">
        <v>19</v>
      </c>
      <c r="C2153" s="1">
        <v>2</v>
      </c>
      <c r="D2153" s="1">
        <v>240</v>
      </c>
      <c r="E2153" s="1">
        <v>200</v>
      </c>
      <c r="F2153" s="1">
        <v>3</v>
      </c>
      <c r="G2153" s="1">
        <v>25</v>
      </c>
      <c r="H2153" s="1">
        <v>150</v>
      </c>
      <c r="I2153" s="1">
        <v>100</v>
      </c>
      <c r="J2153" s="1">
        <v>63.567999999999998</v>
      </c>
      <c r="K2153" s="1">
        <v>72.864999999999995</v>
      </c>
      <c r="L2153" s="1">
        <v>63.57</v>
      </c>
      <c r="M2153" s="1">
        <v>63.9</v>
      </c>
      <c r="N2153" s="1">
        <v>4.718E-2</v>
      </c>
      <c r="O2153" s="1">
        <v>4.1130000000000002E-4</v>
      </c>
      <c r="P21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54.830039800689519</v>
      </c>
      <c r="Q2153" s="1">
        <f>LN(Table13[[#This Row],[qe_mg_g]]-Table13[[#This Row],[qt]])</f>
        <v>2.1676767756219237</v>
      </c>
      <c r="R2153" s="1">
        <v>1</v>
      </c>
    </row>
    <row r="2154" spans="1:18" hidden="1" x14ac:dyDescent="0.3">
      <c r="A2154" s="1">
        <v>2153</v>
      </c>
      <c r="B2154" s="1" t="s">
        <v>19</v>
      </c>
      <c r="C2154" s="1">
        <v>2</v>
      </c>
      <c r="D2154" s="1">
        <v>240</v>
      </c>
      <c r="E2154" s="1">
        <v>200</v>
      </c>
      <c r="F2154" s="1">
        <v>3</v>
      </c>
      <c r="G2154" s="1">
        <v>25</v>
      </c>
      <c r="H2154" s="1">
        <v>150</v>
      </c>
      <c r="I2154" s="1">
        <v>100</v>
      </c>
      <c r="J2154" s="1">
        <v>50.246000000000002</v>
      </c>
      <c r="K2154" s="1">
        <v>99.507000000000005</v>
      </c>
      <c r="L2154" s="1">
        <v>50.25</v>
      </c>
      <c r="M2154" s="1">
        <v>48.3</v>
      </c>
      <c r="N2154" s="1">
        <v>5.2479999999999999E-2</v>
      </c>
      <c r="O2154" s="1">
        <v>3.704E-4</v>
      </c>
      <c r="P21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41.054661477813703</v>
      </c>
      <c r="Q2154" s="1">
        <f>LN(Table13[[#This Row],[qe_mg_g]]-Table13[[#This Row],[qt]])</f>
        <v>2.2182615756187363</v>
      </c>
      <c r="R2154" s="1">
        <v>2</v>
      </c>
    </row>
    <row r="2155" spans="1:18" hidden="1" x14ac:dyDescent="0.3">
      <c r="A2155" s="1">
        <v>2154</v>
      </c>
      <c r="B2155" s="1" t="s">
        <v>19</v>
      </c>
      <c r="C2155" s="1">
        <v>2</v>
      </c>
      <c r="D2155" s="1">
        <v>240</v>
      </c>
      <c r="E2155" s="1">
        <v>200</v>
      </c>
      <c r="F2155" s="1">
        <v>3</v>
      </c>
      <c r="G2155" s="1">
        <v>25</v>
      </c>
      <c r="H2155" s="1">
        <v>150</v>
      </c>
      <c r="I2155" s="1">
        <v>100</v>
      </c>
      <c r="J2155" s="1">
        <v>61.884</v>
      </c>
      <c r="K2155" s="1">
        <v>76.230999999999995</v>
      </c>
      <c r="L2155" s="1">
        <v>61.88</v>
      </c>
      <c r="M2155" s="1">
        <v>53.2</v>
      </c>
      <c r="N2155" s="1">
        <v>5.493E-2</v>
      </c>
      <c r="O2155" s="1">
        <v>3.1579999999999998E-4</v>
      </c>
      <c r="P21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51.00867390048942</v>
      </c>
      <c r="Q2155" s="1">
        <f>LN(Table13[[#This Row],[qe_mg_g]]-Table13[[#This Row],[qt]])</f>
        <v>2.3864965626870642</v>
      </c>
      <c r="R2155" s="1">
        <v>3</v>
      </c>
    </row>
    <row r="2156" spans="1:18" hidden="1" x14ac:dyDescent="0.3">
      <c r="A2156" s="1">
        <v>2155</v>
      </c>
      <c r="B2156" s="1" t="s">
        <v>19</v>
      </c>
      <c r="C2156" s="1">
        <v>2</v>
      </c>
      <c r="D2156" s="1">
        <v>240</v>
      </c>
      <c r="E2156" s="1">
        <v>200</v>
      </c>
      <c r="F2156" s="1">
        <v>7</v>
      </c>
      <c r="G2156" s="1">
        <v>25</v>
      </c>
      <c r="H2156" s="1">
        <v>150</v>
      </c>
      <c r="I2156" s="1">
        <v>100</v>
      </c>
      <c r="J2156" s="1">
        <v>75.358999999999995</v>
      </c>
      <c r="K2156" s="1">
        <v>49.281999999999996</v>
      </c>
      <c r="L2156" s="1">
        <v>75.36</v>
      </c>
      <c r="M2156" s="1">
        <v>60.5</v>
      </c>
      <c r="N2156" s="1">
        <v>5.8819999999999997E-2</v>
      </c>
      <c r="O2156" s="1">
        <v>4.0549999999999999E-4</v>
      </c>
      <c r="P21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66.316575988075385</v>
      </c>
      <c r="Q2156" s="1">
        <f>LN(Table13[[#This Row],[qe_mg_g]]-Table13[[#This Row],[qt]])</f>
        <v>2.2019272813722139</v>
      </c>
      <c r="R2156" s="1">
        <v>1</v>
      </c>
    </row>
    <row r="2157" spans="1:18" hidden="1" x14ac:dyDescent="0.3">
      <c r="A2157" s="1">
        <v>2156</v>
      </c>
      <c r="B2157" s="1" t="s">
        <v>19</v>
      </c>
      <c r="C2157" s="1">
        <v>2</v>
      </c>
      <c r="D2157" s="1">
        <v>240</v>
      </c>
      <c r="E2157" s="1">
        <v>200</v>
      </c>
      <c r="F2157" s="1">
        <v>7</v>
      </c>
      <c r="G2157" s="1">
        <v>25</v>
      </c>
      <c r="H2157" s="1">
        <v>150</v>
      </c>
      <c r="I2157" s="1">
        <v>100</v>
      </c>
      <c r="J2157" s="1">
        <v>79.527000000000001</v>
      </c>
      <c r="K2157" s="1">
        <v>40.947000000000003</v>
      </c>
      <c r="L2157" s="1">
        <v>79.53</v>
      </c>
      <c r="M2157" s="1">
        <v>60.2</v>
      </c>
      <c r="N2157" s="1">
        <v>5.3440000000000001E-2</v>
      </c>
      <c r="O2157" s="1">
        <v>3.9169999999999998E-4</v>
      </c>
      <c r="P21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70.144583124957322</v>
      </c>
      <c r="Q2157" s="1">
        <f>LN(Table13[[#This Row],[qe_mg_g]]-Table13[[#This Row],[qt]])</f>
        <v>2.238837392413338</v>
      </c>
      <c r="R2157" s="1">
        <v>2</v>
      </c>
    </row>
    <row r="2158" spans="1:18" hidden="1" x14ac:dyDescent="0.3">
      <c r="A2158" s="1">
        <v>2157</v>
      </c>
      <c r="B2158" s="1" t="s">
        <v>19</v>
      </c>
      <c r="C2158" s="1">
        <v>2</v>
      </c>
      <c r="D2158" s="1">
        <v>240</v>
      </c>
      <c r="E2158" s="1">
        <v>200</v>
      </c>
      <c r="F2158" s="1">
        <v>7</v>
      </c>
      <c r="G2158" s="1">
        <v>25</v>
      </c>
      <c r="H2158" s="1">
        <v>150</v>
      </c>
      <c r="I2158" s="1">
        <v>100</v>
      </c>
      <c r="J2158" s="1">
        <v>90.203999999999994</v>
      </c>
      <c r="K2158" s="1">
        <v>19.591999999999999</v>
      </c>
      <c r="L2158" s="1">
        <v>90.2</v>
      </c>
      <c r="M2158" s="1">
        <v>56.3</v>
      </c>
      <c r="N2158" s="1">
        <v>5.3129999999999997E-2</v>
      </c>
      <c r="O2158" s="1">
        <v>3.836E-4</v>
      </c>
      <c r="P21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80.509378905085029</v>
      </c>
      <c r="Q2158" s="1">
        <f>LN(Table13[[#This Row],[qe_mg_g]]-Table13[[#This Row],[qt]])</f>
        <v>2.271571205405341</v>
      </c>
      <c r="R2158" s="1">
        <v>3</v>
      </c>
    </row>
    <row r="2159" spans="1:18" hidden="1" x14ac:dyDescent="0.3">
      <c r="A2159" s="1">
        <v>2158</v>
      </c>
      <c r="B2159" s="1" t="s">
        <v>19</v>
      </c>
      <c r="C2159" s="1">
        <v>2</v>
      </c>
      <c r="D2159" s="1">
        <v>240</v>
      </c>
      <c r="E2159" s="1">
        <v>200</v>
      </c>
      <c r="F2159" s="1">
        <v>11</v>
      </c>
      <c r="G2159" s="1">
        <v>25</v>
      </c>
      <c r="H2159" s="1">
        <v>150</v>
      </c>
      <c r="I2159" s="1">
        <v>100</v>
      </c>
      <c r="J2159" s="1">
        <v>73.402000000000001</v>
      </c>
      <c r="K2159" s="1">
        <v>53.197000000000003</v>
      </c>
      <c r="L2159" s="1">
        <v>73.400000000000006</v>
      </c>
      <c r="M2159" s="1">
        <v>48.9</v>
      </c>
      <c r="N2159" s="1">
        <v>4.7699999999999999E-2</v>
      </c>
      <c r="O2159" s="1">
        <v>3.3990000000000002E-4</v>
      </c>
      <c r="P21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62.897754954691059</v>
      </c>
      <c r="Q2159" s="1">
        <f>LN(Table13[[#This Row],[qe_mg_g]]-Table13[[#This Row],[qt]])</f>
        <v>2.3517794654897073</v>
      </c>
      <c r="R2159" s="1">
        <v>1</v>
      </c>
    </row>
    <row r="2160" spans="1:18" hidden="1" x14ac:dyDescent="0.3">
      <c r="A2160" s="1">
        <v>2159</v>
      </c>
      <c r="B2160" s="1" t="s">
        <v>19</v>
      </c>
      <c r="C2160" s="1">
        <v>2</v>
      </c>
      <c r="D2160" s="1">
        <v>240</v>
      </c>
      <c r="E2160" s="1">
        <v>200</v>
      </c>
      <c r="F2160" s="1">
        <v>11</v>
      </c>
      <c r="G2160" s="1">
        <v>25</v>
      </c>
      <c r="H2160" s="1">
        <v>150</v>
      </c>
      <c r="I2160" s="1">
        <v>100</v>
      </c>
      <c r="J2160" s="1">
        <v>77.671000000000006</v>
      </c>
      <c r="K2160" s="1">
        <v>44.658000000000001</v>
      </c>
      <c r="L2160" s="1">
        <v>77.67</v>
      </c>
      <c r="M2160" s="1">
        <v>63.9</v>
      </c>
      <c r="N2160" s="1">
        <v>4.888E-2</v>
      </c>
      <c r="O2160" s="1">
        <v>3.0909999999999998E-4</v>
      </c>
      <c r="P21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66.18451280285926</v>
      </c>
      <c r="Q2160" s="1">
        <f>LN(Table13[[#This Row],[qe_mg_g]]-Table13[[#This Row],[qt]])</f>
        <v>2.4411713181489141</v>
      </c>
      <c r="R2160" s="1">
        <v>2</v>
      </c>
    </row>
    <row r="2161" spans="1:18" hidden="1" x14ac:dyDescent="0.3">
      <c r="A2161" s="1">
        <v>2160</v>
      </c>
      <c r="B2161" s="1" t="s">
        <v>19</v>
      </c>
      <c r="C2161" s="1">
        <v>2</v>
      </c>
      <c r="D2161" s="1">
        <v>240</v>
      </c>
      <c r="E2161" s="1">
        <v>200</v>
      </c>
      <c r="F2161" s="1">
        <v>11</v>
      </c>
      <c r="G2161" s="1">
        <v>25</v>
      </c>
      <c r="H2161" s="1">
        <v>150</v>
      </c>
      <c r="I2161" s="1">
        <v>100</v>
      </c>
      <c r="J2161" s="1">
        <v>76.486999999999995</v>
      </c>
      <c r="K2161" s="1">
        <v>47.024999999999999</v>
      </c>
      <c r="L2161" s="1">
        <v>76.489999999999995</v>
      </c>
      <c r="M2161" s="1">
        <v>45.3</v>
      </c>
      <c r="N2161" s="1">
        <v>5.7799999999999997E-2</v>
      </c>
      <c r="O2161" s="1">
        <v>3.2840000000000001E-4</v>
      </c>
      <c r="P21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65.604436882277838</v>
      </c>
      <c r="Q2161" s="1">
        <f>LN(Table13[[#This Row],[qe_mg_g]]-Table13[[#This Row],[qt]])</f>
        <v>2.3871617943560195</v>
      </c>
      <c r="R2161" s="1">
        <v>3</v>
      </c>
    </row>
    <row r="2162" spans="1:18" hidden="1" x14ac:dyDescent="0.3">
      <c r="A2162" s="1">
        <v>2161</v>
      </c>
      <c r="B2162" s="1" t="s">
        <v>19</v>
      </c>
      <c r="C2162" s="1">
        <v>4</v>
      </c>
      <c r="D2162" s="1">
        <v>30</v>
      </c>
      <c r="E2162" s="1">
        <v>25</v>
      </c>
      <c r="F2162" s="1">
        <v>3</v>
      </c>
      <c r="G2162" s="1">
        <v>25</v>
      </c>
      <c r="H2162" s="1">
        <v>150</v>
      </c>
      <c r="I2162" s="1">
        <v>100</v>
      </c>
      <c r="J2162" s="1">
        <v>0.217</v>
      </c>
      <c r="K2162" s="1">
        <v>24.131</v>
      </c>
      <c r="L2162" s="1">
        <v>3.48</v>
      </c>
      <c r="M2162" s="1">
        <v>48.2</v>
      </c>
      <c r="N2162" s="1">
        <v>6.1289999999999997E-2</v>
      </c>
      <c r="O2162" s="1">
        <v>3.5649999999999999E-4</v>
      </c>
      <c r="P21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5.0245075974003389E-4</v>
      </c>
      <c r="Q2162" s="1">
        <f>LN(Table13[[#This Row],[qe_mg_g]]-Table13[[#This Row],[qt]])</f>
        <v>-1.5301760515100837</v>
      </c>
      <c r="R2162" s="1">
        <v>1</v>
      </c>
    </row>
    <row r="2163" spans="1:18" hidden="1" x14ac:dyDescent="0.3">
      <c r="A2163" s="1">
        <v>2162</v>
      </c>
      <c r="B2163" s="1" t="s">
        <v>19</v>
      </c>
      <c r="C2163" s="1">
        <v>4</v>
      </c>
      <c r="D2163" s="1">
        <v>30</v>
      </c>
      <c r="E2163" s="1">
        <v>25</v>
      </c>
      <c r="F2163" s="1">
        <v>3</v>
      </c>
      <c r="G2163" s="1">
        <v>25</v>
      </c>
      <c r="H2163" s="1">
        <v>150</v>
      </c>
      <c r="I2163" s="1">
        <v>100</v>
      </c>
      <c r="J2163" s="1">
        <v>0.19900000000000001</v>
      </c>
      <c r="K2163" s="1">
        <v>24.206</v>
      </c>
      <c r="L2163" s="1">
        <v>3.18</v>
      </c>
      <c r="M2163" s="1">
        <v>38.4</v>
      </c>
      <c r="N2163" s="1">
        <v>4.2880000000000001E-2</v>
      </c>
      <c r="O2163" s="1">
        <v>3.4230000000000003E-4</v>
      </c>
      <c r="P21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4.0583333599705665E-4</v>
      </c>
      <c r="Q2163" s="1">
        <f>LN(Table13[[#This Row],[qe_mg_g]]-Table13[[#This Row],[qt]])</f>
        <v>-1.6164919000884259</v>
      </c>
      <c r="R2163" s="1">
        <v>2</v>
      </c>
    </row>
    <row r="2164" spans="1:18" hidden="1" x14ac:dyDescent="0.3">
      <c r="A2164" s="1">
        <v>2163</v>
      </c>
      <c r="B2164" s="1" t="s">
        <v>19</v>
      </c>
      <c r="C2164" s="1">
        <v>4</v>
      </c>
      <c r="D2164" s="1">
        <v>30</v>
      </c>
      <c r="E2164" s="1">
        <v>25</v>
      </c>
      <c r="F2164" s="1">
        <v>3</v>
      </c>
      <c r="G2164" s="1">
        <v>25</v>
      </c>
      <c r="H2164" s="1">
        <v>150</v>
      </c>
      <c r="I2164" s="1">
        <v>100</v>
      </c>
      <c r="J2164" s="1">
        <v>0.19900000000000001</v>
      </c>
      <c r="K2164" s="1">
        <v>24.206</v>
      </c>
      <c r="L2164" s="1">
        <v>3.18</v>
      </c>
      <c r="M2164" s="1">
        <v>45.3</v>
      </c>
      <c r="N2164" s="1">
        <v>4.9009999999999998E-2</v>
      </c>
      <c r="O2164" s="1">
        <v>3.6969999999999999E-4</v>
      </c>
      <c r="P21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4.3824743115048094E-4</v>
      </c>
      <c r="Q2164" s="1">
        <f>LN(Table13[[#This Row],[qe_mg_g]]-Table13[[#This Row],[qt]])</f>
        <v>-1.6166551311705057</v>
      </c>
      <c r="R2164" s="1">
        <v>3</v>
      </c>
    </row>
    <row r="2165" spans="1:18" hidden="1" x14ac:dyDescent="0.3">
      <c r="A2165" s="1">
        <v>2164</v>
      </c>
      <c r="B2165" s="1" t="s">
        <v>19</v>
      </c>
      <c r="C2165" s="1">
        <v>4</v>
      </c>
      <c r="D2165" s="1">
        <v>30</v>
      </c>
      <c r="E2165" s="1">
        <v>25</v>
      </c>
      <c r="F2165" s="1">
        <v>7</v>
      </c>
      <c r="G2165" s="1">
        <v>25</v>
      </c>
      <c r="H2165" s="1">
        <v>150</v>
      </c>
      <c r="I2165" s="1">
        <v>100</v>
      </c>
      <c r="J2165" s="1">
        <v>0.35499999999999998</v>
      </c>
      <c r="K2165" s="1">
        <v>23.58</v>
      </c>
      <c r="L2165" s="1">
        <v>5.68</v>
      </c>
      <c r="M2165" s="1">
        <v>53.4</v>
      </c>
      <c r="N2165" s="1">
        <v>5.9290000000000002E-2</v>
      </c>
      <c r="O2165" s="1">
        <v>3.0889999999999997E-4</v>
      </c>
      <c r="P21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1.1640442197864099E-3</v>
      </c>
      <c r="Q2165" s="1">
        <f>LN(Table13[[#This Row],[qe_mg_g]]-Table13[[#This Row],[qt]])</f>
        <v>-1.038921875002945</v>
      </c>
      <c r="R2165" s="1">
        <v>1</v>
      </c>
    </row>
    <row r="2166" spans="1:18" hidden="1" x14ac:dyDescent="0.3">
      <c r="A2166" s="1">
        <v>2165</v>
      </c>
      <c r="B2166" s="1" t="s">
        <v>19</v>
      </c>
      <c r="C2166" s="1">
        <v>4</v>
      </c>
      <c r="D2166" s="1">
        <v>30</v>
      </c>
      <c r="E2166" s="1">
        <v>25</v>
      </c>
      <c r="F2166" s="1">
        <v>7</v>
      </c>
      <c r="G2166" s="1">
        <v>25</v>
      </c>
      <c r="H2166" s="1">
        <v>150</v>
      </c>
      <c r="I2166" s="1">
        <v>100</v>
      </c>
      <c r="J2166" s="1">
        <v>0.33300000000000002</v>
      </c>
      <c r="K2166" s="1">
        <v>23.667000000000002</v>
      </c>
      <c r="L2166" s="1">
        <v>5.33</v>
      </c>
      <c r="M2166" s="1">
        <v>68</v>
      </c>
      <c r="N2166" s="1">
        <v>5.5379999999999999E-2</v>
      </c>
      <c r="O2166" s="1">
        <v>3.5439999999999999E-4</v>
      </c>
      <c r="P21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1.1748124761200459E-3</v>
      </c>
      <c r="Q2166" s="1">
        <f>LN(Table13[[#This Row],[qe_mg_g]]-Table13[[#This Row],[qt]])</f>
        <v>-1.1031469923411827</v>
      </c>
      <c r="R2166" s="1">
        <v>2</v>
      </c>
    </row>
    <row r="2167" spans="1:18" hidden="1" x14ac:dyDescent="0.3">
      <c r="A2167" s="1">
        <v>2166</v>
      </c>
      <c r="B2167" s="1" t="s">
        <v>19</v>
      </c>
      <c r="C2167" s="1">
        <v>4</v>
      </c>
      <c r="D2167" s="1">
        <v>30</v>
      </c>
      <c r="E2167" s="1">
        <v>25</v>
      </c>
      <c r="F2167" s="1">
        <v>7</v>
      </c>
      <c r="G2167" s="1">
        <v>25</v>
      </c>
      <c r="H2167" s="1">
        <v>150</v>
      </c>
      <c r="I2167" s="1">
        <v>100</v>
      </c>
      <c r="J2167" s="1">
        <v>0.39700000000000002</v>
      </c>
      <c r="K2167" s="1">
        <v>23.413</v>
      </c>
      <c r="L2167" s="1">
        <v>6.35</v>
      </c>
      <c r="M2167" s="1">
        <v>43.1</v>
      </c>
      <c r="N2167" s="1">
        <v>5.9380000000000002E-2</v>
      </c>
      <c r="O2167" s="1">
        <v>4.082E-4</v>
      </c>
      <c r="P21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1.9207418164989168E-3</v>
      </c>
      <c r="Q2167" s="1">
        <f>LN(Table13[[#This Row],[qe_mg_g]]-Table13[[#This Row],[qt]])</f>
        <v>-0.92866888058014541</v>
      </c>
      <c r="R2167" s="1">
        <v>3</v>
      </c>
    </row>
    <row r="2168" spans="1:18" hidden="1" x14ac:dyDescent="0.3">
      <c r="A2168" s="1">
        <v>2167</v>
      </c>
      <c r="B2168" s="1" t="s">
        <v>19</v>
      </c>
      <c r="C2168" s="1">
        <v>4</v>
      </c>
      <c r="D2168" s="1">
        <v>30</v>
      </c>
      <c r="E2168" s="1">
        <v>25</v>
      </c>
      <c r="F2168" s="1">
        <v>11</v>
      </c>
      <c r="G2168" s="1">
        <v>25</v>
      </c>
      <c r="H2168" s="1">
        <v>150</v>
      </c>
      <c r="I2168" s="1">
        <v>100</v>
      </c>
      <c r="J2168" s="1">
        <v>0.24299999999999999</v>
      </c>
      <c r="K2168" s="1">
        <v>24.026</v>
      </c>
      <c r="L2168" s="1">
        <v>3.9</v>
      </c>
      <c r="M2168" s="1">
        <v>61.6</v>
      </c>
      <c r="N2168" s="1">
        <v>4.9599999999999998E-2</v>
      </c>
      <c r="O2168" s="1">
        <v>3.2600000000000001E-4</v>
      </c>
      <c r="P21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5.7613002395287506E-4</v>
      </c>
      <c r="Q2168" s="1">
        <f>LN(Table13[[#This Row],[qe_mg_g]]-Table13[[#This Row],[qt]])</f>
        <v>-1.4170675561366302</v>
      </c>
      <c r="R2168" s="1">
        <v>1</v>
      </c>
    </row>
    <row r="2169" spans="1:18" hidden="1" x14ac:dyDescent="0.3">
      <c r="A2169" s="1">
        <v>2168</v>
      </c>
      <c r="B2169" s="1" t="s">
        <v>19</v>
      </c>
      <c r="C2169" s="1">
        <v>4</v>
      </c>
      <c r="D2169" s="1">
        <v>30</v>
      </c>
      <c r="E2169" s="1">
        <v>25</v>
      </c>
      <c r="F2169" s="1">
        <v>11</v>
      </c>
      <c r="G2169" s="1">
        <v>25</v>
      </c>
      <c r="H2169" s="1">
        <v>150</v>
      </c>
      <c r="I2169" s="1">
        <v>100</v>
      </c>
      <c r="J2169" s="1">
        <v>0.25600000000000001</v>
      </c>
      <c r="K2169" s="1">
        <v>23.977</v>
      </c>
      <c r="L2169" s="1">
        <v>4.09</v>
      </c>
      <c r="M2169" s="1">
        <v>61.1</v>
      </c>
      <c r="N2169" s="1">
        <v>6.1170000000000002E-2</v>
      </c>
      <c r="O2169" s="1">
        <v>4.0489999999999998E-4</v>
      </c>
      <c r="P21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7.9359799428184539E-4</v>
      </c>
      <c r="Q2169" s="1">
        <f>LN(Table13[[#This Row],[qe_mg_g]]-Table13[[#This Row],[qt]])</f>
        <v>-1.3656826415968533</v>
      </c>
      <c r="R2169" s="1">
        <v>2</v>
      </c>
    </row>
    <row r="2170" spans="1:18" hidden="1" x14ac:dyDescent="0.3">
      <c r="A2170" s="1">
        <v>2169</v>
      </c>
      <c r="B2170" s="1" t="s">
        <v>19</v>
      </c>
      <c r="C2170" s="1">
        <v>4</v>
      </c>
      <c r="D2170" s="1">
        <v>30</v>
      </c>
      <c r="E2170" s="1">
        <v>25</v>
      </c>
      <c r="F2170" s="1">
        <v>11</v>
      </c>
      <c r="G2170" s="1">
        <v>25</v>
      </c>
      <c r="H2170" s="1">
        <v>150</v>
      </c>
      <c r="I2170" s="1">
        <v>100</v>
      </c>
      <c r="J2170" s="1">
        <v>0.248</v>
      </c>
      <c r="K2170" s="1">
        <v>24.007999999999999</v>
      </c>
      <c r="L2170" s="1">
        <v>3.97</v>
      </c>
      <c r="M2170" s="1">
        <v>64.3</v>
      </c>
      <c r="N2170" s="1">
        <v>5.3120000000000001E-2</v>
      </c>
      <c r="O2170" s="1">
        <v>3.8160000000000001E-4</v>
      </c>
      <c r="P21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7.0210444446330638E-4</v>
      </c>
      <c r="Q2170" s="1">
        <f>LN(Table13[[#This Row],[qe_mg_g]]-Table13[[#This Row],[qt]])</f>
        <v>-1.3971616141733976</v>
      </c>
      <c r="R2170" s="1">
        <v>3</v>
      </c>
    </row>
    <row r="2171" spans="1:18" hidden="1" x14ac:dyDescent="0.3">
      <c r="A2171" s="1">
        <v>2170</v>
      </c>
      <c r="B2171" s="1" t="s">
        <v>19</v>
      </c>
      <c r="C2171" s="1">
        <v>4</v>
      </c>
      <c r="D2171" s="1">
        <v>30</v>
      </c>
      <c r="E2171" s="1">
        <v>50</v>
      </c>
      <c r="F2171" s="1">
        <v>3</v>
      </c>
      <c r="G2171" s="1">
        <v>25</v>
      </c>
      <c r="H2171" s="1">
        <v>150</v>
      </c>
      <c r="I2171" s="1">
        <v>100</v>
      </c>
      <c r="J2171" s="1">
        <v>0.75700000000000001</v>
      </c>
      <c r="K2171" s="1">
        <v>46.973999999999997</v>
      </c>
      <c r="L2171" s="1">
        <v>6.05</v>
      </c>
      <c r="M2171" s="1">
        <v>58.2</v>
      </c>
      <c r="N2171" s="1">
        <v>5.7329999999999999E-2</v>
      </c>
      <c r="O2171" s="1">
        <v>2.9379999999999999E-4</v>
      </c>
      <c r="P21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5.0173769535254414E-3</v>
      </c>
      <c r="Q2171" s="1">
        <f>LN(Table13[[#This Row],[qe_mg_g]]-Table13[[#This Row],[qt]])</f>
        <v>-0.28504206295024781</v>
      </c>
      <c r="R2171" s="1">
        <v>1</v>
      </c>
    </row>
    <row r="2172" spans="1:18" hidden="1" x14ac:dyDescent="0.3">
      <c r="A2172" s="1">
        <v>2171</v>
      </c>
      <c r="B2172" s="1" t="s">
        <v>19</v>
      </c>
      <c r="C2172" s="1">
        <v>4</v>
      </c>
      <c r="D2172" s="1">
        <v>30</v>
      </c>
      <c r="E2172" s="1">
        <v>50</v>
      </c>
      <c r="F2172" s="1">
        <v>3</v>
      </c>
      <c r="G2172" s="1">
        <v>25</v>
      </c>
      <c r="H2172" s="1">
        <v>150</v>
      </c>
      <c r="I2172" s="1">
        <v>100</v>
      </c>
      <c r="J2172" s="1">
        <v>0.68700000000000006</v>
      </c>
      <c r="K2172" s="1">
        <v>47.252000000000002</v>
      </c>
      <c r="L2172" s="1">
        <v>5.5</v>
      </c>
      <c r="M2172" s="1">
        <v>55.4</v>
      </c>
      <c r="N2172" s="1">
        <v>4.5719999999999997E-2</v>
      </c>
      <c r="O2172" s="1">
        <v>3.791E-4</v>
      </c>
      <c r="P21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5.3260893639510212E-3</v>
      </c>
      <c r="Q2172" s="1">
        <f>LN(Table13[[#This Row],[qe_mg_g]]-Table13[[#This Row],[qt]])</f>
        <v>-0.38320387237985959</v>
      </c>
      <c r="R2172" s="1">
        <v>2</v>
      </c>
    </row>
    <row r="2173" spans="1:18" hidden="1" x14ac:dyDescent="0.3">
      <c r="A2173" s="1">
        <v>2172</v>
      </c>
      <c r="B2173" s="1" t="s">
        <v>19</v>
      </c>
      <c r="C2173" s="1">
        <v>4</v>
      </c>
      <c r="D2173" s="1">
        <v>30</v>
      </c>
      <c r="E2173" s="1">
        <v>50</v>
      </c>
      <c r="F2173" s="1">
        <v>3</v>
      </c>
      <c r="G2173" s="1">
        <v>25</v>
      </c>
      <c r="H2173" s="1">
        <v>150</v>
      </c>
      <c r="I2173" s="1">
        <v>100</v>
      </c>
      <c r="J2173" s="1">
        <v>0.79100000000000004</v>
      </c>
      <c r="K2173" s="1">
        <v>46.835000000000001</v>
      </c>
      <c r="L2173" s="1">
        <v>6.33</v>
      </c>
      <c r="M2173" s="1">
        <v>57.2</v>
      </c>
      <c r="N2173" s="1">
        <v>4.8829999999999998E-2</v>
      </c>
      <c r="O2173" s="1">
        <v>3.9829999999999998E-4</v>
      </c>
      <c r="P21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7.406260817289915E-3</v>
      </c>
      <c r="Q2173" s="1">
        <f>LN(Table13[[#This Row],[qe_mg_g]]-Table13[[#This Row],[qt]])</f>
        <v>-0.24386458275644429</v>
      </c>
      <c r="R2173" s="1">
        <v>3</v>
      </c>
    </row>
    <row r="2174" spans="1:18" hidden="1" x14ac:dyDescent="0.3">
      <c r="A2174" s="1">
        <v>2173</v>
      </c>
      <c r="B2174" s="1" t="s">
        <v>19</v>
      </c>
      <c r="C2174" s="1">
        <v>4</v>
      </c>
      <c r="D2174" s="1">
        <v>30</v>
      </c>
      <c r="E2174" s="1">
        <v>50</v>
      </c>
      <c r="F2174" s="1">
        <v>7</v>
      </c>
      <c r="G2174" s="1">
        <v>25</v>
      </c>
      <c r="H2174" s="1">
        <v>150</v>
      </c>
      <c r="I2174" s="1">
        <v>100</v>
      </c>
      <c r="J2174" s="1">
        <v>1.4710000000000001</v>
      </c>
      <c r="K2174" s="1">
        <v>44.116</v>
      </c>
      <c r="L2174" s="1">
        <v>11.77</v>
      </c>
      <c r="M2174" s="1">
        <v>55.7</v>
      </c>
      <c r="N2174" s="1">
        <v>5.781E-2</v>
      </c>
      <c r="O2174" s="1">
        <v>3.5710000000000001E-4</v>
      </c>
      <c r="P21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2.2821587278499082E-2</v>
      </c>
      <c r="Q2174" s="1">
        <f>LN(Table13[[#This Row],[qe_mg_g]]-Table13[[#This Row],[qt]])</f>
        <v>0.37030649957885753</v>
      </c>
      <c r="R2174" s="1">
        <v>1</v>
      </c>
    </row>
    <row r="2175" spans="1:18" hidden="1" x14ac:dyDescent="0.3">
      <c r="A2175" s="1">
        <v>2174</v>
      </c>
      <c r="B2175" s="1" t="s">
        <v>19</v>
      </c>
      <c r="C2175" s="1">
        <v>4</v>
      </c>
      <c r="D2175" s="1">
        <v>30</v>
      </c>
      <c r="E2175" s="1">
        <v>50</v>
      </c>
      <c r="F2175" s="1">
        <v>7</v>
      </c>
      <c r="G2175" s="1">
        <v>25</v>
      </c>
      <c r="H2175" s="1">
        <v>150</v>
      </c>
      <c r="I2175" s="1">
        <v>100</v>
      </c>
      <c r="J2175" s="1">
        <v>1.335</v>
      </c>
      <c r="K2175" s="1">
        <v>44.658999999999999</v>
      </c>
      <c r="L2175" s="1">
        <v>10.68</v>
      </c>
      <c r="M2175" s="1">
        <v>53.6</v>
      </c>
      <c r="N2175" s="1">
        <v>5.4809999999999998E-2</v>
      </c>
      <c r="O2175" s="1">
        <v>3.8170000000000001E-4</v>
      </c>
      <c r="P21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2.0100973189272866E-2</v>
      </c>
      <c r="Q2175" s="1">
        <f>LN(Table13[[#This Row],[qe_mg_g]]-Table13[[#This Row],[qt]])</f>
        <v>0.27375987698629084</v>
      </c>
      <c r="R2175" s="1">
        <v>2</v>
      </c>
    </row>
    <row r="2176" spans="1:18" hidden="1" x14ac:dyDescent="0.3">
      <c r="A2176" s="1">
        <v>2175</v>
      </c>
      <c r="B2176" s="1" t="s">
        <v>19</v>
      </c>
      <c r="C2176" s="1">
        <v>4</v>
      </c>
      <c r="D2176" s="1">
        <v>30</v>
      </c>
      <c r="E2176" s="1">
        <v>50</v>
      </c>
      <c r="F2176" s="1">
        <v>7</v>
      </c>
      <c r="G2176" s="1">
        <v>25</v>
      </c>
      <c r="H2176" s="1">
        <v>150</v>
      </c>
      <c r="I2176" s="1">
        <v>100</v>
      </c>
      <c r="J2176" s="1">
        <v>1.4990000000000001</v>
      </c>
      <c r="K2176" s="1">
        <v>44.005000000000003</v>
      </c>
      <c r="L2176" s="1">
        <v>11.99</v>
      </c>
      <c r="M2176" s="1">
        <v>43.1</v>
      </c>
      <c r="N2176" s="1">
        <v>5.4429999999999999E-2</v>
      </c>
      <c r="O2176" s="1">
        <v>3.0870000000000002E-4</v>
      </c>
      <c r="P21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2.0524549558659351E-2</v>
      </c>
      <c r="Q2176" s="1">
        <f>LN(Table13[[#This Row],[qe_mg_g]]-Table13[[#This Row],[qt]])</f>
        <v>0.39101145580415436</v>
      </c>
      <c r="R2176" s="1">
        <v>3</v>
      </c>
    </row>
    <row r="2177" spans="1:18" hidden="1" x14ac:dyDescent="0.3">
      <c r="A2177" s="1">
        <v>2176</v>
      </c>
      <c r="B2177" s="1" t="s">
        <v>19</v>
      </c>
      <c r="C2177" s="1">
        <v>4</v>
      </c>
      <c r="D2177" s="1">
        <v>30</v>
      </c>
      <c r="E2177" s="1">
        <v>50</v>
      </c>
      <c r="F2177" s="1">
        <v>11</v>
      </c>
      <c r="G2177" s="1">
        <v>25</v>
      </c>
      <c r="H2177" s="1">
        <v>150</v>
      </c>
      <c r="I2177" s="1">
        <v>100</v>
      </c>
      <c r="J2177" s="1">
        <v>1.052</v>
      </c>
      <c r="K2177" s="1">
        <v>45.792000000000002</v>
      </c>
      <c r="L2177" s="1">
        <v>8.42</v>
      </c>
      <c r="M2177" s="1">
        <v>49.7</v>
      </c>
      <c r="N2177" s="1">
        <v>4.7059999999999998E-2</v>
      </c>
      <c r="O2177" s="1">
        <v>3.723E-4</v>
      </c>
      <c r="P21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1.2217227147074038E-2</v>
      </c>
      <c r="Q2177" s="1">
        <f>LN(Table13[[#This Row],[qe_mg_g]]-Table13[[#This Row],[qt]])</f>
        <v>3.9011819079631617E-2</v>
      </c>
      <c r="R2177" s="1">
        <v>1</v>
      </c>
    </row>
    <row r="2178" spans="1:18" hidden="1" x14ac:dyDescent="0.3">
      <c r="A2178" s="1">
        <v>2177</v>
      </c>
      <c r="B2178" s="1" t="s">
        <v>19</v>
      </c>
      <c r="C2178" s="1">
        <v>4</v>
      </c>
      <c r="D2178" s="1">
        <v>30</v>
      </c>
      <c r="E2178" s="1">
        <v>50</v>
      </c>
      <c r="F2178" s="1">
        <v>11</v>
      </c>
      <c r="G2178" s="1">
        <v>25</v>
      </c>
      <c r="H2178" s="1">
        <v>150</v>
      </c>
      <c r="I2178" s="1">
        <v>100</v>
      </c>
      <c r="J2178" s="1">
        <v>1.0620000000000001</v>
      </c>
      <c r="K2178" s="1">
        <v>45.750999999999998</v>
      </c>
      <c r="L2178" s="1">
        <v>8.5</v>
      </c>
      <c r="M2178" s="1">
        <v>60</v>
      </c>
      <c r="N2178" s="1">
        <v>5.6129999999999999E-2</v>
      </c>
      <c r="O2178" s="1">
        <v>3.6430000000000002E-4</v>
      </c>
      <c r="P21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1.2184783195730008E-2</v>
      </c>
      <c r="Q2178" s="1">
        <f>LN(Table13[[#This Row],[qe_mg_g]]-Table13[[#This Row],[qt]])</f>
        <v>4.861416468649829E-2</v>
      </c>
      <c r="R2178" s="1">
        <v>2</v>
      </c>
    </row>
    <row r="2179" spans="1:18" hidden="1" x14ac:dyDescent="0.3">
      <c r="A2179" s="1">
        <v>2178</v>
      </c>
      <c r="B2179" s="1" t="s">
        <v>19</v>
      </c>
      <c r="C2179" s="1">
        <v>4</v>
      </c>
      <c r="D2179" s="1">
        <v>30</v>
      </c>
      <c r="E2179" s="1">
        <v>50</v>
      </c>
      <c r="F2179" s="1">
        <v>11</v>
      </c>
      <c r="G2179" s="1">
        <v>25</v>
      </c>
      <c r="H2179" s="1">
        <v>150</v>
      </c>
      <c r="I2179" s="1">
        <v>100</v>
      </c>
      <c r="J2179" s="1">
        <v>1.04</v>
      </c>
      <c r="K2179" s="1">
        <v>45.838999999999999</v>
      </c>
      <c r="L2179" s="1">
        <v>8.32</v>
      </c>
      <c r="M2179" s="1">
        <v>47.4</v>
      </c>
      <c r="N2179" s="1">
        <v>5.4379999999999998E-2</v>
      </c>
      <c r="O2179" s="1">
        <v>3.3419999999999999E-4</v>
      </c>
      <c r="P21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1.0732216350821333E-2</v>
      </c>
      <c r="Q2179" s="1">
        <f>LN(Table13[[#This Row],[qe_mg_g]]-Table13[[#This Row],[qt]])</f>
        <v>2.8847659778681315E-2</v>
      </c>
      <c r="R2179" s="1">
        <v>3</v>
      </c>
    </row>
    <row r="2180" spans="1:18" hidden="1" x14ac:dyDescent="0.3">
      <c r="A2180" s="1">
        <v>2179</v>
      </c>
      <c r="B2180" s="1" t="s">
        <v>19</v>
      </c>
      <c r="C2180" s="1">
        <v>4</v>
      </c>
      <c r="D2180" s="1">
        <v>30</v>
      </c>
      <c r="E2180" s="1">
        <v>100</v>
      </c>
      <c r="F2180" s="1">
        <v>3</v>
      </c>
      <c r="G2180" s="1">
        <v>25</v>
      </c>
      <c r="H2180" s="1">
        <v>150</v>
      </c>
      <c r="I2180" s="1">
        <v>100</v>
      </c>
      <c r="J2180" s="1">
        <v>2.5139999999999998</v>
      </c>
      <c r="K2180" s="1">
        <v>89.944999999999993</v>
      </c>
      <c r="L2180" s="1">
        <v>10.050000000000001</v>
      </c>
      <c r="M2180" s="1">
        <v>51.9</v>
      </c>
      <c r="N2180" s="1">
        <v>6.1089999999999998E-2</v>
      </c>
      <c r="O2180" s="1">
        <v>3.6979999999999999E-4</v>
      </c>
      <c r="P21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6.8213751343484785E-2</v>
      </c>
      <c r="Q2180" s="1">
        <f>LN(Table13[[#This Row],[qe_mg_g]]-Table13[[#This Row],[qt]])</f>
        <v>0.89436664532561294</v>
      </c>
      <c r="R2180" s="1">
        <v>1</v>
      </c>
    </row>
    <row r="2181" spans="1:18" hidden="1" x14ac:dyDescent="0.3">
      <c r="A2181" s="1">
        <v>2180</v>
      </c>
      <c r="B2181" s="1" t="s">
        <v>19</v>
      </c>
      <c r="C2181" s="1">
        <v>4</v>
      </c>
      <c r="D2181" s="1">
        <v>30</v>
      </c>
      <c r="E2181" s="1">
        <v>100</v>
      </c>
      <c r="F2181" s="1">
        <v>3</v>
      </c>
      <c r="G2181" s="1">
        <v>25</v>
      </c>
      <c r="H2181" s="1">
        <v>150</v>
      </c>
      <c r="I2181" s="1">
        <v>100</v>
      </c>
      <c r="J2181" s="1">
        <v>2.8610000000000002</v>
      </c>
      <c r="K2181" s="1">
        <v>88.555999999999997</v>
      </c>
      <c r="L2181" s="1">
        <v>11.44</v>
      </c>
      <c r="M2181" s="1">
        <v>55.7</v>
      </c>
      <c r="N2181" s="1">
        <v>5.7880000000000001E-2</v>
      </c>
      <c r="O2181" s="1">
        <v>3.2200000000000002E-4</v>
      </c>
      <c r="P21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7.6943688145367575E-2</v>
      </c>
      <c r="Q2181" s="1">
        <f>LN(Table13[[#This Row],[qe_mg_g]]-Table13[[#This Row],[qt]])</f>
        <v>1.0239089692268899</v>
      </c>
      <c r="R2181" s="1">
        <v>2</v>
      </c>
    </row>
    <row r="2182" spans="1:18" hidden="1" x14ac:dyDescent="0.3">
      <c r="A2182" s="1">
        <v>2181</v>
      </c>
      <c r="B2182" s="1" t="s">
        <v>19</v>
      </c>
      <c r="C2182" s="1">
        <v>4</v>
      </c>
      <c r="D2182" s="1">
        <v>30</v>
      </c>
      <c r="E2182" s="1">
        <v>100</v>
      </c>
      <c r="F2182" s="1">
        <v>3</v>
      </c>
      <c r="G2182" s="1">
        <v>25</v>
      </c>
      <c r="H2182" s="1">
        <v>150</v>
      </c>
      <c r="I2182" s="1">
        <v>100</v>
      </c>
      <c r="J2182" s="1">
        <v>2.6779999999999999</v>
      </c>
      <c r="K2182" s="1">
        <v>89.287000000000006</v>
      </c>
      <c r="L2182" s="1">
        <v>10.71</v>
      </c>
      <c r="M2182" s="1">
        <v>56.1</v>
      </c>
      <c r="N2182" s="1">
        <v>5.6529999999999997E-2</v>
      </c>
      <c r="O2182" s="1">
        <v>3.612E-4</v>
      </c>
      <c r="P21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7.5520842981521091E-2</v>
      </c>
      <c r="Q2182" s="1">
        <f>LN(Table13[[#This Row],[qe_mg_g]]-Table13[[#This Row],[qt]])</f>
        <v>0.95646451264436039</v>
      </c>
      <c r="R2182" s="1">
        <v>3</v>
      </c>
    </row>
    <row r="2183" spans="1:18" hidden="1" x14ac:dyDescent="0.3">
      <c r="A2183" s="1">
        <v>2182</v>
      </c>
      <c r="B2183" s="1" t="s">
        <v>19</v>
      </c>
      <c r="C2183" s="1">
        <v>4</v>
      </c>
      <c r="D2183" s="1">
        <v>30</v>
      </c>
      <c r="E2183" s="1">
        <v>100</v>
      </c>
      <c r="F2183" s="1">
        <v>7</v>
      </c>
      <c r="G2183" s="1">
        <v>25</v>
      </c>
      <c r="H2183" s="1">
        <v>150</v>
      </c>
      <c r="I2183" s="1">
        <v>100</v>
      </c>
      <c r="J2183" s="1">
        <v>4.57</v>
      </c>
      <c r="K2183" s="1">
        <v>81.72</v>
      </c>
      <c r="L2183" s="1">
        <v>18.28</v>
      </c>
      <c r="M2183" s="1">
        <v>51.5</v>
      </c>
      <c r="N2183" s="1">
        <v>7.2370000000000004E-2</v>
      </c>
      <c r="O2183" s="1">
        <v>3.8170000000000001E-4</v>
      </c>
      <c r="P21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0.22726021944785876</v>
      </c>
      <c r="Q2183" s="1">
        <f>LN(Table13[[#This Row],[qe_mg_g]]-Table13[[#This Row],[qt]])</f>
        <v>1.4685054347767348</v>
      </c>
      <c r="R2183" s="1">
        <v>1</v>
      </c>
    </row>
    <row r="2184" spans="1:18" hidden="1" x14ac:dyDescent="0.3">
      <c r="A2184" s="1">
        <v>2183</v>
      </c>
      <c r="B2184" s="1" t="s">
        <v>19</v>
      </c>
      <c r="C2184" s="1">
        <v>4</v>
      </c>
      <c r="D2184" s="1">
        <v>30</v>
      </c>
      <c r="E2184" s="1">
        <v>100</v>
      </c>
      <c r="F2184" s="1">
        <v>7</v>
      </c>
      <c r="G2184" s="1">
        <v>25</v>
      </c>
      <c r="H2184" s="1">
        <v>150</v>
      </c>
      <c r="I2184" s="1">
        <v>100</v>
      </c>
      <c r="J2184" s="1">
        <v>4.7480000000000002</v>
      </c>
      <c r="K2184" s="1">
        <v>81.007999999999996</v>
      </c>
      <c r="L2184" s="1">
        <v>18.989999999999998</v>
      </c>
      <c r="M2184" s="1">
        <v>52.6</v>
      </c>
      <c r="N2184" s="1">
        <v>5.2519999999999997E-2</v>
      </c>
      <c r="O2184" s="1">
        <v>3.4539999999999999E-4</v>
      </c>
      <c r="P21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0.22264207106547373</v>
      </c>
      <c r="Q2184" s="1">
        <f>LN(Table13[[#This Row],[qe_mg_g]]-Table13[[#This Row],[qt]])</f>
        <v>1.5096966743406468</v>
      </c>
      <c r="R2184" s="1">
        <v>2</v>
      </c>
    </row>
    <row r="2185" spans="1:18" hidden="1" x14ac:dyDescent="0.3">
      <c r="A2185" s="1">
        <v>2184</v>
      </c>
      <c r="B2185" s="1" t="s">
        <v>19</v>
      </c>
      <c r="C2185" s="1">
        <v>4</v>
      </c>
      <c r="D2185" s="1">
        <v>30</v>
      </c>
      <c r="E2185" s="1">
        <v>100</v>
      </c>
      <c r="F2185" s="1">
        <v>7</v>
      </c>
      <c r="G2185" s="1">
        <v>25</v>
      </c>
      <c r="H2185" s="1">
        <v>150</v>
      </c>
      <c r="I2185" s="1">
        <v>100</v>
      </c>
      <c r="J2185" s="1">
        <v>4.7089999999999996</v>
      </c>
      <c r="K2185" s="1">
        <v>81.162999999999997</v>
      </c>
      <c r="L2185" s="1">
        <v>18.84</v>
      </c>
      <c r="M2185" s="1">
        <v>39.200000000000003</v>
      </c>
      <c r="N2185" s="1">
        <v>4.6370000000000001E-2</v>
      </c>
      <c r="O2185" s="1">
        <v>3.277E-4</v>
      </c>
      <c r="P21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0.20835372430280907</v>
      </c>
      <c r="Q2185" s="1">
        <f>LN(Table13[[#This Row],[qe_mg_g]]-Table13[[#This Row],[qt]])</f>
        <v>1.5042210032859638</v>
      </c>
      <c r="R2185" s="1">
        <v>3</v>
      </c>
    </row>
    <row r="2186" spans="1:18" hidden="1" x14ac:dyDescent="0.3">
      <c r="A2186" s="1">
        <v>2185</v>
      </c>
      <c r="B2186" s="1" t="s">
        <v>19</v>
      </c>
      <c r="C2186" s="1">
        <v>4</v>
      </c>
      <c r="D2186" s="1">
        <v>30</v>
      </c>
      <c r="E2186" s="1">
        <v>100</v>
      </c>
      <c r="F2186" s="1">
        <v>11</v>
      </c>
      <c r="G2186" s="1">
        <v>25</v>
      </c>
      <c r="H2186" s="1">
        <v>150</v>
      </c>
      <c r="I2186" s="1">
        <v>100</v>
      </c>
      <c r="J2186" s="1">
        <v>3.4910000000000001</v>
      </c>
      <c r="K2186" s="1">
        <v>86.037000000000006</v>
      </c>
      <c r="L2186" s="1">
        <v>13.96</v>
      </c>
      <c r="M2186" s="1">
        <v>52.6</v>
      </c>
      <c r="N2186" s="1">
        <v>6.3130000000000006E-2</v>
      </c>
      <c r="O2186" s="1">
        <v>2.9809999999999998E-4</v>
      </c>
      <c r="P21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0.10568943970155475</v>
      </c>
      <c r="Q2186" s="1">
        <f>LN(Table13[[#This Row],[qe_mg_g]]-Table13[[#This Row],[qt]])</f>
        <v>1.2194456481819578</v>
      </c>
      <c r="R2186" s="1">
        <v>1</v>
      </c>
    </row>
    <row r="2187" spans="1:18" hidden="1" x14ac:dyDescent="0.3">
      <c r="A2187" s="1">
        <v>2186</v>
      </c>
      <c r="B2187" s="1" t="s">
        <v>19</v>
      </c>
      <c r="C2187" s="1">
        <v>4</v>
      </c>
      <c r="D2187" s="1">
        <v>30</v>
      </c>
      <c r="E2187" s="1">
        <v>100</v>
      </c>
      <c r="F2187" s="1">
        <v>11</v>
      </c>
      <c r="G2187" s="1">
        <v>25</v>
      </c>
      <c r="H2187" s="1">
        <v>150</v>
      </c>
      <c r="I2187" s="1">
        <v>100</v>
      </c>
      <c r="J2187" s="1">
        <v>3.26</v>
      </c>
      <c r="K2187" s="1">
        <v>86.96</v>
      </c>
      <c r="L2187" s="1">
        <v>13.04</v>
      </c>
      <c r="M2187" s="1">
        <v>67</v>
      </c>
      <c r="N2187" s="1">
        <v>5.5719999999999999E-2</v>
      </c>
      <c r="O2187" s="1">
        <v>3.8099999999999999E-4</v>
      </c>
      <c r="P21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0.11710974799226193</v>
      </c>
      <c r="Q2187" s="1">
        <f>LN(Table13[[#This Row],[qe_mg_g]]-Table13[[#This Row],[qt]])</f>
        <v>1.1451428389772473</v>
      </c>
      <c r="R2187" s="1">
        <v>2</v>
      </c>
    </row>
    <row r="2188" spans="1:18" hidden="1" x14ac:dyDescent="0.3">
      <c r="A2188" s="1">
        <v>2187</v>
      </c>
      <c r="B2188" s="1" t="s">
        <v>19</v>
      </c>
      <c r="C2188" s="1">
        <v>4</v>
      </c>
      <c r="D2188" s="1">
        <v>30</v>
      </c>
      <c r="E2188" s="1">
        <v>100</v>
      </c>
      <c r="F2188" s="1">
        <v>11</v>
      </c>
      <c r="G2188" s="1">
        <v>25</v>
      </c>
      <c r="H2188" s="1">
        <v>150</v>
      </c>
      <c r="I2188" s="1">
        <v>100</v>
      </c>
      <c r="J2188" s="1">
        <v>3.9350000000000001</v>
      </c>
      <c r="K2188" s="1">
        <v>84.26</v>
      </c>
      <c r="L2188" s="1">
        <v>15.74</v>
      </c>
      <c r="M2188" s="1">
        <v>48.9</v>
      </c>
      <c r="N2188" s="1">
        <v>5.4449999999999998E-2</v>
      </c>
      <c r="O2188" s="1">
        <v>3.4049999999999998E-4</v>
      </c>
      <c r="P21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0.15205918362839352</v>
      </c>
      <c r="Q2188" s="1">
        <f>LN(Table13[[#This Row],[qe_mg_g]]-Table13[[#This Row],[qt]])</f>
        <v>1.3305017009003368</v>
      </c>
      <c r="R2188" s="1">
        <v>3</v>
      </c>
    </row>
    <row r="2189" spans="1:18" hidden="1" x14ac:dyDescent="0.3">
      <c r="A2189" s="1">
        <v>2188</v>
      </c>
      <c r="B2189" s="1" t="s">
        <v>19</v>
      </c>
      <c r="C2189" s="1">
        <v>4</v>
      </c>
      <c r="D2189" s="1">
        <v>30</v>
      </c>
      <c r="E2189" s="1">
        <v>200</v>
      </c>
      <c r="F2189" s="1">
        <v>3</v>
      </c>
      <c r="G2189" s="1">
        <v>25</v>
      </c>
      <c r="H2189" s="1">
        <v>150</v>
      </c>
      <c r="I2189" s="1">
        <v>100</v>
      </c>
      <c r="J2189" s="1">
        <v>8.1150000000000002</v>
      </c>
      <c r="K2189" s="1">
        <v>167.541</v>
      </c>
      <c r="L2189" s="1">
        <v>16.23</v>
      </c>
      <c r="M2189" s="1">
        <v>52</v>
      </c>
      <c r="N2189" s="1">
        <v>5.985E-2</v>
      </c>
      <c r="O2189" s="1">
        <v>3.6890000000000002E-4</v>
      </c>
      <c r="P21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0.66873905276339307</v>
      </c>
      <c r="Q2189" s="1">
        <f>LN(Table13[[#This Row],[qe_mg_g]]-Table13[[#This Row],[qt]])</f>
        <v>2.0077120201274292</v>
      </c>
      <c r="R2189" s="1">
        <v>1</v>
      </c>
    </row>
    <row r="2190" spans="1:18" hidden="1" x14ac:dyDescent="0.3">
      <c r="A2190" s="1">
        <v>2189</v>
      </c>
      <c r="B2190" s="1" t="s">
        <v>19</v>
      </c>
      <c r="C2190" s="1">
        <v>4</v>
      </c>
      <c r="D2190" s="1">
        <v>30</v>
      </c>
      <c r="E2190" s="1">
        <v>200</v>
      </c>
      <c r="F2190" s="1">
        <v>3</v>
      </c>
      <c r="G2190" s="1">
        <v>25</v>
      </c>
      <c r="H2190" s="1">
        <v>150</v>
      </c>
      <c r="I2190" s="1">
        <v>100</v>
      </c>
      <c r="J2190" s="1">
        <v>9.8079999999999998</v>
      </c>
      <c r="K2190" s="1">
        <v>160.767</v>
      </c>
      <c r="L2190" s="1">
        <v>19.62</v>
      </c>
      <c r="M2190" s="1">
        <v>51.5</v>
      </c>
      <c r="N2190" s="1">
        <v>5.1389999999999998E-2</v>
      </c>
      <c r="O2190" s="1">
        <v>3.9439999999999999E-4</v>
      </c>
      <c r="P21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1.0198495349362384</v>
      </c>
      <c r="Q2190" s="1">
        <f>LN(Table13[[#This Row],[qe_mg_g]]-Table13[[#This Row],[qt]])</f>
        <v>2.1734042760261953</v>
      </c>
      <c r="R2190" s="1">
        <v>2</v>
      </c>
    </row>
    <row r="2191" spans="1:18" hidden="1" x14ac:dyDescent="0.3">
      <c r="A2191" s="1">
        <v>2190</v>
      </c>
      <c r="B2191" s="1" t="s">
        <v>19</v>
      </c>
      <c r="C2191" s="1">
        <v>4</v>
      </c>
      <c r="D2191" s="1">
        <v>30</v>
      </c>
      <c r="E2191" s="1">
        <v>200</v>
      </c>
      <c r="F2191" s="1">
        <v>3</v>
      </c>
      <c r="G2191" s="1">
        <v>25</v>
      </c>
      <c r="H2191" s="1">
        <v>150</v>
      </c>
      <c r="I2191" s="1">
        <v>100</v>
      </c>
      <c r="J2191" s="1">
        <v>9.0739999999999998</v>
      </c>
      <c r="K2191" s="1">
        <v>163.70500000000001</v>
      </c>
      <c r="L2191" s="1">
        <v>18.149999999999999</v>
      </c>
      <c r="M2191" s="1">
        <v>57</v>
      </c>
      <c r="N2191" s="1">
        <v>5.5899999999999998E-2</v>
      </c>
      <c r="O2191" s="1">
        <v>4.0119999999999999E-4</v>
      </c>
      <c r="P21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0.89343739611433759</v>
      </c>
      <c r="Q2191" s="1">
        <f>LN(Table13[[#This Row],[qe_mg_g]]-Table13[[#This Row],[qt]])</f>
        <v>2.1017609262306909</v>
      </c>
      <c r="R2191" s="1">
        <v>3</v>
      </c>
    </row>
    <row r="2192" spans="1:18" hidden="1" x14ac:dyDescent="0.3">
      <c r="A2192" s="1">
        <v>2191</v>
      </c>
      <c r="B2192" s="1" t="s">
        <v>19</v>
      </c>
      <c r="C2192" s="1">
        <v>4</v>
      </c>
      <c r="D2192" s="1">
        <v>30</v>
      </c>
      <c r="E2192" s="1">
        <v>200</v>
      </c>
      <c r="F2192" s="1">
        <v>7</v>
      </c>
      <c r="G2192" s="1">
        <v>25</v>
      </c>
      <c r="H2192" s="1">
        <v>150</v>
      </c>
      <c r="I2192" s="1">
        <v>100</v>
      </c>
      <c r="J2192" s="1">
        <v>16.318000000000001</v>
      </c>
      <c r="K2192" s="1">
        <v>134.72800000000001</v>
      </c>
      <c r="L2192" s="1">
        <v>32.64</v>
      </c>
      <c r="M2192" s="1">
        <v>43.9</v>
      </c>
      <c r="N2192" s="1">
        <v>4.8469999999999999E-2</v>
      </c>
      <c r="O2192" s="1">
        <v>3.703E-4</v>
      </c>
      <c r="P21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2.5041318987101104</v>
      </c>
      <c r="Q2192" s="1">
        <f>LN(Table13[[#This Row],[qe_mg_g]]-Table13[[#This Row],[qt]])</f>
        <v>2.6256730224302234</v>
      </c>
      <c r="R2192" s="1">
        <v>1</v>
      </c>
    </row>
    <row r="2193" spans="1:18" hidden="1" x14ac:dyDescent="0.3">
      <c r="A2193" s="1">
        <v>2192</v>
      </c>
      <c r="B2193" s="1" t="s">
        <v>19</v>
      </c>
      <c r="C2193" s="1">
        <v>4</v>
      </c>
      <c r="D2193" s="1">
        <v>30</v>
      </c>
      <c r="E2193" s="1">
        <v>200</v>
      </c>
      <c r="F2193" s="1">
        <v>7</v>
      </c>
      <c r="G2193" s="1">
        <v>25</v>
      </c>
      <c r="H2193" s="1">
        <v>150</v>
      </c>
      <c r="I2193" s="1">
        <v>100</v>
      </c>
      <c r="J2193" s="1">
        <v>15.21</v>
      </c>
      <c r="K2193" s="1">
        <v>139.15899999999999</v>
      </c>
      <c r="L2193" s="1">
        <v>30.42</v>
      </c>
      <c r="M2193" s="1">
        <v>50.8</v>
      </c>
      <c r="N2193" s="1">
        <v>6.0589999999999998E-2</v>
      </c>
      <c r="O2193" s="1">
        <v>3.5659999999999999E-4</v>
      </c>
      <c r="P21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2.1285661737101917</v>
      </c>
      <c r="Q2193" s="1">
        <f>LN(Table13[[#This Row],[qe_mg_g]]-Table13[[#This Row],[qt]])</f>
        <v>2.5711939597681743</v>
      </c>
      <c r="R2193" s="1">
        <v>2</v>
      </c>
    </row>
    <row r="2194" spans="1:18" hidden="1" x14ac:dyDescent="0.3">
      <c r="A2194" s="1">
        <v>2193</v>
      </c>
      <c r="B2194" s="1" t="s">
        <v>19</v>
      </c>
      <c r="C2194" s="1">
        <v>4</v>
      </c>
      <c r="D2194" s="1">
        <v>30</v>
      </c>
      <c r="E2194" s="1">
        <v>200</v>
      </c>
      <c r="F2194" s="1">
        <v>7</v>
      </c>
      <c r="G2194" s="1">
        <v>25</v>
      </c>
      <c r="H2194" s="1">
        <v>150</v>
      </c>
      <c r="I2194" s="1">
        <v>100</v>
      </c>
      <c r="J2194" s="1">
        <v>15.335000000000001</v>
      </c>
      <c r="K2194" s="1">
        <v>138.65899999999999</v>
      </c>
      <c r="L2194" s="1">
        <v>30.67</v>
      </c>
      <c r="M2194" s="1">
        <v>60.9</v>
      </c>
      <c r="N2194" s="1">
        <v>5.2940000000000001E-2</v>
      </c>
      <c r="O2194" s="1">
        <v>4.0489999999999998E-4</v>
      </c>
      <c r="P21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2.4079723209998551</v>
      </c>
      <c r="Q2194" s="1">
        <f>LN(Table13[[#This Row],[qe_mg_g]]-Table13[[#This Row],[qt]])</f>
        <v>2.5593202884769104</v>
      </c>
      <c r="R2194" s="1">
        <v>3</v>
      </c>
    </row>
    <row r="2195" spans="1:18" hidden="1" x14ac:dyDescent="0.3">
      <c r="A2195" s="1">
        <v>2194</v>
      </c>
      <c r="B2195" s="1" t="s">
        <v>19</v>
      </c>
      <c r="C2195" s="1">
        <v>4</v>
      </c>
      <c r="D2195" s="1">
        <v>30</v>
      </c>
      <c r="E2195" s="1">
        <v>200</v>
      </c>
      <c r="F2195" s="1">
        <v>11</v>
      </c>
      <c r="G2195" s="1">
        <v>25</v>
      </c>
      <c r="H2195" s="1">
        <v>150</v>
      </c>
      <c r="I2195" s="1">
        <v>100</v>
      </c>
      <c r="J2195" s="1">
        <v>10.996</v>
      </c>
      <c r="K2195" s="1">
        <v>156.01499999999999</v>
      </c>
      <c r="L2195" s="1">
        <v>21.99</v>
      </c>
      <c r="M2195" s="1">
        <v>59.9</v>
      </c>
      <c r="N2195" s="1">
        <v>6.2890000000000001E-2</v>
      </c>
      <c r="O2195" s="1">
        <v>3.0180000000000002E-4</v>
      </c>
      <c r="P21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0.99561606383389523</v>
      </c>
      <c r="Q2195" s="1">
        <f>LN(Table13[[#This Row],[qe_mg_g]]-Table13[[#This Row],[qt]])</f>
        <v>2.3026234858736401</v>
      </c>
      <c r="R2195" s="1">
        <v>1</v>
      </c>
    </row>
    <row r="2196" spans="1:18" hidden="1" x14ac:dyDescent="0.3">
      <c r="A2196" s="1">
        <v>2195</v>
      </c>
      <c r="B2196" s="1" t="s">
        <v>19</v>
      </c>
      <c r="C2196" s="1">
        <v>4</v>
      </c>
      <c r="D2196" s="1">
        <v>30</v>
      </c>
      <c r="E2196" s="1">
        <v>200</v>
      </c>
      <c r="F2196" s="1">
        <v>11</v>
      </c>
      <c r="G2196" s="1">
        <v>25</v>
      </c>
      <c r="H2196" s="1">
        <v>150</v>
      </c>
      <c r="I2196" s="1">
        <v>100</v>
      </c>
      <c r="J2196" s="1">
        <v>11.358000000000001</v>
      </c>
      <c r="K2196" s="1">
        <v>154.566</v>
      </c>
      <c r="L2196" s="1">
        <v>22.72</v>
      </c>
      <c r="M2196" s="1">
        <v>63.9</v>
      </c>
      <c r="N2196" s="1">
        <v>6.1359999999999998E-2</v>
      </c>
      <c r="O2196" s="1">
        <v>3.4400000000000001E-4</v>
      </c>
      <c r="P21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1.1916448461609739</v>
      </c>
      <c r="Q2196" s="1">
        <f>LN(Table13[[#This Row],[qe_mg_g]]-Table13[[#This Row],[qt]])</f>
        <v>2.3190837538698257</v>
      </c>
      <c r="R2196" s="1">
        <v>2</v>
      </c>
    </row>
    <row r="2197" spans="1:18" hidden="1" x14ac:dyDescent="0.3">
      <c r="A2197" s="1">
        <v>2196</v>
      </c>
      <c r="B2197" s="1" t="s">
        <v>19</v>
      </c>
      <c r="C2197" s="1">
        <v>4</v>
      </c>
      <c r="D2197" s="1">
        <v>30</v>
      </c>
      <c r="E2197" s="1">
        <v>200</v>
      </c>
      <c r="F2197" s="1">
        <v>11</v>
      </c>
      <c r="G2197" s="1">
        <v>25</v>
      </c>
      <c r="H2197" s="1">
        <v>150</v>
      </c>
      <c r="I2197" s="1">
        <v>100</v>
      </c>
      <c r="J2197" s="1">
        <v>11.04</v>
      </c>
      <c r="K2197" s="1">
        <v>155.84100000000001</v>
      </c>
      <c r="L2197" s="1">
        <v>22.08</v>
      </c>
      <c r="M2197" s="1">
        <v>62.4</v>
      </c>
      <c r="N2197" s="1">
        <v>6.1510000000000002E-2</v>
      </c>
      <c r="O2197" s="1">
        <v>3.0919999999999998E-4</v>
      </c>
      <c r="P21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1.0255501648465524</v>
      </c>
      <c r="Q2197" s="1">
        <f>LN(Table13[[#This Row],[qe_mg_g]]-Table13[[#This Row],[qt]])</f>
        <v>2.3040290335253193</v>
      </c>
      <c r="R2197" s="1">
        <v>3</v>
      </c>
    </row>
    <row r="2198" spans="1:18" hidden="1" x14ac:dyDescent="0.3">
      <c r="A2198" s="1">
        <v>2197</v>
      </c>
      <c r="B2198" s="1" t="s">
        <v>19</v>
      </c>
      <c r="C2198" s="1">
        <v>4</v>
      </c>
      <c r="D2198" s="1">
        <v>60</v>
      </c>
      <c r="E2198" s="1">
        <v>25</v>
      </c>
      <c r="F2198" s="1">
        <v>3</v>
      </c>
      <c r="G2198" s="1">
        <v>25</v>
      </c>
      <c r="H2198" s="1">
        <v>150</v>
      </c>
      <c r="I2198" s="1">
        <v>100</v>
      </c>
      <c r="J2198" s="1">
        <v>0.34200000000000003</v>
      </c>
      <c r="K2198" s="1">
        <v>23.634</v>
      </c>
      <c r="L2198" s="1">
        <v>5.46</v>
      </c>
      <c r="M2198" s="1">
        <v>56.4</v>
      </c>
      <c r="N2198" s="1">
        <v>5.8459999999999998E-2</v>
      </c>
      <c r="O2198" s="1">
        <v>3.3950000000000001E-4</v>
      </c>
      <c r="P21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2.3660733354655458E-3</v>
      </c>
      <c r="Q2198" s="1">
        <f>LN(Table13[[#This Row],[qe_mg_g]]-Table13[[#This Row],[qt]])</f>
        <v>-1.0798869276957717</v>
      </c>
      <c r="R2198" s="1">
        <v>1</v>
      </c>
    </row>
    <row r="2199" spans="1:18" hidden="1" x14ac:dyDescent="0.3">
      <c r="A2199" s="1">
        <v>2198</v>
      </c>
      <c r="B2199" s="1" t="s">
        <v>19</v>
      </c>
      <c r="C2199" s="1">
        <v>4</v>
      </c>
      <c r="D2199" s="1">
        <v>60</v>
      </c>
      <c r="E2199" s="1">
        <v>25</v>
      </c>
      <c r="F2199" s="1">
        <v>3</v>
      </c>
      <c r="G2199" s="1">
        <v>25</v>
      </c>
      <c r="H2199" s="1">
        <v>150</v>
      </c>
      <c r="I2199" s="1">
        <v>100</v>
      </c>
      <c r="J2199" s="1">
        <v>0.39100000000000001</v>
      </c>
      <c r="K2199" s="1">
        <v>23.437000000000001</v>
      </c>
      <c r="L2199" s="1">
        <v>6.25</v>
      </c>
      <c r="M2199" s="1">
        <v>48.7</v>
      </c>
      <c r="N2199" s="1">
        <v>4.3369999999999999E-2</v>
      </c>
      <c r="O2199" s="1">
        <v>3.3520000000000002E-4</v>
      </c>
      <c r="P21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3.0507521913238854E-3</v>
      </c>
      <c r="Q2199" s="1">
        <f>LN(Table13[[#This Row],[qe_mg_g]]-Table13[[#This Row],[qt]])</f>
        <v>-0.94688075253134774</v>
      </c>
      <c r="R2199" s="1">
        <v>2</v>
      </c>
    </row>
    <row r="2200" spans="1:18" hidden="1" x14ac:dyDescent="0.3">
      <c r="A2200" s="1">
        <v>2199</v>
      </c>
      <c r="B2200" s="1" t="s">
        <v>19</v>
      </c>
      <c r="C2200" s="1">
        <v>4</v>
      </c>
      <c r="D2200" s="1">
        <v>60</v>
      </c>
      <c r="E2200" s="1">
        <v>25</v>
      </c>
      <c r="F2200" s="1">
        <v>3</v>
      </c>
      <c r="G2200" s="1">
        <v>25</v>
      </c>
      <c r="H2200" s="1">
        <v>150</v>
      </c>
      <c r="I2200" s="1">
        <v>100</v>
      </c>
      <c r="J2200" s="1">
        <v>0.375</v>
      </c>
      <c r="K2200" s="1">
        <v>23.501999999999999</v>
      </c>
      <c r="L2200" s="1">
        <v>5.99</v>
      </c>
      <c r="M2200" s="1">
        <v>52.3</v>
      </c>
      <c r="N2200" s="1">
        <v>4.863E-2</v>
      </c>
      <c r="O2200" s="1">
        <v>2.8650000000000003E-4</v>
      </c>
      <c r="P22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2.4018607551073894E-3</v>
      </c>
      <c r="Q2200" s="1">
        <f>LN(Table13[[#This Row],[qe_mg_g]]-Table13[[#This Row],[qt]])</f>
        <v>-0.98725481480217903</v>
      </c>
      <c r="R2200" s="1">
        <v>3</v>
      </c>
    </row>
    <row r="2201" spans="1:18" hidden="1" x14ac:dyDescent="0.3">
      <c r="A2201" s="1">
        <v>2200</v>
      </c>
      <c r="B2201" s="1" t="s">
        <v>19</v>
      </c>
      <c r="C2201" s="1">
        <v>4</v>
      </c>
      <c r="D2201" s="1">
        <v>60</v>
      </c>
      <c r="E2201" s="1">
        <v>25</v>
      </c>
      <c r="F2201" s="1">
        <v>7</v>
      </c>
      <c r="G2201" s="1">
        <v>25</v>
      </c>
      <c r="H2201" s="1">
        <v>150</v>
      </c>
      <c r="I2201" s="1">
        <v>100</v>
      </c>
      <c r="J2201" s="1">
        <v>0.621</v>
      </c>
      <c r="K2201" s="1">
        <v>22.516999999999999</v>
      </c>
      <c r="L2201" s="1">
        <v>9.93</v>
      </c>
      <c r="M2201" s="1">
        <v>61.9</v>
      </c>
      <c r="N2201" s="1">
        <v>6.191E-2</v>
      </c>
      <c r="O2201" s="1">
        <v>3.9159999999999998E-4</v>
      </c>
      <c r="P22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8.9307127631810205E-3</v>
      </c>
      <c r="Q2201" s="1">
        <f>LN(Table13[[#This Row],[qe_mg_g]]-Table13[[#This Row],[qt]])</f>
        <v>-0.49090978843883526</v>
      </c>
      <c r="R2201" s="1">
        <v>1</v>
      </c>
    </row>
    <row r="2202" spans="1:18" hidden="1" x14ac:dyDescent="0.3">
      <c r="A2202" s="1">
        <v>2201</v>
      </c>
      <c r="B2202" s="1" t="s">
        <v>19</v>
      </c>
      <c r="C2202" s="1">
        <v>4</v>
      </c>
      <c r="D2202" s="1">
        <v>60</v>
      </c>
      <c r="E2202" s="1">
        <v>25</v>
      </c>
      <c r="F2202" s="1">
        <v>7</v>
      </c>
      <c r="G2202" s="1">
        <v>25</v>
      </c>
      <c r="H2202" s="1">
        <v>150</v>
      </c>
      <c r="I2202" s="1">
        <v>100</v>
      </c>
      <c r="J2202" s="1">
        <v>0.60699999999999998</v>
      </c>
      <c r="K2202" s="1">
        <v>22.571999999999999</v>
      </c>
      <c r="L2202" s="1">
        <v>9.7100000000000009</v>
      </c>
      <c r="M2202" s="1">
        <v>45.1</v>
      </c>
      <c r="N2202" s="1">
        <v>5.7729999999999997E-2</v>
      </c>
      <c r="O2202" s="1">
        <v>3.7219999999999999E-4</v>
      </c>
      <c r="P22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8.1181571933300421E-3</v>
      </c>
      <c r="Q2202" s="1">
        <f>LN(Table13[[#This Row],[qe_mg_g]]-Table13[[#This Row],[qt]])</f>
        <v>-0.51269095774240436</v>
      </c>
      <c r="R2202" s="1">
        <v>2</v>
      </c>
    </row>
    <row r="2203" spans="1:18" hidden="1" x14ac:dyDescent="0.3">
      <c r="A2203" s="1">
        <v>2202</v>
      </c>
      <c r="B2203" s="1" t="s">
        <v>19</v>
      </c>
      <c r="C2203" s="1">
        <v>4</v>
      </c>
      <c r="D2203" s="1">
        <v>60</v>
      </c>
      <c r="E2203" s="1">
        <v>25</v>
      </c>
      <c r="F2203" s="1">
        <v>7</v>
      </c>
      <c r="G2203" s="1">
        <v>25</v>
      </c>
      <c r="H2203" s="1">
        <v>150</v>
      </c>
      <c r="I2203" s="1">
        <v>100</v>
      </c>
      <c r="J2203" s="1">
        <v>0.66200000000000003</v>
      </c>
      <c r="K2203" s="1">
        <v>22.353000000000002</v>
      </c>
      <c r="L2203" s="1">
        <v>10.59</v>
      </c>
      <c r="M2203" s="1">
        <v>38.1</v>
      </c>
      <c r="N2203" s="1">
        <v>5.0229999999999997E-2</v>
      </c>
      <c r="O2203" s="1">
        <v>3.4900000000000003E-4</v>
      </c>
      <c r="P22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9.0513569160497829E-3</v>
      </c>
      <c r="Q2203" s="1">
        <f>LN(Table13[[#This Row],[qe_mg_g]]-Table13[[#This Row],[qt]])</f>
        <v>-0.42625680044951303</v>
      </c>
      <c r="R2203" s="1">
        <v>3</v>
      </c>
    </row>
    <row r="2204" spans="1:18" hidden="1" x14ac:dyDescent="0.3">
      <c r="A2204" s="1">
        <v>2203</v>
      </c>
      <c r="B2204" s="1" t="s">
        <v>19</v>
      </c>
      <c r="C2204" s="1">
        <v>4</v>
      </c>
      <c r="D2204" s="1">
        <v>60</v>
      </c>
      <c r="E2204" s="1">
        <v>25</v>
      </c>
      <c r="F2204" s="1">
        <v>11</v>
      </c>
      <c r="G2204" s="1">
        <v>25</v>
      </c>
      <c r="H2204" s="1">
        <v>150</v>
      </c>
      <c r="I2204" s="1">
        <v>100</v>
      </c>
      <c r="J2204" s="1">
        <v>0.49</v>
      </c>
      <c r="K2204" s="1">
        <v>23.042000000000002</v>
      </c>
      <c r="L2204" s="1">
        <v>7.83</v>
      </c>
      <c r="M2204" s="1">
        <v>60.8</v>
      </c>
      <c r="N2204" s="1">
        <v>5.5789999999999999E-2</v>
      </c>
      <c r="O2204" s="1">
        <v>3.6160000000000001E-4</v>
      </c>
      <c r="P22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5.1544128310169451E-3</v>
      </c>
      <c r="Q2204" s="1">
        <f>LN(Table13[[#This Row],[qe_mg_g]]-Table13[[#This Row],[qt]])</f>
        <v>-0.72392481570853051</v>
      </c>
      <c r="R2204" s="1">
        <v>1</v>
      </c>
    </row>
    <row r="2205" spans="1:18" hidden="1" x14ac:dyDescent="0.3">
      <c r="A2205" s="1">
        <v>2204</v>
      </c>
      <c r="B2205" s="1" t="s">
        <v>19</v>
      </c>
      <c r="C2205" s="1">
        <v>4</v>
      </c>
      <c r="D2205" s="1">
        <v>60</v>
      </c>
      <c r="E2205" s="1">
        <v>25</v>
      </c>
      <c r="F2205" s="1">
        <v>11</v>
      </c>
      <c r="G2205" s="1">
        <v>25</v>
      </c>
      <c r="H2205" s="1">
        <v>150</v>
      </c>
      <c r="I2205" s="1">
        <v>100</v>
      </c>
      <c r="J2205" s="1">
        <v>0.47599999999999998</v>
      </c>
      <c r="K2205" s="1">
        <v>23.094999999999999</v>
      </c>
      <c r="L2205" s="1">
        <v>7.62</v>
      </c>
      <c r="M2205" s="1">
        <v>60.2</v>
      </c>
      <c r="N2205" s="1">
        <v>5.672E-2</v>
      </c>
      <c r="O2205" s="1">
        <v>3.523E-4</v>
      </c>
      <c r="P22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4.7416544404167123E-3</v>
      </c>
      <c r="Q2205" s="1">
        <f>LN(Table13[[#This Row],[qe_mg_g]]-Table13[[#This Row],[qt]])</f>
        <v>-0.75234883096646998</v>
      </c>
      <c r="R2205" s="1">
        <v>2</v>
      </c>
    </row>
    <row r="2206" spans="1:18" hidden="1" x14ac:dyDescent="0.3">
      <c r="A2206" s="1">
        <v>2205</v>
      </c>
      <c r="B2206" s="1" t="s">
        <v>19</v>
      </c>
      <c r="C2206" s="1">
        <v>4</v>
      </c>
      <c r="D2206" s="1">
        <v>60</v>
      </c>
      <c r="E2206" s="1">
        <v>25</v>
      </c>
      <c r="F2206" s="1">
        <v>11</v>
      </c>
      <c r="G2206" s="1">
        <v>25</v>
      </c>
      <c r="H2206" s="1">
        <v>150</v>
      </c>
      <c r="I2206" s="1">
        <v>100</v>
      </c>
      <c r="J2206" s="1">
        <v>0.46400000000000002</v>
      </c>
      <c r="K2206" s="1">
        <v>23.141999999999999</v>
      </c>
      <c r="L2206" s="1">
        <v>7.43</v>
      </c>
      <c r="M2206" s="1">
        <v>55.2</v>
      </c>
      <c r="N2206" s="1">
        <v>5.7669999999999999E-2</v>
      </c>
      <c r="O2206" s="1">
        <v>3.5940000000000001E-4</v>
      </c>
      <c r="P220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4.5966502588912139E-3</v>
      </c>
      <c r="Q2206" s="1">
        <f>LN(Table13[[#This Row],[qe_mg_g]]-Table13[[#This Row],[qt]])</f>
        <v>-0.77782669719710773</v>
      </c>
      <c r="R2206" s="1">
        <v>3</v>
      </c>
    </row>
    <row r="2207" spans="1:18" hidden="1" x14ac:dyDescent="0.3">
      <c r="A2207" s="1">
        <v>2206</v>
      </c>
      <c r="B2207" s="1" t="s">
        <v>19</v>
      </c>
      <c r="C2207" s="1">
        <v>4</v>
      </c>
      <c r="D2207" s="1">
        <v>60</v>
      </c>
      <c r="E2207" s="1">
        <v>50</v>
      </c>
      <c r="F2207" s="1">
        <v>3</v>
      </c>
      <c r="G2207" s="1">
        <v>25</v>
      </c>
      <c r="H2207" s="1">
        <v>150</v>
      </c>
      <c r="I2207" s="1">
        <v>100</v>
      </c>
      <c r="J2207" s="1">
        <v>1.4059999999999999</v>
      </c>
      <c r="K2207" s="1">
        <v>44.377000000000002</v>
      </c>
      <c r="L2207" s="1">
        <v>11.25</v>
      </c>
      <c r="M2207" s="1">
        <v>65.5</v>
      </c>
      <c r="N2207" s="1">
        <v>5.6460000000000003E-2</v>
      </c>
      <c r="O2207" s="1">
        <v>3.2729999999999999E-4</v>
      </c>
      <c r="P220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3.7778015523593618E-2</v>
      </c>
      <c r="Q2207" s="1">
        <f>LN(Table13[[#This Row],[qe_mg_g]]-Table13[[#This Row],[qt]])</f>
        <v>0.31351207539020937</v>
      </c>
      <c r="R2207" s="1">
        <v>1</v>
      </c>
    </row>
    <row r="2208" spans="1:18" hidden="1" x14ac:dyDescent="0.3">
      <c r="A2208" s="1">
        <v>2207</v>
      </c>
      <c r="B2208" s="1" t="s">
        <v>19</v>
      </c>
      <c r="C2208" s="1">
        <v>4</v>
      </c>
      <c r="D2208" s="1">
        <v>60</v>
      </c>
      <c r="E2208" s="1">
        <v>50</v>
      </c>
      <c r="F2208" s="1">
        <v>3</v>
      </c>
      <c r="G2208" s="1">
        <v>25</v>
      </c>
      <c r="H2208" s="1">
        <v>150</v>
      </c>
      <c r="I2208" s="1">
        <v>100</v>
      </c>
      <c r="J2208" s="1">
        <v>1.454</v>
      </c>
      <c r="K2208" s="1">
        <v>44.183999999999997</v>
      </c>
      <c r="L2208" s="1">
        <v>11.63</v>
      </c>
      <c r="M2208" s="1">
        <v>43.4</v>
      </c>
      <c r="N2208" s="1">
        <v>4.9050000000000003E-2</v>
      </c>
      <c r="O2208" s="1">
        <v>3.6180000000000001E-4</v>
      </c>
      <c r="P220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4.4489004460949125E-2</v>
      </c>
      <c r="Q2208" s="1">
        <f>LN(Table13[[#This Row],[qe_mg_g]]-Table13[[#This Row],[qt]])</f>
        <v>0.34324283256256782</v>
      </c>
      <c r="R2208" s="1">
        <v>2</v>
      </c>
    </row>
    <row r="2209" spans="1:18" hidden="1" x14ac:dyDescent="0.3">
      <c r="A2209" s="1">
        <v>2208</v>
      </c>
      <c r="B2209" s="1" t="s">
        <v>19</v>
      </c>
      <c r="C2209" s="1">
        <v>4</v>
      </c>
      <c r="D2209" s="1">
        <v>60</v>
      </c>
      <c r="E2209" s="1">
        <v>50</v>
      </c>
      <c r="F2209" s="1">
        <v>3</v>
      </c>
      <c r="G2209" s="1">
        <v>25</v>
      </c>
      <c r="H2209" s="1">
        <v>150</v>
      </c>
      <c r="I2209" s="1">
        <v>100</v>
      </c>
      <c r="J2209" s="1">
        <v>1.419</v>
      </c>
      <c r="K2209" s="1">
        <v>44.325000000000003</v>
      </c>
      <c r="L2209" s="1">
        <v>11.35</v>
      </c>
      <c r="M2209" s="1">
        <v>44.4</v>
      </c>
      <c r="N2209" s="1">
        <v>5.289E-2</v>
      </c>
      <c r="O2209" s="1">
        <v>3.2880000000000002E-4</v>
      </c>
      <c r="P220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3.86417918504025E-2</v>
      </c>
      <c r="Q2209" s="1">
        <f>LN(Table13[[#This Row],[qe_mg_g]]-Table13[[#This Row],[qt]])</f>
        <v>0.32234303660925473</v>
      </c>
      <c r="R2209" s="1">
        <v>3</v>
      </c>
    </row>
    <row r="2210" spans="1:18" hidden="1" x14ac:dyDescent="0.3">
      <c r="A2210" s="1">
        <v>2209</v>
      </c>
      <c r="B2210" s="1" t="s">
        <v>19</v>
      </c>
      <c r="C2210" s="1">
        <v>4</v>
      </c>
      <c r="D2210" s="1">
        <v>60</v>
      </c>
      <c r="E2210" s="1">
        <v>50</v>
      </c>
      <c r="F2210" s="1">
        <v>7</v>
      </c>
      <c r="G2210" s="1">
        <v>25</v>
      </c>
      <c r="H2210" s="1">
        <v>150</v>
      </c>
      <c r="I2210" s="1">
        <v>100</v>
      </c>
      <c r="J2210" s="1">
        <v>2.2290000000000001</v>
      </c>
      <c r="K2210" s="1">
        <v>41.082000000000001</v>
      </c>
      <c r="L2210" s="1">
        <v>17.84</v>
      </c>
      <c r="M2210" s="1">
        <v>62.3</v>
      </c>
      <c r="N2210" s="1">
        <v>5.8889999999999998E-2</v>
      </c>
      <c r="O2210" s="1">
        <v>3.4929999999999998E-4</v>
      </c>
      <c r="P221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9.9481280459485982E-2</v>
      </c>
      <c r="Q2210" s="1">
        <f>LN(Table13[[#This Row],[qe_mg_g]]-Table13[[#This Row],[qt]])</f>
        <v>0.75589600092268405</v>
      </c>
      <c r="R2210" s="1">
        <v>1</v>
      </c>
    </row>
    <row r="2211" spans="1:18" hidden="1" x14ac:dyDescent="0.3">
      <c r="A2211" s="1">
        <v>2210</v>
      </c>
      <c r="B2211" s="1" t="s">
        <v>19</v>
      </c>
      <c r="C2211" s="1">
        <v>4</v>
      </c>
      <c r="D2211" s="1">
        <v>60</v>
      </c>
      <c r="E2211" s="1">
        <v>50</v>
      </c>
      <c r="F2211" s="1">
        <v>7</v>
      </c>
      <c r="G2211" s="1">
        <v>25</v>
      </c>
      <c r="H2211" s="1">
        <v>150</v>
      </c>
      <c r="I2211" s="1">
        <v>100</v>
      </c>
      <c r="J2211" s="1">
        <v>2.2200000000000002</v>
      </c>
      <c r="K2211" s="1">
        <v>41.12</v>
      </c>
      <c r="L2211" s="1">
        <v>17.760000000000002</v>
      </c>
      <c r="M2211" s="1">
        <v>43.5</v>
      </c>
      <c r="N2211" s="1">
        <v>6.2810000000000005E-2</v>
      </c>
      <c r="O2211" s="1">
        <v>3.7070000000000001E-4</v>
      </c>
      <c r="P221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0.10445954859855737</v>
      </c>
      <c r="Q2211" s="1">
        <f>LN(Table13[[#This Row],[qe_mg_g]]-Table13[[#This Row],[qt]])</f>
        <v>0.74931031243286728</v>
      </c>
      <c r="R2211" s="1">
        <v>2</v>
      </c>
    </row>
    <row r="2212" spans="1:18" hidden="1" x14ac:dyDescent="0.3">
      <c r="A2212" s="1">
        <v>2211</v>
      </c>
      <c r="B2212" s="1" t="s">
        <v>19</v>
      </c>
      <c r="C2212" s="1">
        <v>4</v>
      </c>
      <c r="D2212" s="1">
        <v>60</v>
      </c>
      <c r="E2212" s="1">
        <v>50</v>
      </c>
      <c r="F2212" s="1">
        <v>7</v>
      </c>
      <c r="G2212" s="1">
        <v>25</v>
      </c>
      <c r="H2212" s="1">
        <v>150</v>
      </c>
      <c r="I2212" s="1">
        <v>100</v>
      </c>
      <c r="J2212" s="1">
        <v>2.194</v>
      </c>
      <c r="K2212" s="1">
        <v>41.223999999999997</v>
      </c>
      <c r="L2212" s="1">
        <v>17.55</v>
      </c>
      <c r="M2212" s="1">
        <v>60.4</v>
      </c>
      <c r="N2212" s="1">
        <v>5.4609999999999999E-2</v>
      </c>
      <c r="O2212" s="1">
        <v>3.4000000000000002E-4</v>
      </c>
      <c r="P221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9.3991347275195702E-2</v>
      </c>
      <c r="Q2212" s="1">
        <f>LN(Table13[[#This Row],[qe_mg_g]]-Table13[[#This Row],[qt]])</f>
        <v>0.74194146506603365</v>
      </c>
      <c r="R2212" s="1">
        <v>3</v>
      </c>
    </row>
    <row r="2213" spans="1:18" hidden="1" x14ac:dyDescent="0.3">
      <c r="A2213" s="1">
        <v>2212</v>
      </c>
      <c r="B2213" s="1" t="s">
        <v>19</v>
      </c>
      <c r="C2213" s="1">
        <v>4</v>
      </c>
      <c r="D2213" s="1">
        <v>60</v>
      </c>
      <c r="E2213" s="1">
        <v>50</v>
      </c>
      <c r="F2213" s="1">
        <v>11</v>
      </c>
      <c r="G2213" s="1">
        <v>25</v>
      </c>
      <c r="H2213" s="1">
        <v>150</v>
      </c>
      <c r="I2213" s="1">
        <v>100</v>
      </c>
      <c r="J2213" s="1">
        <v>1.774</v>
      </c>
      <c r="K2213" s="1">
        <v>42.905999999999999</v>
      </c>
      <c r="L2213" s="1">
        <v>14.19</v>
      </c>
      <c r="M2213" s="1">
        <v>48.5</v>
      </c>
      <c r="N2213" s="1">
        <v>5.3109999999999997E-2</v>
      </c>
      <c r="O2213" s="1">
        <v>3.5429999999999999E-4</v>
      </c>
      <c r="P221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6.446929539654836E-2</v>
      </c>
      <c r="Q2213" s="1">
        <f>LN(Table13[[#This Row],[qe_mg_g]]-Table13[[#This Row],[qt]])</f>
        <v>0.53621889109617171</v>
      </c>
      <c r="R2213" s="1">
        <v>1</v>
      </c>
    </row>
    <row r="2214" spans="1:18" hidden="1" x14ac:dyDescent="0.3">
      <c r="A2214" s="1">
        <v>2213</v>
      </c>
      <c r="B2214" s="1" t="s">
        <v>19</v>
      </c>
      <c r="C2214" s="1">
        <v>4</v>
      </c>
      <c r="D2214" s="1">
        <v>60</v>
      </c>
      <c r="E2214" s="1">
        <v>50</v>
      </c>
      <c r="F2214" s="1">
        <v>11</v>
      </c>
      <c r="G2214" s="1">
        <v>25</v>
      </c>
      <c r="H2214" s="1">
        <v>150</v>
      </c>
      <c r="I2214" s="1">
        <v>100</v>
      </c>
      <c r="J2214" s="1">
        <v>1.661</v>
      </c>
      <c r="K2214" s="1">
        <v>43.356000000000002</v>
      </c>
      <c r="L2214" s="1">
        <v>13.29</v>
      </c>
      <c r="M2214" s="1">
        <v>60</v>
      </c>
      <c r="N2214" s="1">
        <v>6.5280000000000005E-2</v>
      </c>
      <c r="O2214" s="1">
        <v>3.2360000000000001E-4</v>
      </c>
      <c r="P221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5.1893641444850959E-2</v>
      </c>
      <c r="Q2214" s="1">
        <f>LN(Table13[[#This Row],[qe_mg_g]]-Table13[[#This Row],[qt]])</f>
        <v>0.47567896809727717</v>
      </c>
      <c r="R2214" s="1">
        <v>2</v>
      </c>
    </row>
    <row r="2215" spans="1:18" hidden="1" x14ac:dyDescent="0.3">
      <c r="A2215" s="1">
        <v>2214</v>
      </c>
      <c r="B2215" s="1" t="s">
        <v>19</v>
      </c>
      <c r="C2215" s="1">
        <v>4</v>
      </c>
      <c r="D2215" s="1">
        <v>60</v>
      </c>
      <c r="E2215" s="1">
        <v>50</v>
      </c>
      <c r="F2215" s="1">
        <v>11</v>
      </c>
      <c r="G2215" s="1">
        <v>25</v>
      </c>
      <c r="H2215" s="1">
        <v>150</v>
      </c>
      <c r="I2215" s="1">
        <v>100</v>
      </c>
      <c r="J2215" s="1">
        <v>1.52</v>
      </c>
      <c r="K2215" s="1">
        <v>43.917999999999999</v>
      </c>
      <c r="L2215" s="1">
        <v>12.16</v>
      </c>
      <c r="M2215" s="1">
        <v>38.200000000000003</v>
      </c>
      <c r="N2215" s="1">
        <v>5.4170000000000003E-2</v>
      </c>
      <c r="O2215" s="1">
        <v>3.2679999999999997E-4</v>
      </c>
      <c r="P221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4.3991202366088701E-2</v>
      </c>
      <c r="Q2215" s="1">
        <f>LN(Table13[[#This Row],[qe_mg_g]]-Table13[[#This Row],[qt]])</f>
        <v>0.38934168661709678</v>
      </c>
      <c r="R2215" s="1">
        <v>3</v>
      </c>
    </row>
    <row r="2216" spans="1:18" hidden="1" x14ac:dyDescent="0.3">
      <c r="A2216" s="1">
        <v>2215</v>
      </c>
      <c r="B2216" s="1" t="s">
        <v>19</v>
      </c>
      <c r="C2216" s="1">
        <v>4</v>
      </c>
      <c r="D2216" s="1">
        <v>60</v>
      </c>
      <c r="E2216" s="1">
        <v>100</v>
      </c>
      <c r="F2216" s="1">
        <v>3</v>
      </c>
      <c r="G2216" s="1">
        <v>25</v>
      </c>
      <c r="H2216" s="1">
        <v>150</v>
      </c>
      <c r="I2216" s="1">
        <v>100</v>
      </c>
      <c r="J2216" s="1">
        <v>4.7729999999999997</v>
      </c>
      <c r="K2216" s="1">
        <v>80.91</v>
      </c>
      <c r="L2216" s="1">
        <v>19.09</v>
      </c>
      <c r="M2216" s="1">
        <v>55.6</v>
      </c>
      <c r="N2216" s="1">
        <v>4.6179999999999999E-2</v>
      </c>
      <c r="O2216" s="1">
        <v>2.8650000000000003E-4</v>
      </c>
      <c r="P221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0.36191973975236413</v>
      </c>
      <c r="Q2216" s="1">
        <f>LN(Table13[[#This Row],[qe_mg_g]]-Table13[[#This Row],[qt]])</f>
        <v>1.484119616433947</v>
      </c>
      <c r="R2216" s="1">
        <v>1</v>
      </c>
    </row>
    <row r="2217" spans="1:18" hidden="1" x14ac:dyDescent="0.3">
      <c r="A2217" s="1">
        <v>2216</v>
      </c>
      <c r="B2217" s="1" t="s">
        <v>19</v>
      </c>
      <c r="C2217" s="1">
        <v>4</v>
      </c>
      <c r="D2217" s="1">
        <v>60</v>
      </c>
      <c r="E2217" s="1">
        <v>100</v>
      </c>
      <c r="F2217" s="1">
        <v>3</v>
      </c>
      <c r="G2217" s="1">
        <v>25</v>
      </c>
      <c r="H2217" s="1">
        <v>150</v>
      </c>
      <c r="I2217" s="1">
        <v>100</v>
      </c>
      <c r="J2217" s="1">
        <v>4.8019999999999996</v>
      </c>
      <c r="K2217" s="1">
        <v>80.793999999999997</v>
      </c>
      <c r="L2217" s="1">
        <v>19.21</v>
      </c>
      <c r="M2217" s="1">
        <v>55.7</v>
      </c>
      <c r="N2217" s="1">
        <v>5.2659999999999998E-2</v>
      </c>
      <c r="O2217" s="1">
        <v>2.92E-4</v>
      </c>
      <c r="P221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0.37264614624446135</v>
      </c>
      <c r="Q2217" s="1">
        <f>LN(Table13[[#This Row],[qe_mg_g]]-Table13[[#This Row],[qt]])</f>
        <v>1.4882537164788272</v>
      </c>
      <c r="R2217" s="1">
        <v>2</v>
      </c>
    </row>
    <row r="2218" spans="1:18" hidden="1" x14ac:dyDescent="0.3">
      <c r="A2218" s="1">
        <v>2217</v>
      </c>
      <c r="B2218" s="1" t="s">
        <v>19</v>
      </c>
      <c r="C2218" s="1">
        <v>4</v>
      </c>
      <c r="D2218" s="1">
        <v>60</v>
      </c>
      <c r="E2218" s="1">
        <v>100</v>
      </c>
      <c r="F2218" s="1">
        <v>3</v>
      </c>
      <c r="G2218" s="1">
        <v>25</v>
      </c>
      <c r="H2218" s="1">
        <v>150</v>
      </c>
      <c r="I2218" s="1">
        <v>100</v>
      </c>
      <c r="J2218" s="1">
        <v>4.859</v>
      </c>
      <c r="K2218" s="1">
        <v>80.563000000000002</v>
      </c>
      <c r="L2218" s="1">
        <v>19.440000000000001</v>
      </c>
      <c r="M2218" s="1">
        <v>65</v>
      </c>
      <c r="N2218" s="1">
        <v>5.6529999999999997E-2</v>
      </c>
      <c r="O2218" s="1">
        <v>3.2029999999999998E-4</v>
      </c>
      <c r="P221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0.41498343149896744</v>
      </c>
      <c r="Q2218" s="1">
        <f>LN(Table13[[#This Row],[qe_mg_g]]-Table13[[#This Row],[qt]])</f>
        <v>1.4915586000559944</v>
      </c>
      <c r="R2218" s="1">
        <v>3</v>
      </c>
    </row>
    <row r="2219" spans="1:18" hidden="1" x14ac:dyDescent="0.3">
      <c r="A2219" s="1">
        <v>2218</v>
      </c>
      <c r="B2219" s="1" t="s">
        <v>19</v>
      </c>
      <c r="C2219" s="1">
        <v>4</v>
      </c>
      <c r="D2219" s="1">
        <v>60</v>
      </c>
      <c r="E2219" s="1">
        <v>100</v>
      </c>
      <c r="F2219" s="1">
        <v>7</v>
      </c>
      <c r="G2219" s="1">
        <v>25</v>
      </c>
      <c r="H2219" s="1">
        <v>150</v>
      </c>
      <c r="I2219" s="1">
        <v>100</v>
      </c>
      <c r="J2219" s="1">
        <v>7.6689999999999996</v>
      </c>
      <c r="K2219" s="1">
        <v>69.323999999999998</v>
      </c>
      <c r="L2219" s="1">
        <v>30.68</v>
      </c>
      <c r="M2219" s="1">
        <v>43.4</v>
      </c>
      <c r="N2219" s="1">
        <v>6.0819999999999999E-2</v>
      </c>
      <c r="O2219" s="1">
        <v>3.5290000000000001E-4</v>
      </c>
      <c r="P221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1.0713490352545518</v>
      </c>
      <c r="Q2219" s="1">
        <f>LN(Table13[[#This Row],[qe_mg_g]]-Table13[[#This Row],[qt]])</f>
        <v>1.8867136712472978</v>
      </c>
      <c r="R2219" s="1">
        <v>1</v>
      </c>
    </row>
    <row r="2220" spans="1:18" hidden="1" x14ac:dyDescent="0.3">
      <c r="A2220" s="1">
        <v>2219</v>
      </c>
      <c r="B2220" s="1" t="s">
        <v>19</v>
      </c>
      <c r="C2220" s="1">
        <v>4</v>
      </c>
      <c r="D2220" s="1">
        <v>60</v>
      </c>
      <c r="E2220" s="1">
        <v>100</v>
      </c>
      <c r="F2220" s="1">
        <v>7</v>
      </c>
      <c r="G2220" s="1">
        <v>25</v>
      </c>
      <c r="H2220" s="1">
        <v>150</v>
      </c>
      <c r="I2220" s="1">
        <v>100</v>
      </c>
      <c r="J2220" s="1">
        <v>6.6989999999999998</v>
      </c>
      <c r="K2220" s="1">
        <v>73.203999999999994</v>
      </c>
      <c r="L2220" s="1">
        <v>26.8</v>
      </c>
      <c r="M2220" s="1">
        <v>52.1</v>
      </c>
      <c r="N2220" s="1">
        <v>5.7549999999999997E-2</v>
      </c>
      <c r="O2220" s="1">
        <v>3.3829999999999998E-4</v>
      </c>
      <c r="P222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0.80186993821460906</v>
      </c>
      <c r="Q2220" s="1">
        <f>LN(Table13[[#This Row],[qe_mg_g]]-Table13[[#This Row],[qt]])</f>
        <v>1.7744658023602558</v>
      </c>
      <c r="R2220" s="1">
        <v>2</v>
      </c>
    </row>
    <row r="2221" spans="1:18" hidden="1" x14ac:dyDescent="0.3">
      <c r="A2221" s="1">
        <v>2220</v>
      </c>
      <c r="B2221" s="1" t="s">
        <v>19</v>
      </c>
      <c r="C2221" s="1">
        <v>4</v>
      </c>
      <c r="D2221" s="1">
        <v>60</v>
      </c>
      <c r="E2221" s="1">
        <v>100</v>
      </c>
      <c r="F2221" s="1">
        <v>7</v>
      </c>
      <c r="G2221" s="1">
        <v>25</v>
      </c>
      <c r="H2221" s="1">
        <v>150</v>
      </c>
      <c r="I2221" s="1">
        <v>100</v>
      </c>
      <c r="J2221" s="1">
        <v>7.4980000000000002</v>
      </c>
      <c r="K2221" s="1">
        <v>70.010000000000005</v>
      </c>
      <c r="L2221" s="1">
        <v>29.99</v>
      </c>
      <c r="M2221" s="1">
        <v>44.5</v>
      </c>
      <c r="N2221" s="1">
        <v>5.8119999999999998E-2</v>
      </c>
      <c r="O2221" s="1">
        <v>3.2729999999999999E-4</v>
      </c>
      <c r="P222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0.96234696321430779</v>
      </c>
      <c r="Q2221" s="1">
        <f>LN(Table13[[#This Row],[qe_mg_g]]-Table13[[#This Row],[qt]])</f>
        <v>1.8772722712015366</v>
      </c>
      <c r="R2221" s="1">
        <v>3</v>
      </c>
    </row>
    <row r="2222" spans="1:18" hidden="1" x14ac:dyDescent="0.3">
      <c r="A2222" s="1">
        <v>2221</v>
      </c>
      <c r="B2222" s="1" t="s">
        <v>19</v>
      </c>
      <c r="C2222" s="1">
        <v>4</v>
      </c>
      <c r="D2222" s="1">
        <v>60</v>
      </c>
      <c r="E2222" s="1">
        <v>100</v>
      </c>
      <c r="F2222" s="1">
        <v>11</v>
      </c>
      <c r="G2222" s="1">
        <v>25</v>
      </c>
      <c r="H2222" s="1">
        <v>150</v>
      </c>
      <c r="I2222" s="1">
        <v>100</v>
      </c>
      <c r="J2222" s="1">
        <v>4.944</v>
      </c>
      <c r="K2222" s="1">
        <v>80.221999999999994</v>
      </c>
      <c r="L2222" s="1">
        <v>19.78</v>
      </c>
      <c r="M2222" s="1">
        <v>51.5</v>
      </c>
      <c r="N2222" s="1">
        <v>6.0400000000000002E-2</v>
      </c>
      <c r="O2222" s="1">
        <v>3.3649999999999999E-4</v>
      </c>
      <c r="P222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0.44871633814483863</v>
      </c>
      <c r="Q2222" s="1">
        <f>LN(Table13[[#This Row],[qe_mg_g]]-Table13[[#This Row],[qt]])</f>
        <v>1.503028772018165</v>
      </c>
      <c r="R2222" s="1">
        <v>1</v>
      </c>
    </row>
    <row r="2223" spans="1:18" hidden="1" x14ac:dyDescent="0.3">
      <c r="A2223" s="1">
        <v>2222</v>
      </c>
      <c r="B2223" s="1" t="s">
        <v>19</v>
      </c>
      <c r="C2223" s="1">
        <v>4</v>
      </c>
      <c r="D2223" s="1">
        <v>60</v>
      </c>
      <c r="E2223" s="1">
        <v>100</v>
      </c>
      <c r="F2223" s="1">
        <v>11</v>
      </c>
      <c r="G2223" s="1">
        <v>25</v>
      </c>
      <c r="H2223" s="1">
        <v>150</v>
      </c>
      <c r="I2223" s="1">
        <v>100</v>
      </c>
      <c r="J2223" s="1">
        <v>6.532</v>
      </c>
      <c r="K2223" s="1">
        <v>73.872</v>
      </c>
      <c r="L2223" s="1">
        <v>26.13</v>
      </c>
      <c r="M2223" s="1">
        <v>58.1</v>
      </c>
      <c r="N2223" s="1">
        <v>5.6860000000000001E-2</v>
      </c>
      <c r="O2223" s="1">
        <v>3.455E-4</v>
      </c>
      <c r="P222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0.77900378285042737</v>
      </c>
      <c r="Q2223" s="1">
        <f>LN(Table13[[#This Row],[qe_mg_g]]-Table13[[#This Row],[qt]])</f>
        <v>1.7497208003369757</v>
      </c>
      <c r="R2223" s="1">
        <v>2</v>
      </c>
    </row>
    <row r="2224" spans="1:18" hidden="1" x14ac:dyDescent="0.3">
      <c r="A2224" s="1">
        <v>2223</v>
      </c>
      <c r="B2224" s="1" t="s">
        <v>19</v>
      </c>
      <c r="C2224" s="1">
        <v>4</v>
      </c>
      <c r="D2224" s="1">
        <v>60</v>
      </c>
      <c r="E2224" s="1">
        <v>100</v>
      </c>
      <c r="F2224" s="1">
        <v>11</v>
      </c>
      <c r="G2224" s="1">
        <v>25</v>
      </c>
      <c r="H2224" s="1">
        <v>150</v>
      </c>
      <c r="I2224" s="1">
        <v>100</v>
      </c>
      <c r="J2224" s="1">
        <v>5.7960000000000003</v>
      </c>
      <c r="K2224" s="1">
        <v>76.816999999999993</v>
      </c>
      <c r="L2224" s="1">
        <v>23.18</v>
      </c>
      <c r="M2224" s="1">
        <v>52.4</v>
      </c>
      <c r="N2224" s="1">
        <v>5.3339999999999999E-2</v>
      </c>
      <c r="O2224" s="1">
        <v>3.6860000000000001E-4</v>
      </c>
      <c r="P222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0.65854168308183303</v>
      </c>
      <c r="Q2224" s="1">
        <f>LN(Table13[[#This Row],[qe_mg_g]]-Table13[[#This Row],[qt]])</f>
        <v>1.636558466294191</v>
      </c>
      <c r="R2224" s="1">
        <v>3</v>
      </c>
    </row>
    <row r="2225" spans="1:18" hidden="1" x14ac:dyDescent="0.3">
      <c r="A2225" s="1">
        <v>2224</v>
      </c>
      <c r="B2225" s="1" t="s">
        <v>19</v>
      </c>
      <c r="C2225" s="1">
        <v>4</v>
      </c>
      <c r="D2225" s="1">
        <v>60</v>
      </c>
      <c r="E2225" s="1">
        <v>200</v>
      </c>
      <c r="F2225" s="1">
        <v>3</v>
      </c>
      <c r="G2225" s="1">
        <v>25</v>
      </c>
      <c r="H2225" s="1">
        <v>150</v>
      </c>
      <c r="I2225" s="1">
        <v>100</v>
      </c>
      <c r="J2225" s="1">
        <v>13.711</v>
      </c>
      <c r="K2225" s="1">
        <v>145.15700000000001</v>
      </c>
      <c r="L2225" s="1">
        <v>27.42</v>
      </c>
      <c r="M2225" s="1">
        <v>45.7</v>
      </c>
      <c r="N2225" s="1">
        <v>4.8820000000000002E-2</v>
      </c>
      <c r="O2225" s="1">
        <v>4.216E-4</v>
      </c>
      <c r="P222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3.5308252063616692</v>
      </c>
      <c r="Q2225" s="1">
        <f>LN(Table13[[#This Row],[qe_mg_g]]-Table13[[#This Row],[qt]])</f>
        <v>2.3204421812734295</v>
      </c>
      <c r="R2225" s="1">
        <v>1</v>
      </c>
    </row>
    <row r="2226" spans="1:18" hidden="1" x14ac:dyDescent="0.3">
      <c r="A2226" s="1">
        <v>2225</v>
      </c>
      <c r="B2226" s="1" t="s">
        <v>19</v>
      </c>
      <c r="C2226" s="1">
        <v>4</v>
      </c>
      <c r="D2226" s="1">
        <v>60</v>
      </c>
      <c r="E2226" s="1">
        <v>200</v>
      </c>
      <c r="F2226" s="1">
        <v>3</v>
      </c>
      <c r="G2226" s="1">
        <v>25</v>
      </c>
      <c r="H2226" s="1">
        <v>150</v>
      </c>
      <c r="I2226" s="1">
        <v>100</v>
      </c>
      <c r="J2226" s="1">
        <v>15.215999999999999</v>
      </c>
      <c r="K2226" s="1">
        <v>139.13399999999999</v>
      </c>
      <c r="L2226" s="1">
        <v>30.43</v>
      </c>
      <c r="M2226" s="1">
        <v>57</v>
      </c>
      <c r="N2226" s="1">
        <v>4.9180000000000001E-2</v>
      </c>
      <c r="O2226" s="1">
        <v>3.7179999999999998E-4</v>
      </c>
      <c r="P222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3.8560161844530718</v>
      </c>
      <c r="Q2226" s="1">
        <f>LN(Table13[[#This Row],[qe_mg_g]]-Table13[[#This Row],[qt]])</f>
        <v>2.4300969886042201</v>
      </c>
      <c r="R2226" s="1">
        <v>2</v>
      </c>
    </row>
    <row r="2227" spans="1:18" hidden="1" x14ac:dyDescent="0.3">
      <c r="A2227" s="1">
        <v>2226</v>
      </c>
      <c r="B2227" s="1" t="s">
        <v>19</v>
      </c>
      <c r="C2227" s="1">
        <v>4</v>
      </c>
      <c r="D2227" s="1">
        <v>60</v>
      </c>
      <c r="E2227" s="1">
        <v>200</v>
      </c>
      <c r="F2227" s="1">
        <v>3</v>
      </c>
      <c r="G2227" s="1">
        <v>25</v>
      </c>
      <c r="H2227" s="1">
        <v>150</v>
      </c>
      <c r="I2227" s="1">
        <v>100</v>
      </c>
      <c r="J2227" s="1">
        <v>14.552</v>
      </c>
      <c r="K2227" s="1">
        <v>141.792</v>
      </c>
      <c r="L2227" s="1">
        <v>29.1</v>
      </c>
      <c r="M2227" s="1">
        <v>56.3</v>
      </c>
      <c r="N2227" s="1">
        <v>4.9630000000000001E-2</v>
      </c>
      <c r="O2227" s="1">
        <v>3.5560000000000002E-4</v>
      </c>
      <c r="P222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3.4476842878584395</v>
      </c>
      <c r="Q2227" s="1">
        <f>LN(Table13[[#This Row],[qe_mg_g]]-Table13[[#This Row],[qt]])</f>
        <v>2.4073338356496645</v>
      </c>
      <c r="R2227" s="1">
        <v>3</v>
      </c>
    </row>
    <row r="2228" spans="1:18" hidden="1" x14ac:dyDescent="0.3">
      <c r="A2228" s="1">
        <v>2227</v>
      </c>
      <c r="B2228" s="1" t="s">
        <v>19</v>
      </c>
      <c r="C2228" s="1">
        <v>4</v>
      </c>
      <c r="D2228" s="1">
        <v>60</v>
      </c>
      <c r="E2228" s="1">
        <v>200</v>
      </c>
      <c r="F2228" s="1">
        <v>7</v>
      </c>
      <c r="G2228" s="1">
        <v>25</v>
      </c>
      <c r="H2228" s="1">
        <v>150</v>
      </c>
      <c r="I2228" s="1">
        <v>100</v>
      </c>
      <c r="J2228" s="1">
        <v>22.076000000000001</v>
      </c>
      <c r="K2228" s="1">
        <v>111.694</v>
      </c>
      <c r="L2228" s="1">
        <v>44.15</v>
      </c>
      <c r="M2228" s="1">
        <v>48.3</v>
      </c>
      <c r="N2228" s="1">
        <v>5.9040000000000002E-2</v>
      </c>
      <c r="O2228" s="1">
        <v>2.9619999999999999E-4</v>
      </c>
      <c r="P222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6.2206166328033516</v>
      </c>
      <c r="Q2228" s="1">
        <f>LN(Table13[[#This Row],[qe_mg_g]]-Table13[[#This Row],[qt]])</f>
        <v>2.7635090872751982</v>
      </c>
      <c r="R2228" s="1">
        <v>1</v>
      </c>
    </row>
    <row r="2229" spans="1:18" hidden="1" x14ac:dyDescent="0.3">
      <c r="A2229" s="1">
        <v>2228</v>
      </c>
      <c r="B2229" s="1" t="s">
        <v>19</v>
      </c>
      <c r="C2229" s="1">
        <v>4</v>
      </c>
      <c r="D2229" s="1">
        <v>60</v>
      </c>
      <c r="E2229" s="1">
        <v>200</v>
      </c>
      <c r="F2229" s="1">
        <v>7</v>
      </c>
      <c r="G2229" s="1">
        <v>25</v>
      </c>
      <c r="H2229" s="1">
        <v>150</v>
      </c>
      <c r="I2229" s="1">
        <v>100</v>
      </c>
      <c r="J2229" s="1">
        <v>23.651</v>
      </c>
      <c r="K2229" s="1">
        <v>105.39700000000001</v>
      </c>
      <c r="L2229" s="1">
        <v>47.3</v>
      </c>
      <c r="M2229" s="1">
        <v>60.1</v>
      </c>
      <c r="N2229" s="1">
        <v>5.0160000000000003E-2</v>
      </c>
      <c r="O2229" s="1">
        <v>3.213E-4</v>
      </c>
      <c r="P222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7.4065562869329016</v>
      </c>
      <c r="Q2229" s="1">
        <f>LN(Table13[[#This Row],[qe_mg_g]]-Table13[[#This Row],[qt]])</f>
        <v>2.7877509249562284</v>
      </c>
      <c r="R2229" s="1">
        <v>2</v>
      </c>
    </row>
    <row r="2230" spans="1:18" hidden="1" x14ac:dyDescent="0.3">
      <c r="A2230" s="1">
        <v>2229</v>
      </c>
      <c r="B2230" s="1" t="s">
        <v>19</v>
      </c>
      <c r="C2230" s="1">
        <v>4</v>
      </c>
      <c r="D2230" s="1">
        <v>60</v>
      </c>
      <c r="E2230" s="1">
        <v>200</v>
      </c>
      <c r="F2230" s="1">
        <v>7</v>
      </c>
      <c r="G2230" s="1">
        <v>25</v>
      </c>
      <c r="H2230" s="1">
        <v>150</v>
      </c>
      <c r="I2230" s="1">
        <v>100</v>
      </c>
      <c r="J2230" s="1">
        <v>22.396000000000001</v>
      </c>
      <c r="K2230" s="1">
        <v>110.41500000000001</v>
      </c>
      <c r="L2230" s="1">
        <v>44.79</v>
      </c>
      <c r="M2230" s="1">
        <v>56.9</v>
      </c>
      <c r="N2230" s="1">
        <v>5.416E-2</v>
      </c>
      <c r="O2230" s="1">
        <v>3.6519999999999999E-4</v>
      </c>
      <c r="P223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7.3726004178839508</v>
      </c>
      <c r="Q2230" s="1">
        <f>LN(Table13[[#This Row],[qe_mg_g]]-Table13[[#This Row],[qt]])</f>
        <v>2.7096089577506652</v>
      </c>
      <c r="R2230" s="1">
        <v>3</v>
      </c>
    </row>
    <row r="2231" spans="1:18" hidden="1" x14ac:dyDescent="0.3">
      <c r="A2231" s="1">
        <v>2230</v>
      </c>
      <c r="B2231" s="1" t="s">
        <v>19</v>
      </c>
      <c r="C2231" s="1">
        <v>4</v>
      </c>
      <c r="D2231" s="1">
        <v>60</v>
      </c>
      <c r="E2231" s="1">
        <v>200</v>
      </c>
      <c r="F2231" s="1">
        <v>11</v>
      </c>
      <c r="G2231" s="1">
        <v>25</v>
      </c>
      <c r="H2231" s="1">
        <v>150</v>
      </c>
      <c r="I2231" s="1">
        <v>100</v>
      </c>
      <c r="J2231" s="1">
        <v>19.998999999999999</v>
      </c>
      <c r="K2231" s="1">
        <v>120.003</v>
      </c>
      <c r="L2231" s="1">
        <v>40</v>
      </c>
      <c r="M2231" s="1">
        <v>50.4</v>
      </c>
      <c r="N2231" s="1">
        <v>4.5569999999999999E-2</v>
      </c>
      <c r="O2231" s="1">
        <v>3.7889999999999999E-4</v>
      </c>
      <c r="P223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6.250744333568675</v>
      </c>
      <c r="Q2231" s="1">
        <f>LN(Table13[[#This Row],[qe_mg_g]]-Table13[[#This Row],[qt]])</f>
        <v>2.6209119554419145</v>
      </c>
      <c r="R2231" s="1">
        <v>1</v>
      </c>
    </row>
    <row r="2232" spans="1:18" hidden="1" x14ac:dyDescent="0.3">
      <c r="A2232" s="1">
        <v>2231</v>
      </c>
      <c r="B2232" s="1" t="s">
        <v>19</v>
      </c>
      <c r="C2232" s="1">
        <v>4</v>
      </c>
      <c r="D2232" s="1">
        <v>60</v>
      </c>
      <c r="E2232" s="1">
        <v>200</v>
      </c>
      <c r="F2232" s="1">
        <v>11</v>
      </c>
      <c r="G2232" s="1">
        <v>25</v>
      </c>
      <c r="H2232" s="1">
        <v>150</v>
      </c>
      <c r="I2232" s="1">
        <v>100</v>
      </c>
      <c r="J2232" s="1">
        <v>19.899999999999999</v>
      </c>
      <c r="K2232" s="1">
        <v>120.4</v>
      </c>
      <c r="L2232" s="1">
        <v>39.799999999999997</v>
      </c>
      <c r="M2232" s="1">
        <v>57.8</v>
      </c>
      <c r="N2232" s="1">
        <v>4.9020000000000001E-2</v>
      </c>
      <c r="O2232" s="1">
        <v>3.457E-4</v>
      </c>
      <c r="P223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5.8141550566980023</v>
      </c>
      <c r="Q2232" s="1">
        <f>LN(Table13[[#This Row],[qe_mg_g]]-Table13[[#This Row],[qt]])</f>
        <v>2.6451703884039066</v>
      </c>
      <c r="R2232" s="1">
        <v>2</v>
      </c>
    </row>
    <row r="2233" spans="1:18" hidden="1" x14ac:dyDescent="0.3">
      <c r="A2233" s="1">
        <v>2232</v>
      </c>
      <c r="B2233" s="1" t="s">
        <v>19</v>
      </c>
      <c r="C2233" s="1">
        <v>4</v>
      </c>
      <c r="D2233" s="1">
        <v>60</v>
      </c>
      <c r="E2233" s="1">
        <v>200</v>
      </c>
      <c r="F2233" s="1">
        <v>11</v>
      </c>
      <c r="G2233" s="1">
        <v>25</v>
      </c>
      <c r="H2233" s="1">
        <v>150</v>
      </c>
      <c r="I2233" s="1">
        <v>100</v>
      </c>
      <c r="J2233" s="1">
        <v>16.408000000000001</v>
      </c>
      <c r="K2233" s="1">
        <v>134.36600000000001</v>
      </c>
      <c r="L2233" s="1">
        <v>32.82</v>
      </c>
      <c r="M2233" s="1">
        <v>59.8</v>
      </c>
      <c r="N2233" s="1">
        <v>4.7570000000000001E-2</v>
      </c>
      <c r="O2233" s="1">
        <v>3.3950000000000001E-4</v>
      </c>
      <c r="P223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4.1102790716833617</v>
      </c>
      <c r="Q2233" s="1">
        <f>LN(Table13[[#This Row],[qe_mg_g]]-Table13[[#This Row],[qt]])</f>
        <v>2.5094139548292276</v>
      </c>
      <c r="R2233" s="1">
        <v>3</v>
      </c>
    </row>
    <row r="2234" spans="1:18" hidden="1" x14ac:dyDescent="0.3">
      <c r="A2234" s="1">
        <v>2233</v>
      </c>
      <c r="B2234" s="1" t="s">
        <v>19</v>
      </c>
      <c r="C2234" s="1">
        <v>4</v>
      </c>
      <c r="D2234" s="1">
        <v>120</v>
      </c>
      <c r="E2234" s="1">
        <v>25</v>
      </c>
      <c r="F2234" s="1">
        <v>3</v>
      </c>
      <c r="G2234" s="1">
        <v>25</v>
      </c>
      <c r="H2234" s="1">
        <v>150</v>
      </c>
      <c r="I2234" s="1">
        <v>100</v>
      </c>
      <c r="J2234" s="1">
        <v>0.63700000000000001</v>
      </c>
      <c r="K2234" s="1">
        <v>22.454000000000001</v>
      </c>
      <c r="L2234" s="1">
        <v>10.19</v>
      </c>
      <c r="M2234" s="1">
        <v>55.6</v>
      </c>
      <c r="N2234" s="1">
        <v>5.2990000000000002E-2</v>
      </c>
      <c r="O2234" s="1">
        <v>3.5619999999999998E-4</v>
      </c>
      <c r="P223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1.6884461241010961E-2</v>
      </c>
      <c r="Q2234" s="1">
        <f>LN(Table13[[#This Row],[qe_mg_g]]-Table13[[#This Row],[qt]])</f>
        <v>-0.47784946546745377</v>
      </c>
      <c r="R2234" s="1">
        <v>1</v>
      </c>
    </row>
    <row r="2235" spans="1:18" hidden="1" x14ac:dyDescent="0.3">
      <c r="A2235" s="1">
        <v>2234</v>
      </c>
      <c r="B2235" s="1" t="s">
        <v>19</v>
      </c>
      <c r="C2235" s="1">
        <v>4</v>
      </c>
      <c r="D2235" s="1">
        <v>120</v>
      </c>
      <c r="E2235" s="1">
        <v>25</v>
      </c>
      <c r="F2235" s="1">
        <v>3</v>
      </c>
      <c r="G2235" s="1">
        <v>25</v>
      </c>
      <c r="H2235" s="1">
        <v>150</v>
      </c>
      <c r="I2235" s="1">
        <v>100</v>
      </c>
      <c r="J2235" s="1">
        <v>0.68600000000000005</v>
      </c>
      <c r="K2235" s="1">
        <v>22.257000000000001</v>
      </c>
      <c r="L2235" s="1">
        <v>10.97</v>
      </c>
      <c r="M2235" s="1">
        <v>46.5</v>
      </c>
      <c r="N2235" s="1">
        <v>5.8450000000000002E-2</v>
      </c>
      <c r="O2235" s="1">
        <v>3.4830000000000001E-4</v>
      </c>
      <c r="P223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1.9120797829857646E-2</v>
      </c>
      <c r="Q2235" s="1">
        <f>LN(Table13[[#This Row],[qe_mg_g]]-Table13[[#This Row],[qt]])</f>
        <v>-0.40514635565991053</v>
      </c>
      <c r="R2235" s="1">
        <v>2</v>
      </c>
    </row>
    <row r="2236" spans="1:18" hidden="1" x14ac:dyDescent="0.3">
      <c r="A2236" s="1">
        <v>2235</v>
      </c>
      <c r="B2236" s="1" t="s">
        <v>19</v>
      </c>
      <c r="C2236" s="1">
        <v>4</v>
      </c>
      <c r="D2236" s="1">
        <v>120</v>
      </c>
      <c r="E2236" s="1">
        <v>25</v>
      </c>
      <c r="F2236" s="1">
        <v>3</v>
      </c>
      <c r="G2236" s="1">
        <v>25</v>
      </c>
      <c r="H2236" s="1">
        <v>150</v>
      </c>
      <c r="I2236" s="1">
        <v>100</v>
      </c>
      <c r="J2236" s="1">
        <v>0.63700000000000001</v>
      </c>
      <c r="K2236" s="1">
        <v>22.451000000000001</v>
      </c>
      <c r="L2236" s="1">
        <v>10.199999999999999</v>
      </c>
      <c r="M2236" s="1">
        <v>72.900000000000006</v>
      </c>
      <c r="N2236" s="1">
        <v>5.7619999999999998E-2</v>
      </c>
      <c r="O2236" s="1">
        <v>3.4459999999999997E-4</v>
      </c>
      <c r="P223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1.6348714536287591E-2</v>
      </c>
      <c r="Q2236" s="1">
        <f>LN(Table13[[#This Row],[qe_mg_g]]-Table13[[#This Row],[qt]])</f>
        <v>-0.47698589186513113</v>
      </c>
      <c r="R2236" s="1">
        <v>3</v>
      </c>
    </row>
    <row r="2237" spans="1:18" hidden="1" x14ac:dyDescent="0.3">
      <c r="A2237" s="1">
        <v>2236</v>
      </c>
      <c r="B2237" s="1" t="s">
        <v>19</v>
      </c>
      <c r="C2237" s="1">
        <v>4</v>
      </c>
      <c r="D2237" s="1">
        <v>120</v>
      </c>
      <c r="E2237" s="1">
        <v>25</v>
      </c>
      <c r="F2237" s="1">
        <v>7</v>
      </c>
      <c r="G2237" s="1">
        <v>25</v>
      </c>
      <c r="H2237" s="1">
        <v>150</v>
      </c>
      <c r="I2237" s="1">
        <v>100</v>
      </c>
      <c r="J2237" s="1">
        <v>1.2689999999999999</v>
      </c>
      <c r="K2237" s="1">
        <v>19.925999999999998</v>
      </c>
      <c r="L2237" s="1">
        <v>20.3</v>
      </c>
      <c r="M2237" s="1">
        <v>69.599999999999994</v>
      </c>
      <c r="N2237" s="1">
        <v>5.4199999999999998E-2</v>
      </c>
      <c r="O2237" s="1">
        <v>3.6220000000000002E-4</v>
      </c>
      <c r="P223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6.6334023319263011E-2</v>
      </c>
      <c r="Q2237" s="1">
        <f>LN(Table13[[#This Row],[qe_mg_g]]-Table13[[#This Row],[qt]])</f>
        <v>0.18454073981874666</v>
      </c>
      <c r="R2237" s="1">
        <v>1</v>
      </c>
    </row>
    <row r="2238" spans="1:18" hidden="1" x14ac:dyDescent="0.3">
      <c r="A2238" s="1">
        <v>2237</v>
      </c>
      <c r="B2238" s="1" t="s">
        <v>19</v>
      </c>
      <c r="C2238" s="1">
        <v>4</v>
      </c>
      <c r="D2238" s="1">
        <v>120</v>
      </c>
      <c r="E2238" s="1">
        <v>25</v>
      </c>
      <c r="F2238" s="1">
        <v>7</v>
      </c>
      <c r="G2238" s="1">
        <v>25</v>
      </c>
      <c r="H2238" s="1">
        <v>150</v>
      </c>
      <c r="I2238" s="1">
        <v>100</v>
      </c>
      <c r="J2238" s="1">
        <v>1.0740000000000001</v>
      </c>
      <c r="K2238" s="1">
        <v>20.702000000000002</v>
      </c>
      <c r="L2238" s="1">
        <v>17.190000000000001</v>
      </c>
      <c r="M2238" s="1">
        <v>53.3</v>
      </c>
      <c r="N2238" s="1">
        <v>5.391E-2</v>
      </c>
      <c r="O2238" s="1">
        <v>3.5649999999999999E-4</v>
      </c>
      <c r="P223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4.7178072758880842E-2</v>
      </c>
      <c r="Q2238" s="1">
        <f>LN(Table13[[#This Row],[qe_mg_g]]-Table13[[#This Row],[qt]])</f>
        <v>2.6468524715856472E-2</v>
      </c>
      <c r="R2238" s="1">
        <v>2</v>
      </c>
    </row>
    <row r="2239" spans="1:18" hidden="1" x14ac:dyDescent="0.3">
      <c r="A2239" s="1">
        <v>2238</v>
      </c>
      <c r="B2239" s="1" t="s">
        <v>19</v>
      </c>
      <c r="C2239" s="1">
        <v>4</v>
      </c>
      <c r="D2239" s="1">
        <v>120</v>
      </c>
      <c r="E2239" s="1">
        <v>25</v>
      </c>
      <c r="F2239" s="1">
        <v>7</v>
      </c>
      <c r="G2239" s="1">
        <v>25</v>
      </c>
      <c r="H2239" s="1">
        <v>150</v>
      </c>
      <c r="I2239" s="1">
        <v>100</v>
      </c>
      <c r="J2239" s="1">
        <v>1.181</v>
      </c>
      <c r="K2239" s="1">
        <v>20.274999999999999</v>
      </c>
      <c r="L2239" s="1">
        <v>18.899999999999999</v>
      </c>
      <c r="M2239" s="1">
        <v>59.1</v>
      </c>
      <c r="N2239" s="1">
        <v>5.6309999999999999E-2</v>
      </c>
      <c r="O2239" s="1">
        <v>3.076E-4</v>
      </c>
      <c r="P223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4.933284765232708E-2</v>
      </c>
      <c r="Q2239" s="1">
        <f>LN(Table13[[#This Row],[qe_mg_g]]-Table13[[#This Row],[qt]])</f>
        <v>0.12369190151565905</v>
      </c>
      <c r="R2239" s="1">
        <v>3</v>
      </c>
    </row>
    <row r="2240" spans="1:18" hidden="1" x14ac:dyDescent="0.3">
      <c r="A2240" s="1">
        <v>2239</v>
      </c>
      <c r="B2240" s="1" t="s">
        <v>19</v>
      </c>
      <c r="C2240" s="1">
        <v>4</v>
      </c>
      <c r="D2240" s="1">
        <v>120</v>
      </c>
      <c r="E2240" s="1">
        <v>25</v>
      </c>
      <c r="F2240" s="1">
        <v>11</v>
      </c>
      <c r="G2240" s="1">
        <v>25</v>
      </c>
      <c r="H2240" s="1">
        <v>150</v>
      </c>
      <c r="I2240" s="1">
        <v>100</v>
      </c>
      <c r="J2240" s="1">
        <v>0.80400000000000005</v>
      </c>
      <c r="K2240" s="1">
        <v>21.783000000000001</v>
      </c>
      <c r="L2240" s="1">
        <v>12.87</v>
      </c>
      <c r="M2240" s="1">
        <v>50.1</v>
      </c>
      <c r="N2240" s="1">
        <v>5.3449999999999998E-2</v>
      </c>
      <c r="O2240" s="1">
        <v>3.8680000000000002E-4</v>
      </c>
      <c r="P224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2.8924622569911195E-2</v>
      </c>
      <c r="Q2240" s="1">
        <f>LN(Table13[[#This Row],[qe_mg_g]]-Table13[[#This Row],[qt]])</f>
        <v>-0.25479499315823934</v>
      </c>
      <c r="R2240" s="1">
        <v>1</v>
      </c>
    </row>
    <row r="2241" spans="1:18" hidden="1" x14ac:dyDescent="0.3">
      <c r="A2241" s="1">
        <v>2240</v>
      </c>
      <c r="B2241" s="1" t="s">
        <v>19</v>
      </c>
      <c r="C2241" s="1">
        <v>4</v>
      </c>
      <c r="D2241" s="1">
        <v>120</v>
      </c>
      <c r="E2241" s="1">
        <v>25</v>
      </c>
      <c r="F2241" s="1">
        <v>11</v>
      </c>
      <c r="G2241" s="1">
        <v>25</v>
      </c>
      <c r="H2241" s="1">
        <v>150</v>
      </c>
      <c r="I2241" s="1">
        <v>100</v>
      </c>
      <c r="J2241" s="1">
        <v>0.79100000000000004</v>
      </c>
      <c r="K2241" s="1">
        <v>21.837</v>
      </c>
      <c r="L2241" s="1">
        <v>12.65</v>
      </c>
      <c r="M2241" s="1">
        <v>51.6</v>
      </c>
      <c r="N2241" s="1">
        <v>6.0240000000000002E-2</v>
      </c>
      <c r="O2241" s="1">
        <v>3.3950000000000001E-4</v>
      </c>
      <c r="P224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2.4694456677453781E-2</v>
      </c>
      <c r="Q2241" s="1">
        <f>LN(Table13[[#This Row],[qe_mg_g]]-Table13[[#This Row],[qt]])</f>
        <v>-0.26617430715154833</v>
      </c>
      <c r="R2241" s="1">
        <v>2</v>
      </c>
    </row>
    <row r="2242" spans="1:18" hidden="1" x14ac:dyDescent="0.3">
      <c r="A2242" s="1">
        <v>2241</v>
      </c>
      <c r="B2242" s="1" t="s">
        <v>19</v>
      </c>
      <c r="C2242" s="1">
        <v>4</v>
      </c>
      <c r="D2242" s="1">
        <v>120</v>
      </c>
      <c r="E2242" s="1">
        <v>25</v>
      </c>
      <c r="F2242" s="1">
        <v>11</v>
      </c>
      <c r="G2242" s="1">
        <v>25</v>
      </c>
      <c r="H2242" s="1">
        <v>150</v>
      </c>
      <c r="I2242" s="1">
        <v>100</v>
      </c>
      <c r="J2242" s="1">
        <v>0.88800000000000001</v>
      </c>
      <c r="K2242" s="1">
        <v>21.446000000000002</v>
      </c>
      <c r="L2242" s="1">
        <v>14.21</v>
      </c>
      <c r="M2242" s="1">
        <v>53.4</v>
      </c>
      <c r="N2242" s="1">
        <v>5.6410000000000002E-2</v>
      </c>
      <c r="O2242" s="1">
        <v>3.4200000000000002E-4</v>
      </c>
      <c r="P224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3.1223935637129559E-2</v>
      </c>
      <c r="Q2242" s="1">
        <f>LN(Table13[[#This Row],[qe_mg_g]]-Table13[[#This Row],[qt]])</f>
        <v>-0.15457869632323595</v>
      </c>
      <c r="R2242" s="1">
        <v>3</v>
      </c>
    </row>
    <row r="2243" spans="1:18" hidden="1" x14ac:dyDescent="0.3">
      <c r="A2243" s="1">
        <v>2242</v>
      </c>
      <c r="B2243" s="1" t="s">
        <v>19</v>
      </c>
      <c r="C2243" s="1">
        <v>4</v>
      </c>
      <c r="D2243" s="1">
        <v>120</v>
      </c>
      <c r="E2243" s="1">
        <v>50</v>
      </c>
      <c r="F2243" s="1">
        <v>3</v>
      </c>
      <c r="G2243" s="1">
        <v>25</v>
      </c>
      <c r="H2243" s="1">
        <v>150</v>
      </c>
      <c r="I2243" s="1">
        <v>100</v>
      </c>
      <c r="J2243" s="1">
        <v>2.4630000000000001</v>
      </c>
      <c r="K2243" s="1">
        <v>40.149000000000001</v>
      </c>
      <c r="L2243" s="1">
        <v>19.7</v>
      </c>
      <c r="M2243" s="1">
        <v>41.9</v>
      </c>
      <c r="N2243" s="1">
        <v>5.2999999999999999E-2</v>
      </c>
      <c r="O2243" s="1">
        <v>3.6039999999999998E-4</v>
      </c>
      <c r="P224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0.23710223786465123</v>
      </c>
      <c r="Q2243" s="1">
        <f>LN(Table13[[#This Row],[qe_mg_g]]-Table13[[#This Row],[qt]])</f>
        <v>0.80016032283872485</v>
      </c>
      <c r="R2243" s="1">
        <v>1</v>
      </c>
    </row>
    <row r="2244" spans="1:18" hidden="1" x14ac:dyDescent="0.3">
      <c r="A2244" s="1">
        <v>2243</v>
      </c>
      <c r="B2244" s="1" t="s">
        <v>19</v>
      </c>
      <c r="C2244" s="1">
        <v>4</v>
      </c>
      <c r="D2244" s="1">
        <v>120</v>
      </c>
      <c r="E2244" s="1">
        <v>50</v>
      </c>
      <c r="F2244" s="1">
        <v>3</v>
      </c>
      <c r="G2244" s="1">
        <v>25</v>
      </c>
      <c r="H2244" s="1">
        <v>150</v>
      </c>
      <c r="I2244" s="1">
        <v>100</v>
      </c>
      <c r="J2244" s="1">
        <v>2.4409999999999998</v>
      </c>
      <c r="K2244" s="1">
        <v>40.237000000000002</v>
      </c>
      <c r="L2244" s="1">
        <v>19.53</v>
      </c>
      <c r="M2244" s="1">
        <v>66.8</v>
      </c>
      <c r="N2244" s="1">
        <v>5.2850000000000001E-2</v>
      </c>
      <c r="O2244" s="1">
        <v>4.0180000000000001E-4</v>
      </c>
      <c r="P224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0.2570415489855134</v>
      </c>
      <c r="Q2244" s="1">
        <f>LN(Table13[[#This Row],[qe_mg_g]]-Table13[[#This Row],[qt]])</f>
        <v>0.78113903344092872</v>
      </c>
      <c r="R2244" s="1">
        <v>2</v>
      </c>
    </row>
    <row r="2245" spans="1:18" hidden="1" x14ac:dyDescent="0.3">
      <c r="A2245" s="1">
        <v>2244</v>
      </c>
      <c r="B2245" s="1" t="s">
        <v>19</v>
      </c>
      <c r="C2245" s="1">
        <v>4</v>
      </c>
      <c r="D2245" s="1">
        <v>120</v>
      </c>
      <c r="E2245" s="1">
        <v>50</v>
      </c>
      <c r="F2245" s="1">
        <v>3</v>
      </c>
      <c r="G2245" s="1">
        <v>25</v>
      </c>
      <c r="H2245" s="1">
        <v>150</v>
      </c>
      <c r="I2245" s="1">
        <v>100</v>
      </c>
      <c r="J2245" s="1">
        <v>2.2440000000000002</v>
      </c>
      <c r="K2245" s="1">
        <v>41.023000000000003</v>
      </c>
      <c r="L2245" s="1">
        <v>17.95</v>
      </c>
      <c r="M2245" s="1">
        <v>65.400000000000006</v>
      </c>
      <c r="N2245" s="1">
        <v>5.9499999999999997E-2</v>
      </c>
      <c r="O2245" s="1">
        <v>3.1799999999999998E-4</v>
      </c>
      <c r="P224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0.17699941018635582</v>
      </c>
      <c r="Q2245" s="1">
        <f>LN(Table13[[#This Row],[qe_mg_g]]-Table13[[#This Row],[qt]])</f>
        <v>0.72609856604726553</v>
      </c>
      <c r="R2245" s="1">
        <v>3</v>
      </c>
    </row>
    <row r="2246" spans="1:18" hidden="1" x14ac:dyDescent="0.3">
      <c r="A2246" s="1">
        <v>2245</v>
      </c>
      <c r="B2246" s="1" t="s">
        <v>19</v>
      </c>
      <c r="C2246" s="1">
        <v>4</v>
      </c>
      <c r="D2246" s="1">
        <v>120</v>
      </c>
      <c r="E2246" s="1">
        <v>50</v>
      </c>
      <c r="F2246" s="1">
        <v>7</v>
      </c>
      <c r="G2246" s="1">
        <v>25</v>
      </c>
      <c r="H2246" s="1">
        <v>150</v>
      </c>
      <c r="I2246" s="1">
        <v>100</v>
      </c>
      <c r="J2246" s="1">
        <v>3.9060000000000001</v>
      </c>
      <c r="K2246" s="1">
        <v>34.375999999999998</v>
      </c>
      <c r="L2246" s="1">
        <v>31.25</v>
      </c>
      <c r="M2246" s="1">
        <v>54.1</v>
      </c>
      <c r="N2246" s="1">
        <v>5.8439999999999999E-2</v>
      </c>
      <c r="O2246" s="1">
        <v>3.4220000000000002E-4</v>
      </c>
      <c r="P224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0.53990768853264159</v>
      </c>
      <c r="Q2246" s="1">
        <f>LN(Table13[[#This Row],[qe_mg_g]]-Table13[[#This Row],[qt]])</f>
        <v>1.2137525200709243</v>
      </c>
      <c r="R2246" s="1">
        <v>1</v>
      </c>
    </row>
    <row r="2247" spans="1:18" hidden="1" x14ac:dyDescent="0.3">
      <c r="A2247" s="1">
        <v>2246</v>
      </c>
      <c r="B2247" s="1" t="s">
        <v>19</v>
      </c>
      <c r="C2247" s="1">
        <v>4</v>
      </c>
      <c r="D2247" s="1">
        <v>120</v>
      </c>
      <c r="E2247" s="1">
        <v>50</v>
      </c>
      <c r="F2247" s="1">
        <v>7</v>
      </c>
      <c r="G2247" s="1">
        <v>25</v>
      </c>
      <c r="H2247" s="1">
        <v>150</v>
      </c>
      <c r="I2247" s="1">
        <v>100</v>
      </c>
      <c r="J2247" s="1">
        <v>3.742</v>
      </c>
      <c r="K2247" s="1">
        <v>35.033999999999999</v>
      </c>
      <c r="L2247" s="1">
        <v>29.93</v>
      </c>
      <c r="M2247" s="1">
        <v>65.7</v>
      </c>
      <c r="N2247" s="1">
        <v>5.4460000000000001E-2</v>
      </c>
      <c r="O2247" s="1">
        <v>3.7889999999999999E-4</v>
      </c>
      <c r="P224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0.54409548991408263</v>
      </c>
      <c r="Q2247" s="1">
        <f>LN(Table13[[#This Row],[qe_mg_g]]-Table13[[#This Row],[qt]])</f>
        <v>1.1624957547057775</v>
      </c>
      <c r="R2247" s="1">
        <v>2</v>
      </c>
    </row>
    <row r="2248" spans="1:18" hidden="1" x14ac:dyDescent="0.3">
      <c r="A2248" s="1">
        <v>2247</v>
      </c>
      <c r="B2248" s="1" t="s">
        <v>19</v>
      </c>
      <c r="C2248" s="1">
        <v>4</v>
      </c>
      <c r="D2248" s="1">
        <v>120</v>
      </c>
      <c r="E2248" s="1">
        <v>50</v>
      </c>
      <c r="F2248" s="1">
        <v>7</v>
      </c>
      <c r="G2248" s="1">
        <v>25</v>
      </c>
      <c r="H2248" s="1">
        <v>150</v>
      </c>
      <c r="I2248" s="1">
        <v>100</v>
      </c>
      <c r="J2248" s="1">
        <v>3.7639999999999998</v>
      </c>
      <c r="K2248" s="1">
        <v>34.945999999999998</v>
      </c>
      <c r="L2248" s="1">
        <v>30.11</v>
      </c>
      <c r="M2248" s="1">
        <v>68.2</v>
      </c>
      <c r="N2248" s="1">
        <v>5.1270000000000003E-2</v>
      </c>
      <c r="O2248" s="1">
        <v>3.2850000000000002E-4</v>
      </c>
      <c r="P224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0.48633039035059639</v>
      </c>
      <c r="Q2248" s="1">
        <f>LN(Table13[[#This Row],[qe_mg_g]]-Table13[[#This Row],[qt]])</f>
        <v>1.1871326850190833</v>
      </c>
      <c r="R2248" s="1">
        <v>3</v>
      </c>
    </row>
    <row r="2249" spans="1:18" hidden="1" x14ac:dyDescent="0.3">
      <c r="A2249" s="1">
        <v>2248</v>
      </c>
      <c r="B2249" s="1" t="s">
        <v>19</v>
      </c>
      <c r="C2249" s="1">
        <v>4</v>
      </c>
      <c r="D2249" s="1">
        <v>120</v>
      </c>
      <c r="E2249" s="1">
        <v>50</v>
      </c>
      <c r="F2249" s="1">
        <v>11</v>
      </c>
      <c r="G2249" s="1">
        <v>25</v>
      </c>
      <c r="H2249" s="1">
        <v>150</v>
      </c>
      <c r="I2249" s="1">
        <v>100</v>
      </c>
      <c r="J2249" s="1">
        <v>3.2240000000000002</v>
      </c>
      <c r="K2249" s="1">
        <v>37.106000000000002</v>
      </c>
      <c r="L2249" s="1">
        <v>25.79</v>
      </c>
      <c r="M2249" s="1">
        <v>50.9</v>
      </c>
      <c r="N2249" s="1">
        <v>6.3810000000000006E-2</v>
      </c>
      <c r="O2249" s="1">
        <v>3.812E-4</v>
      </c>
      <c r="P224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0.41436168285817776</v>
      </c>
      <c r="Q2249" s="1">
        <f>LN(Table13[[#This Row],[qe_mg_g]]-Table13[[#This Row],[qt]])</f>
        <v>1.033055762300539</v>
      </c>
      <c r="R2249" s="1">
        <v>1</v>
      </c>
    </row>
    <row r="2250" spans="1:18" hidden="1" x14ac:dyDescent="0.3">
      <c r="A2250" s="1">
        <v>2249</v>
      </c>
      <c r="B2250" s="1" t="s">
        <v>19</v>
      </c>
      <c r="C2250" s="1">
        <v>4</v>
      </c>
      <c r="D2250" s="1">
        <v>120</v>
      </c>
      <c r="E2250" s="1">
        <v>50</v>
      </c>
      <c r="F2250" s="1">
        <v>11</v>
      </c>
      <c r="G2250" s="1">
        <v>25</v>
      </c>
      <c r="H2250" s="1">
        <v>150</v>
      </c>
      <c r="I2250" s="1">
        <v>100</v>
      </c>
      <c r="J2250" s="1">
        <v>2.8809999999999998</v>
      </c>
      <c r="K2250" s="1">
        <v>38.475000000000001</v>
      </c>
      <c r="L2250" s="1">
        <v>23.05</v>
      </c>
      <c r="M2250" s="1">
        <v>39.700000000000003</v>
      </c>
      <c r="N2250" s="1">
        <v>5.4890000000000001E-2</v>
      </c>
      <c r="O2250" s="1">
        <v>3.5359999999999998E-4</v>
      </c>
      <c r="P225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0.31382802501929985</v>
      </c>
      <c r="Q2250" s="1">
        <f>LN(Table13[[#This Row],[qe_mg_g]]-Table13[[#This Row],[qt]])</f>
        <v>0.9428048941836138</v>
      </c>
      <c r="R2250" s="1">
        <v>2</v>
      </c>
    </row>
    <row r="2251" spans="1:18" hidden="1" x14ac:dyDescent="0.3">
      <c r="A2251" s="1">
        <v>2250</v>
      </c>
      <c r="B2251" s="1" t="s">
        <v>19</v>
      </c>
      <c r="C2251" s="1">
        <v>4</v>
      </c>
      <c r="D2251" s="1">
        <v>120</v>
      </c>
      <c r="E2251" s="1">
        <v>50</v>
      </c>
      <c r="F2251" s="1">
        <v>11</v>
      </c>
      <c r="G2251" s="1">
        <v>25</v>
      </c>
      <c r="H2251" s="1">
        <v>150</v>
      </c>
      <c r="I2251" s="1">
        <v>100</v>
      </c>
      <c r="J2251" s="1">
        <v>3.1509999999999998</v>
      </c>
      <c r="K2251" s="1">
        <v>37.396999999999998</v>
      </c>
      <c r="L2251" s="1">
        <v>25.21</v>
      </c>
      <c r="M2251" s="1">
        <v>67.5</v>
      </c>
      <c r="N2251" s="1">
        <v>5.1229999999999998E-2</v>
      </c>
      <c r="O2251" s="1">
        <v>3.7800000000000003E-4</v>
      </c>
      <c r="P225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0.39404921172031132</v>
      </c>
      <c r="Q2251" s="1">
        <f>LN(Table13[[#This Row],[qe_mg_g]]-Table13[[#This Row],[qt]])</f>
        <v>1.0141252821470188</v>
      </c>
      <c r="R2251" s="1">
        <v>3</v>
      </c>
    </row>
    <row r="2252" spans="1:18" hidden="1" x14ac:dyDescent="0.3">
      <c r="A2252" s="1">
        <v>2251</v>
      </c>
      <c r="B2252" s="1" t="s">
        <v>19</v>
      </c>
      <c r="C2252" s="1">
        <v>4</v>
      </c>
      <c r="D2252" s="1">
        <v>120</v>
      </c>
      <c r="E2252" s="1">
        <v>100</v>
      </c>
      <c r="F2252" s="1">
        <v>3</v>
      </c>
      <c r="G2252" s="1">
        <v>25</v>
      </c>
      <c r="H2252" s="1">
        <v>150</v>
      </c>
      <c r="I2252" s="1">
        <v>100</v>
      </c>
      <c r="J2252" s="1">
        <v>7.734</v>
      </c>
      <c r="K2252" s="1">
        <v>69.063000000000002</v>
      </c>
      <c r="L2252" s="1">
        <v>30.94</v>
      </c>
      <c r="M2252" s="1">
        <v>63.3</v>
      </c>
      <c r="N2252" s="1">
        <v>5.774E-2</v>
      </c>
      <c r="O2252" s="1">
        <v>2.8200000000000002E-4</v>
      </c>
      <c r="P225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1.6042653308040424</v>
      </c>
      <c r="Q2252" s="1">
        <f>LN(Table13[[#This Row],[qe_mg_g]]-Table13[[#This Row],[qt]])</f>
        <v>1.8131514650302578</v>
      </c>
      <c r="R2252" s="1">
        <v>1</v>
      </c>
    </row>
    <row r="2253" spans="1:18" hidden="1" x14ac:dyDescent="0.3">
      <c r="A2253" s="1">
        <v>2252</v>
      </c>
      <c r="B2253" s="1" t="s">
        <v>19</v>
      </c>
      <c r="C2253" s="1">
        <v>4</v>
      </c>
      <c r="D2253" s="1">
        <v>120</v>
      </c>
      <c r="E2253" s="1">
        <v>100</v>
      </c>
      <c r="F2253" s="1">
        <v>3</v>
      </c>
      <c r="G2253" s="1">
        <v>25</v>
      </c>
      <c r="H2253" s="1">
        <v>150</v>
      </c>
      <c r="I2253" s="1">
        <v>100</v>
      </c>
      <c r="J2253" s="1">
        <v>7.2610000000000001</v>
      </c>
      <c r="K2253" s="1">
        <v>70.954999999999998</v>
      </c>
      <c r="L2253" s="1">
        <v>29.04</v>
      </c>
      <c r="M2253" s="1">
        <v>45.1</v>
      </c>
      <c r="N2253" s="1">
        <v>5.389E-2</v>
      </c>
      <c r="O2253" s="1">
        <v>3.8430000000000002E-4</v>
      </c>
      <c r="P225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1.8214304769690548</v>
      </c>
      <c r="Q2253" s="1">
        <f>LN(Table13[[#This Row],[qe_mg_g]]-Table13[[#This Row],[qt]])</f>
        <v>1.6936999259409835</v>
      </c>
      <c r="R2253" s="1">
        <v>2</v>
      </c>
    </row>
    <row r="2254" spans="1:18" hidden="1" x14ac:dyDescent="0.3">
      <c r="A2254" s="1">
        <v>2253</v>
      </c>
      <c r="B2254" s="1" t="s">
        <v>19</v>
      </c>
      <c r="C2254" s="1">
        <v>4</v>
      </c>
      <c r="D2254" s="1">
        <v>120</v>
      </c>
      <c r="E2254" s="1">
        <v>100</v>
      </c>
      <c r="F2254" s="1">
        <v>3</v>
      </c>
      <c r="G2254" s="1">
        <v>25</v>
      </c>
      <c r="H2254" s="1">
        <v>150</v>
      </c>
      <c r="I2254" s="1">
        <v>100</v>
      </c>
      <c r="J2254" s="1">
        <v>7.4980000000000002</v>
      </c>
      <c r="K2254" s="1">
        <v>70.009</v>
      </c>
      <c r="L2254" s="1">
        <v>29.99</v>
      </c>
      <c r="M2254" s="1">
        <v>63.9</v>
      </c>
      <c r="N2254" s="1">
        <v>5.688E-2</v>
      </c>
      <c r="O2254" s="1">
        <v>3.0459999999999998E-4</v>
      </c>
      <c r="P225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1.6129087041344805</v>
      </c>
      <c r="Q2254" s="1">
        <f>LN(Table13[[#This Row],[qe_mg_g]]-Table13[[#This Row],[qt]])</f>
        <v>1.7724222539080559</v>
      </c>
      <c r="R2254" s="1">
        <v>3</v>
      </c>
    </row>
    <row r="2255" spans="1:18" hidden="1" x14ac:dyDescent="0.3">
      <c r="A2255" s="1">
        <v>2254</v>
      </c>
      <c r="B2255" s="1" t="s">
        <v>19</v>
      </c>
      <c r="C2255" s="1">
        <v>4</v>
      </c>
      <c r="D2255" s="1">
        <v>120</v>
      </c>
      <c r="E2255" s="1">
        <v>100</v>
      </c>
      <c r="F2255" s="1">
        <v>7</v>
      </c>
      <c r="G2255" s="1">
        <v>25</v>
      </c>
      <c r="H2255" s="1">
        <v>150</v>
      </c>
      <c r="I2255" s="1">
        <v>100</v>
      </c>
      <c r="J2255" s="1">
        <v>9.375</v>
      </c>
      <c r="K2255" s="1">
        <v>62.502000000000002</v>
      </c>
      <c r="L2255" s="1">
        <v>37.5</v>
      </c>
      <c r="M2255" s="1">
        <v>55.8</v>
      </c>
      <c r="N2255" s="1">
        <v>5.382E-2</v>
      </c>
      <c r="O2255" s="1">
        <v>3.1579999999999998E-4</v>
      </c>
      <c r="P225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2.4575847152791868</v>
      </c>
      <c r="Q2255" s="1">
        <f>LN(Table13[[#This Row],[qe_mg_g]]-Table13[[#This Row],[qt]])</f>
        <v>1.9340421860872672</v>
      </c>
      <c r="R2255" s="1">
        <v>1</v>
      </c>
    </row>
    <row r="2256" spans="1:18" hidden="1" x14ac:dyDescent="0.3">
      <c r="A2256" s="1">
        <v>2255</v>
      </c>
      <c r="B2256" s="1" t="s">
        <v>19</v>
      </c>
      <c r="C2256" s="1">
        <v>4</v>
      </c>
      <c r="D2256" s="1">
        <v>120</v>
      </c>
      <c r="E2256" s="1">
        <v>100</v>
      </c>
      <c r="F2256" s="1">
        <v>7</v>
      </c>
      <c r="G2256" s="1">
        <v>25</v>
      </c>
      <c r="H2256" s="1">
        <v>150</v>
      </c>
      <c r="I2256" s="1">
        <v>100</v>
      </c>
      <c r="J2256" s="1">
        <v>10.028</v>
      </c>
      <c r="K2256" s="1">
        <v>59.887</v>
      </c>
      <c r="L2256" s="1">
        <v>40.11</v>
      </c>
      <c r="M2256" s="1">
        <v>48.5</v>
      </c>
      <c r="N2256" s="1">
        <v>5.3929999999999999E-2</v>
      </c>
      <c r="O2256" s="1">
        <v>3.7330000000000002E-4</v>
      </c>
      <c r="P225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3.1083883987100194</v>
      </c>
      <c r="Q2256" s="1">
        <f>LN(Table13[[#This Row],[qe_mg_g]]-Table13[[#This Row],[qt]])</f>
        <v>1.9343596410731836</v>
      </c>
      <c r="R2256" s="1">
        <v>2</v>
      </c>
    </row>
    <row r="2257" spans="1:18" hidden="1" x14ac:dyDescent="0.3">
      <c r="A2257" s="1">
        <v>2256</v>
      </c>
      <c r="B2257" s="1" t="s">
        <v>19</v>
      </c>
      <c r="C2257" s="1">
        <v>4</v>
      </c>
      <c r="D2257" s="1">
        <v>120</v>
      </c>
      <c r="E2257" s="1">
        <v>100</v>
      </c>
      <c r="F2257" s="1">
        <v>7</v>
      </c>
      <c r="G2257" s="1">
        <v>25</v>
      </c>
      <c r="H2257" s="1">
        <v>150</v>
      </c>
      <c r="I2257" s="1">
        <v>100</v>
      </c>
      <c r="J2257" s="1">
        <v>11.534000000000001</v>
      </c>
      <c r="K2257" s="1">
        <v>53.866</v>
      </c>
      <c r="L2257" s="1">
        <v>46.13</v>
      </c>
      <c r="M2257" s="1">
        <v>67.7</v>
      </c>
      <c r="N2257" s="1">
        <v>4.9299999999999997E-2</v>
      </c>
      <c r="O2257" s="1">
        <v>3.8079999999999999E-4</v>
      </c>
      <c r="P225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3.9809126006757012</v>
      </c>
      <c r="Q2257" s="1">
        <f>LN(Table13[[#This Row],[qe_mg_g]]-Table13[[#This Row],[qt]])</f>
        <v>2.0219564067358697</v>
      </c>
      <c r="R2257" s="1">
        <v>3</v>
      </c>
    </row>
    <row r="2258" spans="1:18" hidden="1" x14ac:dyDescent="0.3">
      <c r="A2258" s="1">
        <v>2257</v>
      </c>
      <c r="B2258" s="1" t="s">
        <v>19</v>
      </c>
      <c r="C2258" s="1">
        <v>4</v>
      </c>
      <c r="D2258" s="1">
        <v>120</v>
      </c>
      <c r="E2258" s="1">
        <v>100</v>
      </c>
      <c r="F2258" s="1">
        <v>11</v>
      </c>
      <c r="G2258" s="1">
        <v>25</v>
      </c>
      <c r="H2258" s="1">
        <v>150</v>
      </c>
      <c r="I2258" s="1">
        <v>100</v>
      </c>
      <c r="J2258" s="1">
        <v>8.9369999999999994</v>
      </c>
      <c r="K2258" s="1">
        <v>64.253</v>
      </c>
      <c r="L2258" s="1">
        <v>35.75</v>
      </c>
      <c r="M2258" s="1">
        <v>60.2</v>
      </c>
      <c r="N2258" s="1">
        <v>5.2600000000000001E-2</v>
      </c>
      <c r="O2258" s="1">
        <v>3.8749999999999999E-4</v>
      </c>
      <c r="P225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2.6236443599947861</v>
      </c>
      <c r="Q2258" s="1">
        <f>LN(Table13[[#This Row],[qe_mg_g]]-Table13[[#This Row],[qt]])</f>
        <v>1.8426673323473417</v>
      </c>
      <c r="R2258" s="1">
        <v>1</v>
      </c>
    </row>
    <row r="2259" spans="1:18" hidden="1" x14ac:dyDescent="0.3">
      <c r="A2259" s="1">
        <v>2258</v>
      </c>
      <c r="B2259" s="1" t="s">
        <v>19</v>
      </c>
      <c r="C2259" s="1">
        <v>4</v>
      </c>
      <c r="D2259" s="1">
        <v>120</v>
      </c>
      <c r="E2259" s="1">
        <v>100</v>
      </c>
      <c r="F2259" s="1">
        <v>11</v>
      </c>
      <c r="G2259" s="1">
        <v>25</v>
      </c>
      <c r="H2259" s="1">
        <v>150</v>
      </c>
      <c r="I2259" s="1">
        <v>100</v>
      </c>
      <c r="J2259" s="1">
        <v>9.0909999999999993</v>
      </c>
      <c r="K2259" s="1">
        <v>63.634999999999998</v>
      </c>
      <c r="L2259" s="1">
        <v>36.369999999999997</v>
      </c>
      <c r="M2259" s="1">
        <v>49</v>
      </c>
      <c r="N2259" s="1">
        <v>5.493E-2</v>
      </c>
      <c r="O2259" s="1">
        <v>3.4160000000000001E-4</v>
      </c>
      <c r="P225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2.4680843148352074</v>
      </c>
      <c r="Q2259" s="1">
        <f>LN(Table13[[#This Row],[qe_mg_g]]-Table13[[#This Row],[qt]])</f>
        <v>1.8905357088110255</v>
      </c>
      <c r="R2259" s="1">
        <v>2</v>
      </c>
    </row>
    <row r="2260" spans="1:18" hidden="1" x14ac:dyDescent="0.3">
      <c r="A2260" s="1">
        <v>2259</v>
      </c>
      <c r="B2260" s="1" t="s">
        <v>19</v>
      </c>
      <c r="C2260" s="1">
        <v>4</v>
      </c>
      <c r="D2260" s="1">
        <v>120</v>
      </c>
      <c r="E2260" s="1">
        <v>100</v>
      </c>
      <c r="F2260" s="1">
        <v>11</v>
      </c>
      <c r="G2260" s="1">
        <v>25</v>
      </c>
      <c r="H2260" s="1">
        <v>150</v>
      </c>
      <c r="I2260" s="1">
        <v>100</v>
      </c>
      <c r="J2260" s="1">
        <v>9.2119999999999997</v>
      </c>
      <c r="K2260" s="1">
        <v>63.151000000000003</v>
      </c>
      <c r="L2260" s="1">
        <v>36.85</v>
      </c>
      <c r="M2260" s="1">
        <v>44.9</v>
      </c>
      <c r="N2260" s="1">
        <v>5.484E-2</v>
      </c>
      <c r="O2260" s="1">
        <v>3.6380000000000001E-4</v>
      </c>
      <c r="P226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2.6421320128676529</v>
      </c>
      <c r="Q2260" s="1">
        <f>LN(Table13[[#This Row],[qe_mg_g]]-Table13[[#This Row],[qt]])</f>
        <v>1.8824937390118985</v>
      </c>
      <c r="R2260" s="1">
        <v>3</v>
      </c>
    </row>
    <row r="2261" spans="1:18" hidden="1" x14ac:dyDescent="0.3">
      <c r="A2261" s="1">
        <v>2260</v>
      </c>
      <c r="B2261" s="1" t="s">
        <v>19</v>
      </c>
      <c r="C2261" s="1">
        <v>4</v>
      </c>
      <c r="D2261" s="1">
        <v>120</v>
      </c>
      <c r="E2261" s="1">
        <v>200</v>
      </c>
      <c r="F2261" s="1">
        <v>3</v>
      </c>
      <c r="G2261" s="1">
        <v>25</v>
      </c>
      <c r="H2261" s="1">
        <v>150</v>
      </c>
      <c r="I2261" s="1">
        <v>100</v>
      </c>
      <c r="J2261" s="1">
        <v>20.434000000000001</v>
      </c>
      <c r="K2261" s="1">
        <v>118.264</v>
      </c>
      <c r="L2261" s="1">
        <v>40.869999999999997</v>
      </c>
      <c r="M2261" s="1">
        <v>65.599999999999994</v>
      </c>
      <c r="N2261" s="1">
        <v>5.926E-2</v>
      </c>
      <c r="O2261" s="1">
        <v>3.4969999999999999E-4</v>
      </c>
      <c r="P226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9.4331473106320853</v>
      </c>
      <c r="Q2261" s="1">
        <f>LN(Table13[[#This Row],[qe_mg_g]]-Table13[[#This Row],[qt]])</f>
        <v>2.3979727870093317</v>
      </c>
      <c r="R2261" s="1">
        <v>1</v>
      </c>
    </row>
    <row r="2262" spans="1:18" hidden="1" x14ac:dyDescent="0.3">
      <c r="A2262" s="1">
        <v>2261</v>
      </c>
      <c r="B2262" s="1" t="s">
        <v>19</v>
      </c>
      <c r="C2262" s="1">
        <v>4</v>
      </c>
      <c r="D2262" s="1">
        <v>120</v>
      </c>
      <c r="E2262" s="1">
        <v>200</v>
      </c>
      <c r="F2262" s="1">
        <v>3</v>
      </c>
      <c r="G2262" s="1">
        <v>25</v>
      </c>
      <c r="H2262" s="1">
        <v>150</v>
      </c>
      <c r="I2262" s="1">
        <v>100</v>
      </c>
      <c r="J2262" s="1">
        <v>20.696000000000002</v>
      </c>
      <c r="K2262" s="1">
        <v>117.215</v>
      </c>
      <c r="L2262" s="1">
        <v>41.39</v>
      </c>
      <c r="M2262" s="1">
        <v>57</v>
      </c>
      <c r="N2262" s="1">
        <v>5.722E-2</v>
      </c>
      <c r="O2262" s="1">
        <v>2.8610000000000002E-4</v>
      </c>
      <c r="P226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8.5968619356738945</v>
      </c>
      <c r="Q2262" s="1">
        <f>LN(Table13[[#This Row],[qe_mg_g]]-Table13[[#This Row],[qt]])</f>
        <v>2.4931342157121943</v>
      </c>
      <c r="R2262" s="1">
        <v>2</v>
      </c>
    </row>
    <row r="2263" spans="1:18" hidden="1" x14ac:dyDescent="0.3">
      <c r="A2263" s="1">
        <v>2262</v>
      </c>
      <c r="B2263" s="1" t="s">
        <v>19</v>
      </c>
      <c r="C2263" s="1">
        <v>4</v>
      </c>
      <c r="D2263" s="1">
        <v>120</v>
      </c>
      <c r="E2263" s="1">
        <v>200</v>
      </c>
      <c r="F2263" s="1">
        <v>3</v>
      </c>
      <c r="G2263" s="1">
        <v>25</v>
      </c>
      <c r="H2263" s="1">
        <v>150</v>
      </c>
      <c r="I2263" s="1">
        <v>100</v>
      </c>
      <c r="J2263" s="1">
        <v>19.957000000000001</v>
      </c>
      <c r="K2263" s="1">
        <v>120.173</v>
      </c>
      <c r="L2263" s="1">
        <v>39.909999999999997</v>
      </c>
      <c r="M2263" s="1">
        <v>42.4</v>
      </c>
      <c r="N2263" s="1">
        <v>6.2030000000000002E-2</v>
      </c>
      <c r="O2263" s="1">
        <v>3.479E-4</v>
      </c>
      <c r="P226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9.0703630712955725</v>
      </c>
      <c r="Q2263" s="1">
        <f>LN(Table13[[#This Row],[qe_mg_g]]-Table13[[#This Row],[qt]])</f>
        <v>2.3875360672756618</v>
      </c>
      <c r="R2263" s="1">
        <v>3</v>
      </c>
    </row>
    <row r="2264" spans="1:18" hidden="1" x14ac:dyDescent="0.3">
      <c r="A2264" s="1">
        <v>2263</v>
      </c>
      <c r="B2264" s="1" t="s">
        <v>19</v>
      </c>
      <c r="C2264" s="1">
        <v>4</v>
      </c>
      <c r="D2264" s="1">
        <v>120</v>
      </c>
      <c r="E2264" s="1">
        <v>200</v>
      </c>
      <c r="F2264" s="1">
        <v>7</v>
      </c>
      <c r="G2264" s="1">
        <v>25</v>
      </c>
      <c r="H2264" s="1">
        <v>150</v>
      </c>
      <c r="I2264" s="1">
        <v>100</v>
      </c>
      <c r="J2264" s="1">
        <v>29.707999999999998</v>
      </c>
      <c r="K2264" s="1">
        <v>81.168999999999997</v>
      </c>
      <c r="L2264" s="1">
        <v>59.42</v>
      </c>
      <c r="M2264" s="1">
        <v>61.9</v>
      </c>
      <c r="N2264" s="1">
        <v>5.7320000000000003E-2</v>
      </c>
      <c r="O2264" s="1">
        <v>3.1050000000000001E-4</v>
      </c>
      <c r="P226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15.607797395257631</v>
      </c>
      <c r="Q2264" s="1">
        <f>LN(Table13[[#This Row],[qe_mg_g]]-Table13[[#This Row],[qt]])</f>
        <v>2.6461891664115522</v>
      </c>
      <c r="R2264" s="1">
        <v>1</v>
      </c>
    </row>
    <row r="2265" spans="1:18" hidden="1" x14ac:dyDescent="0.3">
      <c r="A2265" s="1">
        <v>2264</v>
      </c>
      <c r="B2265" s="1" t="s">
        <v>19</v>
      </c>
      <c r="C2265" s="1">
        <v>4</v>
      </c>
      <c r="D2265" s="1">
        <v>120</v>
      </c>
      <c r="E2265" s="1">
        <v>200</v>
      </c>
      <c r="F2265" s="1">
        <v>7</v>
      </c>
      <c r="G2265" s="1">
        <v>25</v>
      </c>
      <c r="H2265" s="1">
        <v>150</v>
      </c>
      <c r="I2265" s="1">
        <v>100</v>
      </c>
      <c r="J2265" s="1">
        <v>29.966000000000001</v>
      </c>
      <c r="K2265" s="1">
        <v>80.137</v>
      </c>
      <c r="L2265" s="1">
        <v>59.93</v>
      </c>
      <c r="M2265" s="1">
        <v>51.8</v>
      </c>
      <c r="N2265" s="1">
        <v>4.5409999999999999E-2</v>
      </c>
      <c r="O2265" s="1">
        <v>3.258E-4</v>
      </c>
      <c r="P226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16.166644772777715</v>
      </c>
      <c r="Q2265" s="1">
        <f>LN(Table13[[#This Row],[qe_mg_g]]-Table13[[#This Row],[qt]])</f>
        <v>2.6246218684065696</v>
      </c>
      <c r="R2265" s="1">
        <v>2</v>
      </c>
    </row>
    <row r="2266" spans="1:18" hidden="1" x14ac:dyDescent="0.3">
      <c r="A2266" s="1">
        <v>2265</v>
      </c>
      <c r="B2266" s="1" t="s">
        <v>19</v>
      </c>
      <c r="C2266" s="1">
        <v>4</v>
      </c>
      <c r="D2266" s="1">
        <v>120</v>
      </c>
      <c r="E2266" s="1">
        <v>200</v>
      </c>
      <c r="F2266" s="1">
        <v>7</v>
      </c>
      <c r="G2266" s="1">
        <v>25</v>
      </c>
      <c r="H2266" s="1">
        <v>150</v>
      </c>
      <c r="I2266" s="1">
        <v>100</v>
      </c>
      <c r="J2266" s="1">
        <v>29.728000000000002</v>
      </c>
      <c r="K2266" s="1">
        <v>81.085999999999999</v>
      </c>
      <c r="L2266" s="1">
        <v>59.46</v>
      </c>
      <c r="M2266" s="1">
        <v>53.6</v>
      </c>
      <c r="N2266" s="1">
        <v>4.6850000000000003E-2</v>
      </c>
      <c r="O2266" s="1">
        <v>3.903E-4</v>
      </c>
      <c r="P226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17.301675796586238</v>
      </c>
      <c r="Q2266" s="1">
        <f>LN(Table13[[#This Row],[qe_mg_g]]-Table13[[#This Row],[qt]])</f>
        <v>2.5198171420313691</v>
      </c>
      <c r="R2266" s="1">
        <v>3</v>
      </c>
    </row>
    <row r="2267" spans="1:18" hidden="1" x14ac:dyDescent="0.3">
      <c r="A2267" s="1">
        <v>2266</v>
      </c>
      <c r="B2267" s="1" t="s">
        <v>19</v>
      </c>
      <c r="C2267" s="1">
        <v>4</v>
      </c>
      <c r="D2267" s="1">
        <v>120</v>
      </c>
      <c r="E2267" s="1">
        <v>200</v>
      </c>
      <c r="F2267" s="1">
        <v>11</v>
      </c>
      <c r="G2267" s="1">
        <v>25</v>
      </c>
      <c r="H2267" s="1">
        <v>150</v>
      </c>
      <c r="I2267" s="1">
        <v>100</v>
      </c>
      <c r="J2267" s="1">
        <v>24.042000000000002</v>
      </c>
      <c r="K2267" s="1">
        <v>103.833</v>
      </c>
      <c r="L2267" s="1">
        <v>48.08</v>
      </c>
      <c r="M2267" s="1">
        <v>54.9</v>
      </c>
      <c r="N2267" s="1">
        <v>5.7200000000000001E-2</v>
      </c>
      <c r="O2267" s="1">
        <v>3.2239999999999998E-4</v>
      </c>
      <c r="P226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11.585888700420968</v>
      </c>
      <c r="Q2267" s="1">
        <f>LN(Table13[[#This Row],[qe_mg_g]]-Table13[[#This Row],[qt]])</f>
        <v>2.522211369910774</v>
      </c>
      <c r="R2267" s="1">
        <v>1</v>
      </c>
    </row>
    <row r="2268" spans="1:18" hidden="1" x14ac:dyDescent="0.3">
      <c r="A2268" s="1">
        <v>2267</v>
      </c>
      <c r="B2268" s="1" t="s">
        <v>19</v>
      </c>
      <c r="C2268" s="1">
        <v>4</v>
      </c>
      <c r="D2268" s="1">
        <v>120</v>
      </c>
      <c r="E2268" s="1">
        <v>200</v>
      </c>
      <c r="F2268" s="1">
        <v>11</v>
      </c>
      <c r="G2268" s="1">
        <v>25</v>
      </c>
      <c r="H2268" s="1">
        <v>150</v>
      </c>
      <c r="I2268" s="1">
        <v>100</v>
      </c>
      <c r="J2268" s="1">
        <v>24.988</v>
      </c>
      <c r="K2268" s="1">
        <v>100.04600000000001</v>
      </c>
      <c r="L2268" s="1">
        <v>49.98</v>
      </c>
      <c r="M2268" s="1">
        <v>51.5</v>
      </c>
      <c r="N2268" s="1">
        <v>5.0070000000000003E-2</v>
      </c>
      <c r="O2268" s="1">
        <v>3.701E-4</v>
      </c>
      <c r="P226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13.144038398203142</v>
      </c>
      <c r="Q2268" s="1">
        <f>LN(Table13[[#This Row],[qe_mg_g]]-Table13[[#This Row],[qt]])</f>
        <v>2.4718181682378768</v>
      </c>
      <c r="R2268" s="1">
        <v>2</v>
      </c>
    </row>
    <row r="2269" spans="1:18" hidden="1" x14ac:dyDescent="0.3">
      <c r="A2269" s="1">
        <v>2268</v>
      </c>
      <c r="B2269" s="1" t="s">
        <v>19</v>
      </c>
      <c r="C2269" s="1">
        <v>4</v>
      </c>
      <c r="D2269" s="1">
        <v>120</v>
      </c>
      <c r="E2269" s="1">
        <v>200</v>
      </c>
      <c r="F2269" s="1">
        <v>11</v>
      </c>
      <c r="G2269" s="1">
        <v>25</v>
      </c>
      <c r="H2269" s="1">
        <v>150</v>
      </c>
      <c r="I2269" s="1">
        <v>100</v>
      </c>
      <c r="J2269" s="1">
        <v>26.742999999999999</v>
      </c>
      <c r="K2269" s="1">
        <v>93.027000000000001</v>
      </c>
      <c r="L2269" s="1">
        <v>53.49</v>
      </c>
      <c r="M2269" s="1">
        <v>60.5</v>
      </c>
      <c r="N2269" s="1">
        <v>6.0080000000000001E-2</v>
      </c>
      <c r="O2269" s="1">
        <v>3.3179999999999999E-4</v>
      </c>
      <c r="P226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13.791135789554769</v>
      </c>
      <c r="Q2269" s="1">
        <f>LN(Table13[[#This Row],[qe_mg_g]]-Table13[[#This Row],[qt]])</f>
        <v>2.5612397322596308</v>
      </c>
      <c r="R2269" s="1">
        <v>3</v>
      </c>
    </row>
    <row r="2270" spans="1:18" hidden="1" x14ac:dyDescent="0.3">
      <c r="A2270" s="1">
        <v>2269</v>
      </c>
      <c r="B2270" s="1" t="s">
        <v>19</v>
      </c>
      <c r="C2270" s="1">
        <v>4</v>
      </c>
      <c r="D2270" s="1">
        <v>240</v>
      </c>
      <c r="E2270" s="1">
        <v>25</v>
      </c>
      <c r="F2270" s="1">
        <v>3</v>
      </c>
      <c r="G2270" s="1">
        <v>25</v>
      </c>
      <c r="H2270" s="1">
        <v>150</v>
      </c>
      <c r="I2270" s="1">
        <v>100</v>
      </c>
      <c r="J2270" s="1">
        <v>1.0449999999999999</v>
      </c>
      <c r="K2270" s="1">
        <v>20.82</v>
      </c>
      <c r="L2270" s="1">
        <v>16.72</v>
      </c>
      <c r="M2270" s="1">
        <v>66.7</v>
      </c>
      <c r="N2270" s="1">
        <v>6.6299999999999998E-2</v>
      </c>
      <c r="O2270" s="1">
        <v>4.0400000000000001E-4</v>
      </c>
      <c r="P227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9.614139064717786E-2</v>
      </c>
      <c r="Q2270" s="1">
        <f>LN(Table13[[#This Row],[qe_mg_g]]-Table13[[#This Row],[qt]])</f>
        <v>-5.2495480562995508E-2</v>
      </c>
      <c r="R2270" s="1">
        <v>1</v>
      </c>
    </row>
    <row r="2271" spans="1:18" hidden="1" x14ac:dyDescent="0.3">
      <c r="A2271" s="1">
        <v>2270</v>
      </c>
      <c r="B2271" s="1" t="s">
        <v>19</v>
      </c>
      <c r="C2271" s="1">
        <v>4</v>
      </c>
      <c r="D2271" s="1">
        <v>240</v>
      </c>
      <c r="E2271" s="1">
        <v>25</v>
      </c>
      <c r="F2271" s="1">
        <v>3</v>
      </c>
      <c r="G2271" s="1">
        <v>25</v>
      </c>
      <c r="H2271" s="1">
        <v>150</v>
      </c>
      <c r="I2271" s="1">
        <v>100</v>
      </c>
      <c r="J2271" s="1">
        <v>1.149</v>
      </c>
      <c r="K2271" s="1">
        <v>20.404</v>
      </c>
      <c r="L2271" s="1">
        <v>18.38</v>
      </c>
      <c r="M2271" s="1">
        <v>45.1</v>
      </c>
      <c r="N2271" s="1">
        <v>4.9140000000000003E-2</v>
      </c>
      <c r="O2271" s="1">
        <v>2.9109999999999997E-4</v>
      </c>
      <c r="P227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8.5380695272221252E-2</v>
      </c>
      <c r="Q2271" s="1">
        <f>LN(Table13[[#This Row],[qe_mg_g]]-Table13[[#This Row],[qt]])</f>
        <v>6.1677530586602511E-2</v>
      </c>
      <c r="R2271" s="1">
        <v>2</v>
      </c>
    </row>
    <row r="2272" spans="1:18" hidden="1" x14ac:dyDescent="0.3">
      <c r="A2272" s="1">
        <v>2271</v>
      </c>
      <c r="B2272" s="1" t="s">
        <v>19</v>
      </c>
      <c r="C2272" s="1">
        <v>4</v>
      </c>
      <c r="D2272" s="1">
        <v>240</v>
      </c>
      <c r="E2272" s="1">
        <v>25</v>
      </c>
      <c r="F2272" s="1">
        <v>3</v>
      </c>
      <c r="G2272" s="1">
        <v>25</v>
      </c>
      <c r="H2272" s="1">
        <v>150</v>
      </c>
      <c r="I2272" s="1">
        <v>100</v>
      </c>
      <c r="J2272" s="1">
        <v>1.1679999999999999</v>
      </c>
      <c r="K2272" s="1">
        <v>20.329000000000001</v>
      </c>
      <c r="L2272" s="1">
        <v>18.68</v>
      </c>
      <c r="M2272" s="1">
        <v>67.7</v>
      </c>
      <c r="N2272" s="1">
        <v>5.4219999999999997E-2</v>
      </c>
      <c r="O2272" s="1">
        <v>3.6059999999999998E-4</v>
      </c>
      <c r="P227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0.1072265758559366</v>
      </c>
      <c r="Q2272" s="1">
        <f>LN(Table13[[#This Row],[qe_mg_g]]-Table13[[#This Row],[qt]])</f>
        <v>5.8998287481097478E-2</v>
      </c>
      <c r="R2272" s="1">
        <v>3</v>
      </c>
    </row>
    <row r="2273" spans="1:18" hidden="1" x14ac:dyDescent="0.3">
      <c r="A2273" s="1">
        <v>2272</v>
      </c>
      <c r="B2273" s="1" t="s">
        <v>19</v>
      </c>
      <c r="C2273" s="1">
        <v>4</v>
      </c>
      <c r="D2273" s="1">
        <v>240</v>
      </c>
      <c r="E2273" s="1">
        <v>25</v>
      </c>
      <c r="F2273" s="1">
        <v>7</v>
      </c>
      <c r="G2273" s="1">
        <v>25</v>
      </c>
      <c r="H2273" s="1">
        <v>150</v>
      </c>
      <c r="I2273" s="1">
        <v>100</v>
      </c>
      <c r="J2273" s="1">
        <v>2.0960000000000001</v>
      </c>
      <c r="K2273" s="1">
        <v>16.614999999999998</v>
      </c>
      <c r="L2273" s="1">
        <v>33.54</v>
      </c>
      <c r="M2273" s="1">
        <v>51.2</v>
      </c>
      <c r="N2273" s="1">
        <v>6.6199999999999995E-2</v>
      </c>
      <c r="O2273" s="1">
        <v>4.1970000000000001E-4</v>
      </c>
      <c r="P227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0.36537891364766212</v>
      </c>
      <c r="Q2273" s="1">
        <f>LN(Table13[[#This Row],[qe_mg_g]]-Table13[[#This Row],[qt]])</f>
        <v>0.5484803535334325</v>
      </c>
      <c r="R2273" s="1">
        <v>1</v>
      </c>
    </row>
    <row r="2274" spans="1:18" hidden="1" x14ac:dyDescent="0.3">
      <c r="A2274" s="1">
        <v>2273</v>
      </c>
      <c r="B2274" s="1" t="s">
        <v>19</v>
      </c>
      <c r="C2274" s="1">
        <v>4</v>
      </c>
      <c r="D2274" s="1">
        <v>240</v>
      </c>
      <c r="E2274" s="1">
        <v>25</v>
      </c>
      <c r="F2274" s="1">
        <v>7</v>
      </c>
      <c r="G2274" s="1">
        <v>25</v>
      </c>
      <c r="H2274" s="1">
        <v>150</v>
      </c>
      <c r="I2274" s="1">
        <v>100</v>
      </c>
      <c r="J2274" s="1">
        <v>1.895</v>
      </c>
      <c r="K2274" s="1">
        <v>17.420999999999999</v>
      </c>
      <c r="L2274" s="1">
        <v>30.31</v>
      </c>
      <c r="M2274" s="1">
        <v>49.8</v>
      </c>
      <c r="N2274" s="1">
        <v>5.883E-2</v>
      </c>
      <c r="O2274" s="1">
        <v>3.3780000000000003E-4</v>
      </c>
      <c r="P227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0.25236099563999398</v>
      </c>
      <c r="Q2274" s="1">
        <f>LN(Table13[[#This Row],[qe_mg_g]]-Table13[[#This Row],[qt]])</f>
        <v>0.49630409754307359</v>
      </c>
      <c r="R2274" s="1">
        <v>2</v>
      </c>
    </row>
    <row r="2275" spans="1:18" hidden="1" x14ac:dyDescent="0.3">
      <c r="A2275" s="1">
        <v>2274</v>
      </c>
      <c r="B2275" s="1" t="s">
        <v>19</v>
      </c>
      <c r="C2275" s="1">
        <v>4</v>
      </c>
      <c r="D2275" s="1">
        <v>240</v>
      </c>
      <c r="E2275" s="1">
        <v>25</v>
      </c>
      <c r="F2275" s="1">
        <v>7</v>
      </c>
      <c r="G2275" s="1">
        <v>25</v>
      </c>
      <c r="H2275" s="1">
        <v>150</v>
      </c>
      <c r="I2275" s="1">
        <v>100</v>
      </c>
      <c r="J2275" s="1">
        <v>1.7569999999999999</v>
      </c>
      <c r="K2275" s="1">
        <v>17.97</v>
      </c>
      <c r="L2275" s="1">
        <v>28.12</v>
      </c>
      <c r="M2275" s="1">
        <v>65</v>
      </c>
      <c r="N2275" s="1">
        <v>6.1690000000000002E-2</v>
      </c>
      <c r="O2275" s="1">
        <v>3.5540000000000002E-4</v>
      </c>
      <c r="P227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0.22899463416695556</v>
      </c>
      <c r="Q2275" s="1">
        <f>LN(Table13[[#This Row],[qe_mg_g]]-Table13[[#This Row],[qt]])</f>
        <v>0.42396320240900337</v>
      </c>
      <c r="R2275" s="1">
        <v>3</v>
      </c>
    </row>
    <row r="2276" spans="1:18" hidden="1" x14ac:dyDescent="0.3">
      <c r="A2276" s="1">
        <v>2275</v>
      </c>
      <c r="B2276" s="1" t="s">
        <v>19</v>
      </c>
      <c r="C2276" s="1">
        <v>4</v>
      </c>
      <c r="D2276" s="1">
        <v>240</v>
      </c>
      <c r="E2276" s="1">
        <v>25</v>
      </c>
      <c r="F2276" s="1">
        <v>11</v>
      </c>
      <c r="G2276" s="1">
        <v>25</v>
      </c>
      <c r="H2276" s="1">
        <v>150</v>
      </c>
      <c r="I2276" s="1">
        <v>100</v>
      </c>
      <c r="J2276" s="1">
        <v>1.3280000000000001</v>
      </c>
      <c r="K2276" s="1">
        <v>19.689</v>
      </c>
      <c r="L2276" s="1">
        <v>21.25</v>
      </c>
      <c r="M2276" s="1">
        <v>44.5</v>
      </c>
      <c r="N2276" s="1">
        <v>5.5590000000000001E-2</v>
      </c>
      <c r="O2276" s="1">
        <v>3.325E-4</v>
      </c>
      <c r="P227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0.12724887954006892</v>
      </c>
      <c r="Q2276" s="1">
        <f>LN(Table13[[#This Row],[qe_mg_g]]-Table13[[#This Row],[qt]])</f>
        <v>0.18294729469576235</v>
      </c>
      <c r="R2276" s="1">
        <v>1</v>
      </c>
    </row>
    <row r="2277" spans="1:18" hidden="1" x14ac:dyDescent="0.3">
      <c r="A2277" s="1">
        <v>2276</v>
      </c>
      <c r="B2277" s="1" t="s">
        <v>19</v>
      </c>
      <c r="C2277" s="1">
        <v>4</v>
      </c>
      <c r="D2277" s="1">
        <v>240</v>
      </c>
      <c r="E2277" s="1">
        <v>25</v>
      </c>
      <c r="F2277" s="1">
        <v>11</v>
      </c>
      <c r="G2277" s="1">
        <v>25</v>
      </c>
      <c r="H2277" s="1">
        <v>150</v>
      </c>
      <c r="I2277" s="1">
        <v>100</v>
      </c>
      <c r="J2277" s="1">
        <v>1.4219999999999999</v>
      </c>
      <c r="K2277" s="1">
        <v>19.312999999999999</v>
      </c>
      <c r="L2277" s="1">
        <v>22.75</v>
      </c>
      <c r="M2277" s="1">
        <v>62.9</v>
      </c>
      <c r="N2277" s="1">
        <v>5.9029999999999999E-2</v>
      </c>
      <c r="O2277" s="1">
        <v>3.9819999999999998E-4</v>
      </c>
      <c r="P227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0.17012669749441942</v>
      </c>
      <c r="Q2277" s="1">
        <f>LN(Table13[[#This Row],[qe_mg_g]]-Table13[[#This Row],[qt]])</f>
        <v>0.22464107147543319</v>
      </c>
      <c r="R2277" s="1">
        <v>2</v>
      </c>
    </row>
    <row r="2278" spans="1:18" hidden="1" x14ac:dyDescent="0.3">
      <c r="A2278" s="1">
        <v>2277</v>
      </c>
      <c r="B2278" s="1" t="s">
        <v>19</v>
      </c>
      <c r="C2278" s="1">
        <v>4</v>
      </c>
      <c r="D2278" s="1">
        <v>240</v>
      </c>
      <c r="E2278" s="1">
        <v>25</v>
      </c>
      <c r="F2278" s="1">
        <v>11</v>
      </c>
      <c r="G2278" s="1">
        <v>25</v>
      </c>
      <c r="H2278" s="1">
        <v>150</v>
      </c>
      <c r="I2278" s="1">
        <v>100</v>
      </c>
      <c r="J2278" s="1">
        <v>1.3560000000000001</v>
      </c>
      <c r="K2278" s="1">
        <v>19.577999999999999</v>
      </c>
      <c r="L2278" s="1">
        <v>21.69</v>
      </c>
      <c r="M2278" s="1">
        <v>51.7</v>
      </c>
      <c r="N2278" s="1">
        <v>5.917E-2</v>
      </c>
      <c r="O2278" s="1">
        <v>3.657E-4</v>
      </c>
      <c r="P227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0.14421827307363239</v>
      </c>
      <c r="Q2278" s="1">
        <f>LN(Table13[[#This Row],[qe_mg_g]]-Table13[[#This Row],[qt]])</f>
        <v>0.19209177813330186</v>
      </c>
      <c r="R2278" s="1">
        <v>3</v>
      </c>
    </row>
    <row r="2279" spans="1:18" hidden="1" x14ac:dyDescent="0.3">
      <c r="A2279" s="1">
        <v>2278</v>
      </c>
      <c r="B2279" s="1" t="s">
        <v>19</v>
      </c>
      <c r="C2279" s="1">
        <v>4</v>
      </c>
      <c r="D2279" s="1">
        <v>240</v>
      </c>
      <c r="E2279" s="1">
        <v>50</v>
      </c>
      <c r="F2279" s="1">
        <v>3</v>
      </c>
      <c r="G2279" s="1">
        <v>25</v>
      </c>
      <c r="H2279" s="1">
        <v>150</v>
      </c>
      <c r="I2279" s="1">
        <v>100</v>
      </c>
      <c r="J2279" s="1">
        <v>4.0650000000000004</v>
      </c>
      <c r="K2279" s="1">
        <v>33.738</v>
      </c>
      <c r="L2279" s="1">
        <v>32.520000000000003</v>
      </c>
      <c r="M2279" s="1">
        <v>58</v>
      </c>
      <c r="N2279" s="1">
        <v>6.5159999999999996E-2</v>
      </c>
      <c r="O2279" s="1">
        <v>3.6890000000000002E-4</v>
      </c>
      <c r="P227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1.0758070685610706</v>
      </c>
      <c r="Q2279" s="1">
        <f>LN(Table13[[#This Row],[qe_mg_g]]-Table13[[#This Row],[qt]])</f>
        <v>1.0950034283712589</v>
      </c>
      <c r="R2279" s="1">
        <v>1</v>
      </c>
    </row>
    <row r="2280" spans="1:18" hidden="1" x14ac:dyDescent="0.3">
      <c r="A2280" s="1">
        <v>2279</v>
      </c>
      <c r="B2280" s="1" t="s">
        <v>19</v>
      </c>
      <c r="C2280" s="1">
        <v>4</v>
      </c>
      <c r="D2280" s="1">
        <v>240</v>
      </c>
      <c r="E2280" s="1">
        <v>50</v>
      </c>
      <c r="F2280" s="1">
        <v>3</v>
      </c>
      <c r="G2280" s="1">
        <v>25</v>
      </c>
      <c r="H2280" s="1">
        <v>150</v>
      </c>
      <c r="I2280" s="1">
        <v>100</v>
      </c>
      <c r="J2280" s="1">
        <v>3.9449999999999998</v>
      </c>
      <c r="K2280" s="1">
        <v>34.220999999999997</v>
      </c>
      <c r="L2280" s="1">
        <v>31.56</v>
      </c>
      <c r="M2280" s="1">
        <v>51.9</v>
      </c>
      <c r="N2280" s="1">
        <v>5.5079999999999997E-2</v>
      </c>
      <c r="O2280" s="1">
        <v>3.8190000000000001E-4</v>
      </c>
      <c r="P228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1.0476369807870385</v>
      </c>
      <c r="Q2280" s="1">
        <f>LN(Table13[[#This Row],[qe_mg_g]]-Table13[[#This Row],[qt]])</f>
        <v>1.0638010196053473</v>
      </c>
      <c r="R2280" s="1">
        <v>2</v>
      </c>
    </row>
    <row r="2281" spans="1:18" hidden="1" x14ac:dyDescent="0.3">
      <c r="A2281" s="1">
        <v>2280</v>
      </c>
      <c r="B2281" s="1" t="s">
        <v>19</v>
      </c>
      <c r="C2281" s="1">
        <v>4</v>
      </c>
      <c r="D2281" s="1">
        <v>240</v>
      </c>
      <c r="E2281" s="1">
        <v>50</v>
      </c>
      <c r="F2281" s="1">
        <v>3</v>
      </c>
      <c r="G2281" s="1">
        <v>25</v>
      </c>
      <c r="H2281" s="1">
        <v>150</v>
      </c>
      <c r="I2281" s="1">
        <v>100</v>
      </c>
      <c r="J2281" s="1">
        <v>4.0860000000000003</v>
      </c>
      <c r="K2281" s="1">
        <v>33.655000000000001</v>
      </c>
      <c r="L2281" s="1">
        <v>32.69</v>
      </c>
      <c r="M2281" s="1">
        <v>60.5</v>
      </c>
      <c r="N2281" s="1">
        <v>5.4539999999999998E-2</v>
      </c>
      <c r="O2281" s="1">
        <v>3.9819999999999998E-4</v>
      </c>
      <c r="P228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1.1474693323030056</v>
      </c>
      <c r="Q2281" s="1">
        <f>LN(Table13[[#This Row],[qe_mg_g]]-Table13[[#This Row],[qt]])</f>
        <v>1.0779096835303141</v>
      </c>
      <c r="R2281" s="1">
        <v>3</v>
      </c>
    </row>
    <row r="2282" spans="1:18" hidden="1" x14ac:dyDescent="0.3">
      <c r="A2282" s="1">
        <v>2281</v>
      </c>
      <c r="B2282" s="1" t="s">
        <v>19</v>
      </c>
      <c r="C2282" s="1">
        <v>4</v>
      </c>
      <c r="D2282" s="1">
        <v>240</v>
      </c>
      <c r="E2282" s="1">
        <v>50</v>
      </c>
      <c r="F2282" s="1">
        <v>7</v>
      </c>
      <c r="G2282" s="1">
        <v>25</v>
      </c>
      <c r="H2282" s="1">
        <v>150</v>
      </c>
      <c r="I2282" s="1">
        <v>100</v>
      </c>
      <c r="J2282" s="1">
        <v>4.82</v>
      </c>
      <c r="K2282" s="1">
        <v>30.721</v>
      </c>
      <c r="L2282" s="1">
        <v>38.56</v>
      </c>
      <c r="M2282" s="1">
        <v>42.9</v>
      </c>
      <c r="N2282" s="1">
        <v>5.8749999999999997E-2</v>
      </c>
      <c r="O2282" s="1">
        <v>3.5050000000000001E-4</v>
      </c>
      <c r="P228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1.3905139333899887</v>
      </c>
      <c r="Q2282" s="1">
        <f>LN(Table13[[#This Row],[qe_mg_g]]-Table13[[#This Row],[qt]])</f>
        <v>1.2324104151439155</v>
      </c>
      <c r="R2282" s="1">
        <v>1</v>
      </c>
    </row>
    <row r="2283" spans="1:18" hidden="1" x14ac:dyDescent="0.3">
      <c r="A2283" s="1">
        <v>2282</v>
      </c>
      <c r="B2283" s="1" t="s">
        <v>19</v>
      </c>
      <c r="C2283" s="1">
        <v>4</v>
      </c>
      <c r="D2283" s="1">
        <v>240</v>
      </c>
      <c r="E2283" s="1">
        <v>50</v>
      </c>
      <c r="F2283" s="1">
        <v>7</v>
      </c>
      <c r="G2283" s="1">
        <v>25</v>
      </c>
      <c r="H2283" s="1">
        <v>150</v>
      </c>
      <c r="I2283" s="1">
        <v>100</v>
      </c>
      <c r="J2283" s="1">
        <v>5.9349999999999996</v>
      </c>
      <c r="K2283" s="1">
        <v>26.260999999999999</v>
      </c>
      <c r="L2283" s="1">
        <v>47.48</v>
      </c>
      <c r="M2283" s="1">
        <v>55.1</v>
      </c>
      <c r="N2283" s="1">
        <v>5.8139999999999997E-2</v>
      </c>
      <c r="O2283" s="1">
        <v>3.2150000000000001E-4</v>
      </c>
      <c r="P228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1.8642006019981829</v>
      </c>
      <c r="Q2283" s="1">
        <f>LN(Table13[[#This Row],[qe_mg_g]]-Table13[[#This Row],[qt]])</f>
        <v>1.4038393924535946</v>
      </c>
      <c r="R2283" s="1">
        <v>2</v>
      </c>
    </row>
    <row r="2284" spans="1:18" hidden="1" x14ac:dyDescent="0.3">
      <c r="A2284" s="1">
        <v>2283</v>
      </c>
      <c r="B2284" s="1" t="s">
        <v>19</v>
      </c>
      <c r="C2284" s="1">
        <v>4</v>
      </c>
      <c r="D2284" s="1">
        <v>240</v>
      </c>
      <c r="E2284" s="1">
        <v>50</v>
      </c>
      <c r="F2284" s="1">
        <v>7</v>
      </c>
      <c r="G2284" s="1">
        <v>25</v>
      </c>
      <c r="H2284" s="1">
        <v>150</v>
      </c>
      <c r="I2284" s="1">
        <v>100</v>
      </c>
      <c r="J2284" s="1">
        <v>5.9210000000000003</v>
      </c>
      <c r="K2284" s="1">
        <v>26.317</v>
      </c>
      <c r="L2284" s="1">
        <v>47.37</v>
      </c>
      <c r="M2284" s="1">
        <v>62.7</v>
      </c>
      <c r="N2284" s="1">
        <v>6.1710000000000001E-2</v>
      </c>
      <c r="O2284" s="1">
        <v>4.2049999999999998E-4</v>
      </c>
      <c r="P228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2.2146935101240071</v>
      </c>
      <c r="Q2284" s="1">
        <f>LN(Table13[[#This Row],[qe_mg_g]]-Table13[[#This Row],[qt]])</f>
        <v>1.3100358254355327</v>
      </c>
      <c r="R2284" s="1">
        <v>3</v>
      </c>
    </row>
    <row r="2285" spans="1:18" hidden="1" x14ac:dyDescent="0.3">
      <c r="A2285" s="1">
        <v>2284</v>
      </c>
      <c r="B2285" s="1" t="s">
        <v>19</v>
      </c>
      <c r="C2285" s="1">
        <v>4</v>
      </c>
      <c r="D2285" s="1">
        <v>240</v>
      </c>
      <c r="E2285" s="1">
        <v>50</v>
      </c>
      <c r="F2285" s="1">
        <v>11</v>
      </c>
      <c r="G2285" s="1">
        <v>25</v>
      </c>
      <c r="H2285" s="1">
        <v>150</v>
      </c>
      <c r="I2285" s="1">
        <v>100</v>
      </c>
      <c r="J2285" s="1">
        <v>4.5309999999999997</v>
      </c>
      <c r="K2285" s="1">
        <v>31.876000000000001</v>
      </c>
      <c r="L2285" s="1">
        <v>36.25</v>
      </c>
      <c r="M2285" s="1">
        <v>56.8</v>
      </c>
      <c r="N2285" s="1">
        <v>4.6620000000000002E-2</v>
      </c>
      <c r="O2285" s="1">
        <v>3.3139999999999998E-4</v>
      </c>
      <c r="P228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1.2003071491996673</v>
      </c>
      <c r="Q2285" s="1">
        <f>LN(Table13[[#This Row],[qe_mg_g]]-Table13[[#This Row],[qt]])</f>
        <v>1.2031803456535883</v>
      </c>
      <c r="R2285" s="1">
        <v>1</v>
      </c>
    </row>
    <row r="2286" spans="1:18" hidden="1" x14ac:dyDescent="0.3">
      <c r="A2286" s="1">
        <v>2285</v>
      </c>
      <c r="B2286" s="1" t="s">
        <v>19</v>
      </c>
      <c r="C2286" s="1">
        <v>4</v>
      </c>
      <c r="D2286" s="1">
        <v>240</v>
      </c>
      <c r="E2286" s="1">
        <v>50</v>
      </c>
      <c r="F2286" s="1">
        <v>11</v>
      </c>
      <c r="G2286" s="1">
        <v>25</v>
      </c>
      <c r="H2286" s="1">
        <v>150</v>
      </c>
      <c r="I2286" s="1">
        <v>100</v>
      </c>
      <c r="J2286" s="1">
        <v>4.3949999999999996</v>
      </c>
      <c r="K2286" s="1">
        <v>32.420999999999999</v>
      </c>
      <c r="L2286" s="1">
        <v>35.159999999999997</v>
      </c>
      <c r="M2286" s="1">
        <v>63.1</v>
      </c>
      <c r="N2286" s="1">
        <v>5.1639999999999998E-2</v>
      </c>
      <c r="O2286" s="1">
        <v>3.7790000000000002E-4</v>
      </c>
      <c r="P228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1.252591899242284</v>
      </c>
      <c r="Q2286" s="1">
        <f>LN(Table13[[#This Row],[qe_mg_g]]-Table13[[#This Row],[qt]])</f>
        <v>1.1449894170634711</v>
      </c>
      <c r="R2286" s="1">
        <v>2</v>
      </c>
    </row>
    <row r="2287" spans="1:18" hidden="1" x14ac:dyDescent="0.3">
      <c r="A2287" s="1">
        <v>2286</v>
      </c>
      <c r="B2287" s="1" t="s">
        <v>19</v>
      </c>
      <c r="C2287" s="1">
        <v>4</v>
      </c>
      <c r="D2287" s="1">
        <v>240</v>
      </c>
      <c r="E2287" s="1">
        <v>50</v>
      </c>
      <c r="F2287" s="1">
        <v>11</v>
      </c>
      <c r="G2287" s="1">
        <v>25</v>
      </c>
      <c r="H2287" s="1">
        <v>150</v>
      </c>
      <c r="I2287" s="1">
        <v>100</v>
      </c>
      <c r="J2287" s="1">
        <v>4.4539999999999997</v>
      </c>
      <c r="K2287" s="1">
        <v>32.182000000000002</v>
      </c>
      <c r="L2287" s="1">
        <v>35.64</v>
      </c>
      <c r="M2287" s="1">
        <v>53.1</v>
      </c>
      <c r="N2287" s="1">
        <v>5.6370000000000003E-2</v>
      </c>
      <c r="O2287" s="1">
        <v>3.3629999999999999E-4</v>
      </c>
      <c r="P228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1.177774421826951</v>
      </c>
      <c r="Q2287" s="1">
        <f>LN(Table13[[#This Row],[qe_mg_g]]-Table13[[#This Row],[qt]])</f>
        <v>1.1866920214264141</v>
      </c>
      <c r="R2287" s="1">
        <v>3</v>
      </c>
    </row>
    <row r="2288" spans="1:18" hidden="1" x14ac:dyDescent="0.3">
      <c r="A2288" s="1">
        <v>2287</v>
      </c>
      <c r="B2288" s="1" t="s">
        <v>19</v>
      </c>
      <c r="C2288" s="1">
        <v>4</v>
      </c>
      <c r="D2288" s="1">
        <v>240</v>
      </c>
      <c r="E2288" s="1">
        <v>100</v>
      </c>
      <c r="F2288" s="1">
        <v>3</v>
      </c>
      <c r="G2288" s="1">
        <v>25</v>
      </c>
      <c r="H2288" s="1">
        <v>150</v>
      </c>
      <c r="I2288" s="1">
        <v>100</v>
      </c>
      <c r="J2288" s="1">
        <v>9.8940000000000001</v>
      </c>
      <c r="K2288" s="1">
        <v>60.426000000000002</v>
      </c>
      <c r="L2288" s="1">
        <v>39.57</v>
      </c>
      <c r="M2288" s="1">
        <v>40.6</v>
      </c>
      <c r="N2288" s="1">
        <v>5.364E-2</v>
      </c>
      <c r="O2288" s="1">
        <v>3.3320000000000002E-4</v>
      </c>
      <c r="P228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4.3703391783483188</v>
      </c>
      <c r="Q2288" s="1">
        <f>LN(Table13[[#This Row],[qe_mg_g]]-Table13[[#This Row],[qt]])</f>
        <v>1.7090408328023561</v>
      </c>
      <c r="R2288" s="1">
        <v>1</v>
      </c>
    </row>
    <row r="2289" spans="1:18" hidden="1" x14ac:dyDescent="0.3">
      <c r="A2289" s="1">
        <v>2288</v>
      </c>
      <c r="B2289" s="1" t="s">
        <v>19</v>
      </c>
      <c r="C2289" s="1">
        <v>4</v>
      </c>
      <c r="D2289" s="1">
        <v>240</v>
      </c>
      <c r="E2289" s="1">
        <v>100</v>
      </c>
      <c r="F2289" s="1">
        <v>3</v>
      </c>
      <c r="G2289" s="1">
        <v>25</v>
      </c>
      <c r="H2289" s="1">
        <v>150</v>
      </c>
      <c r="I2289" s="1">
        <v>100</v>
      </c>
      <c r="J2289" s="1">
        <v>9.8309999999999995</v>
      </c>
      <c r="K2289" s="1">
        <v>60.673999999999999</v>
      </c>
      <c r="L2289" s="1">
        <v>39.33</v>
      </c>
      <c r="M2289" s="1">
        <v>58</v>
      </c>
      <c r="N2289" s="1">
        <v>5.8619999999999998E-2</v>
      </c>
      <c r="O2289" s="1">
        <v>3.5809999999999998E-4</v>
      </c>
      <c r="P228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4.5023005599263586</v>
      </c>
      <c r="Q2289" s="1">
        <f>LN(Table13[[#This Row],[qe_mg_g]]-Table13[[#This Row],[qt]])</f>
        <v>1.6731072009122077</v>
      </c>
      <c r="R2289" s="1">
        <v>2</v>
      </c>
    </row>
    <row r="2290" spans="1:18" hidden="1" x14ac:dyDescent="0.3">
      <c r="A2290" s="1">
        <v>2289</v>
      </c>
      <c r="B2290" s="1" t="s">
        <v>19</v>
      </c>
      <c r="C2290" s="1">
        <v>4</v>
      </c>
      <c r="D2290" s="1">
        <v>240</v>
      </c>
      <c r="E2290" s="1">
        <v>100</v>
      </c>
      <c r="F2290" s="1">
        <v>3</v>
      </c>
      <c r="G2290" s="1">
        <v>25</v>
      </c>
      <c r="H2290" s="1">
        <v>150</v>
      </c>
      <c r="I2290" s="1">
        <v>100</v>
      </c>
      <c r="J2290" s="1">
        <v>10.911</v>
      </c>
      <c r="K2290" s="1">
        <v>56.357999999999997</v>
      </c>
      <c r="L2290" s="1">
        <v>43.64</v>
      </c>
      <c r="M2290" s="1">
        <v>59.3</v>
      </c>
      <c r="N2290" s="1">
        <v>5.3379999999999997E-2</v>
      </c>
      <c r="O2290" s="1">
        <v>3.3379999999999998E-4</v>
      </c>
      <c r="P229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5.0890117551251866</v>
      </c>
      <c r="Q2290" s="1">
        <f>LN(Table13[[#This Row],[qe_mg_g]]-Table13[[#This Row],[qt]])</f>
        <v>1.7616418262342775</v>
      </c>
      <c r="R2290" s="1">
        <v>3</v>
      </c>
    </row>
    <row r="2291" spans="1:18" hidden="1" x14ac:dyDescent="0.3">
      <c r="A2291" s="1">
        <v>2290</v>
      </c>
      <c r="B2291" s="1" t="s">
        <v>19</v>
      </c>
      <c r="C2291" s="1">
        <v>4</v>
      </c>
      <c r="D2291" s="1">
        <v>240</v>
      </c>
      <c r="E2291" s="1">
        <v>100</v>
      </c>
      <c r="F2291" s="1">
        <v>7</v>
      </c>
      <c r="G2291" s="1">
        <v>25</v>
      </c>
      <c r="H2291" s="1">
        <v>150</v>
      </c>
      <c r="I2291" s="1">
        <v>100</v>
      </c>
      <c r="J2291" s="1">
        <v>15.397</v>
      </c>
      <c r="K2291" s="1">
        <v>38.414000000000001</v>
      </c>
      <c r="L2291" s="1">
        <v>61.59</v>
      </c>
      <c r="M2291" s="1">
        <v>59.2</v>
      </c>
      <c r="N2291" s="1">
        <v>6.2689999999999996E-2</v>
      </c>
      <c r="O2291" s="1">
        <v>3.9169999999999998E-4</v>
      </c>
      <c r="P229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9.1059397077300801</v>
      </c>
      <c r="Q2291" s="1">
        <f>LN(Table13[[#This Row],[qe_mg_g]]-Table13[[#This Row],[qt]])</f>
        <v>1.8391296244348174</v>
      </c>
      <c r="R2291" s="1">
        <v>1</v>
      </c>
    </row>
    <row r="2292" spans="1:18" hidden="1" x14ac:dyDescent="0.3">
      <c r="A2292" s="1">
        <v>2291</v>
      </c>
      <c r="B2292" s="1" t="s">
        <v>19</v>
      </c>
      <c r="C2292" s="1">
        <v>4</v>
      </c>
      <c r="D2292" s="1">
        <v>240</v>
      </c>
      <c r="E2292" s="1">
        <v>100</v>
      </c>
      <c r="F2292" s="1">
        <v>7</v>
      </c>
      <c r="G2292" s="1">
        <v>25</v>
      </c>
      <c r="H2292" s="1">
        <v>150</v>
      </c>
      <c r="I2292" s="1">
        <v>100</v>
      </c>
      <c r="J2292" s="1">
        <v>14.496</v>
      </c>
      <c r="K2292" s="1">
        <v>42.018000000000001</v>
      </c>
      <c r="L2292" s="1">
        <v>57.98</v>
      </c>
      <c r="M2292" s="1">
        <v>53.7</v>
      </c>
      <c r="N2292" s="1">
        <v>5.8689999999999999E-2</v>
      </c>
      <c r="O2292" s="1">
        <v>3.8739999999999998E-4</v>
      </c>
      <c r="P229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8.3216568301701788</v>
      </c>
      <c r="Q2292" s="1">
        <f>LN(Table13[[#This Row],[qe_mg_g]]-Table13[[#This Row],[qt]])</f>
        <v>1.8204025075981016</v>
      </c>
      <c r="R2292" s="1">
        <v>2</v>
      </c>
    </row>
    <row r="2293" spans="1:18" hidden="1" x14ac:dyDescent="0.3">
      <c r="A2293" s="1">
        <v>2292</v>
      </c>
      <c r="B2293" s="1" t="s">
        <v>19</v>
      </c>
      <c r="C2293" s="1">
        <v>4</v>
      </c>
      <c r="D2293" s="1">
        <v>240</v>
      </c>
      <c r="E2293" s="1">
        <v>100</v>
      </c>
      <c r="F2293" s="1">
        <v>7</v>
      </c>
      <c r="G2293" s="1">
        <v>25</v>
      </c>
      <c r="H2293" s="1">
        <v>150</v>
      </c>
      <c r="I2293" s="1">
        <v>100</v>
      </c>
      <c r="J2293" s="1">
        <v>16.056999999999999</v>
      </c>
      <c r="K2293" s="1">
        <v>35.771999999999998</v>
      </c>
      <c r="L2293" s="1">
        <v>64.23</v>
      </c>
      <c r="M2293" s="1">
        <v>54</v>
      </c>
      <c r="N2293" s="1">
        <v>4.8099999999999997E-2</v>
      </c>
      <c r="O2293" s="1">
        <v>3.1500000000000001E-4</v>
      </c>
      <c r="P229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8.8042183592714629</v>
      </c>
      <c r="Q2293" s="1">
        <f>LN(Table13[[#This Row],[qe_mg_g]]-Table13[[#This Row],[qt]])</f>
        <v>1.9813850698655577</v>
      </c>
      <c r="R2293" s="1">
        <v>3</v>
      </c>
    </row>
    <row r="2294" spans="1:18" hidden="1" x14ac:dyDescent="0.3">
      <c r="A2294" s="1">
        <v>2293</v>
      </c>
      <c r="B2294" s="1" t="s">
        <v>19</v>
      </c>
      <c r="C2294" s="1">
        <v>4</v>
      </c>
      <c r="D2294" s="1">
        <v>240</v>
      </c>
      <c r="E2294" s="1">
        <v>100</v>
      </c>
      <c r="F2294" s="1">
        <v>11</v>
      </c>
      <c r="G2294" s="1">
        <v>25</v>
      </c>
      <c r="H2294" s="1">
        <v>150</v>
      </c>
      <c r="I2294" s="1">
        <v>100</v>
      </c>
      <c r="J2294" s="1">
        <v>12.346</v>
      </c>
      <c r="K2294" s="1">
        <v>50.616</v>
      </c>
      <c r="L2294" s="1">
        <v>49.38</v>
      </c>
      <c r="M2294" s="1">
        <v>57.3</v>
      </c>
      <c r="N2294" s="1">
        <v>4.8959999999999997E-2</v>
      </c>
      <c r="O2294" s="1">
        <v>3.5159999999999998E-4</v>
      </c>
      <c r="P229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6.2993888778119791</v>
      </c>
      <c r="Q2294" s="1">
        <f>LN(Table13[[#This Row],[qe_mg_g]]-Table13[[#This Row],[qt]])</f>
        <v>1.7994979700099896</v>
      </c>
      <c r="R2294" s="1">
        <v>1</v>
      </c>
    </row>
    <row r="2295" spans="1:18" hidden="1" x14ac:dyDescent="0.3">
      <c r="A2295" s="1">
        <v>2294</v>
      </c>
      <c r="B2295" s="1" t="s">
        <v>19</v>
      </c>
      <c r="C2295" s="1">
        <v>4</v>
      </c>
      <c r="D2295" s="1">
        <v>240</v>
      </c>
      <c r="E2295" s="1">
        <v>100</v>
      </c>
      <c r="F2295" s="1">
        <v>11</v>
      </c>
      <c r="G2295" s="1">
        <v>25</v>
      </c>
      <c r="H2295" s="1">
        <v>150</v>
      </c>
      <c r="I2295" s="1">
        <v>100</v>
      </c>
      <c r="J2295" s="1">
        <v>12.65</v>
      </c>
      <c r="K2295" s="1">
        <v>49.399000000000001</v>
      </c>
      <c r="L2295" s="1">
        <v>50.6</v>
      </c>
      <c r="M2295" s="1">
        <v>45.1</v>
      </c>
      <c r="N2295" s="1">
        <v>6.1080000000000002E-2</v>
      </c>
      <c r="O2295" s="1">
        <v>3.368E-4</v>
      </c>
      <c r="P229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6.395441341436209</v>
      </c>
      <c r="Q2295" s="1">
        <f>LN(Table13[[#This Row],[qe_mg_g]]-Table13[[#This Row],[qt]])</f>
        <v>1.8333105832462819</v>
      </c>
      <c r="R2295" s="1">
        <v>2</v>
      </c>
    </row>
    <row r="2296" spans="1:18" hidden="1" x14ac:dyDescent="0.3">
      <c r="A2296" s="1">
        <v>2295</v>
      </c>
      <c r="B2296" s="1" t="s">
        <v>19</v>
      </c>
      <c r="C2296" s="1">
        <v>4</v>
      </c>
      <c r="D2296" s="1">
        <v>240</v>
      </c>
      <c r="E2296" s="1">
        <v>100</v>
      </c>
      <c r="F2296" s="1">
        <v>11</v>
      </c>
      <c r="G2296" s="1">
        <v>25</v>
      </c>
      <c r="H2296" s="1">
        <v>150</v>
      </c>
      <c r="I2296" s="1">
        <v>100</v>
      </c>
      <c r="J2296" s="1">
        <v>13.180999999999999</v>
      </c>
      <c r="K2296" s="1">
        <v>47.274999999999999</v>
      </c>
      <c r="L2296" s="1">
        <v>52.73</v>
      </c>
      <c r="M2296" s="1">
        <v>50.2</v>
      </c>
      <c r="N2296" s="1">
        <v>4.9349999999999998E-2</v>
      </c>
      <c r="O2296" s="1">
        <v>3.3399999999999999E-4</v>
      </c>
      <c r="P2296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6.7718437435159613</v>
      </c>
      <c r="Q2296" s="1">
        <f>LN(Table13[[#This Row],[qe_mg_g]]-Table13[[#This Row],[qt]])</f>
        <v>1.8577276330150279</v>
      </c>
      <c r="R2296" s="1">
        <v>3</v>
      </c>
    </row>
    <row r="2297" spans="1:18" hidden="1" x14ac:dyDescent="0.3">
      <c r="A2297" s="1">
        <v>2296</v>
      </c>
      <c r="B2297" s="1" t="s">
        <v>19</v>
      </c>
      <c r="C2297" s="1">
        <v>4</v>
      </c>
      <c r="D2297" s="1">
        <v>240</v>
      </c>
      <c r="E2297" s="1">
        <v>200</v>
      </c>
      <c r="F2297" s="1">
        <v>3</v>
      </c>
      <c r="G2297" s="1">
        <v>25</v>
      </c>
      <c r="H2297" s="1">
        <v>150</v>
      </c>
      <c r="I2297" s="1">
        <v>100</v>
      </c>
      <c r="J2297" s="1">
        <v>25.149000000000001</v>
      </c>
      <c r="K2297" s="1">
        <v>99.402000000000001</v>
      </c>
      <c r="L2297" s="1">
        <v>50.3</v>
      </c>
      <c r="M2297" s="1">
        <v>51.4</v>
      </c>
      <c r="N2297" s="1">
        <v>5.3809999999999997E-2</v>
      </c>
      <c r="O2297" s="1">
        <v>3.6170000000000001E-4</v>
      </c>
      <c r="P2297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17.248296824159979</v>
      </c>
      <c r="Q2297" s="1">
        <f>LN(Table13[[#This Row],[qe_mg_g]]-Table13[[#This Row],[qt]])</f>
        <v>2.0669517651118592</v>
      </c>
      <c r="R2297" s="1">
        <v>1</v>
      </c>
    </row>
    <row r="2298" spans="1:18" hidden="1" x14ac:dyDescent="0.3">
      <c r="A2298" s="1">
        <v>2297</v>
      </c>
      <c r="B2298" s="1" t="s">
        <v>19</v>
      </c>
      <c r="C2298" s="1">
        <v>4</v>
      </c>
      <c r="D2298" s="1">
        <v>240</v>
      </c>
      <c r="E2298" s="1">
        <v>200</v>
      </c>
      <c r="F2298" s="1">
        <v>3</v>
      </c>
      <c r="G2298" s="1">
        <v>25</v>
      </c>
      <c r="H2298" s="1">
        <v>150</v>
      </c>
      <c r="I2298" s="1">
        <v>100</v>
      </c>
      <c r="J2298" s="1">
        <v>25.015000000000001</v>
      </c>
      <c r="K2298" s="1">
        <v>99.941000000000003</v>
      </c>
      <c r="L2298" s="1">
        <v>50.03</v>
      </c>
      <c r="M2298" s="1">
        <v>54</v>
      </c>
      <c r="N2298" s="1">
        <v>4.5600000000000002E-2</v>
      </c>
      <c r="O2298" s="1">
        <v>3.637E-4</v>
      </c>
      <c r="P2298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17.157319218968077</v>
      </c>
      <c r="Q2298" s="1">
        <f>LN(Table13[[#This Row],[qe_mg_g]]-Table13[[#This Row],[qt]])</f>
        <v>2.0614914968740972</v>
      </c>
      <c r="R2298" s="1">
        <v>2</v>
      </c>
    </row>
    <row r="2299" spans="1:18" hidden="1" x14ac:dyDescent="0.3">
      <c r="A2299" s="1">
        <v>2298</v>
      </c>
      <c r="B2299" s="1" t="s">
        <v>19</v>
      </c>
      <c r="C2299" s="1">
        <v>4</v>
      </c>
      <c r="D2299" s="1">
        <v>240</v>
      </c>
      <c r="E2299" s="1">
        <v>200</v>
      </c>
      <c r="F2299" s="1">
        <v>3</v>
      </c>
      <c r="G2299" s="1">
        <v>25</v>
      </c>
      <c r="H2299" s="1">
        <v>150</v>
      </c>
      <c r="I2299" s="1">
        <v>100</v>
      </c>
      <c r="J2299" s="1">
        <v>25.16</v>
      </c>
      <c r="K2299" s="1">
        <v>99.36</v>
      </c>
      <c r="L2299" s="1">
        <v>50.32</v>
      </c>
      <c r="M2299" s="1">
        <v>67.7</v>
      </c>
      <c r="N2299" s="1">
        <v>4.9829999999999999E-2</v>
      </c>
      <c r="O2299" s="1">
        <v>2.8669999999999998E-4</v>
      </c>
      <c r="P2299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15.947963344940012</v>
      </c>
      <c r="Q2299" s="1">
        <f>LN(Table13[[#This Row],[qe_mg_g]]-Table13[[#This Row],[qt]])</f>
        <v>2.2205109610061009</v>
      </c>
      <c r="R2299" s="1">
        <v>3</v>
      </c>
    </row>
    <row r="2300" spans="1:18" hidden="1" x14ac:dyDescent="0.3">
      <c r="A2300" s="1">
        <v>2299</v>
      </c>
      <c r="B2300" s="1" t="s">
        <v>19</v>
      </c>
      <c r="C2300" s="1">
        <v>4</v>
      </c>
      <c r="D2300" s="1">
        <v>240</v>
      </c>
      <c r="E2300" s="1">
        <v>200</v>
      </c>
      <c r="F2300" s="1">
        <v>7</v>
      </c>
      <c r="G2300" s="1">
        <v>25</v>
      </c>
      <c r="H2300" s="1">
        <v>150</v>
      </c>
      <c r="I2300" s="1">
        <v>100</v>
      </c>
      <c r="J2300" s="1">
        <v>37.484999999999999</v>
      </c>
      <c r="K2300" s="1">
        <v>50.061999999999998</v>
      </c>
      <c r="L2300" s="1">
        <v>74.97</v>
      </c>
      <c r="M2300" s="1">
        <v>57.4</v>
      </c>
      <c r="N2300" s="1">
        <v>4.9450000000000001E-2</v>
      </c>
      <c r="O2300" s="1">
        <v>2.965E-4</v>
      </c>
      <c r="P2300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27.263953265562403</v>
      </c>
      <c r="Q2300" s="1">
        <f>LN(Table13[[#This Row],[qe_mg_g]]-Table13[[#This Row],[qt]])</f>
        <v>2.3244489997303415</v>
      </c>
      <c r="R2300" s="1">
        <v>1</v>
      </c>
    </row>
    <row r="2301" spans="1:18" hidden="1" x14ac:dyDescent="0.3">
      <c r="A2301" s="1">
        <v>2300</v>
      </c>
      <c r="B2301" s="1" t="s">
        <v>19</v>
      </c>
      <c r="C2301" s="1">
        <v>4</v>
      </c>
      <c r="D2301" s="1">
        <v>240</v>
      </c>
      <c r="E2301" s="1">
        <v>200</v>
      </c>
      <c r="F2301" s="1">
        <v>7</v>
      </c>
      <c r="G2301" s="1">
        <v>25</v>
      </c>
      <c r="H2301" s="1">
        <v>150</v>
      </c>
      <c r="I2301" s="1">
        <v>100</v>
      </c>
      <c r="J2301" s="1">
        <v>39.796999999999997</v>
      </c>
      <c r="K2301" s="1">
        <v>40.813000000000002</v>
      </c>
      <c r="L2301" s="1">
        <v>79.59</v>
      </c>
      <c r="M2301" s="1">
        <v>66.099999999999994</v>
      </c>
      <c r="N2301" s="1">
        <v>4.1320000000000003E-2</v>
      </c>
      <c r="O2301" s="1">
        <v>3.3399999999999999E-4</v>
      </c>
      <c r="P2301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30.299198367461621</v>
      </c>
      <c r="Q2301" s="1">
        <f>LN(Table13[[#This Row],[qe_mg_g]]-Table13[[#This Row],[qt]])</f>
        <v>2.2510603647265173</v>
      </c>
      <c r="R2301" s="1">
        <v>2</v>
      </c>
    </row>
    <row r="2302" spans="1:18" hidden="1" x14ac:dyDescent="0.3">
      <c r="A2302" s="1">
        <v>2301</v>
      </c>
      <c r="B2302" s="1" t="s">
        <v>19</v>
      </c>
      <c r="C2302" s="1">
        <v>4</v>
      </c>
      <c r="D2302" s="1">
        <v>240</v>
      </c>
      <c r="E2302" s="1">
        <v>200</v>
      </c>
      <c r="F2302" s="1">
        <v>7</v>
      </c>
      <c r="G2302" s="1">
        <v>25</v>
      </c>
      <c r="H2302" s="1">
        <v>150</v>
      </c>
      <c r="I2302" s="1">
        <v>100</v>
      </c>
      <c r="J2302" s="1">
        <v>40.116</v>
      </c>
      <c r="K2302" s="1">
        <v>39.536999999999999</v>
      </c>
      <c r="L2302" s="1">
        <v>80.23</v>
      </c>
      <c r="M2302" s="1">
        <v>50.7</v>
      </c>
      <c r="N2302" s="1">
        <v>5.2299999999999999E-2</v>
      </c>
      <c r="O2302" s="1">
        <v>3.4010000000000003E-4</v>
      </c>
      <c r="P2302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30.730885454588073</v>
      </c>
      <c r="Q2302" s="1">
        <f>LN(Table13[[#This Row],[qe_mg_g]]-Table13[[#This Row],[qt]])</f>
        <v>2.2391248751224264</v>
      </c>
      <c r="R2302" s="1">
        <v>3</v>
      </c>
    </row>
    <row r="2303" spans="1:18" hidden="1" x14ac:dyDescent="0.3">
      <c r="A2303" s="1">
        <v>2302</v>
      </c>
      <c r="B2303" s="1" t="s">
        <v>19</v>
      </c>
      <c r="C2303" s="1">
        <v>4</v>
      </c>
      <c r="D2303" s="1">
        <v>240</v>
      </c>
      <c r="E2303" s="1">
        <v>200</v>
      </c>
      <c r="F2303" s="1">
        <v>11</v>
      </c>
      <c r="G2303" s="1">
        <v>25</v>
      </c>
      <c r="H2303" s="1">
        <v>150</v>
      </c>
      <c r="I2303" s="1">
        <v>100</v>
      </c>
      <c r="J2303" s="1">
        <v>27.216999999999999</v>
      </c>
      <c r="K2303" s="1">
        <v>91.132000000000005</v>
      </c>
      <c r="L2303" s="1">
        <v>54.43</v>
      </c>
      <c r="M2303" s="1">
        <v>40.6</v>
      </c>
      <c r="N2303" s="1">
        <v>6.0789999999999997E-2</v>
      </c>
      <c r="O2303" s="1">
        <v>2.855E-4</v>
      </c>
      <c r="P2303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17.716872240262969</v>
      </c>
      <c r="Q2303" s="1">
        <f>LN(Table13[[#This Row],[qe_mg_g]]-Table13[[#This Row],[qt]])</f>
        <v>2.2513052469094377</v>
      </c>
      <c r="R2303" s="1">
        <v>1</v>
      </c>
    </row>
    <row r="2304" spans="1:18" hidden="1" x14ac:dyDescent="0.3">
      <c r="A2304" s="1">
        <v>2303</v>
      </c>
      <c r="B2304" s="1" t="s">
        <v>19</v>
      </c>
      <c r="C2304" s="1">
        <v>4</v>
      </c>
      <c r="D2304" s="1">
        <v>240</v>
      </c>
      <c r="E2304" s="1">
        <v>200</v>
      </c>
      <c r="F2304" s="1">
        <v>11</v>
      </c>
      <c r="G2304" s="1">
        <v>25</v>
      </c>
      <c r="H2304" s="1">
        <v>150</v>
      </c>
      <c r="I2304" s="1">
        <v>100</v>
      </c>
      <c r="J2304" s="1">
        <v>30.045000000000002</v>
      </c>
      <c r="K2304" s="1">
        <v>79.817999999999998</v>
      </c>
      <c r="L2304" s="1">
        <v>60.09</v>
      </c>
      <c r="M2304" s="1">
        <v>61.8</v>
      </c>
      <c r="N2304" s="1">
        <v>4.7019999999999999E-2</v>
      </c>
      <c r="O2304" s="1">
        <v>3.1770000000000002E-4</v>
      </c>
      <c r="P2304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20.915198637615461</v>
      </c>
      <c r="Q2304" s="1">
        <f>LN(Table13[[#This Row],[qe_mg_g]]-Table13[[#This Row],[qt]])</f>
        <v>2.2115439377858115</v>
      </c>
      <c r="R2304" s="1">
        <v>2</v>
      </c>
    </row>
    <row r="2305" spans="1:18" hidden="1" x14ac:dyDescent="0.3">
      <c r="A2305" s="1">
        <v>2304</v>
      </c>
      <c r="B2305" s="1" t="s">
        <v>19</v>
      </c>
      <c r="C2305" s="1">
        <v>4</v>
      </c>
      <c r="D2305" s="1">
        <v>240</v>
      </c>
      <c r="E2305" s="1">
        <v>200</v>
      </c>
      <c r="F2305" s="1">
        <v>11</v>
      </c>
      <c r="G2305" s="1">
        <v>25</v>
      </c>
      <c r="H2305" s="1">
        <v>150</v>
      </c>
      <c r="I2305" s="1">
        <v>100</v>
      </c>
      <c r="J2305" s="1">
        <v>32.042000000000002</v>
      </c>
      <c r="K2305" s="1">
        <v>71.831000000000003</v>
      </c>
      <c r="L2305" s="1">
        <v>64.08</v>
      </c>
      <c r="M2305" s="1">
        <v>58.9</v>
      </c>
      <c r="N2305" s="1">
        <v>5.16E-2</v>
      </c>
      <c r="O2305" s="1">
        <v>3.9209999999999999E-4</v>
      </c>
      <c r="P2305" s="1">
        <f>(Table13[[#This Row],[Rate_Constant_k2_g_mg_min]]*Table13[[#This Row],[Contact_Time_min]]*Table13[[#This Row],[qe_mg_g]]^2)/(1+Table13[[#This Row],[Contact_Time_min]]*Table13[[#This Row],[qe_mg_g]]*Table13[[#This Row],[Rate_Constant_k2_g_mg_min]])</f>
        <v>24.061984393777209</v>
      </c>
      <c r="Q2305" s="1">
        <f>LN(Table13[[#This Row],[qe_mg_g]]-Table13[[#This Row],[qt]])</f>
        <v>2.0769403671268218</v>
      </c>
      <c r="R2305" s="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082A-A4CB-4E55-88CA-59581C72FECA}">
  <dimension ref="G4:I7"/>
  <sheetViews>
    <sheetView tabSelected="1" workbookViewId="0">
      <selection activeCell="G11" sqref="G11"/>
    </sheetView>
  </sheetViews>
  <sheetFormatPr defaultRowHeight="14.4" x14ac:dyDescent="0.3"/>
  <sheetData>
    <row r="4" spans="7:9" x14ac:dyDescent="0.3">
      <c r="G4">
        <v>0.36599999999999999</v>
      </c>
      <c r="H4" s="7">
        <f>G4-0.05</f>
        <v>0.316</v>
      </c>
      <c r="I4" s="7">
        <f>G4+0.05</f>
        <v>0.41599999999999998</v>
      </c>
    </row>
    <row r="5" spans="7:9" x14ac:dyDescent="0.3">
      <c r="G5">
        <v>0.36599999999999999</v>
      </c>
      <c r="H5" s="7">
        <f t="shared" ref="H5:H7" si="0">G5-0.05</f>
        <v>0.316</v>
      </c>
      <c r="I5" s="7">
        <f t="shared" ref="I5:I7" si="1">G5+0.05</f>
        <v>0.41599999999999998</v>
      </c>
    </row>
    <row r="6" spans="7:9" x14ac:dyDescent="0.3">
      <c r="G6">
        <v>0.38</v>
      </c>
      <c r="H6" s="7">
        <f t="shared" si="0"/>
        <v>0.33</v>
      </c>
      <c r="I6" s="7">
        <f t="shared" si="1"/>
        <v>0.43</v>
      </c>
    </row>
    <row r="7" spans="7:9" x14ac:dyDescent="0.3">
      <c r="G7">
        <v>0.31</v>
      </c>
      <c r="H7" s="7">
        <f t="shared" si="0"/>
        <v>0.26</v>
      </c>
      <c r="I7" s="7">
        <f t="shared" si="1"/>
        <v>0.36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F57A-CE17-48F9-8175-474F5810B4CF}">
  <dimension ref="A3:B4"/>
  <sheetViews>
    <sheetView workbookViewId="0">
      <selection activeCell="B3" sqref="B3"/>
    </sheetView>
  </sheetViews>
  <sheetFormatPr defaultRowHeight="14.4" x14ac:dyDescent="0.3"/>
  <cols>
    <col min="1" max="1" width="14.88671875" bestFit="1" customWidth="1"/>
    <col min="2" max="2" width="15.21875" bestFit="1" customWidth="1"/>
  </cols>
  <sheetData>
    <row r="3" spans="1:2" x14ac:dyDescent="0.3">
      <c r="A3" t="s">
        <v>22</v>
      </c>
      <c r="B3" t="s">
        <v>23</v>
      </c>
    </row>
    <row r="4" spans="1:2" x14ac:dyDescent="0.3">
      <c r="A4" s="5">
        <v>9.9000000000000005E-2</v>
      </c>
      <c r="B4" s="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data</vt:lpstr>
      <vt:lpstr>adsorbent type</vt:lpstr>
      <vt:lpstr>Sheet7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Jasmine Yahhia</cp:lastModifiedBy>
  <dcterms:created xsi:type="dcterms:W3CDTF">2015-06-05T18:17:20Z</dcterms:created>
  <dcterms:modified xsi:type="dcterms:W3CDTF">2025-11-09T09:12:27Z</dcterms:modified>
</cp:coreProperties>
</file>